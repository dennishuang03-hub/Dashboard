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730" firstSheet="1"/>
  </bookViews>
  <sheets>
    <sheet name="ALL DP DATA" sheetId="21" r:id="rId1"/>
    <sheet name="06.30, 07.30, &amp; 12.00" sheetId="7" r:id="rId2"/>
    <sheet name="R-2, TPTW, Persentase TTD" sheetId="5" r:id="rId3"/>
    <sheet name="Pickup &amp; Retur Non Ecom" sheetId="8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'ALL DP DATA'!$C$8:$AW$1684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<sst xmlns="http://schemas.openxmlformats.org/spreadsheetml/2006/main" count="25083" uniqueCount="1763">
  <si>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</si>
  <si>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</si>
  <si>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</si>
  <si>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</si>
  <si>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</si>
  <si>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</si>
  <si>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服务类型 Jenis Layanan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</si>
  <si>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</si>
  <si>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</si>
  <si>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</si>
  <si>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</si>
  <si>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</si>
  <si>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</si>
  <si>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</si>
  <si>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</si>
  <si>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</si>
  <si>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</si>
  <si>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</si>
  <si>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</si>
  <si>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</si>
  <si>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</si>
  <si>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</si>
  <si>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</si>
  <si>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</si>
  <si>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</si>
  <si>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</si>
  <si>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</si>
  <si>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</si>
  <si>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</si>
  <si>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</si>
  <si>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</si>
  <si>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</si>
  <si>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</si>
  <si>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</si>
  <si>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</si>
  <si>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-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</si>
  <si>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</si>
  <si>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</si>
  <si>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</si>
  <si>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</si>
  <si>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</si>
  <si>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</si>
  <si>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</si>
  <si>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</si>
  <si>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</si>
  <si>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</si>
  <si>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</si>
  <si>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</si>
  <si>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</si>
  <si>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</si>
  <si>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</si>
  <si>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</si>
  <si>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</si>
  <si>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</si>
  <si>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</si>
  <si>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</si>
  <si>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</si>
  <si>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</si>
  <si>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</si>
  <si>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</si>
  <si>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</si>
  <si>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</si>
  <si>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</si>
  <si>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</si>
  <si>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</si>
  <si>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</si>
  <si>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</si>
  <si>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</si>
  <si>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</si>
  <si>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</si>
  <si>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</si>
  <si>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</si>
  <si>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</si>
  <si>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</si>
  <si>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</si>
  <si>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</si>
  <si>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</si>
  <si>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</si>
  <si>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</si>
  <si>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</si>
  <si>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</si>
  <si>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Delivery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</si>
  <si>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</si>
  <si>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</si>
  <si>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</si>
  <si>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</si>
  <si>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</si>
  <si>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</si>
  <si>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</si>
  <si>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</si>
  <si>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</si>
  <si>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</si>
  <si>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</si>
  <si>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</si>
  <si>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</si>
  <si>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</si>
  <si>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</si>
  <si>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</si>
  <si>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</si>
  <si>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</si>
  <si>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</si>
  <si>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</si>
  <si>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</si>
  <si>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</si>
  <si>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</si>
  <si>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</si>
  <si>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</si>
  <si>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</si>
  <si>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</si>
  <si>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</si>
  <si>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</si>
  <si>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</si>
  <si>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</si>
  <si>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</si>
  <si>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</si>
  <si>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</si>
  <si>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</si>
  <si>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</si>
  <si>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</si>
  <si>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</si>
  <si>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</si>
  <si>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</si>
  <si>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</si>
  <si>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</si>
  <si>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</si>
  <si>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Pickup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</si>
  <si>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</si>
  <si>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</si>
  <si>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</si>
  <si>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</si>
  <si>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</si>
  <si>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</si>
  <si>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</si>
  <si>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</si>
  <si>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</si>
  <si>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</si>
  <si>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</si>
  <si>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</si>
  <si>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</si>
  <si>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</si>
  <si>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</si>
  <si>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</si>
  <si>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</si>
  <si>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</si>
  <si>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</si>
  <si>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</si>
  <si>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</si>
  <si>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</si>
  <si>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</si>
  <si>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</si>
  <si>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</si>
  <si>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</si>
  <si>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</si>
  <si>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</si>
  <si>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</si>
  <si>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</si>
  <si>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</si>
  <si>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</si>
  <si>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</si>
  <si>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</si>
  <si>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</si>
  <si>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</si>
  <si>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</si>
  <si>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</si>
  <si>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</si>
  <si>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</si>
  <si>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</si>
  <si>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</si>
  <si>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</si>
  <si>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</si>
  <si>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</si>
  <si>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</si>
  <si>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</si>
  <si>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</si>
  <si>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</si>
  <si>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</si>
  <si>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</si>
  <si>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</si>
  <si>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</si>
  <si>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</si>
  <si>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</si>
  <si>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</si>
  <si>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</si>
  <si>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</si>
  <si>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</si>
  <si>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</si>
  <si>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</si>
  <si>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</si>
  <si>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</si>
  <si>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</si>
  <si>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</si>
  <si>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</si>
  <si>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</si>
  <si>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</si>
  <si>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</si>
  <si>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</si>
  <si>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</si>
  <si>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</si>
  <si>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</si>
  <si>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</si>
  <si>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</si>
  <si>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</si>
  <si>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</si>
  <si>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</si>
  <si>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</si>
  <si>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</si>
  <si>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</si>
  <si>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</si>
  <si>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</si>
  <si>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</si>
  <si>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</si>
  <si>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</si>
  <si>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</si>
  <si>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</si>
  <si>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</si>
  <si>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</si>
  <si>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</si>
  <si>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</si>
  <si>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</si>
  <si>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</si>
  <si>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</si>
  <si>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</si>
  <si>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</si>
  <si>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</si>
  <si>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</si>
  <si>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</si>
  <si>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</si>
  <si>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</si>
  <si>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</si>
  <si>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</si>
  <si>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</si>
  <si>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</si>
  <si>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</si>
  <si>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</si>
  <si>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</si>
  <si>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</si>
  <si>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</si>
  <si>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</si>
  <si>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</si>
  <si>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</si>
  <si>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</si>
  <si>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</si>
  <si>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</si>
  <si>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</si>
  <si>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</si>
  <si>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</si>
  <si>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</si>
  <si>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</si>
  <si>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</si>
  <si>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</si>
  <si>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</si>
  <si>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</si>
  <si>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</si>
  <si>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</si>
  <si>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</si>
  <si>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</si>
  <si>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</si>
  <si>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</si>
  <si>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</si>
  <si>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</si>
  <si>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</si>
  <si>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</si>
  <si>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</si>
  <si>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</si>
  <si>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</si>
  <si>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</si>
  <si>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</si>
  <si>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</si>
  <si>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</si>
  <si>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</si>
  <si>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</si>
  <si>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</si>
  <si>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</si>
  <si>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</si>
  <si>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</si>
  <si>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</si>
  <si>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</si>
  <si>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</si>
  <si>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</si>
  <si>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</si>
  <si>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</si>
  <si>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</si>
  <si>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</si>
  <si>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</si>
  <si>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</si>
  <si>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</si>
  <si>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</si>
  <si>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</si>
  <si>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</si>
  <si>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</si>
  <si>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</si>
  <si>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</si>
  <si>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</si>
  <si>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</si>
  <si>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</si>
  <si>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</si>
  <si>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</si>
  <si>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</si>
  <si>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</si>
  <si>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</si>
  <si>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</si>
  <si>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</si>
  <si>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</si>
  <si>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</si>
  <si>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</si>
  <si>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</si>
  <si>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</si>
  <si>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</si>
  <si>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</si>
  <si>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</si>
  <si>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</si>
  <si>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</si>
  <si>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</si>
  <si>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</si>
  <si>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</si>
  <si>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</si>
  <si>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</si>
  <si>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</si>
  <si>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</si>
  <si>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</si>
  <si>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</si>
  <si>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</si>
  <si>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</si>
  <si>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</si>
  <si>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</si>
  <si>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</si>
  <si>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</si>
  <si>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</si>
  <si>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</si>
  <si>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</si>
  <si>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</si>
  <si>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</si>
  <si>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</si>
  <si>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</si>
  <si>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</si>
  <si>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</si>
  <si>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</si>
  <si>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</si>
  <si>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</si>
  <si>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</si>
  <si>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</si>
  <si>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</si>
  <si>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</si>
  <si>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</si>
  <si>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</si>
  <si>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</si>
  <si>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</si>
  <si>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</si>
  <si>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</si>
  <si>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</si>
  <si>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</si>
  <si>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</si>
  <si>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</si>
  <si>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</si>
  <si>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</si>
  <si>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</si>
  <si>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</si>
  <si>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</si>
  <si>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</si>
  <si>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</si>
  <si>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</si>
  <si>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</si>
  <si>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</si>
  <si>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</si>
  <si>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</si>
  <si>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</si>
  <si>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</si>
  <si>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</si>
  <si>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</si>
  <si>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</si>
  <si>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</si>
  <si>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</si>
  <si>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</si>
  <si>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</si>
  <si>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</si>
  <si>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</si>
  <si>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</si>
  <si>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</si>
  <si>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</si>
  <si>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</si>
  <si>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</si>
  <si>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</si>
  <si>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</si>
  <si>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</si>
  <si>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</si>
  <si>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</si>
  <si>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</si>
  <si>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</si>
  <si>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</si>
  <si>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</si>
  <si>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</si>
  <si>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</si>
  <si>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</si>
  <si>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</si>
  <si>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</si>
  <si>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</si>
  <si>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</si>
  <si>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</si>
  <si>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</si>
  <si>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</si>
  <si>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</si>
  <si>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</si>
  <si>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</si>
  <si>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</si>
  <si>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</si>
  <si>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</si>
  <si>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</si>
  <si>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</si>
  <si>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</si>
  <si>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</si>
  <si>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</si>
  <si>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</si>
  <si>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</si>
  <si>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</si>
  <si>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</si>
  <si>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</si>
  <si>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</si>
  <si>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</si>
  <si>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</si>
  <si>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</si>
  <si>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</si>
  <si>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</si>
  <si>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</si>
  <si>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</si>
  <si>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</si>
  <si>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</si>
  <si>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</si>
  <si>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</si>
  <si>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</si>
  <si>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</si>
  <si>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</si>
  <si>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</si>
  <si>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</si>
  <si>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</si>
  <si>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</si>
  <si>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</si>
  <si>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</si>
  <si>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</si>
  <si>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</si>
  <si>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</si>
  <si>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</si>
  <si>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</si>
  <si>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</si>
  <si>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</si>
  <si>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</si>
  <si>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</si>
  <si>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</si>
  <si>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</si>
  <si>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</si>
  <si>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</si>
  <si>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</si>
  <si>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</si>
  <si>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</si>
  <si>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</si>
  <si>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</si>
  <si>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</si>
  <si>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</si>
  <si>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</si>
  <si>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</si>
  <si>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</si>
  <si>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</si>
  <si>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</si>
  <si>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</si>
  <si>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</si>
  <si>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</si>
  <si>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</si>
  <si>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</si>
  <si>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</si>
  <si>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</si>
  <si>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</si>
  <si>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</si>
  <si>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</si>
  <si>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</si>
  <si>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</si>
  <si>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</si>
  <si>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</si>
  <si>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</si>
  <si>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</si>
  <si>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</si>
  <si>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</si>
  <si>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</si>
  <si>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</si>
  <si>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</si>
  <si>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</si>
  <si>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</si>
  <si>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</si>
  <si>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</si>
  <si>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</si>
  <si>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</si>
  <si>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</si>
  <si>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</si>
  <si>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</si>
  <si>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</si>
  <si>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</si>
  <si>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</si>
  <si>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</si>
  <si>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</si>
  <si>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</si>
  <si>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</si>
  <si>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</si>
  <si>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</si>
  <si>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</si>
  <si>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</si>
  <si>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</si>
  <si>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</si>
  <si>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</si>
  <si>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</si>
  <si>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</si>
  <si>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</si>
  <si>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</si>
  <si>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</si>
  <si>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</si>
  <si>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</si>
  <si>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</si>
  <si>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</si>
  <si>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</si>
  <si>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</si>
  <si>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</si>
  <si>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</si>
  <si>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</si>
  <si>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</si>
  <si>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</si>
  <si>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</si>
  <si>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</si>
  <si>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</si>
  <si>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</si>
  <si>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</si>
  <si>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</si>
  <si>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</si>
  <si>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</si>
  <si>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</si>
  <si>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</si>
  <si>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</si>
  <si>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</si>
  <si>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</si>
  <si>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</si>
  <si>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</si>
  <si>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</si>
  <si>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</si>
  <si>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</si>
  <si>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</si>
  <si>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</si>
  <si>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</si>
  <si>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</si>
  <si>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</si>
  <si>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</si>
  <si>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</si>
  <si>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</si>
  <si>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</si>
  <si>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</si>
  <si>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</si>
  <si>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</si>
  <si>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</si>
  <si>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</si>
  <si>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</si>
  <si>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</si>
  <si>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</si>
  <si>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</si>
  <si>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</si>
  <si>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</si>
  <si>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</si>
  <si>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</si>
  <si>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</si>
  <si>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</si>
  <si>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</si>
  <si>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</si>
  <si>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</si>
  <si>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</si>
  <si>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</si>
  <si>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</si>
  <si>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</si>
  <si>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</si>
  <si>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</si>
  <si>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</si>
  <si>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</si>
  <si>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</si>
  <si>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</si>
  <si>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</si>
  <si>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</si>
  <si>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</si>
  <si>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</si>
  <si>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</si>
  <si>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</si>
  <si>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</si>
  <si>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</si>
  <si>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</si>
  <si>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</si>
  <si>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</si>
  <si>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</si>
  <si>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</si>
  <si>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</si>
  <si>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</si>
  <si>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</si>
  <si>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</si>
  <si>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</si>
  <si>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</si>
  <si>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</si>
  <si>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</si>
  <si>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</si>
  <si>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</si>
  <si>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</si>
  <si>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</si>
  <si>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</si>
  <si>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</si>
  <si>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</si>
  <si>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</si>
  <si>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</si>
  <si>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</si>
  <si>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</si>
  <si>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</si>
  <si>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</si>
  <si>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</si>
  <si>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</si>
  <si>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</si>
  <si>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</si>
  <si>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</si>
  <si>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</si>
  <si>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</si>
  <si>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</si>
  <si>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</si>
  <si>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</si>
  <si>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</si>
  <si>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</si>
  <si>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</si>
  <si>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</si>
  <si>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</si>
  <si>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</si>
  <si>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</si>
  <si>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</si>
  <si>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</si>
  <si>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</si>
  <si>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</si>
  <si>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</si>
  <si>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</si>
  <si>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</si>
  <si>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</si>
  <si>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</si>
  <si>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</si>
  <si>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</si>
  <si>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</si>
  <si>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</si>
  <si>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</si>
  <si>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</si>
  <si>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</si>
  <si>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</si>
  <si>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</si>
  <si>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</si>
  <si>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</si>
  <si>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</si>
  <si>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</si>
  <si>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</si>
  <si>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</si>
  <si>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</si>
  <si>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</si>
  <si>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</si>
  <si>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</si>
  <si>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</si>
  <si>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</si>
  <si>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</si>
  <si>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</si>
  <si>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</si>
  <si>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</si>
  <si>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</si>
  <si>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</si>
  <si>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</si>
  <si>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</si>
  <si>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</si>
  <si>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</si>
  <si>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</si>
  <si>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</si>
  <si>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</si>
  <si>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</si>
  <si>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</si>
  <si>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</si>
  <si>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</si>
  <si>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</si>
  <si>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</si>
  <si>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</si>
  <si>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</si>
  <si>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</si>
  <si>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</si>
  <si>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</si>
  <si>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</si>
  <si>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</si>
  <si>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</si>
  <si>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</si>
  <si>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</si>
  <si>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</si>
  <si>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</si>
  <si>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</si>
  <si>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</si>
  <si>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</si>
  <si>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</si>
  <si>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</si>
  <si>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</si>
  <si>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</si>
  <si>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</si>
  <si>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</si>
  <si>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</si>
  <si>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</si>
  <si>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</si>
  <si>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</si>
  <si>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</si>
  <si>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</si>
  <si>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</si>
  <si>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</si>
  <si>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</si>
  <si>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</si>
  <si>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</si>
  <si>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</si>
  <si>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</si>
  <si>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</si>
  <si>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</si>
  <si>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</si>
  <si>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</si>
  <si>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</si>
  <si>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</si>
  <si>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</si>
  <si>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</si>
  <si>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</si>
  <si>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</si>
  <si>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</si>
  <si>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</si>
  <si>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</si>
  <si>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</si>
  <si>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</si>
  <si>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</si>
  <si>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</si>
  <si>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</si>
  <si>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</si>
  <si>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</si>
  <si>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</si>
  <si>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</si>
  <si>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</si>
  <si>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</si>
  <si>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</si>
  <si>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</si>
  <si>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</si>
  <si>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</si>
  <si>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</si>
  <si>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</si>
  <si>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</si>
  <si>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</si>
  <si>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</si>
  <si>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</si>
  <si>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</si>
  <si>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</si>
  <si>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</si>
  <si>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</si>
  <si>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</si>
  <si>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</si>
  <si>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</si>
  <si>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</si>
  <si>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</si>
  <si>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</si>
  <si>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</si>
  <si>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</si>
  <si>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</si>
  <si>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</si>
  <si>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</si>
  <si>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</si>
  <si>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</si>
  <si>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</si>
  <si>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</si>
  <si>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</si>
  <si>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</si>
  <si>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</si>
  <si>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</si>
  <si>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</si>
  <si>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</si>
  <si>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</si>
  <si>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</si>
  <si>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</si>
  <si>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</si>
  <si>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</si>
  <si>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</si>
  <si>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</si>
  <si>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</si>
  <si>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</si>
  <si>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</si>
  <si>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</si>
  <si>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</si>
  <si>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</si>
  <si>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</si>
  <si>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</si>
  <si>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</si>
  <si>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</si>
  <si>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</si>
  <si>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</si>
  <si>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</si>
  <si>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</si>
  <si>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</si>
  <si>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</si>
  <si>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</si>
  <si>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</si>
  <si>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</si>
  <si>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</si>
  <si>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</si>
  <si>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</si>
  <si>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</si>
  <si>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</si>
  <si>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</si>
  <si>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</si>
  <si>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</si>
  <si>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</si>
  <si>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</si>
  <si>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</si>
  <si>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</si>
  <si>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</si>
  <si>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</si>
  <si>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</si>
  <si>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</si>
  <si>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</si>
  <si>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</si>
  <si>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</si>
  <si>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</si>
  <si>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</si>
  <si>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</si>
  <si>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</si>
  <si>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</si>
  <si>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</si>
  <si>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</si>
  <si>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</si>
  <si>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</si>
  <si>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</si>
  <si>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</si>
  <si>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</si>
  <si>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</si>
  <si>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</si>
  <si>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</si>
  <si>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</si>
  <si>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</si>
  <si>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</si>
  <si>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</si>
  <si>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</si>
  <si>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</si>
  <si>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</si>
  <si>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</si>
  <si>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</si>
  <si>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</si>
  <si>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</si>
  <si>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</si>
  <si>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</si>
  <si>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</si>
  <si>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</si>
  <si>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</si>
  <si>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</si>
  <si>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</si>
  <si>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</si>
  <si>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</si>
  <si>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</si>
  <si>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</si>
  <si>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</si>
  <si>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</si>
  <si>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</si>
  <si>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</si>
  <si>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</si>
  <si>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</si>
  <si>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</si>
  <si>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</si>
  <si>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</si>
  <si>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</si>
  <si>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</si>
  <si>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</si>
  <si>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</si>
  <si>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</si>
  <si>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</si>
  <si>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</si>
  <si>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</si>
  <si>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</si>
  <si>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</si>
  <si>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</si>
  <si>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</si>
  <si>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</si>
  <si>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</si>
  <si>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</si>
  <si>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</si>
  <si>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</si>
  <si>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</si>
  <si>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</si>
  <si>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</si>
  <si>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</si>
  <si>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</si>
  <si>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</si>
  <si>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</si>
  <si>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</si>
  <si>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</si>
  <si>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</si>
  <si>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</si>
  <si>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</si>
  <si>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</si>
  <si>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</si>
  <si>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</si>
  <si>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</si>
  <si>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</si>
  <si>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</si>
  <si>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</si>
  <si>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</si>
  <si>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</si>
  <si>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</si>
  <si>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</si>
  <si>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</si>
  <si>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</si>
  <si>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</si>
  <si>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</si>
  <si>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</si>
  <si>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</si>
  <si>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</si>
  <si>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</si>
  <si>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</si>
  <si>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</si>
  <si>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</si>
  <si>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</si>
  <si>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</si>
  <si>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</si>
  <si>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</si>
  <si>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</si>
  <si>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</si>
  <si>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</si>
  <si>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</si>
  <si>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</si>
  <si>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</si>
  <si>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Tutup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</si>
  <si>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</si>
  <si>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</si>
  <si>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</si>
  <si>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</si>
  <si>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</si>
  <si>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</si>
  <si>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</si>
  <si>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</si>
  <si>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</si>
  <si>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</si>
  <si>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</si>
  <si>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</si>
  <si>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</si>
  <si>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</si>
  <si>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</si>
  <si>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</si>
  <si>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</si>
  <si>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</si>
  <si>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</si>
  <si>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</si>
  <si>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</si>
  <si>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</si>
  <si>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</si>
  <si>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</si>
  <si>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</si>
  <si>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</si>
  <si>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</si>
  <si>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</si>
  <si>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</si>
  <si>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</si>
  <si>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</si>
  <si>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</si>
  <si>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</si>
  <si>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</si>
  <si>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</si>
  <si>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</si>
  <si>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</si>
  <si>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</si>
  <si>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</si>
  <si>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</si>
  <si>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</si>
  <si>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</si>
  <si>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</si>
  <si>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</si>
  <si>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</si>
  <si>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</si>
  <si>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</si>
  <si>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</si>
  <si>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</si>
  <si>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</si>
  <si>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</si>
  <si>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</si>
  <si>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</si>
  <si>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</si>
  <si>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</si>
  <si>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</si>
  <si>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</si>
  <si>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</si>
  <si>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</si>
  <si>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</si>
  <si>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</si>
  <si>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</si>
  <si>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</si>
  <si>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</si>
  <si>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</si>
  <si>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</si>
  <si>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</si>
  <si>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</si>
  <si>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</si>
  <si>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</si>
  <si>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</si>
  <si>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</si>
  <si>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</si>
  <si>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</si>
  <si>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</si>
  <si>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</si>
  <si>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</si>
  <si>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</si>
  <si>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</si>
  <si>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</si>
  <si>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</si>
  <si>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</si>
  <si>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</si>
  <si>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</si>
  <si>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</si>
  <si>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</si>
  <si>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</si>
  <si>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</si>
  <si>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</si>
  <si>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</si>
  <si>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</si>
  <si>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</si>
  <si>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</si>
  <si>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</si>
  <si>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</si>
  <si>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</si>
  <si>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</si>
  <si>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</si>
  <si>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</si>
  <si>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</si>
  <si>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</si>
  <si>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</si>
  <si>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</si>
  <si>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</si>
  <si>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</si>
  <si>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</si>
  <si>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</si>
  <si>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</si>
  <si>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</si>
  <si>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</si>
  <si>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</si>
  <si>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</si>
  <si>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</si>
  <si>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</si>
  <si>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</si>
  <si>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</si>
  <si>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</si>
  <si>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</si>
  <si>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</si>
  <si>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</si>
  <si>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</si>
  <si>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</si>
  <si>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</si>
  <si>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</si>
  <si>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</si>
  <si>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</si>
  <si>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</si>
  <si>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</si>
  <si>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</si>
  <si>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</si>
  <si>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</si>
  <si>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</si>
  <si>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</si>
  <si>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</si>
  <si>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</si>
  <si>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</si>
  <si>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</si>
  <si>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</si>
  <si>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</si>
  <si>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</si>
  <si>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</si>
  <si>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</si>
  <si>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</si>
  <si>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</si>
  <si>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</si>
  <si>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</si>
  <si>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</si>
  <si>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</si>
  <si>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</si>
  <si>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</si>
  <si>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</si>
  <si>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</si>
  <si>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</si>
  <si>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</si>
  <si>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</si>
  <si>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</si>
  <si>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</si>
  <si>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</si>
  <si>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</si>
  <si>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</si>
  <si>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</si>
  <si>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</si>
  <si>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</si>
  <si>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</si>
  <si>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</si>
  <si>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</si>
  <si>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</si>
  <si>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</si>
  <si>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</si>
  <si>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</si>
  <si>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</si>
  <si>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</si>
  <si>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</si>
  <si>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</si>
  <si>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</si>
  <si>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</si>
  <si>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</si>
  <si>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</si>
  <si>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</si>
  <si>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</si>
  <si>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</si>
  <si>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</si>
  <si>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</si>
  <si>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</si>
  <si>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</si>
  <si>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</si>
  <si>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</si>
  <si>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</si>
  <si>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</si>
  <si>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</si>
  <si>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</si>
  <si>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</si>
  <si>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</si>
  <si>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</si>
  <si>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</si>
  <si>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</si>
  <si>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</si>
  <si>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</si>
  <si>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</si>
  <si>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</si>
  <si>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</si>
  <si>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</si>
  <si>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</si>
  <si>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</si>
  <si>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</si>
  <si>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</si>
  <si>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</si>
  <si>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</si>
  <si>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</si>
  <si>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</si>
  <si>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</si>
  <si>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</si>
  <si>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</si>
  <si>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</si>
  <si>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</si>
  <si>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</si>
  <si>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</si>
  <si>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</si>
  <si>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</si>
  <si>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</si>
  <si>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</si>
  <si>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</si>
  <si>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</si>
  <si>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</si>
  <si>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</si>
  <si>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</si>
  <si>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</si>
  <si>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</si>
  <si>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</si>
  <si>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</si>
  <si>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</si>
  <si>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</si>
  <si>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</si>
  <si>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</si>
  <si>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</si>
  <si>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</si>
  <si>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</si>
  <si>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</si>
  <si>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</si>
  <si>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</si>
  <si>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</si>
  <si>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</si>
  <si>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</si>
  <si>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</si>
  <si>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</si>
  <si>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</si>
  <si>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</si>
  <si>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</si>
  <si>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</si>
  <si>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</si>
  <si>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</si>
  <si>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</si>
  <si>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</si>
  <si>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</si>
  <si>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</si>
  <si>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</si>
  <si>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</si>
  <si>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</si>
  <si>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</si>
  <si>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</si>
  <si>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</si>
  <si>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</si>
  <si>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</si>
  <si>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</si>
  <si>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</si>
  <si>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</si>
  <si>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</si>
  <si>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</si>
  <si>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</si>
  <si>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</si>
  <si>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</si>
  <si>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</si>
  <si>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</si>
  <si>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</si>
  <si>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</si>
  <si>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</si>
  <si>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</si>
  <si>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</si>
  <si>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</si>
  <si>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</si>
  <si>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</si>
  <si>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</si>
  <si>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</si>
  <si>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</si>
  <si>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</si>
  <si>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</si>
  <si>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</si>
  <si>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</si>
  <si>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</si>
  <si>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</si>
  <si>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</si>
  <si>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</si>
  <si>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</si>
  <si>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</si>
  <si>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</si>
  <si>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</si>
  <si>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</si>
  <si>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</si>
  <si>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</si>
  <si>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</si>
  <si>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</si>
  <si>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</si>
  <si>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</si>
  <si>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</si>
  <si>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</si>
  <si>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</si>
  <si>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</si>
  <si>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</si>
  <si>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</si>
  <si>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</si>
  <si>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</si>
  <si>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</si>
  <si>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</si>
  <si>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</si>
  <si>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</si>
  <si>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</si>
  <si>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</si>
  <si>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</si>
  <si>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</si>
  <si>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</si>
  <si>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</si>
  <si>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</si>
  <si>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</si>
  <si>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</si>
  <si>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</si>
  <si>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</si>
  <si>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</si>
  <si>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</si>
  <si>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</si>
  <si>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</si>
  <si>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</si>
  <si>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</si>
  <si>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</si>
  <si>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</si>
  <si>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</si>
  <si>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</si>
  <si>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</si>
  <si>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</si>
  <si>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</si>
  <si>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</si>
  <si>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</si>
  <si>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</si>
  <si>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</si>
  <si>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</si>
  <si>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</si>
  <si>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</si>
  <si>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</si>
  <si>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</si>
  <si>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</si>
  <si>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</si>
  <si>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</si>
  <si>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</si>
  <si>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</si>
  <si>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</si>
  <si>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</si>
  <si>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</si>
  <si>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</si>
  <si>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</si>
  <si>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</si>
  <si>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</si>
  <si>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</si>
  <si>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</si>
  <si>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</si>
  <si>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</si>
  <si>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</si>
  <si>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</si>
  <si>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</si>
  <si>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</si>
  <si>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</si>
  <si>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</si>
  <si>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</si>
  <si>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</si>
  <si>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</si>
  <si>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</si>
  <si>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</si>
  <si>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</si>
  <si>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</si>
  <si>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</si>
  <si>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</si>
  <si>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</si>
  <si>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</si>
  <si>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</si>
  <si>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</si>
  <si>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</si>
  <si>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</si>
  <si>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</si>
  <si>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</si>
  <si>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</si>
  <si>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</si>
  <si>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</si>
  <si>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</si>
  <si>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</si>
  <si>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</si>
  <si>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</si>
  <si>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</si>
  <si>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</si>
  <si>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</si>
  <si>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</si>
  <si>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</si>
  <si>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</si>
  <si>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</si>
  <si>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</si>
  <si>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</si>
  <si>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</si>
  <si>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</si>
  <si>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</si>
  <si>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</si>
  <si>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</si>
  <si>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</si>
  <si>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</si>
  <si>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</si>
  <si>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</si>
  <si>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</si>
  <si>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</si>
  <si>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</si>
  <si>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</si>
  <si>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</si>
  <si>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</si>
  <si>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</si>
  <si>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</si>
  <si>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</si>
  <si>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</si>
  <si>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</si>
  <si>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</si>
  <si>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</si>
  <si>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</si>
  <si>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</si>
  <si>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</si>
  <si>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</si>
  <si>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</si>
  <si>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</si>
  <si>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</si>
  <si>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</si>
  <si>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</si>
  <si>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</si>
  <si>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</si>
  <si>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</si>
  <si>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</si>
  <si>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</si>
  <si>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</si>
  <si>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</si>
  <si>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</si>
  <si>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</si>
  <si>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</si>
  <si>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</si>
  <si>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</si>
  <si>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</si>
  <si>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</si>
  <si>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</si>
  <si>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</si>
  <si>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</si>
  <si>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</si>
  <si>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</si>
  <si>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</si>
  <si>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</si>
  <si>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</si>
  <si>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</si>
  <si>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</si>
  <si>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</si>
  <si>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</si>
  <si>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</si>
  <si>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</si>
  <si>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</si>
  <si>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</si>
  <si>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</si>
  <si>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</si>
  <si>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</si>
  <si>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</si>
  <si>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</si>
  <si>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</si>
  <si>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</si>
  <si>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</si>
  <si>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</si>
  <si>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</si>
  <si>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</si>
  <si>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</si>
  <si>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</si>
  <si>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</si>
  <si>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</si>
  <si>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</si>
  <si>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</si>
  <si>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</si>
  <si>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</si>
  <si>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</si>
  <si>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</si>
  <si>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</si>
  <si>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</si>
  <si>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</si>
  <si>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</si>
  <si>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</si>
  <si>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</si>
  <si>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</si>
  <si>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</si>
  <si>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</si>
  <si>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</si>
  <si>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</si>
  <si>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</si>
  <si>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</si>
  <si>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</si>
  <si>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</si>
  <si>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</si>
  <si>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</si>
  <si>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</si>
  <si>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</si>
  <si>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</si>
  <si>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</si>
  <si>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</si>
  <si>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</si>
  <si>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</si>
  <si>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</si>
  <si>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</si>
  <si>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</si>
  <si>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</si>
  <si>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</si>
  <si>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</si>
  <si>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</si>
  <si>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</si>
  <si>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</si>
  <si>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</si>
  <si>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</si>
  <si>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</si>
  <si>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</si>
  <si>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</si>
  <si>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</si>
  <si>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</si>
  <si>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</si>
  <si>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</si>
  <si>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</si>
  <si>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</si>
  <si>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0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</si>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</sst>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2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 style="medium">
        <color theme="9" tint="0.399914548173467"/>
      </bottom>
      <diagonal/>
    </border>
    <border>
      <left style="medium">
        <color theme="9" tint="0.399914548173467"/>
      </left>
      <right style="medium">
        <color theme="9" tint="0.399914548173467"/>
      </right>
      <top/>
      <bottom/>
      <diagonal/>
    </border>
    <border>
      <left style="medium">
        <color theme="9" tint="0.399914548173467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medium">
        <color theme="9" tint="0.399914548173467"/>
      </left>
      <right/>
      <top/>
      <bottom style="medium">
        <color theme="9" tint="0.399914548173467"/>
      </bottom>
      <diagonal/>
    </border>
    <border>
      <left/>
      <right/>
      <top style="medium">
        <color rgb="FFFF7C80"/>
      </top>
      <bottom style="medium">
        <color theme="9" tint="0.399914548173467"/>
      </bottom>
      <diagonal/>
    </border>
    <border>
      <left/>
      <right/>
      <top/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"/>
      </top>
      <bottom style="thin">
        <color theme="0"/>
      </bottom>
      <diagonal/>
    </border>
    <border>
      <left/>
      <right/>
      <top style="medium">
        <color theme="9" tint="0.399914548173467"/>
      </top>
      <bottom style="thin">
        <color theme="0"/>
      </bottom>
      <diagonal/>
    </border>
    <border>
      <left/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medium">
        <color rgb="FFFF7C80"/>
      </top>
      <bottom style="medium">
        <color theme="9" tint="0.39991454817346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7" applyNumberFormat="0" applyFill="0" applyAlignment="0" applyProtection="0">
      <alignment vertical="center"/>
    </xf>
    <xf numFmtId="0" fontId="28" fillId="0" borderId="8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89" applyNumberFormat="0" applyAlignment="0" applyProtection="0">
      <alignment vertical="center"/>
    </xf>
    <xf numFmtId="0" fontId="30" fillId="16" borderId="90" applyNumberFormat="0" applyAlignment="0" applyProtection="0">
      <alignment vertical="center"/>
    </xf>
    <xf numFmtId="0" fontId="31" fillId="16" borderId="89" applyNumberFormat="0" applyAlignment="0" applyProtection="0">
      <alignment vertical="center"/>
    </xf>
    <xf numFmtId="0" fontId="32" fillId="17" borderId="91" applyNumberFormat="0" applyAlignment="0" applyProtection="0">
      <alignment vertical="center"/>
    </xf>
    <xf numFmtId="0" fontId="33" fillId="0" borderId="92" applyNumberFormat="0" applyFill="0" applyAlignment="0" applyProtection="0">
      <alignment vertical="center"/>
    </xf>
    <xf numFmtId="0" fontId="34" fillId="0" borderId="9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3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0" xfId="0" applyNumberFormat="1" applyBorder="1">
      <alignment vertical="center"/>
    </xf>
    <xf numFmtId="0" fontId="4" fillId="3" borderId="15" xfId="0" applyFont="1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>
      <alignment vertical="center"/>
    </xf>
    <xf numFmtId="10" fontId="4" fillId="3" borderId="15" xfId="0" applyNumberFormat="1" applyFont="1" applyFill="1" applyBorder="1">
      <alignment vertical="center"/>
    </xf>
    <xf numFmtId="10" fontId="0" fillId="0" borderId="14" xfId="0" applyNumberFormat="1" applyBorder="1">
      <alignment vertical="center"/>
    </xf>
    <xf numFmtId="10" fontId="0" fillId="0" borderId="14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4" fillId="3" borderId="17" xfId="0" applyNumberFormat="1" applyFont="1" applyFill="1" applyBorder="1">
      <alignment vertical="center"/>
    </xf>
    <xf numFmtId="10" fontId="0" fillId="0" borderId="18" xfId="0" applyNumberFormat="1" applyBorder="1">
      <alignment vertical="center"/>
    </xf>
    <xf numFmtId="10" fontId="0" fillId="0" borderId="18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58" fontId="2" fillId="2" borderId="10" xfId="0" applyNumberFormat="1" applyFont="1" applyFill="1" applyBorder="1" applyAlignment="1">
      <alignment horizontal="center" vertical="center" wrapText="1"/>
    </xf>
    <xf numFmtId="180" fontId="2" fillId="2" borderId="10" xfId="0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10" fontId="5" fillId="4" borderId="28" xfId="3" applyNumberFormat="1" applyFont="1" applyFill="1" applyBorder="1" applyAlignment="1">
      <alignment horizontal="center"/>
    </xf>
    <xf numFmtId="10" fontId="5" fillId="0" borderId="28" xfId="3" applyNumberFormat="1" applyFont="1" applyFill="1" applyBorder="1" applyAlignment="1">
      <alignment horizontal="center"/>
    </xf>
    <xf numFmtId="181" fontId="5" fillId="4" borderId="28" xfId="0" applyNumberFormat="1" applyFont="1" applyFill="1" applyBorder="1" applyAlignment="1">
      <alignment horizontal="center" vertical="center"/>
    </xf>
    <xf numFmtId="10" fontId="5" fillId="0" borderId="28" xfId="3" applyNumberFormat="1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10" fontId="2" fillId="5" borderId="34" xfId="3" applyNumberFormat="1" applyFont="1" applyFill="1" applyBorder="1" applyAlignment="1">
      <alignment horizontal="center" vertical="center" wrapText="1"/>
    </xf>
    <xf numFmtId="10" fontId="6" fillId="5" borderId="34" xfId="3" applyNumberFormat="1" applyFont="1" applyFill="1" applyBorder="1" applyAlignment="1">
      <alignment horizontal="center" vertical="center" wrapText="1"/>
    </xf>
    <xf numFmtId="10" fontId="2" fillId="2" borderId="35" xfId="3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" fillId="2" borderId="23" xfId="50" applyFont="1" applyFill="1" applyBorder="1" applyAlignment="1">
      <alignment horizontal="center" vertical="center" wrapText="1"/>
    </xf>
    <xf numFmtId="0" fontId="7" fillId="2" borderId="24" xfId="50" applyFont="1" applyFill="1" applyBorder="1" applyAlignment="1">
      <alignment horizontal="center" vertical="center" wrapText="1"/>
    </xf>
    <xf numFmtId="0" fontId="7" fillId="2" borderId="42" xfId="5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58" fontId="2" fillId="2" borderId="44" xfId="0" applyNumberFormat="1" applyFont="1" applyFill="1" applyBorder="1" applyAlignment="1">
      <alignment horizontal="center" vertical="center" wrapText="1"/>
    </xf>
    <xf numFmtId="10" fontId="5" fillId="4" borderId="28" xfId="0" applyNumberFormat="1" applyFont="1" applyFill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181" fontId="5" fillId="0" borderId="28" xfId="0" applyNumberFormat="1" applyFont="1" applyBorder="1" applyAlignment="1">
      <alignment horizontal="center" vertical="center"/>
    </xf>
    <xf numFmtId="10" fontId="2" fillId="2" borderId="33" xfId="3" applyNumberFormat="1" applyFont="1" applyFill="1" applyBorder="1" applyAlignment="1">
      <alignment horizontal="center" vertical="center" wrapText="1"/>
    </xf>
    <xf numFmtId="10" fontId="2" fillId="2" borderId="45" xfId="3" applyNumberFormat="1" applyFont="1" applyFill="1" applyBorder="1" applyAlignment="1">
      <alignment horizontal="center" vertical="center" wrapText="1"/>
    </xf>
    <xf numFmtId="10" fontId="2" fillId="5" borderId="46" xfId="3" applyNumberFormat="1" applyFont="1" applyFill="1" applyBorder="1" applyAlignment="1">
      <alignment horizontal="center" vertical="center" wrapText="1"/>
    </xf>
    <xf numFmtId="10" fontId="2" fillId="5" borderId="47" xfId="3" applyNumberFormat="1" applyFont="1" applyFill="1" applyBorder="1" applyAlignment="1">
      <alignment horizontal="center" vertical="center" wrapText="1"/>
    </xf>
    <xf numFmtId="10" fontId="2" fillId="2" borderId="34" xfId="3" applyNumberFormat="1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180" fontId="2" fillId="2" borderId="51" xfId="0" applyNumberFormat="1" applyFont="1" applyFill="1" applyBorder="1" applyAlignment="1">
      <alignment horizontal="center" vertical="center" wrapText="1"/>
    </xf>
    <xf numFmtId="58" fontId="2" fillId="2" borderId="51" xfId="0" applyNumberFormat="1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0" fontId="5" fillId="4" borderId="28" xfId="3" applyNumberFormat="1" applyFont="1" applyFill="1" applyBorder="1" applyAlignment="1">
      <alignment horizontal="center" vertical="center"/>
    </xf>
    <xf numFmtId="10" fontId="8" fillId="0" borderId="28" xfId="0" applyNumberFormat="1" applyFont="1" applyBorder="1" applyAlignment="1">
      <alignment horizontal="center" vertical="center"/>
    </xf>
    <xf numFmtId="10" fontId="2" fillId="2" borderId="53" xfId="3" applyNumberFormat="1" applyFont="1" applyFill="1" applyBorder="1" applyAlignment="1">
      <alignment horizontal="center" vertical="center" wrapText="1"/>
    </xf>
    <xf numFmtId="10" fontId="2" fillId="5" borderId="54" xfId="3" applyNumberFormat="1" applyFont="1" applyFill="1" applyBorder="1" applyAlignment="1">
      <alignment horizontal="center" vertical="center" wrapText="1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4" fillId="5" borderId="0" xfId="0" applyFont="1" applyFill="1" applyAlignment="1"/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10" fillId="3" borderId="0" xfId="0" applyFont="1" applyFill="1" applyAlignment="1">
      <alignment horizontal="center" vertical="center" wrapText="1"/>
    </xf>
    <xf numFmtId="0" fontId="11" fillId="3" borderId="16" xfId="0" applyFont="1" applyFill="1" applyBorder="1" applyAlignment="1">
      <alignment horizontal="left" vertical="top" wrapText="1"/>
    </xf>
    <xf numFmtId="0" fontId="11" fillId="3" borderId="55" xfId="0" applyFont="1" applyFill="1" applyBorder="1" applyAlignment="1">
      <alignment horizontal="left" vertical="top" wrapText="1"/>
    </xf>
    <xf numFmtId="0" fontId="11" fillId="3" borderId="56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7" fillId="2" borderId="7" xfId="5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58" fontId="1" fillId="2" borderId="10" xfId="0" applyNumberFormat="1" applyFont="1" applyFill="1" applyBorder="1" applyAlignment="1">
      <alignment horizontal="center" vertical="center" wrapText="1"/>
    </xf>
    <xf numFmtId="180" fontId="1" fillId="2" borderId="10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9" borderId="69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0" fontId="4" fillId="10" borderId="70" xfId="3" applyNumberFormat="1" applyFont="1" applyFill="1" applyBorder="1" applyAlignment="1">
      <alignment horizontal="center"/>
    </xf>
    <xf numFmtId="181" fontId="4" fillId="0" borderId="70" xfId="0" applyNumberFormat="1" applyFont="1" applyBorder="1" applyAlignment="1">
      <alignment horizontal="center" vertical="center"/>
    </xf>
    <xf numFmtId="181" fontId="4" fillId="0" borderId="71" xfId="0" applyNumberFormat="1" applyFont="1" applyBorder="1" applyAlignment="1">
      <alignment horizontal="center" vertical="center"/>
    </xf>
    <xf numFmtId="10" fontId="5" fillId="10" borderId="0" xfId="3" applyNumberFormat="1" applyFont="1" applyFill="1" applyBorder="1" applyAlignment="1">
      <alignment horizontal="center" vertical="center"/>
    </xf>
    <xf numFmtId="181" fontId="4" fillId="0" borderId="72" xfId="0" applyNumberFormat="1" applyFont="1" applyBorder="1" applyAlignment="1">
      <alignment horizontal="center" vertical="center"/>
    </xf>
    <xf numFmtId="10" fontId="4" fillId="0" borderId="70" xfId="3" applyNumberFormat="1" applyFont="1" applyFill="1" applyBorder="1" applyAlignment="1">
      <alignment horizontal="center"/>
    </xf>
    <xf numFmtId="10" fontId="4" fillId="0" borderId="71" xfId="3" applyNumberFormat="1" applyFont="1" applyFill="1" applyBorder="1" applyAlignment="1">
      <alignment horizontal="center"/>
    </xf>
    <xf numFmtId="181" fontId="5" fillId="10" borderId="0" xfId="0" applyNumberFormat="1" applyFont="1" applyFill="1" applyAlignment="1">
      <alignment horizontal="center" vertical="center"/>
    </xf>
    <xf numFmtId="10" fontId="4" fillId="0" borderId="72" xfId="3" applyNumberFormat="1" applyFont="1" applyBorder="1" applyAlignment="1">
      <alignment horizontal="center"/>
    </xf>
    <xf numFmtId="10" fontId="4" fillId="0" borderId="70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6" borderId="69" xfId="0" applyFont="1" applyFill="1" applyBorder="1">
      <alignment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0" fontId="4" fillId="6" borderId="70" xfId="3" applyNumberFormat="1" applyFont="1" applyFill="1" applyBorder="1" applyAlignment="1">
      <alignment horizontal="center"/>
    </xf>
    <xf numFmtId="181" fontId="4" fillId="6" borderId="70" xfId="0" applyNumberFormat="1" applyFont="1" applyFill="1" applyBorder="1" applyAlignment="1">
      <alignment horizontal="center" vertical="center"/>
    </xf>
    <xf numFmtId="181" fontId="4" fillId="6" borderId="71" xfId="0" applyNumberFormat="1" applyFont="1" applyFill="1" applyBorder="1" applyAlignment="1">
      <alignment horizontal="center" vertical="center"/>
    </xf>
    <xf numFmtId="181" fontId="4" fillId="6" borderId="72" xfId="0" applyNumberFormat="1" applyFont="1" applyFill="1" applyBorder="1" applyAlignment="1">
      <alignment horizontal="center" vertical="center"/>
    </xf>
    <xf numFmtId="10" fontId="5" fillId="6" borderId="0" xfId="3" applyNumberFormat="1" applyFont="1" applyFill="1" applyBorder="1" applyAlignment="1">
      <alignment horizontal="center" vertical="center"/>
    </xf>
    <xf numFmtId="181" fontId="4" fillId="6" borderId="73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Alignment="1"/>
    <xf numFmtId="0" fontId="5" fillId="6" borderId="0" xfId="0" applyFont="1" applyFill="1" applyAlignment="1">
      <alignment horizontal="left" vertical="center"/>
    </xf>
    <xf numFmtId="0" fontId="5" fillId="6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81" fontId="4" fillId="10" borderId="70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4" fillId="6" borderId="72" xfId="3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0" fontId="9" fillId="6" borderId="72" xfId="3" applyNumberFormat="1" applyFont="1" applyFill="1" applyBorder="1" applyAlignment="1">
      <alignment horizontal="center"/>
    </xf>
    <xf numFmtId="181" fontId="9" fillId="6" borderId="70" xfId="0" applyNumberFormat="1" applyFont="1" applyFill="1" applyBorder="1" applyAlignment="1">
      <alignment horizontal="center" vertical="center"/>
    </xf>
    <xf numFmtId="10" fontId="9" fillId="6" borderId="70" xfId="3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0" fontId="4" fillId="6" borderId="0" xfId="3" applyNumberFormat="1" applyFont="1" applyFill="1" applyBorder="1" applyAlignment="1">
      <alignment horizontal="center"/>
    </xf>
    <xf numFmtId="181" fontId="4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9" borderId="74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75" xfId="0" applyFont="1" applyBorder="1" applyAlignment="1">
      <alignment horizontal="left" vertical="center"/>
    </xf>
    <xf numFmtId="0" fontId="14" fillId="0" borderId="76" xfId="0" applyFont="1" applyBorder="1" applyAlignment="1">
      <alignment horizontal="left" vertical="center"/>
    </xf>
    <xf numFmtId="0" fontId="14" fillId="0" borderId="75" xfId="0" applyFont="1" applyBorder="1" applyAlignment="1">
      <alignment horizontal="left"/>
    </xf>
    <xf numFmtId="0" fontId="14" fillId="0" borderId="76" xfId="0" applyFont="1" applyBorder="1" applyAlignment="1">
      <alignment horizontal="left"/>
    </xf>
    <xf numFmtId="0" fontId="14" fillId="0" borderId="75" xfId="0" applyFont="1" applyBorder="1" applyAlignment="1"/>
    <xf numFmtId="0" fontId="14" fillId="0" borderId="76" xfId="0" applyFont="1" applyBorder="1" applyAlignment="1"/>
    <xf numFmtId="0" fontId="14" fillId="12" borderId="75" xfId="0" applyFont="1" applyFill="1" applyBorder="1" applyAlignment="1">
      <alignment horizontal="left"/>
    </xf>
    <xf numFmtId="0" fontId="14" fillId="12" borderId="76" xfId="0" applyFont="1" applyFill="1" applyBorder="1" applyAlignment="1">
      <alignment horizontal="left"/>
    </xf>
    <xf numFmtId="0" fontId="5" fillId="12" borderId="75" xfId="0" applyFont="1" applyFill="1" applyBorder="1">
      <alignment vertical="center"/>
    </xf>
    <xf numFmtId="0" fontId="5" fillId="12" borderId="76" xfId="0" applyFont="1" applyFill="1" applyBorder="1">
      <alignment vertical="center"/>
    </xf>
    <xf numFmtId="0" fontId="14" fillId="12" borderId="75" xfId="0" applyFont="1" applyFill="1" applyBorder="1" applyAlignment="1">
      <alignment horizontal="left" vertical="center"/>
    </xf>
    <xf numFmtId="0" fontId="14" fillId="12" borderId="76" xfId="0" applyFont="1" applyFill="1" applyBorder="1" applyAlignment="1">
      <alignment horizontal="left" vertical="center"/>
    </xf>
    <xf numFmtId="181" fontId="4" fillId="8" borderId="7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81" fontId="4" fillId="8" borderId="0" xfId="0" applyNumberFormat="1" applyFont="1" applyFill="1" applyAlignment="1">
      <alignment horizontal="center" vertical="center"/>
    </xf>
    <xf numFmtId="0" fontId="18" fillId="0" borderId="0" xfId="0" applyFont="1" applyAlignment="1"/>
    <xf numFmtId="0" fontId="18" fillId="0" borderId="0" xfId="49" applyFont="1"/>
    <xf numFmtId="0" fontId="8" fillId="0" borderId="0" xfId="0" applyFont="1" applyAlignment="1"/>
    <xf numFmtId="0" fontId="1" fillId="2" borderId="77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10" fontId="1" fillId="2" borderId="79" xfId="3" applyNumberFormat="1" applyFont="1" applyFill="1" applyBorder="1" applyAlignment="1">
      <alignment horizontal="center" vertical="center" wrapText="1"/>
    </xf>
    <xf numFmtId="10" fontId="1" fillId="13" borderId="79" xfId="3" applyNumberFormat="1" applyFont="1" applyFill="1" applyBorder="1" applyAlignment="1">
      <alignment horizontal="center" vertical="center" wrapText="1"/>
    </xf>
    <xf numFmtId="181" fontId="19" fillId="13" borderId="70" xfId="0" applyNumberFormat="1" applyFont="1" applyFill="1" applyBorder="1" applyAlignment="1">
      <alignment horizontal="center" vertical="center"/>
    </xf>
    <xf numFmtId="10" fontId="19" fillId="13" borderId="79" xfId="3" applyNumberFormat="1" applyFont="1" applyFill="1" applyBorder="1" applyAlignment="1">
      <alignment horizontal="center" vertical="center" wrapText="1"/>
    </xf>
    <xf numFmtId="10" fontId="6" fillId="13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 vertical="center"/>
    </xf>
    <xf numFmtId="10" fontId="9" fillId="5" borderId="0" xfId="3" applyNumberFormat="1" applyFont="1" applyFill="1" applyBorder="1" applyAlignment="1">
      <alignment horizontal="center"/>
    </xf>
    <xf numFmtId="181" fontId="9" fillId="5" borderId="0" xfId="0" applyNumberFormat="1" applyFont="1" applyFill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0" fontId="0" fillId="0" borderId="14" xfId="0" applyBorder="1" quotePrefix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88"/>
  <sheetViews>
    <sheetView tabSelected="1" topLeftCell="A1652" workbookViewId="0">
      <selection activeCell="AO1665" sqref="AO1665"/>
    </sheetView>
  </sheetViews>
  <sheetFormatPr defaultColWidth="9.78095238095238" defaultRowHeight="14.25"/>
  <cols>
    <col min="1" max="2" width="1.8952380952381" style="88" customWidth="1"/>
    <col min="3" max="4" width="23.6666666666667" style="89" customWidth="1"/>
    <col min="5" max="6" width="29.7809523809524" style="89" customWidth="1"/>
    <col min="7" max="7" width="30.3333333333333" style="89" customWidth="1"/>
    <col min="8" max="8" width="31.8952380952381" style="89" customWidth="1"/>
    <col min="9" max="9" width="30.7809523809524" style="88" customWidth="1"/>
    <col min="10" max="10" width="13.2190476190476" style="88" customWidth="1"/>
    <col min="11" max="11" width="18" style="88" customWidth="1"/>
    <col min="12" max="14" width="15.447619047619" style="88" customWidth="1"/>
    <col min="15" max="15" width="13.2190476190476" style="88" customWidth="1"/>
    <col min="16" max="16" width="18.3333333333333" style="88" customWidth="1"/>
    <col min="17" max="17" width="17.3333333333333" style="88" customWidth="1"/>
    <col min="18" max="18" width="21.3333333333333" style="88" customWidth="1"/>
    <col min="19" max="19" width="16.1047619047619" style="88" customWidth="1"/>
    <col min="20" max="20" width="13.2190476190476" style="88" customWidth="1"/>
    <col min="21" max="21" width="17.552380952381" style="88" customWidth="1"/>
    <col min="22" max="22" width="19.1047619047619" style="88" customWidth="1"/>
    <col min="23" max="24" width="16.1047619047619" style="88" customWidth="1"/>
    <col min="25" max="25" width="13.2190476190476" style="88" customWidth="1"/>
    <col min="26" max="26" width="15.3333333333333" style="88" customWidth="1"/>
    <col min="27" max="27" width="14.7809523809524" style="88" customWidth="1"/>
    <col min="28" max="28" width="14.3333333333333" style="88" customWidth="1"/>
    <col min="29" max="29" width="15" style="88" customWidth="1"/>
    <col min="30" max="30" width="13.2190476190476" style="88" customWidth="1"/>
    <col min="31" max="31" width="13.6666666666667" style="88" customWidth="1"/>
    <col min="32" max="32" width="15.1047619047619" style="88" customWidth="1"/>
    <col min="33" max="33" width="15" style="88" customWidth="1"/>
    <col min="34" max="34" width="14.447619047619" style="88" customWidth="1"/>
    <col min="35" max="35" width="13.2190476190476" style="88" customWidth="1"/>
    <col min="36" max="36" width="16.552380952381" style="88" customWidth="1"/>
    <col min="37" max="37" width="15.447619047619" style="88" customWidth="1"/>
    <col min="38" max="38" width="14.3333333333333" style="88" customWidth="1"/>
    <col min="39" max="39" width="14.447619047619" style="88" customWidth="1"/>
    <col min="40" max="40" width="13" style="88" customWidth="1"/>
    <col min="41" max="41" width="14.6666666666667" style="88" customWidth="1"/>
    <col min="42" max="44" width="16.1047619047619" style="88" customWidth="1"/>
    <col min="45" max="45" width="13.2190476190476" style="88" customWidth="1"/>
    <col min="46" max="46" width="14.2190476190476" style="88" customWidth="1"/>
    <col min="47" max="47" width="15.1047619047619" style="88" customWidth="1"/>
    <col min="48" max="48" width="15.7809523809524" style="88" customWidth="1"/>
    <col min="49" max="49" width="16.1047619047619" style="88" customWidth="1"/>
    <col min="50" max="50" width="10" style="88" customWidth="1"/>
    <col min="51" max="51" width="2.33333333333333" style="90" customWidth="1"/>
    <col min="52" max="53" width="13.7809523809524" style="88" customWidth="1"/>
    <col min="54" max="54" width="15" style="88" customWidth="1"/>
    <col min="55" max="16384" width="9.78095238095238" style="88"/>
  </cols>
  <sheetData>
    <row r="1" ht="12" customHeight="1" spans="1:60">
      <c r="A1" s="91"/>
      <c r="B1" s="92" t="str">
        <f>"网管-雅加达网点质量达成 "&amp;TEXT(BA2,"YYYY-MM-DD")&amp;"
"&amp;"NM - Pencapaian Kualitas DropPoint Jakarta "&amp;TEXT(BA2,"YYYY-MM-DD")</f>
        <v>网管-雅加达网点质量达成 2026-08-18
NM - Pencapaian Kualitas DropPoint Jakarta 2026-08-18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BA1" s="88" t="s">
        <v>0</v>
      </c>
    </row>
    <row r="2" ht="61.5" customHeight="1" spans="1:60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3"/>
      <c r="BA2" s="94">
        <f>'06.30, 07.30, &amp; 12.00'!F4</f>
        <v>46252</v>
      </c>
      <c r="BB2" s="94">
        <f>EOMONTH(BA2,-1)+1</f>
        <v>46235</v>
      </c>
      <c r="BC2" s="88" t="s">
        <v>1</v>
      </c>
      <c r="BF2" s="88" t="e">
        <f>COUNTIFS('[1]Raw Abnsensi (2)'!P:P,I:I,'[1]Raw Abnsensi (2)'!Q:Q,1,'[1]Raw Abnsensi (2)'!O:O,"&lt;="&amp;#REF!)</f>
        <v>#VALUE!</v>
      </c>
      <c r="BG2" s="88" t="e">
        <f>COUNTIFS('[1]Raw Abnsensi (2)'!P:P,I:I,'[1]Raw Abnsensi (2)'!Q:Q,1)</f>
        <v>#VALUE!</v>
      </c>
      <c r="BH2" s="88" t="e">
        <f>BF2/BG2</f>
        <v>#VALUE!</v>
      </c>
    </row>
    <row r="3" ht="36" customHeight="1" spans="1:60">
      <c r="A3" s="91"/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5"/>
      <c r="AY3" s="93"/>
      <c r="BA3" s="94">
        <f>BA2-2</f>
        <v>46250</v>
      </c>
      <c r="BB3" s="94">
        <f>EOMONTH(BA3,-1)+1</f>
        <v>46235</v>
      </c>
      <c r="BC3" s="88" t="s">
        <v>2</v>
      </c>
    </row>
    <row r="4" ht="249" hidden="1" customHeight="1" spans="1:60">
      <c r="A4" s="91"/>
      <c r="B4" s="95"/>
      <c r="C4" s="97" t="s">
        <v>3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  <c r="T4" s="98"/>
      <c r="U4" s="98" t="s">
        <v>4</v>
      </c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95"/>
      <c r="AY4" s="93"/>
    </row>
    <row r="5" ht="9" customHeight="1" spans="1:60">
      <c r="A5" s="91"/>
      <c r="B5" s="95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5"/>
      <c r="AY5" s="93"/>
    </row>
    <row r="6" ht="57" customHeight="1" spans="1:60">
      <c r="A6" s="91"/>
      <c r="B6" s="95"/>
      <c r="C6" s="100" t="s">
        <v>5</v>
      </c>
      <c r="D6" s="11" t="s">
        <v>6</v>
      </c>
      <c r="E6" s="8" t="s">
        <v>7</v>
      </c>
      <c r="F6" s="100" t="s">
        <v>8</v>
      </c>
      <c r="G6" s="101" t="s">
        <v>9</v>
      </c>
      <c r="H6" s="102"/>
      <c r="I6" s="103" t="s">
        <v>7</v>
      </c>
      <c r="J6" s="104" t="s">
        <v>10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5"/>
      <c r="V6" s="105"/>
      <c r="W6" s="104"/>
      <c r="X6" s="106"/>
      <c r="Y6" s="107" t="s">
        <v>11</v>
      </c>
      <c r="Z6" s="107"/>
      <c r="AA6" s="107"/>
      <c r="AB6" s="107"/>
      <c r="AC6" s="108"/>
      <c r="AD6" s="109" t="s">
        <v>12</v>
      </c>
      <c r="AE6" s="104"/>
      <c r="AF6" s="104"/>
      <c r="AG6" s="104"/>
      <c r="AH6" s="104"/>
      <c r="AI6" s="104"/>
      <c r="AJ6" s="104"/>
      <c r="AK6" s="104"/>
      <c r="AL6" s="104"/>
      <c r="AM6" s="106"/>
      <c r="AN6" s="110"/>
      <c r="AO6" s="110"/>
      <c r="AP6" s="110"/>
      <c r="AQ6" s="110"/>
      <c r="AR6" s="110"/>
      <c r="AS6" s="110"/>
      <c r="AT6" s="110"/>
      <c r="AU6" s="110"/>
      <c r="AV6" s="110"/>
      <c r="AW6" s="111"/>
      <c r="AX6" s="95"/>
      <c r="AY6" s="93"/>
    </row>
    <row r="7" ht="54.45" customHeight="1" spans="1:60">
      <c r="A7" s="91"/>
      <c r="B7" s="95"/>
      <c r="C7" s="9"/>
      <c r="D7" s="112"/>
      <c r="E7" s="8"/>
      <c r="F7" s="9"/>
      <c r="G7" s="10"/>
      <c r="H7" s="104"/>
      <c r="I7" s="113"/>
      <c r="J7" s="114" t="s">
        <v>13</v>
      </c>
      <c r="K7" s="110"/>
      <c r="L7" s="110"/>
      <c r="M7" s="110"/>
      <c r="N7" s="111"/>
      <c r="O7" s="114" t="s">
        <v>14</v>
      </c>
      <c r="P7" s="110"/>
      <c r="Q7" s="110"/>
      <c r="R7" s="110"/>
      <c r="S7" s="111"/>
      <c r="T7" s="115" t="s">
        <v>15</v>
      </c>
      <c r="U7" s="116"/>
      <c r="V7" s="116"/>
      <c r="W7" s="116"/>
      <c r="X7" s="117"/>
      <c r="Y7" s="118" t="s">
        <v>16</v>
      </c>
      <c r="Z7" s="118"/>
      <c r="AA7" s="118"/>
      <c r="AB7" s="118"/>
      <c r="AC7" s="118"/>
      <c r="AD7" s="119" t="s">
        <v>17</v>
      </c>
      <c r="AE7" s="119"/>
      <c r="AF7" s="119"/>
      <c r="AG7" s="119"/>
      <c r="AH7" s="119"/>
      <c r="AI7" s="119" t="s">
        <v>18</v>
      </c>
      <c r="AJ7" s="119"/>
      <c r="AK7" s="119"/>
      <c r="AL7" s="119"/>
      <c r="AM7" s="119"/>
      <c r="AN7" s="110" t="s">
        <v>19</v>
      </c>
      <c r="AO7" s="110"/>
      <c r="AP7" s="110"/>
      <c r="AQ7" s="110"/>
      <c r="AR7" s="111"/>
      <c r="AS7" s="114" t="s">
        <v>20</v>
      </c>
      <c r="AT7" s="110"/>
      <c r="AU7" s="110"/>
      <c r="AV7" s="110"/>
      <c r="AW7" s="111"/>
      <c r="AX7" s="95"/>
      <c r="AY7" s="93"/>
      <c r="BA7" s="120">
        <f>BA2-1</f>
        <v>46251</v>
      </c>
    </row>
    <row r="8" ht="56.25" customHeight="1" spans="1:60">
      <c r="A8" s="91"/>
      <c r="B8" s="95"/>
      <c r="C8" s="121"/>
      <c r="D8" s="112"/>
      <c r="E8" s="11"/>
      <c r="F8" s="121"/>
      <c r="G8" s="122"/>
      <c r="H8" s="123"/>
      <c r="I8" s="124"/>
      <c r="J8" s="100" t="s">
        <v>21</v>
      </c>
      <c r="K8" s="125">
        <f>$BA$2</f>
        <v>46252</v>
      </c>
      <c r="L8" s="126">
        <f>BA7</f>
        <v>46251</v>
      </c>
      <c r="M8" s="126">
        <f>BA3</f>
        <v>46250</v>
      </c>
      <c r="N8" s="100" t="s">
        <v>22</v>
      </c>
      <c r="O8" s="100" t="s">
        <v>21</v>
      </c>
      <c r="P8" s="125">
        <f>$BA$2</f>
        <v>46252</v>
      </c>
      <c r="Q8" s="126">
        <f>BA7</f>
        <v>46251</v>
      </c>
      <c r="R8" s="126">
        <f>BA3</f>
        <v>46250</v>
      </c>
      <c r="S8" s="100" t="s">
        <v>22</v>
      </c>
      <c r="T8" s="100" t="s">
        <v>21</v>
      </c>
      <c r="U8" s="125">
        <f>$BA$2</f>
        <v>46252</v>
      </c>
      <c r="V8" s="126">
        <f>BA7</f>
        <v>46251</v>
      </c>
      <c r="W8" s="126">
        <f>BA3</f>
        <v>46250</v>
      </c>
      <c r="X8" s="100" t="s">
        <v>22</v>
      </c>
      <c r="Y8" s="100" t="s">
        <v>21</v>
      </c>
      <c r="Z8" s="125">
        <f>$BA$2</f>
        <v>46252</v>
      </c>
      <c r="AA8" s="126">
        <f>BA7</f>
        <v>46251</v>
      </c>
      <c r="AB8" s="126">
        <f>BA3</f>
        <v>46250</v>
      </c>
      <c r="AC8" s="100" t="s">
        <v>22</v>
      </c>
      <c r="AD8" s="100" t="s">
        <v>21</v>
      </c>
      <c r="AE8" s="125">
        <f>$BA$2</f>
        <v>46252</v>
      </c>
      <c r="AF8" s="126">
        <f>BA7</f>
        <v>46251</v>
      </c>
      <c r="AG8" s="126">
        <f>BA3</f>
        <v>46250</v>
      </c>
      <c r="AH8" s="100" t="s">
        <v>22</v>
      </c>
      <c r="AI8" s="100" t="s">
        <v>21</v>
      </c>
      <c r="AJ8" s="125">
        <f>$BA$2</f>
        <v>46252</v>
      </c>
      <c r="AK8" s="126">
        <f>BA7</f>
        <v>46251</v>
      </c>
      <c r="AL8" s="126">
        <f>BA3</f>
        <v>46250</v>
      </c>
      <c r="AM8" s="100" t="s">
        <v>22</v>
      </c>
      <c r="AN8" s="127" t="s">
        <v>21</v>
      </c>
      <c r="AO8" s="125">
        <f>$BA$2</f>
        <v>46252</v>
      </c>
      <c r="AP8" s="126">
        <f>BA7</f>
        <v>46251</v>
      </c>
      <c r="AQ8" s="126">
        <f>BA3</f>
        <v>46250</v>
      </c>
      <c r="AR8" s="100" t="s">
        <v>22</v>
      </c>
      <c r="AS8" s="100" t="s">
        <v>23</v>
      </c>
      <c r="AT8" s="125">
        <f>$BA$2</f>
        <v>46252</v>
      </c>
      <c r="AU8" s="126">
        <f>BA7</f>
        <v>46251</v>
      </c>
      <c r="AV8" s="126">
        <f>BA3</f>
        <v>46250</v>
      </c>
      <c r="AW8" s="100" t="s">
        <v>22</v>
      </c>
      <c r="AX8" s="95"/>
      <c r="AY8" s="93"/>
    </row>
    <row r="9" ht="15" spans="1:60">
      <c r="A9" s="91"/>
      <c r="B9" s="95"/>
      <c r="C9" s="128" t="s">
        <v>24</v>
      </c>
      <c r="D9" s="129" t="s">
        <v>25</v>
      </c>
      <c r="E9" s="130" t="s">
        <v>26</v>
      </c>
      <c r="F9" s="131" t="s">
        <v>27</v>
      </c>
      <c r="G9" s="131" t="s">
        <v>27</v>
      </c>
      <c r="H9" s="131" t="s">
        <v>27</v>
      </c>
      <c r="I9" s="131" t="s">
        <v>27</v>
      </c>
      <c r="J9" s="132">
        <v>0.9</v>
      </c>
      <c r="K9" s="133">
        <v>0.892307692307692</v>
      </c>
      <c r="L9" s="133">
        <v>0.88135593220339</v>
      </c>
      <c r="M9" s="134">
        <v>0.825</v>
      </c>
      <c r="N9" s="134">
        <v>0.875112309074573</v>
      </c>
      <c r="O9" s="135">
        <v>0.9</v>
      </c>
      <c r="P9" s="136">
        <v>0.954126402310341</v>
      </c>
      <c r="Q9" s="133">
        <v>0.992591148372002</v>
      </c>
      <c r="R9" s="133">
        <v>0.976310389852639</v>
      </c>
      <c r="S9" s="133">
        <v>0.931376719126613</v>
      </c>
      <c r="T9" s="135">
        <v>0.9</v>
      </c>
      <c r="U9" s="133">
        <v>0.746862157058758</v>
      </c>
      <c r="V9" s="133">
        <v>0.722558003509456</v>
      </c>
      <c r="W9" s="133">
        <v>0.571721693713859</v>
      </c>
      <c r="X9" s="133">
        <v>0.652945161239504</v>
      </c>
      <c r="Y9" s="135">
        <v>0.92</v>
      </c>
      <c r="Z9" s="135">
        <v>0.910262849489369</v>
      </c>
      <c r="AA9" s="135">
        <v>0.913746630727763</v>
      </c>
      <c r="AB9" s="135">
        <v>0.873322809786898</v>
      </c>
      <c r="AC9" s="135">
        <v>0.92706989352413</v>
      </c>
      <c r="AD9" s="135">
        <v>0.92</v>
      </c>
      <c r="AE9" s="133">
        <v>0.994382794044938</v>
      </c>
      <c r="AF9" s="133">
        <v>0.986080143688839</v>
      </c>
      <c r="AG9" s="133">
        <v>0.995292109465338</v>
      </c>
      <c r="AH9" s="133">
        <v>0.983544579101274</v>
      </c>
      <c r="AI9" s="135">
        <v>0.92</v>
      </c>
      <c r="AJ9" s="133">
        <v>0.935038055815196</v>
      </c>
      <c r="AK9" s="133">
        <v>0.936378466557912</v>
      </c>
      <c r="AL9" s="133">
        <v>0.875379939209726</v>
      </c>
      <c r="AM9" s="133">
        <v>0.944827789283576</v>
      </c>
      <c r="AN9" s="132">
        <v>0.99</v>
      </c>
      <c r="AO9" s="137">
        <v>1</v>
      </c>
      <c r="AP9" s="137">
        <v>1</v>
      </c>
      <c r="AQ9" s="137">
        <v>1</v>
      </c>
      <c r="AR9" s="138">
        <v>1</v>
      </c>
      <c r="AS9" s="139">
        <v>0.0872182100128262</v>
      </c>
      <c r="AT9" s="140">
        <v>0.08</v>
      </c>
      <c r="AU9" s="141">
        <v>0.125</v>
      </c>
      <c r="AV9" s="141">
        <v>0.0256410256410256</v>
      </c>
      <c r="AW9" s="141">
        <v>0.0668647845468053</v>
      </c>
      <c r="AX9" s="95"/>
      <c r="AY9" s="93"/>
    </row>
    <row r="10" ht="15" spans="1:60">
      <c r="A10" s="91"/>
      <c r="B10" s="95"/>
      <c r="C10" s="128" t="s">
        <v>24</v>
      </c>
      <c r="D10" s="129" t="s">
        <v>25</v>
      </c>
      <c r="E10" s="130" t="s">
        <v>26</v>
      </c>
      <c r="F10" s="131" t="s">
        <v>28</v>
      </c>
      <c r="G10" s="131" t="s">
        <v>28</v>
      </c>
      <c r="H10" s="131" t="s">
        <v>28</v>
      </c>
      <c r="I10" s="131" t="s">
        <v>28</v>
      </c>
      <c r="J10" s="132">
        <v>0.9</v>
      </c>
      <c r="K10" s="133">
        <v>0.902654867256637</v>
      </c>
      <c r="L10" s="133">
        <v>0.865546218487395</v>
      </c>
      <c r="M10" s="134">
        <v>0.814814814814815</v>
      </c>
      <c r="N10" s="133">
        <v>0.83060635226179</v>
      </c>
      <c r="O10" s="135">
        <v>0.9</v>
      </c>
      <c r="P10" s="133">
        <v>0.989476092427362</v>
      </c>
      <c r="Q10" s="133">
        <v>0.980457954994078</v>
      </c>
      <c r="R10" s="133">
        <v>0.99055967633176</v>
      </c>
      <c r="S10" s="133">
        <v>0.983237668219212</v>
      </c>
      <c r="T10" s="135">
        <v>0.9</v>
      </c>
      <c r="U10" s="133">
        <v>0.820407229466941</v>
      </c>
      <c r="V10" s="133">
        <v>0.806948282668772</v>
      </c>
      <c r="W10" s="133">
        <v>0.694200944032367</v>
      </c>
      <c r="X10" s="133">
        <v>0.763433379072209</v>
      </c>
      <c r="Y10" s="135">
        <v>0.92</v>
      </c>
      <c r="Z10" s="135">
        <v>0.925316262764822</v>
      </c>
      <c r="AA10" s="135">
        <v>0.943242139648836</v>
      </c>
      <c r="AB10" s="135">
        <v>0.830744849445325</v>
      </c>
      <c r="AC10" s="135">
        <v>0.946186742694227</v>
      </c>
      <c r="AD10" s="135">
        <v>0.92</v>
      </c>
      <c r="AE10" s="133">
        <v>0.993652455583549</v>
      </c>
      <c r="AF10" s="133">
        <v>0.936685128116717</v>
      </c>
      <c r="AG10" s="133">
        <v>0.990506329113924</v>
      </c>
      <c r="AH10" s="133">
        <v>0.96872916137182</v>
      </c>
      <c r="AI10" s="135">
        <v>0.92</v>
      </c>
      <c r="AJ10" s="133">
        <v>0.942778757593572</v>
      </c>
      <c r="AK10" s="133">
        <v>0.956504389465283</v>
      </c>
      <c r="AL10" s="133">
        <v>0.843430456294667</v>
      </c>
      <c r="AM10" s="133">
        <v>0.956296134459027</v>
      </c>
      <c r="AN10" s="132">
        <v>0.99</v>
      </c>
      <c r="AO10" s="137">
        <v>1</v>
      </c>
      <c r="AP10" s="137">
        <v>1</v>
      </c>
      <c r="AQ10" s="137">
        <v>1</v>
      </c>
      <c r="AR10" s="138">
        <v>1</v>
      </c>
      <c r="AS10" s="139">
        <v>0.0872182100128262</v>
      </c>
      <c r="AT10" s="140">
        <v>0.0517241379310345</v>
      </c>
      <c r="AU10" s="141">
        <v>0</v>
      </c>
      <c r="AV10" s="141">
        <v>0.104166666666667</v>
      </c>
      <c r="AW10" s="141">
        <v>0.0723742277140335</v>
      </c>
      <c r="AX10" s="95"/>
      <c r="AY10" s="93"/>
    </row>
    <row r="11" ht="15" spans="1:60">
      <c r="A11" s="91"/>
      <c r="B11" s="95"/>
      <c r="C11" s="128" t="s">
        <v>24</v>
      </c>
      <c r="D11" s="129" t="s">
        <v>25</v>
      </c>
      <c r="E11" s="130" t="s">
        <v>26</v>
      </c>
      <c r="F11" s="131" t="s">
        <v>29</v>
      </c>
      <c r="G11" s="131" t="s">
        <v>29</v>
      </c>
      <c r="H11" s="131" t="s">
        <v>29</v>
      </c>
      <c r="I11" s="131" t="s">
        <v>29</v>
      </c>
      <c r="J11" s="132">
        <v>0.9</v>
      </c>
      <c r="K11" s="133">
        <v>0.866666666666667</v>
      </c>
      <c r="L11" s="133">
        <v>0.896551724137931</v>
      </c>
      <c r="M11" s="134">
        <v>1</v>
      </c>
      <c r="N11" s="133">
        <v>0.952879581151832</v>
      </c>
      <c r="O11" s="135">
        <v>0.9</v>
      </c>
      <c r="P11" s="133">
        <v>0.993593850096092</v>
      </c>
      <c r="Q11" s="133">
        <v>0.990338164251208</v>
      </c>
      <c r="R11" s="133">
        <v>0.947085889570552</v>
      </c>
      <c r="S11" s="133">
        <v>0.984072392146387</v>
      </c>
      <c r="T11" s="135">
        <v>0.9</v>
      </c>
      <c r="U11" s="133">
        <v>0.891736066623959</v>
      </c>
      <c r="V11" s="133">
        <v>0.898550724637681</v>
      </c>
      <c r="W11" s="133">
        <v>0.881134969325153</v>
      </c>
      <c r="X11" s="133">
        <v>0.896320288500067</v>
      </c>
      <c r="Y11" s="135">
        <v>0.92</v>
      </c>
      <c r="Z11" s="135">
        <v>0.945400149588631</v>
      </c>
      <c r="AA11" s="135">
        <v>0.977570093457944</v>
      </c>
      <c r="AB11" s="135">
        <v>0.920353982300885</v>
      </c>
      <c r="AC11" s="135">
        <v>0.962116263879817</v>
      </c>
      <c r="AD11" s="135">
        <v>0.92</v>
      </c>
      <c r="AE11" s="133">
        <v>0.999046424090339</v>
      </c>
      <c r="AF11" s="133">
        <v>0.717989385713414</v>
      </c>
      <c r="AG11" s="133">
        <v>0.933281209278082</v>
      </c>
      <c r="AH11" s="133">
        <v>0.864981570184654</v>
      </c>
      <c r="AI11" s="135">
        <v>0.92</v>
      </c>
      <c r="AJ11" s="133">
        <v>0.948222298929927</v>
      </c>
      <c r="AK11" s="133">
        <v>0.969596199524941</v>
      </c>
      <c r="AL11" s="133">
        <v>0.951588502269289</v>
      </c>
      <c r="AM11" s="133">
        <v>0.971398198848707</v>
      </c>
      <c r="AN11" s="132">
        <v>0.99</v>
      </c>
      <c r="AO11" s="137">
        <v>1</v>
      </c>
      <c r="AP11" s="137">
        <v>1</v>
      </c>
      <c r="AQ11" s="137">
        <v>1</v>
      </c>
      <c r="AR11" s="137">
        <v>1</v>
      </c>
      <c r="AS11" s="139">
        <v>0.0872182100128262</v>
      </c>
      <c r="AT11" s="141">
        <v>0.2</v>
      </c>
      <c r="AU11" s="141">
        <v>0.2</v>
      </c>
      <c r="AV11" s="141">
        <v>0</v>
      </c>
      <c r="AW11" s="141">
        <v>0.0730337078651685</v>
      </c>
      <c r="AX11" s="95"/>
      <c r="AY11" s="93"/>
    </row>
    <row r="12" ht="15" spans="1:60">
      <c r="A12" s="91"/>
      <c r="B12" s="95"/>
      <c r="C12" s="128" t="s">
        <v>24</v>
      </c>
      <c r="D12" s="129" t="s">
        <v>25</v>
      </c>
      <c r="E12" s="130" t="s">
        <v>26</v>
      </c>
      <c r="F12" s="131" t="s">
        <v>30</v>
      </c>
      <c r="G12" s="131" t="s">
        <v>30</v>
      </c>
      <c r="H12" s="131" t="s">
        <v>30</v>
      </c>
      <c r="I12" s="131" t="s">
        <v>30</v>
      </c>
      <c r="J12" s="132">
        <v>0.9</v>
      </c>
      <c r="K12" s="133">
        <v>0.945945945945946</v>
      </c>
      <c r="L12" s="133">
        <v>0.93859649122807</v>
      </c>
      <c r="M12" s="134">
        <v>0.89010989010989</v>
      </c>
      <c r="N12" s="133">
        <v>0.913952357802625</v>
      </c>
      <c r="O12" s="135">
        <v>0.9</v>
      </c>
      <c r="P12" s="133">
        <v>0.913700633837153</v>
      </c>
      <c r="Q12" s="133">
        <v>0.834581639203937</v>
      </c>
      <c r="R12" s="133">
        <v>0.888478007006617</v>
      </c>
      <c r="S12" s="133">
        <v>0.89934874612694</v>
      </c>
      <c r="T12" s="135">
        <v>0.9</v>
      </c>
      <c r="U12" s="133">
        <v>0.810092637737689</v>
      </c>
      <c r="V12" s="133">
        <v>0.831585705114487</v>
      </c>
      <c r="W12" s="133">
        <v>0.686259244842351</v>
      </c>
      <c r="X12" s="133">
        <v>0.773639356089642</v>
      </c>
      <c r="Y12" s="135">
        <v>0.92</v>
      </c>
      <c r="Z12" s="135">
        <v>0.942766950315674</v>
      </c>
      <c r="AA12" s="135">
        <v>0.965024630541872</v>
      </c>
      <c r="AB12" s="135">
        <v>0.90495867768595</v>
      </c>
      <c r="AC12" s="135">
        <v>0.965110801622087</v>
      </c>
      <c r="AD12" s="135">
        <v>0.92</v>
      </c>
      <c r="AE12" s="133">
        <v>0.952479338842975</v>
      </c>
      <c r="AF12" s="133">
        <v>0.918533604887984</v>
      </c>
      <c r="AG12" s="133">
        <v>0.367741935483871</v>
      </c>
      <c r="AH12" s="133">
        <v>0.852292020373514</v>
      </c>
      <c r="AI12" s="135">
        <v>0.92</v>
      </c>
      <c r="AJ12" s="133">
        <v>0.952294880898586</v>
      </c>
      <c r="AK12" s="133">
        <v>0.973892287035656</v>
      </c>
      <c r="AL12" s="133">
        <v>0.938135593220339</v>
      </c>
      <c r="AM12" s="133">
        <v>0.971549215587045</v>
      </c>
      <c r="AN12" s="132">
        <v>0.99</v>
      </c>
      <c r="AO12" s="137">
        <v>1</v>
      </c>
      <c r="AP12" s="137">
        <v>1</v>
      </c>
      <c r="AQ12" s="137">
        <v>1</v>
      </c>
      <c r="AR12" s="137">
        <v>1</v>
      </c>
      <c r="AS12" s="139">
        <v>0.0872182100128262</v>
      </c>
      <c r="AT12" s="141">
        <v>0.0930232558139535</v>
      </c>
      <c r="AU12" s="141">
        <v>0.176470588235294</v>
      </c>
      <c r="AV12" s="141">
        <v>0.117647058823529</v>
      </c>
      <c r="AW12" s="141">
        <v>0.0776914539400666</v>
      </c>
      <c r="AX12" s="95"/>
      <c r="AY12" s="93"/>
    </row>
    <row r="13" ht="15" spans="1:60">
      <c r="A13" s="91"/>
      <c r="B13" s="95"/>
      <c r="C13" s="128" t="s">
        <v>24</v>
      </c>
      <c r="D13" s="129" t="s">
        <v>25</v>
      </c>
      <c r="E13" s="130" t="s">
        <v>26</v>
      </c>
      <c r="F13" s="131" t="s">
        <v>31</v>
      </c>
      <c r="G13" s="131" t="s">
        <v>31</v>
      </c>
      <c r="H13" s="131" t="s">
        <v>31</v>
      </c>
      <c r="I13" s="131" t="s">
        <v>31</v>
      </c>
      <c r="J13" s="132">
        <v>0.9</v>
      </c>
      <c r="K13" s="133">
        <v>0.87719298245614</v>
      </c>
      <c r="L13" s="133">
        <v>0.857142857142857</v>
      </c>
      <c r="M13" s="134">
        <v>0.463414634146341</v>
      </c>
      <c r="N13" s="133">
        <v>0.826583592938733</v>
      </c>
      <c r="O13" s="135">
        <v>0.9</v>
      </c>
      <c r="P13" s="133">
        <v>0.93112283345893</v>
      </c>
      <c r="Q13" s="133">
        <v>0.863127131027764</v>
      </c>
      <c r="R13" s="133">
        <v>0.753318077803204</v>
      </c>
      <c r="S13" s="133">
        <v>0.887714915082915</v>
      </c>
      <c r="T13" s="135">
        <v>0.9</v>
      </c>
      <c r="U13" s="133">
        <v>0.952223059532781</v>
      </c>
      <c r="V13" s="133">
        <v>0.953482708231856</v>
      </c>
      <c r="W13" s="133">
        <v>0.816933638443936</v>
      </c>
      <c r="X13" s="133">
        <v>0.90479369105629</v>
      </c>
      <c r="Y13" s="135">
        <v>0.92</v>
      </c>
      <c r="Z13" s="135">
        <v>0.950348236351382</v>
      </c>
      <c r="AA13" s="135">
        <v>0.966083150984683</v>
      </c>
      <c r="AB13" s="135">
        <v>0.887214611872146</v>
      </c>
      <c r="AC13" s="135">
        <v>0.94252273986894</v>
      </c>
      <c r="AD13" s="135">
        <v>0.92</v>
      </c>
      <c r="AE13" s="133">
        <v>0.987775402063772</v>
      </c>
      <c r="AF13" s="133">
        <v>0.984013190034196</v>
      </c>
      <c r="AG13" s="133">
        <v>0.992066010790225</v>
      </c>
      <c r="AH13" s="133">
        <v>0.971649932416122</v>
      </c>
      <c r="AI13" s="135">
        <v>0.92</v>
      </c>
      <c r="AJ13" s="133">
        <v>0.966363062494364</v>
      </c>
      <c r="AK13" s="133">
        <v>0.974557708508846</v>
      </c>
      <c r="AL13" s="133">
        <v>0.877019201462969</v>
      </c>
      <c r="AM13" s="133">
        <v>0.961525738721454</v>
      </c>
      <c r="AN13" s="132">
        <v>0.99</v>
      </c>
      <c r="AO13" s="137">
        <v>1</v>
      </c>
      <c r="AP13" s="137">
        <v>1</v>
      </c>
      <c r="AQ13" s="137">
        <v>1</v>
      </c>
      <c r="AR13" s="137">
        <v>1</v>
      </c>
      <c r="AS13" s="139">
        <v>0.0872182100128262</v>
      </c>
      <c r="AT13" s="141">
        <v>0.227272727272727</v>
      </c>
      <c r="AU13" s="141">
        <v>0</v>
      </c>
      <c r="AV13" s="141">
        <v>0</v>
      </c>
      <c r="AW13" s="141">
        <v>0.0683111954459203</v>
      </c>
      <c r="AX13" s="95"/>
      <c r="AY13" s="93"/>
    </row>
    <row r="14" ht="15" spans="1:60">
      <c r="A14" s="91"/>
      <c r="B14" s="95"/>
      <c r="C14" s="128" t="s">
        <v>24</v>
      </c>
      <c r="D14" s="129" t="s">
        <v>25</v>
      </c>
      <c r="E14" s="130" t="s">
        <v>26</v>
      </c>
      <c r="F14" s="131" t="s">
        <v>32</v>
      </c>
      <c r="G14" s="131" t="s">
        <v>32</v>
      </c>
      <c r="H14" s="131" t="s">
        <v>32</v>
      </c>
      <c r="I14" s="131" t="s">
        <v>32</v>
      </c>
      <c r="J14" s="132">
        <v>0.9</v>
      </c>
      <c r="K14" s="133">
        <v>0.936708860759494</v>
      </c>
      <c r="L14" s="133">
        <v>0.92</v>
      </c>
      <c r="M14" s="134">
        <v>0.857142857142857</v>
      </c>
      <c r="N14" s="133">
        <v>0.890679747722495</v>
      </c>
      <c r="O14" s="135">
        <v>0.9</v>
      </c>
      <c r="P14" s="133">
        <v>0.910017202593622</v>
      </c>
      <c r="Q14" s="133">
        <v>0.828236938668531</v>
      </c>
      <c r="R14" s="133">
        <v>0.863435276014618</v>
      </c>
      <c r="S14" s="133">
        <v>0.858596622889306</v>
      </c>
      <c r="T14" s="135">
        <v>0.9</v>
      </c>
      <c r="U14" s="133">
        <v>0.830091306073839</v>
      </c>
      <c r="V14" s="133">
        <v>0.878035995107461</v>
      </c>
      <c r="W14" s="133">
        <v>0.69936526255049</v>
      </c>
      <c r="X14" s="133">
        <v>0.782971857410882</v>
      </c>
      <c r="Y14" s="135">
        <v>0.92</v>
      </c>
      <c r="Z14" s="135">
        <v>0.967380428256954</v>
      </c>
      <c r="AA14" s="135">
        <v>0.966630785791173</v>
      </c>
      <c r="AB14" s="135">
        <v>0.764902506963788</v>
      </c>
      <c r="AC14" s="135">
        <v>0.970407795019848</v>
      </c>
      <c r="AD14" s="135">
        <v>0.92</v>
      </c>
      <c r="AE14" s="133">
        <v>0.981280543361219</v>
      </c>
      <c r="AF14" s="133">
        <v>0.740830899058747</v>
      </c>
      <c r="AG14" s="133">
        <v>0.9097605893186</v>
      </c>
      <c r="AH14" s="133">
        <v>0.914986610815337</v>
      </c>
      <c r="AI14" s="135">
        <v>0.92</v>
      </c>
      <c r="AJ14" s="133">
        <v>0.960337687161516</v>
      </c>
      <c r="AK14" s="133">
        <v>0.966631495647586</v>
      </c>
      <c r="AL14" s="133">
        <v>0.786960251644267</v>
      </c>
      <c r="AM14" s="133">
        <v>0.970973283573248</v>
      </c>
      <c r="AN14" s="132">
        <v>0.99</v>
      </c>
      <c r="AO14" s="137">
        <v>1</v>
      </c>
      <c r="AP14" s="137">
        <v>1</v>
      </c>
      <c r="AQ14" s="137">
        <v>1</v>
      </c>
      <c r="AR14" s="137">
        <v>1</v>
      </c>
      <c r="AS14" s="139">
        <v>0.0872182100128262</v>
      </c>
      <c r="AT14" s="141">
        <v>0.0714285714285714</v>
      </c>
      <c r="AU14" s="141">
        <v>0.0465116279069767</v>
      </c>
      <c r="AV14" s="141">
        <v>0.121212121212121</v>
      </c>
      <c r="AW14" s="141">
        <v>0.0620767494356659</v>
      </c>
      <c r="AX14" s="95"/>
      <c r="AY14" s="93"/>
    </row>
    <row r="15" ht="15" spans="1:60">
      <c r="A15" s="91"/>
      <c r="B15" s="95"/>
      <c r="C15" s="128" t="s">
        <v>24</v>
      </c>
      <c r="D15" s="129" t="s">
        <v>25</v>
      </c>
      <c r="E15" s="130" t="s">
        <v>26</v>
      </c>
      <c r="F15" s="142" t="s">
        <v>33</v>
      </c>
      <c r="G15" s="142" t="s">
        <v>33</v>
      </c>
      <c r="H15" s="142" t="s">
        <v>33</v>
      </c>
      <c r="I15" s="142" t="s">
        <v>33</v>
      </c>
      <c r="J15" s="132">
        <v>0.9</v>
      </c>
      <c r="K15" s="133">
        <v>0.96969696969697</v>
      </c>
      <c r="L15" s="133">
        <v>0.983870967741935</v>
      </c>
      <c r="M15" s="134">
        <v>0.981132075471698</v>
      </c>
      <c r="N15" s="133">
        <v>0.986752136752137</v>
      </c>
      <c r="O15" s="135">
        <v>0.9</v>
      </c>
      <c r="P15" s="133">
        <v>0.983013066871637</v>
      </c>
      <c r="Q15" s="133">
        <v>0.992475763275937</v>
      </c>
      <c r="R15" s="133">
        <v>0.992070958204542</v>
      </c>
      <c r="S15" s="133">
        <v>0.961398755769617</v>
      </c>
      <c r="T15" s="135">
        <v>0.9</v>
      </c>
      <c r="U15" s="133">
        <v>0.926441199077633</v>
      </c>
      <c r="V15" s="133">
        <v>0.943857618289683</v>
      </c>
      <c r="W15" s="133">
        <v>0.929982529229942</v>
      </c>
      <c r="X15" s="133">
        <v>0.918166767007827</v>
      </c>
      <c r="Y15" s="135">
        <v>0.92</v>
      </c>
      <c r="Z15" s="135">
        <v>0.947220419640926</v>
      </c>
      <c r="AA15" s="135">
        <v>0.968695652173913</v>
      </c>
      <c r="AB15" s="135">
        <v>0.955402176798513</v>
      </c>
      <c r="AC15" s="135">
        <v>0.964154773331655</v>
      </c>
      <c r="AD15" s="135">
        <v>0.92</v>
      </c>
      <c r="AE15" s="133">
        <v>0.995370331257867</v>
      </c>
      <c r="AF15" s="133">
        <v>0.995180543438943</v>
      </c>
      <c r="AG15" s="133">
        <v>0.998948210815137</v>
      </c>
      <c r="AH15" s="133">
        <v>0.996429333463347</v>
      </c>
      <c r="AI15" s="135">
        <v>0.92</v>
      </c>
      <c r="AJ15" s="133">
        <v>0.958093783686669</v>
      </c>
      <c r="AK15" s="133">
        <v>0.977224474039761</v>
      </c>
      <c r="AL15" s="133">
        <v>0.967373863433767</v>
      </c>
      <c r="AM15" s="133">
        <v>0.97670956794472</v>
      </c>
      <c r="AN15" s="132">
        <v>0.99</v>
      </c>
      <c r="AO15" s="137">
        <v>1</v>
      </c>
      <c r="AP15" s="137">
        <v>1</v>
      </c>
      <c r="AQ15" s="137">
        <v>1</v>
      </c>
      <c r="AR15" s="137">
        <v>1</v>
      </c>
      <c r="AS15" s="139">
        <v>0.0872182100128262</v>
      </c>
      <c r="AT15" s="141">
        <v>0.0186915887850467</v>
      </c>
      <c r="AU15" s="141">
        <v>0.0522875816993464</v>
      </c>
      <c r="AV15" s="141">
        <v>0.0135135135135135</v>
      </c>
      <c r="AW15" s="141">
        <v>0.0212840195394278</v>
      </c>
      <c r="AX15" s="95"/>
      <c r="AY15" s="93"/>
    </row>
    <row r="16" ht="15" spans="1:60">
      <c r="A16" s="91"/>
      <c r="B16" s="95"/>
      <c r="C16" s="128" t="s">
        <v>24</v>
      </c>
      <c r="D16" s="129" t="s">
        <v>25</v>
      </c>
      <c r="E16" s="130" t="s">
        <v>26</v>
      </c>
      <c r="F16" s="142" t="s">
        <v>34</v>
      </c>
      <c r="G16" s="142" t="s">
        <v>34</v>
      </c>
      <c r="H16" s="142" t="s">
        <v>34</v>
      </c>
      <c r="I16" s="142" t="s">
        <v>34</v>
      </c>
      <c r="J16" s="132">
        <v>0.9</v>
      </c>
      <c r="K16" s="133">
        <v>1</v>
      </c>
      <c r="L16" s="133">
        <v>1</v>
      </c>
      <c r="M16" s="134">
        <v>0.857142857142857</v>
      </c>
      <c r="N16" s="133">
        <v>0.961315280464217</v>
      </c>
      <c r="O16" s="135">
        <v>0.9</v>
      </c>
      <c r="P16" s="133">
        <v>0.998143851508121</v>
      </c>
      <c r="Q16" s="133">
        <v>0.997172478793591</v>
      </c>
      <c r="R16" s="133">
        <v>0.968375499334221</v>
      </c>
      <c r="S16" s="133">
        <v>0.985351175865072</v>
      </c>
      <c r="T16" s="135">
        <v>0.9</v>
      </c>
      <c r="U16" s="133">
        <v>0.967981438515081</v>
      </c>
      <c r="V16" s="133">
        <v>0.986804901036758</v>
      </c>
      <c r="W16" s="133">
        <v>0.960386151797603</v>
      </c>
      <c r="X16" s="133">
        <v>0.981423707340249</v>
      </c>
      <c r="Y16" s="135">
        <v>0.92</v>
      </c>
      <c r="Z16" s="135" t="s">
        <v>35</v>
      </c>
      <c r="AA16" s="135" t="s">
        <v>35</v>
      </c>
      <c r="AB16" s="135" t="s">
        <v>35</v>
      </c>
      <c r="AC16" s="135" t="s">
        <v>35</v>
      </c>
      <c r="AD16" s="135">
        <v>0.92</v>
      </c>
      <c r="AE16" s="133">
        <v>0</v>
      </c>
      <c r="AF16" s="133">
        <v>1</v>
      </c>
      <c r="AG16" s="133">
        <v>0.2</v>
      </c>
      <c r="AH16" s="133">
        <v>0.410596026490066</v>
      </c>
      <c r="AI16" s="135">
        <v>0.92</v>
      </c>
      <c r="AJ16" s="133">
        <v>0.975870069605568</v>
      </c>
      <c r="AK16" s="133">
        <v>0.995915802701854</v>
      </c>
      <c r="AL16" s="133">
        <v>0.995339547270306</v>
      </c>
      <c r="AM16" s="133">
        <v>0.993602027080529</v>
      </c>
      <c r="AN16" s="132">
        <v>0.99</v>
      </c>
      <c r="AO16" s="137">
        <v>1</v>
      </c>
      <c r="AP16" s="137">
        <v>1</v>
      </c>
      <c r="AQ16" s="137">
        <v>1</v>
      </c>
      <c r="AR16" s="137">
        <v>1</v>
      </c>
      <c r="AS16" s="139">
        <v>0.0872182100128262</v>
      </c>
      <c r="AT16" s="141">
        <v>0.4</v>
      </c>
      <c r="AU16" s="141">
        <v>0.5</v>
      </c>
      <c r="AV16" s="141">
        <v>0.285714285714286</v>
      </c>
      <c r="AW16" s="141">
        <v>0.109452736318408</v>
      </c>
      <c r="AX16" s="95"/>
      <c r="AY16" s="93"/>
    </row>
    <row r="17" ht="15" spans="1:51">
      <c r="A17" s="91"/>
      <c r="B17" s="95"/>
      <c r="C17" s="128" t="s">
        <v>24</v>
      </c>
      <c r="D17" s="129" t="s">
        <v>25</v>
      </c>
      <c r="E17" s="130" t="s">
        <v>26</v>
      </c>
      <c r="F17" s="142" t="s">
        <v>36</v>
      </c>
      <c r="G17" s="142" t="s">
        <v>36</v>
      </c>
      <c r="H17" s="142" t="s">
        <v>36</v>
      </c>
      <c r="I17" s="142" t="s">
        <v>36</v>
      </c>
      <c r="J17" s="132">
        <v>0.9</v>
      </c>
      <c r="K17" s="133">
        <v>0.865384615384615</v>
      </c>
      <c r="L17" s="133">
        <v>0.843137254901961</v>
      </c>
      <c r="M17" s="134">
        <v>0.814285714285714</v>
      </c>
      <c r="N17" s="133">
        <v>0.815376285868977</v>
      </c>
      <c r="O17" s="135">
        <v>0.9</v>
      </c>
      <c r="P17" s="133">
        <v>0.993960043363791</v>
      </c>
      <c r="Q17" s="133">
        <v>0.995616598480421</v>
      </c>
      <c r="R17" s="133">
        <v>0.98995240613432</v>
      </c>
      <c r="S17" s="133">
        <v>0.986547489328931</v>
      </c>
      <c r="T17" s="135">
        <v>0.9</v>
      </c>
      <c r="U17" s="133">
        <v>0.769862165092148</v>
      </c>
      <c r="V17" s="133">
        <v>0.741379310344828</v>
      </c>
      <c r="W17" s="133">
        <v>0.568746694870439</v>
      </c>
      <c r="X17" s="133">
        <v>0.679237090259629</v>
      </c>
      <c r="Y17" s="135">
        <v>0.92</v>
      </c>
      <c r="Z17" s="135">
        <v>0.888031550068587</v>
      </c>
      <c r="AA17" s="135">
        <v>0.895927601809955</v>
      </c>
      <c r="AB17" s="135">
        <v>0.623778501628665</v>
      </c>
      <c r="AC17" s="135">
        <v>0.842251373151756</v>
      </c>
      <c r="AD17" s="135">
        <v>0.92</v>
      </c>
      <c r="AE17" s="133">
        <v>0.997458703939009</v>
      </c>
      <c r="AF17" s="133">
        <v>0.996381182147165</v>
      </c>
      <c r="AG17" s="133">
        <v>0.999646892655367</v>
      </c>
      <c r="AH17" s="133">
        <v>0.862165033644198</v>
      </c>
      <c r="AI17" s="135">
        <v>0.92</v>
      </c>
      <c r="AJ17" s="133">
        <v>0.911250305051655</v>
      </c>
      <c r="AK17" s="133">
        <v>0.919992609016999</v>
      </c>
      <c r="AL17" s="133">
        <v>0.681342091248003</v>
      </c>
      <c r="AM17" s="133">
        <v>0.880538189725469</v>
      </c>
      <c r="AN17" s="132">
        <v>0.99</v>
      </c>
      <c r="AO17" s="137">
        <v>1</v>
      </c>
      <c r="AP17" s="137">
        <v>1</v>
      </c>
      <c r="AQ17" s="137">
        <v>1</v>
      </c>
      <c r="AR17" s="137">
        <v>1</v>
      </c>
      <c r="AS17" s="139">
        <v>0.0872182100128262</v>
      </c>
      <c r="AT17" s="141">
        <v>0.130434782608696</v>
      </c>
      <c r="AU17" s="141">
        <v>0.0816326530612245</v>
      </c>
      <c r="AV17" s="141">
        <v>0.0714285714285714</v>
      </c>
      <c r="AW17" s="141">
        <v>0.0778846153846154</v>
      </c>
      <c r="AX17" s="95"/>
      <c r="AY17" s="93"/>
    </row>
    <row r="18" ht="15" spans="1:51">
      <c r="A18" s="91"/>
      <c r="B18" s="95"/>
      <c r="C18" s="128" t="s">
        <v>24</v>
      </c>
      <c r="D18" s="129" t="s">
        <v>25</v>
      </c>
      <c r="E18" s="130" t="s">
        <v>26</v>
      </c>
      <c r="F18" s="142" t="s">
        <v>37</v>
      </c>
      <c r="G18" s="142" t="s">
        <v>37</v>
      </c>
      <c r="H18" s="142" t="s">
        <v>37</v>
      </c>
      <c r="I18" s="142" t="s">
        <v>37</v>
      </c>
      <c r="J18" s="132">
        <v>0.9</v>
      </c>
      <c r="K18" s="133">
        <v>0.984126984126984</v>
      </c>
      <c r="L18" s="133">
        <v>0.991525423728814</v>
      </c>
      <c r="M18" s="134">
        <v>0.95959595959596</v>
      </c>
      <c r="N18" s="133">
        <v>0.976427923844062</v>
      </c>
      <c r="O18" s="135">
        <v>0.9</v>
      </c>
      <c r="P18" s="133">
        <v>0.982314540059347</v>
      </c>
      <c r="Q18" s="133">
        <v>0.991111111111111</v>
      </c>
      <c r="R18" s="133">
        <v>0.991688627609974</v>
      </c>
      <c r="S18" s="133">
        <v>0.982706503548216</v>
      </c>
      <c r="T18" s="135">
        <v>0.9</v>
      </c>
      <c r="U18" s="133">
        <v>0.849495548961424</v>
      </c>
      <c r="V18" s="133">
        <v>0.859259259259259</v>
      </c>
      <c r="W18" s="133">
        <v>0.720454084735455</v>
      </c>
      <c r="X18" s="133">
        <v>0.846200749860536</v>
      </c>
      <c r="Y18" s="135">
        <v>0.92</v>
      </c>
      <c r="Z18" s="135">
        <v>0.895126548196015</v>
      </c>
      <c r="AA18" s="135">
        <v>0.918657854600915</v>
      </c>
      <c r="AB18" s="135">
        <v>0.741309255079007</v>
      </c>
      <c r="AC18" s="135">
        <v>0.920096852300242</v>
      </c>
      <c r="AD18" s="135">
        <v>0.92</v>
      </c>
      <c r="AE18" s="133">
        <v>0.938692098092643</v>
      </c>
      <c r="AF18" s="133">
        <v>0.972384937238494</v>
      </c>
      <c r="AG18" s="133">
        <v>0.753099173553719</v>
      </c>
      <c r="AH18" s="133">
        <v>0.964638964386786</v>
      </c>
      <c r="AI18" s="135">
        <v>0.92</v>
      </c>
      <c r="AJ18" s="133">
        <v>0.915094934712673</v>
      </c>
      <c r="AK18" s="133">
        <v>0.936523762047192</v>
      </c>
      <c r="AL18" s="133">
        <v>0.803523982659768</v>
      </c>
      <c r="AM18" s="133">
        <v>0.939863661680146</v>
      </c>
      <c r="AN18" s="132">
        <v>0.99</v>
      </c>
      <c r="AO18" s="137">
        <v>1</v>
      </c>
      <c r="AP18" s="137">
        <v>1</v>
      </c>
      <c r="AQ18" s="137">
        <v>1</v>
      </c>
      <c r="AR18" s="137">
        <v>1</v>
      </c>
      <c r="AS18" s="139">
        <v>0.0872182100128262</v>
      </c>
      <c r="AT18" s="141">
        <v>0.157894736842105</v>
      </c>
      <c r="AU18" s="141">
        <v>0.0625</v>
      </c>
      <c r="AV18" s="141">
        <v>0.0344827586206897</v>
      </c>
      <c r="AW18" s="141">
        <v>0.0594713656387665</v>
      </c>
      <c r="AX18" s="95"/>
      <c r="AY18" s="93"/>
    </row>
    <row r="19" ht="15" spans="1:51">
      <c r="A19" s="91"/>
      <c r="B19" s="95"/>
      <c r="C19" s="128" t="s">
        <v>24</v>
      </c>
      <c r="D19" s="129" t="s">
        <v>25</v>
      </c>
      <c r="E19" s="130" t="s">
        <v>26</v>
      </c>
      <c r="F19" s="142" t="s">
        <v>38</v>
      </c>
      <c r="G19" s="142" t="s">
        <v>38</v>
      </c>
      <c r="H19" s="142" t="s">
        <v>38</v>
      </c>
      <c r="I19" s="142" t="s">
        <v>38</v>
      </c>
      <c r="J19" s="132">
        <v>0.9</v>
      </c>
      <c r="K19" s="133">
        <v>0.85</v>
      </c>
      <c r="L19" s="133">
        <v>0.842105263157895</v>
      </c>
      <c r="M19" s="134">
        <v>0.777777777777778</v>
      </c>
      <c r="N19" s="133">
        <v>0.819277108433735</v>
      </c>
      <c r="O19" s="135">
        <v>0.9</v>
      </c>
      <c r="P19" s="133">
        <v>0.977475117862755</v>
      </c>
      <c r="Q19" s="133">
        <v>0.984834123222749</v>
      </c>
      <c r="R19" s="133">
        <v>0.444258172673931</v>
      </c>
      <c r="S19" s="133">
        <v>0.848597526473203</v>
      </c>
      <c r="T19" s="135">
        <v>0.9</v>
      </c>
      <c r="U19" s="133">
        <v>0.632268203247774</v>
      </c>
      <c r="V19" s="133">
        <v>0.755450236966825</v>
      </c>
      <c r="W19" s="133">
        <v>0.37300922045264</v>
      </c>
      <c r="X19" s="133">
        <v>0.636973567213645</v>
      </c>
      <c r="Y19" s="135">
        <v>0.92</v>
      </c>
      <c r="Z19" s="135">
        <v>0.928484107579462</v>
      </c>
      <c r="AA19" s="135">
        <v>0.898550724637681</v>
      </c>
      <c r="AB19" s="135">
        <v>0.439306358381503</v>
      </c>
      <c r="AC19" s="135">
        <v>0.809532825294647</v>
      </c>
      <c r="AD19" s="135">
        <v>0.92</v>
      </c>
      <c r="AE19" s="133">
        <v>0.983534839325485</v>
      </c>
      <c r="AF19" s="133">
        <v>0.992743105950653</v>
      </c>
      <c r="AG19" s="133">
        <v>0.999032414126754</v>
      </c>
      <c r="AH19" s="133">
        <v>0.987966531309003</v>
      </c>
      <c r="AI19" s="135">
        <v>0.92</v>
      </c>
      <c r="AJ19" s="133">
        <v>0.940496333897349</v>
      </c>
      <c r="AK19" s="133">
        <v>0.930429128738622</v>
      </c>
      <c r="AL19" s="133">
        <v>0.551401869158878</v>
      </c>
      <c r="AM19" s="133">
        <v>0.857545112717408</v>
      </c>
      <c r="AN19" s="132">
        <v>0.99</v>
      </c>
      <c r="AO19" s="137">
        <v>1</v>
      </c>
      <c r="AP19" s="137">
        <v>1</v>
      </c>
      <c r="AQ19" s="137">
        <v>1</v>
      </c>
      <c r="AR19" s="137">
        <v>1</v>
      </c>
      <c r="AS19" s="139">
        <v>0.0872182100128262</v>
      </c>
      <c r="AT19" s="141">
        <v>0</v>
      </c>
      <c r="AU19" s="141">
        <v>0.166666666666667</v>
      </c>
      <c r="AV19" s="141">
        <v>0.25</v>
      </c>
      <c r="AW19" s="141">
        <v>0.0755813953488372</v>
      </c>
      <c r="AX19" s="95"/>
      <c r="AY19" s="93"/>
    </row>
    <row r="20" ht="15" spans="1:51">
      <c r="A20" s="91"/>
      <c r="B20" s="95"/>
      <c r="C20" s="128" t="s">
        <v>24</v>
      </c>
      <c r="D20" s="129" t="s">
        <v>25</v>
      </c>
      <c r="E20" s="130" t="s">
        <v>26</v>
      </c>
      <c r="F20" s="142" t="s">
        <v>39</v>
      </c>
      <c r="G20" s="142" t="s">
        <v>39</v>
      </c>
      <c r="H20" s="142" t="s">
        <v>39</v>
      </c>
      <c r="I20" s="142" t="s">
        <v>39</v>
      </c>
      <c r="J20" s="132">
        <v>0.9</v>
      </c>
      <c r="K20" s="133">
        <v>0.937984496124031</v>
      </c>
      <c r="L20" s="133">
        <v>0.866071428571429</v>
      </c>
      <c r="M20" s="134">
        <v>0.919191919191919</v>
      </c>
      <c r="N20" s="133">
        <v>0.89593147751606</v>
      </c>
      <c r="O20" s="135">
        <v>0.9</v>
      </c>
      <c r="P20" s="133">
        <v>0.992439609072469</v>
      </c>
      <c r="Q20" s="133">
        <v>0.997225112729795</v>
      </c>
      <c r="R20" s="133">
        <v>0.998275366484622</v>
      </c>
      <c r="S20" s="133">
        <v>0.950267527675277</v>
      </c>
      <c r="T20" s="135">
        <v>0.9</v>
      </c>
      <c r="U20" s="133">
        <v>0.871104554674534</v>
      </c>
      <c r="V20" s="133">
        <v>0.817551161984044</v>
      </c>
      <c r="W20" s="133">
        <v>0.80310434032768</v>
      </c>
      <c r="X20" s="133">
        <v>0.829944649446494</v>
      </c>
      <c r="Y20" s="135">
        <v>0.92</v>
      </c>
      <c r="Z20" s="135">
        <v>0.923361413601808</v>
      </c>
      <c r="AA20" s="135">
        <v>0.922516556291391</v>
      </c>
      <c r="AB20" s="135">
        <v>0.880277617119722</v>
      </c>
      <c r="AC20" s="135">
        <v>0.933460281446668</v>
      </c>
      <c r="AD20" s="135">
        <v>0.92</v>
      </c>
      <c r="AE20" s="133">
        <v>0.995974955277281</v>
      </c>
      <c r="AF20" s="133">
        <v>0.99599679743795</v>
      </c>
      <c r="AG20" s="133">
        <v>0.991549295774648</v>
      </c>
      <c r="AH20" s="133">
        <v>0.99392481573997</v>
      </c>
      <c r="AI20" s="135">
        <v>0.92</v>
      </c>
      <c r="AJ20" s="133">
        <v>0.942474006413371</v>
      </c>
      <c r="AK20" s="133">
        <v>0.940132028226724</v>
      </c>
      <c r="AL20" s="133">
        <v>0.911149491460372</v>
      </c>
      <c r="AM20" s="133">
        <v>0.954813499501277</v>
      </c>
      <c r="AN20" s="132">
        <v>0.99</v>
      </c>
      <c r="AO20" s="137">
        <v>1</v>
      </c>
      <c r="AP20" s="137">
        <v>1</v>
      </c>
      <c r="AQ20" s="137">
        <v>1</v>
      </c>
      <c r="AR20" s="137">
        <v>1</v>
      </c>
      <c r="AS20" s="139">
        <v>0.0872182100128262</v>
      </c>
      <c r="AT20" s="141">
        <v>0.0363636363636364</v>
      </c>
      <c r="AU20" s="141">
        <v>0.03125</v>
      </c>
      <c r="AV20" s="141">
        <v>0.133333333333333</v>
      </c>
      <c r="AW20" s="141">
        <v>0.0551038843721771</v>
      </c>
      <c r="AX20" s="95"/>
      <c r="AY20" s="93"/>
    </row>
    <row r="21" ht="15" spans="1:51">
      <c r="A21" s="91"/>
      <c r="B21" s="95"/>
      <c r="C21" s="128" t="s">
        <v>24</v>
      </c>
      <c r="D21" s="129" t="s">
        <v>25</v>
      </c>
      <c r="E21" s="130" t="s">
        <v>26</v>
      </c>
      <c r="F21" s="142" t="s">
        <v>40</v>
      </c>
      <c r="G21" s="142" t="s">
        <v>40</v>
      </c>
      <c r="H21" s="142" t="s">
        <v>40</v>
      </c>
      <c r="I21" s="142" t="s">
        <v>40</v>
      </c>
      <c r="J21" s="132">
        <v>0.9</v>
      </c>
      <c r="K21" s="133">
        <v>0.9375</v>
      </c>
      <c r="L21" s="133">
        <v>0.947368421052632</v>
      </c>
      <c r="M21" s="134">
        <v>1</v>
      </c>
      <c r="N21" s="133">
        <v>0.917647058823529</v>
      </c>
      <c r="O21" s="135">
        <v>0.9</v>
      </c>
      <c r="P21" s="133">
        <v>0.995060373216246</v>
      </c>
      <c r="Q21" s="133">
        <v>0.993877551020408</v>
      </c>
      <c r="R21" s="133">
        <v>0.99372197309417</v>
      </c>
      <c r="S21" s="133">
        <v>0.982463912577989</v>
      </c>
      <c r="T21" s="135">
        <v>0.9</v>
      </c>
      <c r="U21" s="133">
        <v>0.847420417124039</v>
      </c>
      <c r="V21" s="133">
        <v>0.926530612244898</v>
      </c>
      <c r="W21" s="133">
        <v>0.539013452914798</v>
      </c>
      <c r="X21" s="133">
        <v>0.866024292095839</v>
      </c>
      <c r="Y21" s="135">
        <v>0.92</v>
      </c>
      <c r="Z21" s="135">
        <v>0.88917089678511</v>
      </c>
      <c r="AA21" s="135">
        <v>0.96309963099631</v>
      </c>
      <c r="AB21" s="135">
        <v>0.545608108108108</v>
      </c>
      <c r="AC21" s="135">
        <v>0.921304297730153</v>
      </c>
      <c r="AD21" s="135">
        <v>0.92</v>
      </c>
      <c r="AE21" s="133">
        <v>0.991563055062167</v>
      </c>
      <c r="AF21" s="133">
        <v>0.98364851414759</v>
      </c>
      <c r="AG21" s="133">
        <v>0.997262617621899</v>
      </c>
      <c r="AH21" s="133">
        <v>0.976867463996558</v>
      </c>
      <c r="AI21" s="135">
        <v>0.92</v>
      </c>
      <c r="AJ21" s="133">
        <v>0.930758988015979</v>
      </c>
      <c r="AK21" s="133">
        <v>0.973079448456993</v>
      </c>
      <c r="AL21" s="133">
        <v>0.581967213114754</v>
      </c>
      <c r="AM21" s="133">
        <v>0.941897055518094</v>
      </c>
      <c r="AN21" s="132">
        <v>0.99</v>
      </c>
      <c r="AO21" s="137">
        <v>1</v>
      </c>
      <c r="AP21" s="137">
        <v>1</v>
      </c>
      <c r="AQ21" s="137">
        <v>1</v>
      </c>
      <c r="AR21" s="137">
        <v>1</v>
      </c>
      <c r="AS21" s="139">
        <v>0.0872182100128262</v>
      </c>
      <c r="AT21" s="141">
        <v>0</v>
      </c>
      <c r="AU21" s="141">
        <v>0.0714285714285714</v>
      </c>
      <c r="AV21" s="141">
        <v>0</v>
      </c>
      <c r="AW21" s="141">
        <v>0.0547945205479452</v>
      </c>
      <c r="AX21" s="95"/>
      <c r="AY21" s="93"/>
    </row>
    <row r="22" ht="15" spans="1:51">
      <c r="A22" s="91"/>
      <c r="B22" s="95"/>
      <c r="C22" s="128" t="s">
        <v>24</v>
      </c>
      <c r="D22" s="129" t="s">
        <v>25</v>
      </c>
      <c r="E22" s="130" t="s">
        <v>26</v>
      </c>
      <c r="F22" s="142" t="s">
        <v>41</v>
      </c>
      <c r="G22" s="142" t="s">
        <v>41</v>
      </c>
      <c r="H22" s="142" t="s">
        <v>41</v>
      </c>
      <c r="I22" s="142" t="s">
        <v>41</v>
      </c>
      <c r="J22" s="132">
        <v>0.9</v>
      </c>
      <c r="K22" s="133">
        <v>0.88</v>
      </c>
      <c r="L22" s="133">
        <v>0.978260869565217</v>
      </c>
      <c r="M22" s="134">
        <v>0.875</v>
      </c>
      <c r="N22" s="133">
        <v>0.909195402298851</v>
      </c>
      <c r="O22" s="135">
        <v>0.9</v>
      </c>
      <c r="P22" s="133">
        <v>0.977154724818276</v>
      </c>
      <c r="Q22" s="133">
        <v>0.762518968133536</v>
      </c>
      <c r="R22" s="133">
        <v>0.973923590054579</v>
      </c>
      <c r="S22" s="133">
        <v>0.945938331154488</v>
      </c>
      <c r="T22" s="135">
        <v>0.9</v>
      </c>
      <c r="U22" s="133">
        <v>0.863966770508827</v>
      </c>
      <c r="V22" s="133">
        <v>0.79261507334345</v>
      </c>
      <c r="W22" s="133">
        <v>0.853547604608854</v>
      </c>
      <c r="X22" s="133">
        <v>0.791867646395889</v>
      </c>
      <c r="Y22" s="135">
        <v>0.92</v>
      </c>
      <c r="Z22" s="135">
        <v>0.939889336016097</v>
      </c>
      <c r="AA22" s="135">
        <v>0.957492029755579</v>
      </c>
      <c r="AB22" s="135">
        <v>0.970642201834862</v>
      </c>
      <c r="AC22" s="135">
        <v>0.965941443183016</v>
      </c>
      <c r="AD22" s="135">
        <v>0.92</v>
      </c>
      <c r="AE22" s="133">
        <v>0.930478332838165</v>
      </c>
      <c r="AF22" s="133">
        <v>0.902582528632383</v>
      </c>
      <c r="AG22" s="133">
        <v>0.998693408244594</v>
      </c>
      <c r="AH22" s="133">
        <v>0.977113874384693</v>
      </c>
      <c r="AI22" s="135">
        <v>0.92</v>
      </c>
      <c r="AJ22" s="133">
        <v>0.958794587945879</v>
      </c>
      <c r="AK22" s="133">
        <v>0.978562678644345</v>
      </c>
      <c r="AL22" s="133">
        <v>0.973657548125633</v>
      </c>
      <c r="AM22" s="133">
        <v>0.976995002196837</v>
      </c>
      <c r="AN22" s="132">
        <v>0.99</v>
      </c>
      <c r="AO22" s="137">
        <v>1</v>
      </c>
      <c r="AP22" s="137">
        <v>1</v>
      </c>
      <c r="AQ22" s="137">
        <v>1</v>
      </c>
      <c r="AR22" s="137">
        <v>1</v>
      </c>
      <c r="AS22" s="139">
        <v>0.0872182100128262</v>
      </c>
      <c r="AT22" s="141">
        <v>0.0555555555555556</v>
      </c>
      <c r="AU22" s="141">
        <v>0.125</v>
      </c>
      <c r="AV22" s="141">
        <v>0.136363636363636</v>
      </c>
      <c r="AW22" s="141">
        <v>0.0939947780678851</v>
      </c>
      <c r="AX22" s="95"/>
      <c r="AY22" s="93"/>
    </row>
    <row r="23" ht="15" spans="1:51">
      <c r="A23" s="91"/>
      <c r="B23" s="95"/>
      <c r="C23" s="128" t="s">
        <v>24</v>
      </c>
      <c r="D23" s="129" t="s">
        <v>25</v>
      </c>
      <c r="E23" s="130" t="s">
        <v>26</v>
      </c>
      <c r="F23" s="142" t="s">
        <v>42</v>
      </c>
      <c r="G23" s="142" t="s">
        <v>42</v>
      </c>
      <c r="H23" s="142" t="s">
        <v>42</v>
      </c>
      <c r="I23" s="142" t="s">
        <v>42</v>
      </c>
      <c r="J23" s="132">
        <v>0.9</v>
      </c>
      <c r="K23" s="133">
        <v>0.882716049382716</v>
      </c>
      <c r="L23" s="133">
        <v>0.874213836477987</v>
      </c>
      <c r="M23" s="134">
        <v>0.745614035087719</v>
      </c>
      <c r="N23" s="133">
        <v>0.82959970620639</v>
      </c>
      <c r="O23" s="135">
        <v>0.9</v>
      </c>
      <c r="P23" s="133">
        <v>0.906799279773643</v>
      </c>
      <c r="Q23" s="133">
        <v>0.788836662749706</v>
      </c>
      <c r="R23" s="133">
        <v>0.892577346965874</v>
      </c>
      <c r="S23" s="133">
        <v>0.897919733668634</v>
      </c>
      <c r="T23" s="135">
        <v>0.9</v>
      </c>
      <c r="U23" s="133">
        <v>0.735402555088742</v>
      </c>
      <c r="V23" s="133">
        <v>0.75828437132785</v>
      </c>
      <c r="W23" s="133">
        <v>0.64865223741867</v>
      </c>
      <c r="X23" s="133">
        <v>0.661814650909921</v>
      </c>
      <c r="Y23" s="135">
        <v>0.92</v>
      </c>
      <c r="Z23" s="135">
        <v>0.927653108929406</v>
      </c>
      <c r="AA23" s="135">
        <v>0.931419457735247</v>
      </c>
      <c r="AB23" s="135">
        <v>0.932314410480349</v>
      </c>
      <c r="AC23" s="135">
        <v>0.955349628684257</v>
      </c>
      <c r="AD23" s="135">
        <v>0.92</v>
      </c>
      <c r="AE23" s="133">
        <v>0.965481347167657</v>
      </c>
      <c r="AF23" s="133">
        <v>0.871043134559203</v>
      </c>
      <c r="AG23" s="133">
        <v>0.531295376385174</v>
      </c>
      <c r="AH23" s="133">
        <v>0.783477911939591</v>
      </c>
      <c r="AI23" s="135">
        <v>0.92</v>
      </c>
      <c r="AJ23" s="133">
        <v>0.937246563149046</v>
      </c>
      <c r="AK23" s="133">
        <v>0.939586357039187</v>
      </c>
      <c r="AL23" s="133">
        <v>0.939400740657614</v>
      </c>
      <c r="AM23" s="133">
        <v>0.96470818762812</v>
      </c>
      <c r="AN23" s="132">
        <v>0.99</v>
      </c>
      <c r="AO23" s="137">
        <v>1</v>
      </c>
      <c r="AP23" s="137">
        <v>1</v>
      </c>
      <c r="AQ23" s="137">
        <v>1</v>
      </c>
      <c r="AR23" s="137">
        <v>0.997236180904523</v>
      </c>
      <c r="AS23" s="139">
        <v>0.0872182100128262</v>
      </c>
      <c r="AT23" s="141">
        <v>0.0757575757575758</v>
      </c>
      <c r="AU23" s="141">
        <v>0.0166666666666667</v>
      </c>
      <c r="AV23" s="141">
        <v>0.06</v>
      </c>
      <c r="AW23" s="141">
        <v>0.0475778546712803</v>
      </c>
      <c r="AX23" s="95"/>
      <c r="AY23" s="93"/>
    </row>
    <row r="24" ht="15" spans="1:51">
      <c r="A24" s="91"/>
      <c r="B24" s="95"/>
      <c r="C24" s="128" t="s">
        <v>24</v>
      </c>
      <c r="D24" s="129" t="s">
        <v>25</v>
      </c>
      <c r="E24" s="130" t="s">
        <v>26</v>
      </c>
      <c r="F24" s="142" t="s">
        <v>43</v>
      </c>
      <c r="G24" s="142" t="s">
        <v>43</v>
      </c>
      <c r="H24" s="142" t="s">
        <v>43</v>
      </c>
      <c r="I24" s="142" t="s">
        <v>43</v>
      </c>
      <c r="J24" s="132">
        <v>0.9</v>
      </c>
      <c r="K24" s="133">
        <v>0.883435582822086</v>
      </c>
      <c r="L24" s="133">
        <v>0.8125</v>
      </c>
      <c r="M24" s="134">
        <v>0.843478260869565</v>
      </c>
      <c r="N24" s="133">
        <v>0.831985294117647</v>
      </c>
      <c r="O24" s="135">
        <v>0.9</v>
      </c>
      <c r="P24" s="133">
        <v>0.758761528326746</v>
      </c>
      <c r="Q24" s="133">
        <v>0.980478917230609</v>
      </c>
      <c r="R24" s="133">
        <v>0.973706712270201</v>
      </c>
      <c r="S24" s="133">
        <v>0.953391839742047</v>
      </c>
      <c r="T24" s="135">
        <v>0.9</v>
      </c>
      <c r="U24" s="133">
        <v>0.697101449275362</v>
      </c>
      <c r="V24" s="133">
        <v>0.70640291514836</v>
      </c>
      <c r="W24" s="133">
        <v>0.626763574176999</v>
      </c>
      <c r="X24" s="133">
        <v>0.686501944134404</v>
      </c>
      <c r="Y24" s="135">
        <v>0.92</v>
      </c>
      <c r="Z24" s="135">
        <v>0.882614125156098</v>
      </c>
      <c r="AA24" s="135">
        <v>0.866425992779783</v>
      </c>
      <c r="AB24" s="135">
        <v>0.836270871985158</v>
      </c>
      <c r="AC24" s="135">
        <v>0.893361668925301</v>
      </c>
      <c r="AD24" s="135">
        <v>0.92</v>
      </c>
      <c r="AE24" s="133">
        <v>0.923076923076923</v>
      </c>
      <c r="AF24" s="133">
        <v>0.975308641975309</v>
      </c>
      <c r="AG24" s="133">
        <v>0.952380952380952</v>
      </c>
      <c r="AH24" s="133">
        <v>0.815384615384615</v>
      </c>
      <c r="AI24" s="135">
        <v>0.92</v>
      </c>
      <c r="AJ24" s="133">
        <v>0.903317343422742</v>
      </c>
      <c r="AK24" s="133">
        <v>0.897672883314078</v>
      </c>
      <c r="AL24" s="133">
        <v>0.873171445289643</v>
      </c>
      <c r="AM24" s="133">
        <v>0.921985936573863</v>
      </c>
      <c r="AN24" s="132">
        <v>0.99</v>
      </c>
      <c r="AO24" s="137">
        <v>1</v>
      </c>
      <c r="AP24" s="137">
        <v>1</v>
      </c>
      <c r="AQ24" s="137">
        <v>1</v>
      </c>
      <c r="AR24" s="137">
        <v>1</v>
      </c>
      <c r="AS24" s="139">
        <v>0.0872182100128262</v>
      </c>
      <c r="AT24" s="141">
        <v>0.0649350649350649</v>
      </c>
      <c r="AU24" s="141">
        <v>0.03125</v>
      </c>
      <c r="AV24" s="141">
        <v>0.0597014925373134</v>
      </c>
      <c r="AW24" s="141">
        <v>0.0629316960859555</v>
      </c>
      <c r="AX24" s="95"/>
      <c r="AY24" s="93"/>
    </row>
    <row r="25" ht="15" spans="1:51">
      <c r="A25" s="91"/>
      <c r="B25" s="95"/>
      <c r="C25" s="128" t="s">
        <v>24</v>
      </c>
      <c r="D25" s="129" t="s">
        <v>25</v>
      </c>
      <c r="E25" s="130" t="s">
        <v>26</v>
      </c>
      <c r="F25" s="142" t="s">
        <v>44</v>
      </c>
      <c r="G25" s="142" t="s">
        <v>44</v>
      </c>
      <c r="H25" s="142" t="s">
        <v>44</v>
      </c>
      <c r="I25" s="142" t="s">
        <v>44</v>
      </c>
      <c r="J25" s="132">
        <v>0.9</v>
      </c>
      <c r="K25" s="133">
        <v>0.907407407407407</v>
      </c>
      <c r="L25" s="133">
        <v>0.934579439252336</v>
      </c>
      <c r="M25" s="134">
        <v>0.948717948717949</v>
      </c>
      <c r="N25" s="133">
        <v>0.953157894736842</v>
      </c>
      <c r="O25" s="135">
        <v>0.9</v>
      </c>
      <c r="P25" s="133">
        <v>0.972757598220904</v>
      </c>
      <c r="Q25" s="133">
        <v>0.991469561845677</v>
      </c>
      <c r="R25" s="133">
        <v>0.991637831603229</v>
      </c>
      <c r="S25" s="133">
        <v>0.972206596046948</v>
      </c>
      <c r="T25" s="135">
        <v>0.9</v>
      </c>
      <c r="U25" s="133">
        <v>0.783914010378058</v>
      </c>
      <c r="V25" s="133">
        <v>0.818534315626212</v>
      </c>
      <c r="W25" s="133">
        <v>0.757497116493656</v>
      </c>
      <c r="X25" s="133">
        <v>0.795234599212441</v>
      </c>
      <c r="Y25" s="135">
        <v>0.92</v>
      </c>
      <c r="Z25" s="135">
        <v>0.896170548756415</v>
      </c>
      <c r="AA25" s="135">
        <v>0.898525073746313</v>
      </c>
      <c r="AB25" s="135">
        <v>0.849044585987261</v>
      </c>
      <c r="AC25" s="135">
        <v>0.915458357452456</v>
      </c>
      <c r="AD25" s="135">
        <v>0.92</v>
      </c>
      <c r="AE25" s="133">
        <v>0.998892416746659</v>
      </c>
      <c r="AF25" s="133">
        <v>0.995371390786864</v>
      </c>
      <c r="AG25" s="133">
        <v>0.990846047156727</v>
      </c>
      <c r="AH25" s="133">
        <v>0.991527244532877</v>
      </c>
      <c r="AI25" s="135">
        <v>0.92</v>
      </c>
      <c r="AJ25" s="133">
        <v>0.914069967501434</v>
      </c>
      <c r="AK25" s="133">
        <v>0.924426766495087</v>
      </c>
      <c r="AL25" s="133">
        <v>0.895614209168486</v>
      </c>
      <c r="AM25" s="133">
        <v>0.941879456638649</v>
      </c>
      <c r="AN25" s="132">
        <v>0.99</v>
      </c>
      <c r="AO25" s="137">
        <v>1</v>
      </c>
      <c r="AP25" s="137">
        <v>1</v>
      </c>
      <c r="AQ25" s="137">
        <v>1</v>
      </c>
      <c r="AR25" s="137">
        <v>1</v>
      </c>
      <c r="AS25" s="139">
        <v>0.0872182100128262</v>
      </c>
      <c r="AT25" s="141">
        <v>0.0689655172413793</v>
      </c>
      <c r="AU25" s="141">
        <v>0.0277777777777778</v>
      </c>
      <c r="AV25" s="141">
        <v>0.0806451612903226</v>
      </c>
      <c r="AW25" s="141">
        <v>0.0608160123171671</v>
      </c>
      <c r="AX25" s="95"/>
      <c r="AY25" s="93"/>
    </row>
    <row r="26" ht="15" spans="1:51">
      <c r="A26" s="91"/>
      <c r="B26" s="95"/>
      <c r="C26" s="128" t="s">
        <v>24</v>
      </c>
      <c r="D26" s="129" t="s">
        <v>25</v>
      </c>
      <c r="E26" s="130" t="s">
        <v>26</v>
      </c>
      <c r="F26" s="142" t="s">
        <v>45</v>
      </c>
      <c r="G26" s="142" t="s">
        <v>45</v>
      </c>
      <c r="H26" s="142" t="s">
        <v>45</v>
      </c>
      <c r="I26" s="142" t="s">
        <v>45</v>
      </c>
      <c r="J26" s="132">
        <v>0.9</v>
      </c>
      <c r="K26" s="133">
        <v>0.935185185185185</v>
      </c>
      <c r="L26" s="133">
        <v>0.959183673469388</v>
      </c>
      <c r="M26" s="134">
        <v>0.932584269662921</v>
      </c>
      <c r="N26" s="133">
        <v>0.894444444444444</v>
      </c>
      <c r="O26" s="135">
        <v>0.9</v>
      </c>
      <c r="P26" s="133">
        <v>0.928720836685438</v>
      </c>
      <c r="Q26" s="133">
        <v>0.926580557443916</v>
      </c>
      <c r="R26" s="133">
        <v>0.939328859060403</v>
      </c>
      <c r="S26" s="133">
        <v>0.937182260681449</v>
      </c>
      <c r="T26" s="135">
        <v>0.9</v>
      </c>
      <c r="U26" s="133">
        <v>0.674497184231697</v>
      </c>
      <c r="V26" s="133">
        <v>0.775662814411965</v>
      </c>
      <c r="W26" s="133">
        <v>0.762147651006711</v>
      </c>
      <c r="X26" s="133">
        <v>0.678222462592392</v>
      </c>
      <c r="Y26" s="135">
        <v>0.92</v>
      </c>
      <c r="Z26" s="135">
        <v>0.900960698689956</v>
      </c>
      <c r="AA26" s="135">
        <v>0.889176928062216</v>
      </c>
      <c r="AB26" s="135">
        <v>0.897945659377071</v>
      </c>
      <c r="AC26" s="135">
        <v>0.909334866781675</v>
      </c>
      <c r="AD26" s="135">
        <v>0.92</v>
      </c>
      <c r="AE26" s="133">
        <v>0.999047074518773</v>
      </c>
      <c r="AF26" s="133">
        <v>0.998664886515354</v>
      </c>
      <c r="AG26" s="133">
        <v>0.973808276584599</v>
      </c>
      <c r="AH26" s="133">
        <v>0.991812829633264</v>
      </c>
      <c r="AI26" s="135">
        <v>0.92</v>
      </c>
      <c r="AJ26" s="133">
        <v>0.924880663261033</v>
      </c>
      <c r="AK26" s="133">
        <v>0.927313266443701</v>
      </c>
      <c r="AL26" s="133">
        <v>0.929157914836739</v>
      </c>
      <c r="AM26" s="133">
        <v>0.938927024397667</v>
      </c>
      <c r="AN26" s="132">
        <v>0.99</v>
      </c>
      <c r="AO26" s="137">
        <v>1</v>
      </c>
      <c r="AP26" s="137">
        <v>1</v>
      </c>
      <c r="AQ26" s="137">
        <v>1</v>
      </c>
      <c r="AR26" s="137">
        <v>1</v>
      </c>
      <c r="AS26" s="139">
        <v>0.0872182100128262</v>
      </c>
      <c r="AT26" s="141">
        <v>0.06</v>
      </c>
      <c r="AU26" s="141">
        <v>0.0181818181818182</v>
      </c>
      <c r="AV26" s="141">
        <v>0.0307692307692308</v>
      </c>
      <c r="AW26" s="141">
        <v>0.034317637669593</v>
      </c>
      <c r="AX26" s="95"/>
      <c r="AY26" s="93"/>
    </row>
    <row r="27" ht="15" spans="1:51">
      <c r="A27" s="91"/>
      <c r="B27" s="95"/>
      <c r="C27" s="128" t="s">
        <v>24</v>
      </c>
      <c r="D27" s="129" t="s">
        <v>25</v>
      </c>
      <c r="E27" s="130" t="s">
        <v>26</v>
      </c>
      <c r="F27" s="142" t="s">
        <v>46</v>
      </c>
      <c r="G27" s="142" t="s">
        <v>46</v>
      </c>
      <c r="H27" s="142" t="s">
        <v>46</v>
      </c>
      <c r="I27" s="142" t="s">
        <v>46</v>
      </c>
      <c r="J27" s="132">
        <v>0.9</v>
      </c>
      <c r="K27" s="133">
        <v>0.981981981981982</v>
      </c>
      <c r="L27" s="133">
        <v>0.98</v>
      </c>
      <c r="M27" s="134">
        <v>0.986111111111111</v>
      </c>
      <c r="N27" s="133">
        <v>0.953830010493179</v>
      </c>
      <c r="O27" s="135">
        <v>0.9</v>
      </c>
      <c r="P27" s="133">
        <v>0.980555555555556</v>
      </c>
      <c r="Q27" s="133">
        <v>0.981003409644423</v>
      </c>
      <c r="R27" s="133">
        <v>0.966629996332967</v>
      </c>
      <c r="S27" s="133">
        <v>0.943318232615148</v>
      </c>
      <c r="T27" s="135">
        <v>0.9</v>
      </c>
      <c r="U27" s="133">
        <v>0.89040404040404</v>
      </c>
      <c r="V27" s="133">
        <v>0.885533365806137</v>
      </c>
      <c r="W27" s="133">
        <v>0.831683168316832</v>
      </c>
      <c r="X27" s="133">
        <v>0.89591319290066</v>
      </c>
      <c r="Y27" s="135">
        <v>0.92</v>
      </c>
      <c r="Z27" s="135">
        <v>0.940789473684211</v>
      </c>
      <c r="AA27" s="135">
        <v>0.9213217938631</v>
      </c>
      <c r="AB27" s="135">
        <v>0.914543960558751</v>
      </c>
      <c r="AC27" s="135">
        <v>0.949610363151729</v>
      </c>
      <c r="AD27" s="135">
        <v>0.92</v>
      </c>
      <c r="AE27" s="133">
        <v>1</v>
      </c>
      <c r="AF27" s="133">
        <v>1</v>
      </c>
      <c r="AG27" s="133">
        <v>0.888888888888889</v>
      </c>
      <c r="AH27" s="133">
        <v>0.896174863387978</v>
      </c>
      <c r="AI27" s="135">
        <v>0.92</v>
      </c>
      <c r="AJ27" s="133">
        <v>0.953874767513949</v>
      </c>
      <c r="AK27" s="133">
        <v>0.946149217809868</v>
      </c>
      <c r="AL27" s="133">
        <v>0.953128958702812</v>
      </c>
      <c r="AM27" s="133">
        <v>0.968107111698984</v>
      </c>
      <c r="AN27" s="132">
        <v>0.99</v>
      </c>
      <c r="AO27" s="137">
        <v>1</v>
      </c>
      <c r="AP27" s="137">
        <v>1</v>
      </c>
      <c r="AQ27" s="137">
        <v>1</v>
      </c>
      <c r="AR27" s="137">
        <v>1</v>
      </c>
      <c r="AS27" s="139">
        <v>0.0872182100128262</v>
      </c>
      <c r="AT27" s="141">
        <v>0.151515151515152</v>
      </c>
      <c r="AU27" s="141">
        <v>0.0967741935483871</v>
      </c>
      <c r="AV27" s="141">
        <v>0.138888888888889</v>
      </c>
      <c r="AW27" s="141">
        <v>0.0721271393643032</v>
      </c>
      <c r="AX27" s="95"/>
      <c r="AY27" s="93"/>
    </row>
    <row r="28" ht="15" spans="1:51">
      <c r="A28" s="91"/>
      <c r="B28" s="95"/>
      <c r="C28" s="128" t="s">
        <v>24</v>
      </c>
      <c r="D28" s="129" t="s">
        <v>25</v>
      </c>
      <c r="E28" s="130" t="s">
        <v>26</v>
      </c>
      <c r="F28" s="142" t="s">
        <v>47</v>
      </c>
      <c r="G28" s="142" t="s">
        <v>47</v>
      </c>
      <c r="H28" s="142" t="s">
        <v>47</v>
      </c>
      <c r="I28" s="142" t="s">
        <v>47</v>
      </c>
      <c r="J28" s="132">
        <v>0.9</v>
      </c>
      <c r="K28" s="133">
        <v>0.96551724137931</v>
      </c>
      <c r="L28" s="133">
        <v>0.982456140350877</v>
      </c>
      <c r="M28" s="134">
        <v>0.981481481481482</v>
      </c>
      <c r="N28" s="133">
        <v>0.970220941402498</v>
      </c>
      <c r="O28" s="135">
        <v>0.9</v>
      </c>
      <c r="P28" s="133">
        <v>0.973607038123167</v>
      </c>
      <c r="Q28" s="133">
        <v>0.98944099378882</v>
      </c>
      <c r="R28" s="133">
        <v>0.973991507430998</v>
      </c>
      <c r="S28" s="133">
        <v>0.969716753716352</v>
      </c>
      <c r="T28" s="135">
        <v>0.9</v>
      </c>
      <c r="U28" s="133">
        <v>0.889866405995438</v>
      </c>
      <c r="V28" s="133">
        <v>0.888198757763975</v>
      </c>
      <c r="W28" s="133">
        <v>0.898619957537155</v>
      </c>
      <c r="X28" s="133">
        <v>0.878599169679925</v>
      </c>
      <c r="Y28" s="135">
        <v>0.92</v>
      </c>
      <c r="Z28" s="135">
        <v>0.951675485008818</v>
      </c>
      <c r="AA28" s="135">
        <v>0.946261682242991</v>
      </c>
      <c r="AB28" s="135">
        <v>0.94954128440367</v>
      </c>
      <c r="AC28" s="135">
        <v>0.961287547494444</v>
      </c>
      <c r="AD28" s="135">
        <v>0.92</v>
      </c>
      <c r="AE28" s="133">
        <v>0.998524590163934</v>
      </c>
      <c r="AF28" s="133">
        <v>0.994441503440974</v>
      </c>
      <c r="AG28" s="133">
        <v>0.988137603795967</v>
      </c>
      <c r="AH28" s="133">
        <v>0.992790730365283</v>
      </c>
      <c r="AI28" s="135">
        <v>0.92</v>
      </c>
      <c r="AJ28" s="133">
        <v>0.956470189701897</v>
      </c>
      <c r="AK28" s="133">
        <v>0.961070559610706</v>
      </c>
      <c r="AL28" s="133">
        <v>0.965542256075444</v>
      </c>
      <c r="AM28" s="133">
        <v>0.973768910499326</v>
      </c>
      <c r="AN28" s="132">
        <v>0.99</v>
      </c>
      <c r="AO28" s="137">
        <v>1</v>
      </c>
      <c r="AP28" s="137">
        <v>1</v>
      </c>
      <c r="AQ28" s="137">
        <v>1</v>
      </c>
      <c r="AR28" s="137">
        <v>1</v>
      </c>
      <c r="AS28" s="139">
        <v>0.0872182100128262</v>
      </c>
      <c r="AT28" s="141">
        <v>0.0384615384615385</v>
      </c>
      <c r="AU28" s="141">
        <v>0.0833333333333333</v>
      </c>
      <c r="AV28" s="141">
        <v>0.0740740740740741</v>
      </c>
      <c r="AW28" s="141">
        <v>0.0658978583196046</v>
      </c>
      <c r="AX28" s="95"/>
      <c r="AY28" s="93"/>
    </row>
    <row r="29" ht="15" spans="1:51">
      <c r="A29" s="91"/>
      <c r="B29" s="95"/>
      <c r="C29" s="128" t="s">
        <v>24</v>
      </c>
      <c r="D29" s="129" t="s">
        <v>25</v>
      </c>
      <c r="E29" s="130" t="s">
        <v>26</v>
      </c>
      <c r="F29" s="142" t="s">
        <v>48</v>
      </c>
      <c r="G29" s="142" t="s">
        <v>48</v>
      </c>
      <c r="H29" s="142" t="s">
        <v>48</v>
      </c>
      <c r="I29" s="142" t="s">
        <v>48</v>
      </c>
      <c r="J29" s="132">
        <v>0.9</v>
      </c>
      <c r="K29" s="133">
        <v>0.867647058823529</v>
      </c>
      <c r="L29" s="133">
        <v>0.907692307692308</v>
      </c>
      <c r="M29" s="134">
        <v>0.66</v>
      </c>
      <c r="N29" s="133">
        <v>0.850127011007621</v>
      </c>
      <c r="O29" s="135">
        <v>0.9</v>
      </c>
      <c r="P29" s="133">
        <v>0.987408329874083</v>
      </c>
      <c r="Q29" s="133">
        <v>0.976029055690073</v>
      </c>
      <c r="R29" s="133">
        <v>0.960475211331963</v>
      </c>
      <c r="S29" s="133">
        <v>0.987762956320293</v>
      </c>
      <c r="T29" s="135">
        <v>0.9</v>
      </c>
      <c r="U29" s="133">
        <v>0.932198699321987</v>
      </c>
      <c r="V29" s="133">
        <v>0.950847457627119</v>
      </c>
      <c r="W29" s="133">
        <v>0.869316883710304</v>
      </c>
      <c r="X29" s="133">
        <v>0.840899749654374</v>
      </c>
      <c r="Y29" s="135">
        <v>0.92</v>
      </c>
      <c r="Z29" s="135">
        <v>0.977934875749786</v>
      </c>
      <c r="AA29" s="135">
        <v>0.975327291037261</v>
      </c>
      <c r="AB29" s="135">
        <v>0.958527295810411</v>
      </c>
      <c r="AC29" s="135">
        <v>0.968081430052465</v>
      </c>
      <c r="AD29" s="135">
        <v>0.92</v>
      </c>
      <c r="AE29" s="133">
        <v>0.851663371841601</v>
      </c>
      <c r="AF29" s="133">
        <v>0.950682980514016</v>
      </c>
      <c r="AG29" s="133">
        <v>0.990060008099253</v>
      </c>
      <c r="AH29" s="133">
        <v>0.948258400980126</v>
      </c>
      <c r="AI29" s="135">
        <v>0.92</v>
      </c>
      <c r="AJ29" s="133">
        <v>0.982603580132784</v>
      </c>
      <c r="AK29" s="133">
        <v>0.98235582421173</v>
      </c>
      <c r="AL29" s="133">
        <v>0.949265687583445</v>
      </c>
      <c r="AM29" s="133">
        <v>0.97774810858923</v>
      </c>
      <c r="AN29" s="132">
        <v>0.99</v>
      </c>
      <c r="AO29" s="137">
        <v>1</v>
      </c>
      <c r="AP29" s="137">
        <v>1</v>
      </c>
      <c r="AQ29" s="137">
        <v>1</v>
      </c>
      <c r="AR29" s="137">
        <v>1</v>
      </c>
      <c r="AS29" s="139">
        <v>0.0872182100128262</v>
      </c>
      <c r="AT29" s="141">
        <v>0.02</v>
      </c>
      <c r="AU29" s="141">
        <v>0.0309278350515464</v>
      </c>
      <c r="AV29" s="141">
        <v>0.00952380952380952</v>
      </c>
      <c r="AW29" s="141">
        <v>0.0289931470743279</v>
      </c>
      <c r="AX29" s="95"/>
      <c r="AY29" s="93"/>
    </row>
    <row r="30" ht="15" spans="1:51">
      <c r="A30" s="91"/>
      <c r="B30" s="95"/>
      <c r="C30" s="128" t="s">
        <v>24</v>
      </c>
      <c r="D30" s="129" t="s">
        <v>25</v>
      </c>
      <c r="E30" s="130" t="s">
        <v>26</v>
      </c>
      <c r="F30" s="142" t="s">
        <v>49</v>
      </c>
      <c r="G30" s="142" t="s">
        <v>49</v>
      </c>
      <c r="H30" s="142" t="s">
        <v>49</v>
      </c>
      <c r="I30" s="142" t="s">
        <v>49</v>
      </c>
      <c r="J30" s="132">
        <v>0.9</v>
      </c>
      <c r="K30" s="133">
        <v>0.915492957746479</v>
      </c>
      <c r="L30" s="133">
        <v>0.827586206896552</v>
      </c>
      <c r="M30" s="134">
        <v>0.833333333333333</v>
      </c>
      <c r="N30" s="133">
        <v>0.889739663093415</v>
      </c>
      <c r="O30" s="135">
        <v>0.9</v>
      </c>
      <c r="P30" s="133">
        <v>0.976462676529926</v>
      </c>
      <c r="Q30" s="133">
        <v>0.971370143149284</v>
      </c>
      <c r="R30" s="133">
        <v>0.974580579562786</v>
      </c>
      <c r="S30" s="133">
        <v>0.966490969814964</v>
      </c>
      <c r="T30" s="135">
        <v>0.9</v>
      </c>
      <c r="U30" s="133">
        <v>0.810020174848689</v>
      </c>
      <c r="V30" s="133">
        <v>0.788684389911384</v>
      </c>
      <c r="W30" s="133">
        <v>0.789018810371124</v>
      </c>
      <c r="X30" s="133">
        <v>0.81843075802903</v>
      </c>
      <c r="Y30" s="135">
        <v>0.92</v>
      </c>
      <c r="Z30" s="135">
        <v>0.916578296217745</v>
      </c>
      <c r="AA30" s="135">
        <v>0.874859075535513</v>
      </c>
      <c r="AB30" s="135">
        <v>0.843820224719101</v>
      </c>
      <c r="AC30" s="135">
        <v>0.926749213391584</v>
      </c>
      <c r="AD30" s="135">
        <v>0.92</v>
      </c>
      <c r="AE30" s="133" t="s">
        <v>35</v>
      </c>
      <c r="AF30" s="133">
        <v>0.666666666666667</v>
      </c>
      <c r="AG30" s="133">
        <v>0.333333333333333</v>
      </c>
      <c r="AH30" s="133">
        <v>0.70625</v>
      </c>
      <c r="AI30" s="135">
        <v>0.92</v>
      </c>
      <c r="AJ30" s="133">
        <v>0.932276408754093</v>
      </c>
      <c r="AK30" s="133">
        <v>0.916737468139337</v>
      </c>
      <c r="AL30" s="133">
        <v>0.903395169758488</v>
      </c>
      <c r="AM30" s="133">
        <v>0.948455623615274</v>
      </c>
      <c r="AN30" s="132">
        <v>0.99</v>
      </c>
      <c r="AO30" s="137">
        <v>1</v>
      </c>
      <c r="AP30" s="137">
        <v>1</v>
      </c>
      <c r="AQ30" s="137">
        <v>1</v>
      </c>
      <c r="AR30" s="137">
        <v>1</v>
      </c>
      <c r="AS30" s="139">
        <v>0.0872182100128262</v>
      </c>
      <c r="AT30" s="141">
        <v>0.0810810810810811</v>
      </c>
      <c r="AU30" s="141">
        <v>0.0606060606060606</v>
      </c>
      <c r="AV30" s="141">
        <v>0.0571428571428571</v>
      </c>
      <c r="AW30" s="141">
        <v>0.0443490701001431</v>
      </c>
      <c r="AX30" s="95"/>
      <c r="AY30" s="93"/>
    </row>
    <row r="31" ht="15" spans="1:51">
      <c r="A31" s="91"/>
      <c r="B31" s="95"/>
      <c r="C31" s="128" t="s">
        <v>24</v>
      </c>
      <c r="D31" s="129" t="s">
        <v>25</v>
      </c>
      <c r="E31" s="130" t="s">
        <v>26</v>
      </c>
      <c r="F31" s="142" t="s">
        <v>50</v>
      </c>
      <c r="G31" s="142" t="s">
        <v>50</v>
      </c>
      <c r="H31" s="142" t="s">
        <v>50</v>
      </c>
      <c r="I31" s="142" t="s">
        <v>50</v>
      </c>
      <c r="J31" s="132">
        <v>0.9</v>
      </c>
      <c r="K31" s="133">
        <v>0.978260869565217</v>
      </c>
      <c r="L31" s="133">
        <v>0.967391304347826</v>
      </c>
      <c r="M31" s="134">
        <v>0.948051948051948</v>
      </c>
      <c r="N31" s="133">
        <v>0.938271604938272</v>
      </c>
      <c r="O31" s="135">
        <v>0.9</v>
      </c>
      <c r="P31" s="133">
        <v>0.985572744654963</v>
      </c>
      <c r="Q31" s="133">
        <v>0.989122552574329</v>
      </c>
      <c r="R31" s="133">
        <v>0.989577129243597</v>
      </c>
      <c r="S31" s="133">
        <v>0.954445960673694</v>
      </c>
      <c r="T31" s="135">
        <v>0.9</v>
      </c>
      <c r="U31" s="133">
        <v>0.895185120806536</v>
      </c>
      <c r="V31" s="133">
        <v>0.895939086294416</v>
      </c>
      <c r="W31" s="133">
        <v>0.759380583680762</v>
      </c>
      <c r="X31" s="133">
        <v>0.776277830184359</v>
      </c>
      <c r="Y31" s="135">
        <v>0.92</v>
      </c>
      <c r="Z31" s="135">
        <v>0.929427687548337</v>
      </c>
      <c r="AA31" s="135">
        <v>0.927505330490405</v>
      </c>
      <c r="AB31" s="135">
        <v>0.7472240365774</v>
      </c>
      <c r="AC31" s="135">
        <v>0.883316903118883</v>
      </c>
      <c r="AD31" s="135">
        <v>0.92</v>
      </c>
      <c r="AE31" s="133">
        <v>0.997812215132179</v>
      </c>
      <c r="AF31" s="133">
        <v>0.970437017994859</v>
      </c>
      <c r="AG31" s="133">
        <v>0.995083579154376</v>
      </c>
      <c r="AH31" s="133">
        <v>0.995156757876743</v>
      </c>
      <c r="AI31" s="135">
        <v>0.92</v>
      </c>
      <c r="AJ31" s="133">
        <v>0.946641039721765</v>
      </c>
      <c r="AK31" s="133">
        <v>0.95752339812815</v>
      </c>
      <c r="AL31" s="133">
        <v>0.818776845980773</v>
      </c>
      <c r="AM31" s="133">
        <v>0.907169322798089</v>
      </c>
      <c r="AN31" s="132">
        <v>0.99</v>
      </c>
      <c r="AO31" s="137">
        <v>1</v>
      </c>
      <c r="AP31" s="137">
        <v>1</v>
      </c>
      <c r="AQ31" s="137">
        <v>1</v>
      </c>
      <c r="AR31" s="137">
        <v>1</v>
      </c>
      <c r="AS31" s="139">
        <v>0.0872182100128262</v>
      </c>
      <c r="AT31" s="141">
        <v>0.102040816326531</v>
      </c>
      <c r="AU31" s="141">
        <v>0.1</v>
      </c>
      <c r="AV31" s="141">
        <v>0.0425531914893617</v>
      </c>
      <c r="AW31" s="141">
        <v>0.0738045738045738</v>
      </c>
      <c r="AX31" s="95"/>
      <c r="AY31" s="93"/>
    </row>
    <row r="32" ht="15" spans="1:51">
      <c r="A32" s="91"/>
      <c r="B32" s="95"/>
      <c r="C32" s="128" t="s">
        <v>24</v>
      </c>
      <c r="D32" s="129" t="s">
        <v>25</v>
      </c>
      <c r="E32" s="130" t="s">
        <v>26</v>
      </c>
      <c r="F32" s="142" t="s">
        <v>51</v>
      </c>
      <c r="G32" s="142" t="s">
        <v>51</v>
      </c>
      <c r="H32" s="142" t="s">
        <v>51</v>
      </c>
      <c r="I32" s="142" t="s">
        <v>51</v>
      </c>
      <c r="J32" s="132">
        <v>0.9</v>
      </c>
      <c r="K32" s="133">
        <v>0.987179487179487</v>
      </c>
      <c r="L32" s="133">
        <v>0.931506849315068</v>
      </c>
      <c r="M32" s="134">
        <v>0.872727272727273</v>
      </c>
      <c r="N32" s="133">
        <v>0.931937172774869</v>
      </c>
      <c r="O32" s="135">
        <v>0.9</v>
      </c>
      <c r="P32" s="133">
        <v>0.982561307901907</v>
      </c>
      <c r="Q32" s="133">
        <v>0.990373725934315</v>
      </c>
      <c r="R32" s="133">
        <v>0.992284612087441</v>
      </c>
      <c r="S32" s="133">
        <v>0.963960806851792</v>
      </c>
      <c r="T32" s="135">
        <v>0.9</v>
      </c>
      <c r="U32" s="133">
        <v>0.865395095367847</v>
      </c>
      <c r="V32" s="133">
        <v>0.873725934314836</v>
      </c>
      <c r="W32" s="133">
        <v>0.814830690098586</v>
      </c>
      <c r="X32" s="133">
        <v>0.877948947980768</v>
      </c>
      <c r="Y32" s="135">
        <v>0.92</v>
      </c>
      <c r="Z32" s="135">
        <v>0.936757719714964</v>
      </c>
      <c r="AA32" s="135">
        <v>0.944652908067542</v>
      </c>
      <c r="AB32" s="135">
        <v>0.919642857142857</v>
      </c>
      <c r="AC32" s="135">
        <v>0.953193892400252</v>
      </c>
      <c r="AD32" s="135">
        <v>0.92</v>
      </c>
      <c r="AE32" s="133">
        <v>0.998627944203064</v>
      </c>
      <c r="AF32" s="133">
        <v>0.996802557953637</v>
      </c>
      <c r="AG32" s="133">
        <v>0.999519692603266</v>
      </c>
      <c r="AH32" s="133">
        <v>0.997395375593231</v>
      </c>
      <c r="AI32" s="135">
        <v>0.92</v>
      </c>
      <c r="AJ32" s="133">
        <v>0.944728616084115</v>
      </c>
      <c r="AK32" s="133">
        <v>0.948799435028249</v>
      </c>
      <c r="AL32" s="133">
        <v>0.95005980861244</v>
      </c>
      <c r="AM32" s="133">
        <v>0.966938699015232</v>
      </c>
      <c r="AN32" s="132">
        <v>0.99</v>
      </c>
      <c r="AO32" s="137">
        <v>1</v>
      </c>
      <c r="AP32" s="137">
        <v>1</v>
      </c>
      <c r="AQ32" s="137">
        <v>1</v>
      </c>
      <c r="AR32" s="137">
        <v>1</v>
      </c>
      <c r="AS32" s="139">
        <v>0.0872182100128262</v>
      </c>
      <c r="AT32" s="141">
        <v>0</v>
      </c>
      <c r="AU32" s="141">
        <v>0.0882352941176471</v>
      </c>
      <c r="AV32" s="141">
        <v>0.0277777777777778</v>
      </c>
      <c r="AW32" s="141">
        <v>0.0493468795355588</v>
      </c>
      <c r="AX32" s="95"/>
      <c r="AY32" s="93"/>
    </row>
    <row r="33" ht="15" spans="1:51">
      <c r="A33" s="91"/>
      <c r="B33" s="95"/>
      <c r="C33" s="128" t="s">
        <v>24</v>
      </c>
      <c r="D33" s="129" t="s">
        <v>25</v>
      </c>
      <c r="E33" s="130" t="s">
        <v>26</v>
      </c>
      <c r="F33" s="142" t="s">
        <v>52</v>
      </c>
      <c r="G33" s="142" t="s">
        <v>52</v>
      </c>
      <c r="H33" s="142" t="s">
        <v>52</v>
      </c>
      <c r="I33" s="142" t="s">
        <v>52</v>
      </c>
      <c r="J33" s="132">
        <v>0.9</v>
      </c>
      <c r="K33" s="133">
        <v>0.972602739726027</v>
      </c>
      <c r="L33" s="133">
        <v>0.941176470588235</v>
      </c>
      <c r="M33" s="134">
        <v>0.909090909090909</v>
      </c>
      <c r="N33" s="133">
        <v>0.90986790986791</v>
      </c>
      <c r="O33" s="135">
        <v>0.9</v>
      </c>
      <c r="P33" s="133">
        <v>0.898300849575212</v>
      </c>
      <c r="Q33" s="133">
        <v>0.778596355176425</v>
      </c>
      <c r="R33" s="133">
        <v>0.862947912818618</v>
      </c>
      <c r="S33" s="133">
        <v>0.864132069795427</v>
      </c>
      <c r="T33" s="135">
        <v>0.9</v>
      </c>
      <c r="U33" s="133">
        <v>0.792353823088456</v>
      </c>
      <c r="V33" s="133">
        <v>0.824738270647538</v>
      </c>
      <c r="W33" s="133">
        <v>0.71222755818249</v>
      </c>
      <c r="X33" s="133">
        <v>0.783042519053349</v>
      </c>
      <c r="Y33" s="135">
        <v>0.92</v>
      </c>
      <c r="Z33" s="135">
        <v>0.953191489361702</v>
      </c>
      <c r="AA33" s="135">
        <v>0.942909760589319</v>
      </c>
      <c r="AB33" s="135">
        <v>0.940550133096717</v>
      </c>
      <c r="AC33" s="135">
        <v>0.950041155208818</v>
      </c>
      <c r="AD33" s="135">
        <v>0.92</v>
      </c>
      <c r="AE33" s="133">
        <v>0.997226494541237</v>
      </c>
      <c r="AF33" s="133">
        <v>0.981868827551279</v>
      </c>
      <c r="AG33" s="133">
        <v>0.997675565260266</v>
      </c>
      <c r="AH33" s="133">
        <v>0.971014212921575</v>
      </c>
      <c r="AI33" s="135">
        <v>0.92</v>
      </c>
      <c r="AJ33" s="133">
        <v>0.956233587595348</v>
      </c>
      <c r="AK33" s="133">
        <v>0.951978171896317</v>
      </c>
      <c r="AL33" s="133">
        <v>0.905345501955671</v>
      </c>
      <c r="AM33" s="133">
        <v>0.959576757003699</v>
      </c>
      <c r="AN33" s="132">
        <v>0.99</v>
      </c>
      <c r="AO33" s="137">
        <v>1</v>
      </c>
      <c r="AP33" s="137">
        <v>1</v>
      </c>
      <c r="AQ33" s="137">
        <v>1</v>
      </c>
      <c r="AR33" s="137">
        <v>1</v>
      </c>
      <c r="AS33" s="139">
        <v>0.0872182100128262</v>
      </c>
      <c r="AT33" s="141">
        <v>0.0833333333333333</v>
      </c>
      <c r="AU33" s="141">
        <v>0.135135135135135</v>
      </c>
      <c r="AV33" s="141">
        <v>0.1</v>
      </c>
      <c r="AW33" s="141">
        <v>0.0705882352941176</v>
      </c>
      <c r="AX33" s="95"/>
      <c r="AY33" s="93"/>
    </row>
    <row r="34" ht="15" spans="1:51">
      <c r="A34" s="91"/>
      <c r="B34" s="95"/>
      <c r="C34" s="128" t="s">
        <v>24</v>
      </c>
      <c r="D34" s="129" t="s">
        <v>25</v>
      </c>
      <c r="E34" s="130" t="s">
        <v>26</v>
      </c>
      <c r="F34" s="142" t="s">
        <v>53</v>
      </c>
      <c r="G34" s="142" t="s">
        <v>53</v>
      </c>
      <c r="H34" s="142" t="s">
        <v>53</v>
      </c>
      <c r="I34" s="142" t="s">
        <v>53</v>
      </c>
      <c r="J34" s="132">
        <v>0.9</v>
      </c>
      <c r="K34" s="133">
        <v>0.977272727272727</v>
      </c>
      <c r="L34" s="133">
        <v>0.983739837398374</v>
      </c>
      <c r="M34" s="134">
        <v>1</v>
      </c>
      <c r="N34" s="133">
        <v>0.978484984311968</v>
      </c>
      <c r="O34" s="135">
        <v>0.9</v>
      </c>
      <c r="P34" s="133">
        <v>0.991303021055844</v>
      </c>
      <c r="Q34" s="133">
        <v>0.993316359007002</v>
      </c>
      <c r="R34" s="133">
        <v>0.993648163490748</v>
      </c>
      <c r="S34" s="133">
        <v>0.993167892410888</v>
      </c>
      <c r="T34" s="135">
        <v>0.9</v>
      </c>
      <c r="U34" s="133">
        <v>0.875038144644492</v>
      </c>
      <c r="V34" s="133">
        <v>0.889879057924889</v>
      </c>
      <c r="W34" s="133">
        <v>0.848660590996962</v>
      </c>
      <c r="X34" s="133">
        <v>0.870944472543053</v>
      </c>
      <c r="Y34" s="135">
        <v>0.92</v>
      </c>
      <c r="Z34" s="135">
        <v>0.930733019502354</v>
      </c>
      <c r="AA34" s="135">
        <v>0.921335597057159</v>
      </c>
      <c r="AB34" s="135">
        <v>0.831863979848867</v>
      </c>
      <c r="AC34" s="135">
        <v>0.934324442501093</v>
      </c>
      <c r="AD34" s="135">
        <v>0.92</v>
      </c>
      <c r="AE34" s="133">
        <v>0.992339121552605</v>
      </c>
      <c r="AF34" s="133">
        <v>0.972660357518402</v>
      </c>
      <c r="AG34" s="133">
        <v>0.988934993084371</v>
      </c>
      <c r="AH34" s="133">
        <v>0.98658781694496</v>
      </c>
      <c r="AI34" s="135">
        <v>0.92</v>
      </c>
      <c r="AJ34" s="133">
        <v>0.946484281257499</v>
      </c>
      <c r="AK34" s="133">
        <v>0.951313913220615</v>
      </c>
      <c r="AL34" s="133">
        <v>0.910347475523133</v>
      </c>
      <c r="AM34" s="133">
        <v>0.956363563874852</v>
      </c>
      <c r="AN34" s="132">
        <v>0.99</v>
      </c>
      <c r="AO34" s="137">
        <v>1</v>
      </c>
      <c r="AP34" s="137">
        <v>1</v>
      </c>
      <c r="AQ34" s="137">
        <v>1</v>
      </c>
      <c r="AR34" s="137">
        <v>1</v>
      </c>
      <c r="AS34" s="139">
        <v>0.0872182100128262</v>
      </c>
      <c r="AT34" s="141">
        <v>0.0606060606060606</v>
      </c>
      <c r="AU34" s="141">
        <v>0.0615384615384615</v>
      </c>
      <c r="AV34" s="141">
        <v>0.0784313725490196</v>
      </c>
      <c r="AW34" s="141">
        <v>0.0487421383647799</v>
      </c>
      <c r="AX34" s="95"/>
      <c r="AY34" s="93"/>
    </row>
    <row r="35" ht="15" spans="1:51">
      <c r="A35" s="91"/>
      <c r="B35" s="95"/>
      <c r="C35" s="128" t="s">
        <v>24</v>
      </c>
      <c r="D35" s="129" t="s">
        <v>25</v>
      </c>
      <c r="E35" s="130" t="s">
        <v>26</v>
      </c>
      <c r="F35" s="142" t="s">
        <v>54</v>
      </c>
      <c r="G35" s="142" t="s">
        <v>54</v>
      </c>
      <c r="H35" s="142" t="s">
        <v>54</v>
      </c>
      <c r="I35" s="142" t="s">
        <v>54</v>
      </c>
      <c r="J35" s="132">
        <v>0.9</v>
      </c>
      <c r="K35" s="133">
        <v>0.901960784313726</v>
      </c>
      <c r="L35" s="133">
        <v>0.923076923076923</v>
      </c>
      <c r="M35" s="134">
        <v>0.934210526315789</v>
      </c>
      <c r="N35" s="133">
        <v>0.892281105990783</v>
      </c>
      <c r="O35" s="135">
        <v>0.9</v>
      </c>
      <c r="P35" s="133">
        <v>0.985450854339367</v>
      </c>
      <c r="Q35" s="133">
        <v>0.930464716006885</v>
      </c>
      <c r="R35" s="133">
        <v>0.89187609585038</v>
      </c>
      <c r="S35" s="133">
        <v>0.937980749869115</v>
      </c>
      <c r="T35" s="135">
        <v>0.9</v>
      </c>
      <c r="U35" s="133">
        <v>0.892234816443918</v>
      </c>
      <c r="V35" s="133">
        <v>0.900516351118761</v>
      </c>
      <c r="W35" s="133">
        <v>0.831385154880187</v>
      </c>
      <c r="X35" s="133">
        <v>0.814586605452861</v>
      </c>
      <c r="Y35" s="135">
        <v>0.92</v>
      </c>
      <c r="Z35" s="135">
        <v>0.92752688172043</v>
      </c>
      <c r="AA35" s="135">
        <v>0.946507237256136</v>
      </c>
      <c r="AB35" s="135">
        <v>0.891640866873065</v>
      </c>
      <c r="AC35" s="135">
        <v>0.935290787025803</v>
      </c>
      <c r="AD35" s="135">
        <v>0.92</v>
      </c>
      <c r="AE35" s="133">
        <v>0.996505329372707</v>
      </c>
      <c r="AF35" s="133">
        <v>0.949199031250912</v>
      </c>
      <c r="AG35" s="133">
        <v>0.998883353375709</v>
      </c>
      <c r="AH35" s="133">
        <v>0.956640573720317</v>
      </c>
      <c r="AI35" s="135">
        <v>0.92</v>
      </c>
      <c r="AJ35" s="133">
        <v>0.954373343430519</v>
      </c>
      <c r="AK35" s="133">
        <v>0.963729417000445</v>
      </c>
      <c r="AL35" s="133">
        <v>0.936892240523914</v>
      </c>
      <c r="AM35" s="133">
        <v>0.958523601528764</v>
      </c>
      <c r="AN35" s="132">
        <v>0.99</v>
      </c>
      <c r="AO35" s="137">
        <v>1</v>
      </c>
      <c r="AP35" s="137">
        <v>1</v>
      </c>
      <c r="AQ35" s="137">
        <v>1</v>
      </c>
      <c r="AR35" s="137">
        <v>0.999442896935933</v>
      </c>
      <c r="AS35" s="139">
        <v>0.0872182100128262</v>
      </c>
      <c r="AT35" s="141">
        <v>0.06</v>
      </c>
      <c r="AU35" s="141">
        <v>0.105263157894737</v>
      </c>
      <c r="AV35" s="141">
        <v>0.108108108108108</v>
      </c>
      <c r="AW35" s="141">
        <v>0.0850828729281768</v>
      </c>
      <c r="AX35" s="95"/>
      <c r="AY35" s="93"/>
    </row>
    <row r="36" ht="15" spans="1:51">
      <c r="A36" s="91"/>
      <c r="B36" s="95"/>
      <c r="C36" s="128" t="s">
        <v>24</v>
      </c>
      <c r="D36" s="129" t="s">
        <v>25</v>
      </c>
      <c r="E36" s="130" t="s">
        <v>26</v>
      </c>
      <c r="F36" s="142" t="s">
        <v>55</v>
      </c>
      <c r="G36" s="142" t="s">
        <v>55</v>
      </c>
      <c r="H36" s="142" t="s">
        <v>55</v>
      </c>
      <c r="I36" s="142" t="s">
        <v>55</v>
      </c>
      <c r="J36" s="132">
        <v>0.9</v>
      </c>
      <c r="K36" s="133">
        <v>0.96319018404908</v>
      </c>
      <c r="L36" s="133">
        <v>0.960264900662252</v>
      </c>
      <c r="M36" s="134">
        <v>0.954545454545455</v>
      </c>
      <c r="N36" s="133">
        <v>0.91551724137931</v>
      </c>
      <c r="O36" s="135">
        <v>0.9</v>
      </c>
      <c r="P36" s="133">
        <v>0.937243465111255</v>
      </c>
      <c r="Q36" s="133">
        <v>0.967014712861889</v>
      </c>
      <c r="R36" s="133">
        <v>0.957879448075526</v>
      </c>
      <c r="S36" s="133">
        <v>0.941645519452479</v>
      </c>
      <c r="T36" s="135">
        <v>0.9</v>
      </c>
      <c r="U36" s="133">
        <v>0.799848779434003</v>
      </c>
      <c r="V36" s="133">
        <v>0.805647840531561</v>
      </c>
      <c r="W36" s="133">
        <v>0.770878721859114</v>
      </c>
      <c r="X36" s="133">
        <v>0.762926419525238</v>
      </c>
      <c r="Y36" s="135">
        <v>0.92</v>
      </c>
      <c r="Z36" s="135">
        <v>0.911426474186445</v>
      </c>
      <c r="AA36" s="135">
        <v>0.897977132805629</v>
      </c>
      <c r="AB36" s="135">
        <v>0.900702987697715</v>
      </c>
      <c r="AC36" s="135">
        <v>0.912992673652972</v>
      </c>
      <c r="AD36" s="135">
        <v>0.92</v>
      </c>
      <c r="AE36" s="133">
        <v>0.99163179916318</v>
      </c>
      <c r="AF36" s="133">
        <v>0.982035928143713</v>
      </c>
      <c r="AG36" s="133">
        <v>0.873239436619718</v>
      </c>
      <c r="AH36" s="133">
        <v>0.969615488034418</v>
      </c>
      <c r="AI36" s="135">
        <v>0.92</v>
      </c>
      <c r="AJ36" s="133">
        <v>0.924691712073415</v>
      </c>
      <c r="AK36" s="133">
        <v>0.922318125770654</v>
      </c>
      <c r="AL36" s="133">
        <v>0.922829994863893</v>
      </c>
      <c r="AM36" s="133">
        <v>0.938462649645185</v>
      </c>
      <c r="AN36" s="132">
        <v>0.99</v>
      </c>
      <c r="AO36" s="137">
        <v>1</v>
      </c>
      <c r="AP36" s="137">
        <v>1</v>
      </c>
      <c r="AQ36" s="137">
        <v>1</v>
      </c>
      <c r="AR36" s="137">
        <v>1</v>
      </c>
      <c r="AS36" s="139">
        <v>0.0872182100128262</v>
      </c>
      <c r="AT36" s="141">
        <v>0.0961538461538462</v>
      </c>
      <c r="AU36" s="141">
        <v>0.135135135135135</v>
      </c>
      <c r="AV36" s="141">
        <v>0.0526315789473684</v>
      </c>
      <c r="AW36" s="141">
        <v>0.0676923076923077</v>
      </c>
      <c r="AX36" s="95"/>
      <c r="AY36" s="93"/>
    </row>
    <row r="37" ht="15" spans="1:51">
      <c r="A37" s="91"/>
      <c r="B37" s="95"/>
      <c r="C37" s="128" t="s">
        <v>24</v>
      </c>
      <c r="D37" s="129" t="s">
        <v>25</v>
      </c>
      <c r="E37" s="130" t="s">
        <v>26</v>
      </c>
      <c r="F37" s="142" t="s">
        <v>56</v>
      </c>
      <c r="G37" s="142" t="s">
        <v>56</v>
      </c>
      <c r="H37" s="142" t="s">
        <v>56</v>
      </c>
      <c r="I37" s="142" t="s">
        <v>56</v>
      </c>
      <c r="J37" s="132">
        <v>0.9</v>
      </c>
      <c r="K37" s="133" t="s">
        <v>35</v>
      </c>
      <c r="L37" s="133" t="s">
        <v>35</v>
      </c>
      <c r="M37" s="134" t="s">
        <v>35</v>
      </c>
      <c r="N37" s="133" t="s">
        <v>35</v>
      </c>
      <c r="O37" s="135">
        <v>0.9</v>
      </c>
      <c r="P37" s="133" t="s">
        <v>35</v>
      </c>
      <c r="Q37" s="133" t="s">
        <v>35</v>
      </c>
      <c r="R37" s="133" t="s">
        <v>35</v>
      </c>
      <c r="S37" s="133">
        <v>0.985202492211838</v>
      </c>
      <c r="T37" s="135">
        <v>0.9</v>
      </c>
      <c r="U37" s="133" t="s">
        <v>35</v>
      </c>
      <c r="V37" s="133" t="s">
        <v>35</v>
      </c>
      <c r="W37" s="133" t="s">
        <v>35</v>
      </c>
      <c r="X37" s="133">
        <v>0.990654205607477</v>
      </c>
      <c r="Y37" s="135">
        <v>0.92</v>
      </c>
      <c r="Z37" s="135" t="s">
        <v>35</v>
      </c>
      <c r="AA37" s="135" t="s">
        <v>35</v>
      </c>
      <c r="AB37" s="135" t="s">
        <v>35</v>
      </c>
      <c r="AC37" s="135">
        <v>0.997524752475248</v>
      </c>
      <c r="AD37" s="135">
        <v>0.92</v>
      </c>
      <c r="AE37" s="133" t="s">
        <v>35</v>
      </c>
      <c r="AF37" s="133" t="s">
        <v>35</v>
      </c>
      <c r="AG37" s="133" t="s">
        <v>35</v>
      </c>
      <c r="AH37" s="133">
        <v>0.999397729905027</v>
      </c>
      <c r="AI37" s="135">
        <v>0.92</v>
      </c>
      <c r="AJ37" s="133" t="s">
        <v>35</v>
      </c>
      <c r="AK37" s="133" t="s">
        <v>35</v>
      </c>
      <c r="AL37" s="133" t="s">
        <v>35</v>
      </c>
      <c r="AM37" s="133">
        <v>0.995710200190658</v>
      </c>
      <c r="AN37" s="132">
        <v>0.99</v>
      </c>
      <c r="AO37" s="137" t="s">
        <v>35</v>
      </c>
      <c r="AP37" s="137" t="s">
        <v>35</v>
      </c>
      <c r="AQ37" s="137" t="s">
        <v>35</v>
      </c>
      <c r="AR37" s="137">
        <v>1</v>
      </c>
      <c r="AS37" s="139">
        <v>0.0872182100128262</v>
      </c>
      <c r="AT37" s="141" t="s">
        <v>35</v>
      </c>
      <c r="AU37" s="141" t="s">
        <v>35</v>
      </c>
      <c r="AV37" s="141" t="s">
        <v>35</v>
      </c>
      <c r="AW37" s="141" t="s">
        <v>35</v>
      </c>
      <c r="AX37" s="95"/>
      <c r="AY37" s="93"/>
    </row>
    <row r="38" ht="15" spans="1:51">
      <c r="A38" s="91"/>
      <c r="B38" s="95"/>
      <c r="C38" s="128" t="s">
        <v>24</v>
      </c>
      <c r="D38" s="129" t="s">
        <v>25</v>
      </c>
      <c r="E38" s="130" t="s">
        <v>26</v>
      </c>
      <c r="F38" s="142" t="s">
        <v>57</v>
      </c>
      <c r="G38" s="142" t="s">
        <v>57</v>
      </c>
      <c r="H38" s="142" t="s">
        <v>57</v>
      </c>
      <c r="I38" s="142" t="s">
        <v>57</v>
      </c>
      <c r="J38" s="132">
        <v>0.9</v>
      </c>
      <c r="K38" s="133">
        <v>0.985507246376812</v>
      </c>
      <c r="L38" s="133">
        <v>0.954545454545455</v>
      </c>
      <c r="M38" s="134">
        <v>1</v>
      </c>
      <c r="N38" s="133">
        <v>0.982649842271293</v>
      </c>
      <c r="O38" s="135">
        <v>0.9</v>
      </c>
      <c r="P38" s="133">
        <v>0.989400821977071</v>
      </c>
      <c r="Q38" s="133">
        <v>0.992537313432836</v>
      </c>
      <c r="R38" s="133">
        <v>0.991189427312775</v>
      </c>
      <c r="S38" s="133">
        <v>0.979949642040774</v>
      </c>
      <c r="T38" s="135">
        <v>0.9</v>
      </c>
      <c r="U38" s="133">
        <v>0.868051049102315</v>
      </c>
      <c r="V38" s="133">
        <v>0.892380204241948</v>
      </c>
      <c r="W38" s="133">
        <v>0.86784140969163</v>
      </c>
      <c r="X38" s="133">
        <v>0.840722648318114</v>
      </c>
      <c r="Y38" s="135">
        <v>0.92</v>
      </c>
      <c r="Z38" s="135">
        <v>0.912460209185994</v>
      </c>
      <c r="AA38" s="135">
        <v>0.931140015302219</v>
      </c>
      <c r="AB38" s="135">
        <v>0.911764705882353</v>
      </c>
      <c r="AC38" s="135">
        <v>0.935718847634336</v>
      </c>
      <c r="AD38" s="135">
        <v>0.92</v>
      </c>
      <c r="AE38" s="133">
        <v>0.998866269039286</v>
      </c>
      <c r="AF38" s="133">
        <v>0.998328081795383</v>
      </c>
      <c r="AG38" s="133">
        <v>0.960834181078332</v>
      </c>
      <c r="AH38" s="133">
        <v>0.96568571708656</v>
      </c>
      <c r="AI38" s="135">
        <v>0.92</v>
      </c>
      <c r="AJ38" s="133">
        <v>0.935276515571318</v>
      </c>
      <c r="AK38" s="133">
        <v>0.953295277633627</v>
      </c>
      <c r="AL38" s="133">
        <v>0.955128205128205</v>
      </c>
      <c r="AM38" s="133">
        <v>0.956696382115231</v>
      </c>
      <c r="AN38" s="132">
        <v>0.99</v>
      </c>
      <c r="AO38" s="137">
        <v>1</v>
      </c>
      <c r="AP38" s="137">
        <v>1</v>
      </c>
      <c r="AQ38" s="137">
        <v>1</v>
      </c>
      <c r="AR38" s="137">
        <v>1</v>
      </c>
      <c r="AS38" s="139">
        <v>0.0872182100128262</v>
      </c>
      <c r="AT38" s="141">
        <v>0.235294117647059</v>
      </c>
      <c r="AU38" s="141">
        <v>0</v>
      </c>
      <c r="AV38" s="141">
        <v>0.142857142857143</v>
      </c>
      <c r="AW38" s="141">
        <v>0.0659340659340659</v>
      </c>
      <c r="AX38" s="95"/>
      <c r="AY38" s="93"/>
    </row>
    <row r="39" ht="15" spans="1:51">
      <c r="A39" s="91"/>
      <c r="B39" s="95"/>
      <c r="C39" s="128" t="s">
        <v>24</v>
      </c>
      <c r="D39" s="129" t="s">
        <v>25</v>
      </c>
      <c r="E39" s="130" t="s">
        <v>26</v>
      </c>
      <c r="F39" s="142" t="s">
        <v>58</v>
      </c>
      <c r="G39" s="142" t="s">
        <v>58</v>
      </c>
      <c r="H39" s="142" t="s">
        <v>58</v>
      </c>
      <c r="I39" s="142" t="s">
        <v>58</v>
      </c>
      <c r="J39" s="132">
        <v>0.9</v>
      </c>
      <c r="K39" s="133">
        <v>0.955882352941177</v>
      </c>
      <c r="L39" s="133">
        <v>0.932203389830508</v>
      </c>
      <c r="M39" s="134">
        <v>0.966101694915254</v>
      </c>
      <c r="N39" s="133">
        <v>0.941039565554694</v>
      </c>
      <c r="O39" s="135">
        <v>0.9</v>
      </c>
      <c r="P39" s="133">
        <v>0.997938144329897</v>
      </c>
      <c r="Q39" s="133">
        <v>1</v>
      </c>
      <c r="R39" s="133">
        <v>0.995292887029289</v>
      </c>
      <c r="S39" s="133">
        <v>0.995985918858217</v>
      </c>
      <c r="T39" s="135">
        <v>0.9</v>
      </c>
      <c r="U39" s="133">
        <v>0.902405498281787</v>
      </c>
      <c r="V39" s="133">
        <v>0.90485968514716</v>
      </c>
      <c r="W39" s="133">
        <v>0.848849372384937</v>
      </c>
      <c r="X39" s="133">
        <v>0.853040029309164</v>
      </c>
      <c r="Y39" s="135">
        <v>0.92</v>
      </c>
      <c r="Z39" s="135">
        <v>0.933038749150238</v>
      </c>
      <c r="AA39" s="135">
        <v>0.932642487046632</v>
      </c>
      <c r="AB39" s="135">
        <v>0.915966386554622</v>
      </c>
      <c r="AC39" s="135">
        <v>0.946243280410051</v>
      </c>
      <c r="AD39" s="135">
        <v>0.92</v>
      </c>
      <c r="AE39" s="133">
        <v>0.997923875432526</v>
      </c>
      <c r="AF39" s="133">
        <v>0.984042553191489</v>
      </c>
      <c r="AG39" s="133">
        <v>1</v>
      </c>
      <c r="AH39" s="133">
        <v>0.970752235665439</v>
      </c>
      <c r="AI39" s="135">
        <v>0.92</v>
      </c>
      <c r="AJ39" s="133">
        <v>0.948564593301435</v>
      </c>
      <c r="AK39" s="133">
        <v>0.953425884460367</v>
      </c>
      <c r="AL39" s="133">
        <v>0.939228529839884</v>
      </c>
      <c r="AM39" s="133">
        <v>0.962465340273386</v>
      </c>
      <c r="AN39" s="132">
        <v>0.99</v>
      </c>
      <c r="AO39" s="137">
        <v>1</v>
      </c>
      <c r="AP39" s="137">
        <v>1</v>
      </c>
      <c r="AQ39" s="137">
        <v>1</v>
      </c>
      <c r="AR39" s="137">
        <v>1</v>
      </c>
      <c r="AS39" s="139">
        <v>0.0872182100128262</v>
      </c>
      <c r="AT39" s="141">
        <v>0.04</v>
      </c>
      <c r="AU39" s="141">
        <v>0</v>
      </c>
      <c r="AV39" s="141">
        <v>0.05</v>
      </c>
      <c r="AW39" s="141">
        <v>0.0575815738963532</v>
      </c>
      <c r="AX39" s="95"/>
      <c r="AY39" s="93"/>
    </row>
    <row r="40" ht="15" spans="1:51">
      <c r="A40" s="91"/>
      <c r="B40" s="95"/>
      <c r="C40" s="128" t="s">
        <v>24</v>
      </c>
      <c r="D40" s="129" t="s">
        <v>25</v>
      </c>
      <c r="E40" s="130" t="s">
        <v>26</v>
      </c>
      <c r="F40" s="142" t="s">
        <v>59</v>
      </c>
      <c r="G40" s="142" t="s">
        <v>59</v>
      </c>
      <c r="H40" s="142" t="s">
        <v>59</v>
      </c>
      <c r="I40" s="142" t="s">
        <v>59</v>
      </c>
      <c r="J40" s="132">
        <v>0.9</v>
      </c>
      <c r="K40" s="133">
        <v>0.942528735632184</v>
      </c>
      <c r="L40" s="133">
        <v>0.976190476190476</v>
      </c>
      <c r="M40" s="134">
        <v>0.941176470588235</v>
      </c>
      <c r="N40" s="133">
        <v>0.940051020408163</v>
      </c>
      <c r="O40" s="135">
        <v>0.9</v>
      </c>
      <c r="P40" s="133">
        <v>0.983542039355993</v>
      </c>
      <c r="Q40" s="133">
        <v>0.986471251409245</v>
      </c>
      <c r="R40" s="133">
        <v>0.971569480707862</v>
      </c>
      <c r="S40" s="133">
        <v>0.971259641708391</v>
      </c>
      <c r="T40" s="135">
        <v>0.9</v>
      </c>
      <c r="U40" s="133">
        <v>0.859033989266547</v>
      </c>
      <c r="V40" s="133">
        <v>0.860954528372792</v>
      </c>
      <c r="W40" s="133">
        <v>0.748186829126777</v>
      </c>
      <c r="X40" s="133">
        <v>0.821645310044032</v>
      </c>
      <c r="Y40" s="135">
        <v>0.92</v>
      </c>
      <c r="Z40" s="135">
        <v>0.937786100707449</v>
      </c>
      <c r="AA40" s="135">
        <v>0.943287867910984</v>
      </c>
      <c r="AB40" s="135">
        <v>0.859427048634244</v>
      </c>
      <c r="AC40" s="135">
        <v>0.94021526877353</v>
      </c>
      <c r="AD40" s="135">
        <v>0.92</v>
      </c>
      <c r="AE40" s="133">
        <v>0.998486486486487</v>
      </c>
      <c r="AF40" s="133">
        <v>0.97636036036036</v>
      </c>
      <c r="AG40" s="133">
        <v>0.997581035316884</v>
      </c>
      <c r="AH40" s="133">
        <v>0.955973410866312</v>
      </c>
      <c r="AI40" s="135">
        <v>0.92</v>
      </c>
      <c r="AJ40" s="133">
        <v>0.948658782809345</v>
      </c>
      <c r="AK40" s="133">
        <v>0.948692649235323</v>
      </c>
      <c r="AL40" s="133">
        <v>0.887429264349232</v>
      </c>
      <c r="AM40" s="133">
        <v>0.955455902467663</v>
      </c>
      <c r="AN40" s="132">
        <v>0.99</v>
      </c>
      <c r="AO40" s="137">
        <v>1</v>
      </c>
      <c r="AP40" s="137">
        <v>1</v>
      </c>
      <c r="AQ40" s="137">
        <v>1</v>
      </c>
      <c r="AR40" s="137">
        <v>1</v>
      </c>
      <c r="AS40" s="139">
        <v>0.0872182100128262</v>
      </c>
      <c r="AT40" s="141">
        <v>0.0512820512820513</v>
      </c>
      <c r="AU40" s="141">
        <v>0.08</v>
      </c>
      <c r="AV40" s="141">
        <v>0.04</v>
      </c>
      <c r="AW40" s="141">
        <v>0.0626822157434402</v>
      </c>
      <c r="AX40" s="95"/>
      <c r="AY40" s="93"/>
    </row>
    <row r="41" ht="15" spans="1:51">
      <c r="A41" s="91"/>
      <c r="B41" s="95"/>
      <c r="C41" s="128" t="s">
        <v>24</v>
      </c>
      <c r="D41" s="129" t="s">
        <v>25</v>
      </c>
      <c r="E41" s="130" t="s">
        <v>26</v>
      </c>
      <c r="F41" s="142" t="s">
        <v>60</v>
      </c>
      <c r="G41" s="142" t="s">
        <v>60</v>
      </c>
      <c r="H41" s="142" t="s">
        <v>60</v>
      </c>
      <c r="I41" s="142" t="s">
        <v>60</v>
      </c>
      <c r="J41" s="132">
        <v>0.9</v>
      </c>
      <c r="K41" s="133">
        <v>1</v>
      </c>
      <c r="L41" s="133">
        <v>0.913385826771654</v>
      </c>
      <c r="M41" s="134">
        <v>0.961240310077519</v>
      </c>
      <c r="N41" s="133">
        <v>0.964655172413793</v>
      </c>
      <c r="O41" s="135">
        <v>0.9</v>
      </c>
      <c r="P41" s="133">
        <v>0.990621522810364</v>
      </c>
      <c r="Q41" s="133">
        <v>0.965485644471594</v>
      </c>
      <c r="R41" s="133">
        <v>0.99547397535831</v>
      </c>
      <c r="S41" s="133">
        <v>0.989812657205589</v>
      </c>
      <c r="T41" s="135">
        <v>0.9</v>
      </c>
      <c r="U41" s="133">
        <v>0.882689556509299</v>
      </c>
      <c r="V41" s="133">
        <v>0.874465485644472</v>
      </c>
      <c r="W41" s="133">
        <v>0.873271310032688</v>
      </c>
      <c r="X41" s="133">
        <v>0.896158084678607</v>
      </c>
      <c r="Y41" s="135">
        <v>0.92</v>
      </c>
      <c r="Z41" s="135">
        <v>0.94702409446306</v>
      </c>
      <c r="AA41" s="135">
        <v>0.946145723336853</v>
      </c>
      <c r="AB41" s="135">
        <v>0.922002328288708</v>
      </c>
      <c r="AC41" s="135">
        <v>0.957529927807731</v>
      </c>
      <c r="AD41" s="135">
        <v>0.92</v>
      </c>
      <c r="AE41" s="133">
        <v>0.918580850579941</v>
      </c>
      <c r="AF41" s="133">
        <v>0.995056497175141</v>
      </c>
      <c r="AG41" s="133">
        <v>0.977308294209703</v>
      </c>
      <c r="AH41" s="133">
        <v>0.979931006493507</v>
      </c>
      <c r="AI41" s="135">
        <v>0.92</v>
      </c>
      <c r="AJ41" s="133">
        <v>0.954371715241281</v>
      </c>
      <c r="AK41" s="133">
        <v>0.942917956656347</v>
      </c>
      <c r="AL41" s="133">
        <v>0.95189606741573</v>
      </c>
      <c r="AM41" s="133">
        <v>0.97086720210818</v>
      </c>
      <c r="AN41" s="132">
        <v>0.99</v>
      </c>
      <c r="AO41" s="137">
        <v>1</v>
      </c>
      <c r="AP41" s="137">
        <v>1</v>
      </c>
      <c r="AQ41" s="137">
        <v>1</v>
      </c>
      <c r="AR41" s="137">
        <v>1</v>
      </c>
      <c r="AS41" s="139">
        <v>0.0872182100128262</v>
      </c>
      <c r="AT41" s="141">
        <v>0</v>
      </c>
      <c r="AU41" s="141">
        <v>0.130434782608696</v>
      </c>
      <c r="AV41" s="141">
        <v>0.09375</v>
      </c>
      <c r="AW41" s="141">
        <v>0.0571791613722999</v>
      </c>
      <c r="AX41" s="95"/>
      <c r="AY41" s="93"/>
    </row>
    <row r="42" ht="15" spans="1:51">
      <c r="A42" s="91"/>
      <c r="B42" s="95"/>
      <c r="C42" s="128" t="s">
        <v>24</v>
      </c>
      <c r="D42" s="129" t="s">
        <v>25</v>
      </c>
      <c r="E42" s="130" t="s">
        <v>26</v>
      </c>
      <c r="F42" s="142" t="s">
        <v>61</v>
      </c>
      <c r="G42" s="142" t="s">
        <v>61</v>
      </c>
      <c r="H42" s="142" t="s">
        <v>61</v>
      </c>
      <c r="I42" s="142" t="s">
        <v>61</v>
      </c>
      <c r="J42" s="132">
        <v>0.9</v>
      </c>
      <c r="K42" s="133">
        <v>1</v>
      </c>
      <c r="L42" s="133">
        <v>0.992537313432836</v>
      </c>
      <c r="M42" s="134">
        <v>0.980952380952381</v>
      </c>
      <c r="N42" s="133">
        <v>0.973747016706444</v>
      </c>
      <c r="O42" s="135">
        <v>0.9</v>
      </c>
      <c r="P42" s="133">
        <v>0.998232014143887</v>
      </c>
      <c r="Q42" s="133">
        <v>0.991266375545852</v>
      </c>
      <c r="R42" s="133">
        <v>0.994210421241765</v>
      </c>
      <c r="S42" s="133">
        <v>0.99744528412294</v>
      </c>
      <c r="T42" s="135">
        <v>0.9</v>
      </c>
      <c r="U42" s="133">
        <v>0.909560723514212</v>
      </c>
      <c r="V42" s="133">
        <v>0.918668122270742</v>
      </c>
      <c r="W42" s="133">
        <v>0.857855859452985</v>
      </c>
      <c r="X42" s="133">
        <v>0.905411287847973</v>
      </c>
      <c r="Y42" s="135">
        <v>0.92</v>
      </c>
      <c r="Z42" s="135">
        <v>0.942665446782556</v>
      </c>
      <c r="AA42" s="135">
        <v>0.928462709284627</v>
      </c>
      <c r="AB42" s="135">
        <v>0.891476971942827</v>
      </c>
      <c r="AC42" s="135">
        <v>0.951999646568958</v>
      </c>
      <c r="AD42" s="135">
        <v>0.92</v>
      </c>
      <c r="AE42" s="133">
        <v>0.998726114649682</v>
      </c>
      <c r="AF42" s="133">
        <v>0.992859692966798</v>
      </c>
      <c r="AG42" s="133">
        <v>0.994133176884717</v>
      </c>
      <c r="AH42" s="133">
        <v>0.981340166380006</v>
      </c>
      <c r="AI42" s="135">
        <v>0.92</v>
      </c>
      <c r="AJ42" s="133">
        <v>0.953130616059234</v>
      </c>
      <c r="AK42" s="133">
        <v>0.954763171899947</v>
      </c>
      <c r="AL42" s="133">
        <v>0.933922619910158</v>
      </c>
      <c r="AM42" s="133">
        <v>0.968134726256015</v>
      </c>
      <c r="AN42" s="132">
        <v>0.99</v>
      </c>
      <c r="AO42" s="137">
        <v>1</v>
      </c>
      <c r="AP42" s="137">
        <v>1</v>
      </c>
      <c r="AQ42" s="137">
        <v>1</v>
      </c>
      <c r="AR42" s="137">
        <v>1</v>
      </c>
      <c r="AS42" s="139">
        <v>0.0872182100128262</v>
      </c>
      <c r="AT42" s="141">
        <v>0.0526315789473684</v>
      </c>
      <c r="AU42" s="141">
        <v>0.0263157894736842</v>
      </c>
      <c r="AV42" s="141">
        <v>0.0833333333333333</v>
      </c>
      <c r="AW42" s="141">
        <v>0.0456663560111836</v>
      </c>
      <c r="AX42" s="95"/>
      <c r="AY42" s="93"/>
    </row>
    <row r="43" ht="15" spans="1:51">
      <c r="A43" s="91"/>
      <c r="B43" s="95"/>
      <c r="C43" s="128" t="s">
        <v>24</v>
      </c>
      <c r="D43" s="129" t="s">
        <v>25</v>
      </c>
      <c r="E43" s="130" t="s">
        <v>26</v>
      </c>
      <c r="F43" s="142" t="s">
        <v>62</v>
      </c>
      <c r="G43" s="142" t="s">
        <v>62</v>
      </c>
      <c r="H43" s="142" t="s">
        <v>62</v>
      </c>
      <c r="I43" s="142" t="s">
        <v>62</v>
      </c>
      <c r="J43" s="132">
        <v>0.9</v>
      </c>
      <c r="K43" s="133" t="s">
        <v>35</v>
      </c>
      <c r="L43" s="133" t="s">
        <v>35</v>
      </c>
      <c r="M43" s="134" t="s">
        <v>35</v>
      </c>
      <c r="N43" s="133" t="s">
        <v>35</v>
      </c>
      <c r="O43" s="135">
        <v>0.9</v>
      </c>
      <c r="P43" s="133" t="s">
        <v>35</v>
      </c>
      <c r="Q43" s="133" t="s">
        <v>35</v>
      </c>
      <c r="R43" s="133" t="s">
        <v>35</v>
      </c>
      <c r="S43" s="133">
        <v>0.6</v>
      </c>
      <c r="T43" s="135">
        <v>0.9</v>
      </c>
      <c r="U43" s="133" t="s">
        <v>35</v>
      </c>
      <c r="V43" s="133" t="s">
        <v>35</v>
      </c>
      <c r="W43" s="133" t="s">
        <v>35</v>
      </c>
      <c r="X43" s="133">
        <v>1</v>
      </c>
      <c r="Y43" s="135">
        <v>0.92</v>
      </c>
      <c r="Z43" s="135" t="s">
        <v>35</v>
      </c>
      <c r="AA43" s="135" t="s">
        <v>35</v>
      </c>
      <c r="AB43" s="135" t="s">
        <v>35</v>
      </c>
      <c r="AC43" s="135">
        <v>1</v>
      </c>
      <c r="AD43" s="135">
        <v>0.92</v>
      </c>
      <c r="AE43" s="133" t="s">
        <v>35</v>
      </c>
      <c r="AF43" s="133" t="s">
        <v>35</v>
      </c>
      <c r="AG43" s="133" t="s">
        <v>35</v>
      </c>
      <c r="AH43" s="133">
        <v>0.947368421052632</v>
      </c>
      <c r="AI43" s="135">
        <v>0.92</v>
      </c>
      <c r="AJ43" s="133" t="s">
        <v>35</v>
      </c>
      <c r="AK43" s="133" t="s">
        <v>35</v>
      </c>
      <c r="AL43" s="133" t="s">
        <v>35</v>
      </c>
      <c r="AM43" s="133">
        <v>0.909090909090909</v>
      </c>
      <c r="AN43" s="132">
        <v>0.99</v>
      </c>
      <c r="AO43" s="137" t="s">
        <v>35</v>
      </c>
      <c r="AP43" s="137" t="s">
        <v>35</v>
      </c>
      <c r="AQ43" s="137" t="s">
        <v>35</v>
      </c>
      <c r="AR43" s="137">
        <v>1</v>
      </c>
      <c r="AS43" s="139">
        <v>0.0872182100128262</v>
      </c>
      <c r="AT43" s="141" t="s">
        <v>35</v>
      </c>
      <c r="AU43" s="141" t="s">
        <v>35</v>
      </c>
      <c r="AV43" s="141" t="s">
        <v>35</v>
      </c>
      <c r="AW43" s="141" t="s">
        <v>35</v>
      </c>
      <c r="AX43" s="95"/>
      <c r="AY43" s="93"/>
    </row>
    <row r="44" ht="15" spans="1:51">
      <c r="A44" s="91"/>
      <c r="B44" s="95"/>
      <c r="C44" s="128" t="s">
        <v>24</v>
      </c>
      <c r="D44" s="129" t="s">
        <v>25</v>
      </c>
      <c r="E44" s="130" t="s">
        <v>26</v>
      </c>
      <c r="F44" s="142" t="s">
        <v>63</v>
      </c>
      <c r="G44" s="142" t="s">
        <v>63</v>
      </c>
      <c r="H44" s="142" t="s">
        <v>63</v>
      </c>
      <c r="I44" s="142" t="s">
        <v>63</v>
      </c>
      <c r="J44" s="132">
        <v>0.9</v>
      </c>
      <c r="K44" s="133">
        <v>0.919354838709677</v>
      </c>
      <c r="L44" s="133">
        <v>0.859375</v>
      </c>
      <c r="M44" s="134">
        <v>0.884615384615385</v>
      </c>
      <c r="N44" s="133">
        <v>0.843478260869565</v>
      </c>
      <c r="O44" s="135">
        <v>0.9</v>
      </c>
      <c r="P44" s="133">
        <v>0.986579019446727</v>
      </c>
      <c r="Q44" s="133">
        <v>0.981385729058945</v>
      </c>
      <c r="R44" s="133">
        <v>0.932427725531174</v>
      </c>
      <c r="S44" s="133">
        <v>0.958337918974773</v>
      </c>
      <c r="T44" s="135">
        <v>0.9</v>
      </c>
      <c r="U44" s="133">
        <v>0.649137222678718</v>
      </c>
      <c r="V44" s="133">
        <v>0.72440537745605</v>
      </c>
      <c r="W44" s="133">
        <v>0.479623824451411</v>
      </c>
      <c r="X44" s="133">
        <v>0.568790735781454</v>
      </c>
      <c r="Y44" s="135">
        <v>0.92</v>
      </c>
      <c r="Z44" s="135">
        <v>0.922596320721972</v>
      </c>
      <c r="AA44" s="135">
        <v>0.876077586206897</v>
      </c>
      <c r="AB44" s="135">
        <v>0.814814814814815</v>
      </c>
      <c r="AC44" s="135">
        <v>0.872414712799748</v>
      </c>
      <c r="AD44" s="135">
        <v>0.92</v>
      </c>
      <c r="AE44" s="133">
        <v>0.923076923076923</v>
      </c>
      <c r="AF44" s="133">
        <v>1</v>
      </c>
      <c r="AG44" s="133">
        <v>0.777777777777778</v>
      </c>
      <c r="AH44" s="133">
        <v>0.688741721854305</v>
      </c>
      <c r="AI44" s="135">
        <v>0.92</v>
      </c>
      <c r="AJ44" s="133">
        <v>0.898652786282915</v>
      </c>
      <c r="AK44" s="133">
        <v>0.894828791055206</v>
      </c>
      <c r="AL44" s="133">
        <v>0.729804245933278</v>
      </c>
      <c r="AM44" s="133">
        <v>0.884018272263225</v>
      </c>
      <c r="AN44" s="132">
        <v>0.99</v>
      </c>
      <c r="AO44" s="137">
        <v>1</v>
      </c>
      <c r="AP44" s="137">
        <v>1</v>
      </c>
      <c r="AQ44" s="137">
        <v>1</v>
      </c>
      <c r="AR44" s="137">
        <v>1</v>
      </c>
      <c r="AS44" s="139">
        <v>0.0872182100128262</v>
      </c>
      <c r="AT44" s="141">
        <v>0.0303030303030303</v>
      </c>
      <c r="AU44" s="141">
        <v>0.0392156862745098</v>
      </c>
      <c r="AV44" s="141">
        <v>0.0652173913043478</v>
      </c>
      <c r="AW44" s="141">
        <v>0.0450643776824034</v>
      </c>
      <c r="AX44" s="95"/>
      <c r="AY44" s="93"/>
    </row>
    <row r="45" ht="15" spans="1:51">
      <c r="A45" s="91"/>
      <c r="B45" s="95"/>
      <c r="C45" s="128" t="s">
        <v>24</v>
      </c>
      <c r="D45" s="129" t="s">
        <v>25</v>
      </c>
      <c r="E45" s="130" t="s">
        <v>26</v>
      </c>
      <c r="F45" s="142" t="s">
        <v>64</v>
      </c>
      <c r="G45" s="142" t="s">
        <v>64</v>
      </c>
      <c r="H45" s="142" t="s">
        <v>64</v>
      </c>
      <c r="I45" s="142" t="s">
        <v>64</v>
      </c>
      <c r="J45" s="132">
        <v>0.9</v>
      </c>
      <c r="K45" s="133">
        <v>0.907692307692308</v>
      </c>
      <c r="L45" s="133">
        <v>0.909090909090909</v>
      </c>
      <c r="M45" s="134">
        <v>0.885714285714286</v>
      </c>
      <c r="N45" s="133">
        <v>0.893926432848589</v>
      </c>
      <c r="O45" s="135">
        <v>0.9</v>
      </c>
      <c r="P45" s="133">
        <v>0.893579248446592</v>
      </c>
      <c r="Q45" s="133">
        <v>0.49735374052353</v>
      </c>
      <c r="R45" s="133">
        <v>0.878201584669246</v>
      </c>
      <c r="S45" s="133">
        <v>0.843654859754524</v>
      </c>
      <c r="T45" s="135">
        <v>0.9</v>
      </c>
      <c r="U45" s="133">
        <v>0.869711016865569</v>
      </c>
      <c r="V45" s="133">
        <v>0.765269632384494</v>
      </c>
      <c r="W45" s="133">
        <v>0.876174682144831</v>
      </c>
      <c r="X45" s="133">
        <v>0.832029781430836</v>
      </c>
      <c r="Y45" s="135">
        <v>0.92</v>
      </c>
      <c r="Z45" s="135">
        <v>0.907694962042788</v>
      </c>
      <c r="AA45" s="135">
        <v>0.982001894537417</v>
      </c>
      <c r="AB45" s="135">
        <v>0.980260560600079</v>
      </c>
      <c r="AC45" s="135">
        <v>0.973093578369244</v>
      </c>
      <c r="AD45" s="135">
        <v>0.92</v>
      </c>
      <c r="AE45" s="133">
        <v>0.997059103002661</v>
      </c>
      <c r="AF45" s="133">
        <v>0.99039256140272</v>
      </c>
      <c r="AG45" s="133">
        <v>0.997543519852611</v>
      </c>
      <c r="AH45" s="133">
        <v>0.997213335836873</v>
      </c>
      <c r="AI45" s="135">
        <v>0.92</v>
      </c>
      <c r="AJ45" s="133">
        <v>0.93946807176013</v>
      </c>
      <c r="AK45" s="133">
        <v>0.968608541625664</v>
      </c>
      <c r="AL45" s="133">
        <v>0.94752040175769</v>
      </c>
      <c r="AM45" s="133">
        <v>0.976895037184476</v>
      </c>
      <c r="AN45" s="132">
        <v>0.99</v>
      </c>
      <c r="AO45" s="137">
        <v>1</v>
      </c>
      <c r="AP45" s="137">
        <v>1</v>
      </c>
      <c r="AQ45" s="137">
        <v>1</v>
      </c>
      <c r="AR45" s="137">
        <v>1</v>
      </c>
      <c r="AS45" s="139">
        <v>0.0872182100128262</v>
      </c>
      <c r="AT45" s="141">
        <v>0.107142857142857</v>
      </c>
      <c r="AU45" s="141">
        <v>0.0740740740740741</v>
      </c>
      <c r="AV45" s="141">
        <v>0</v>
      </c>
      <c r="AW45" s="141">
        <v>0.0576540755467197</v>
      </c>
      <c r="AX45" s="95"/>
      <c r="AY45" s="93"/>
    </row>
    <row r="46" ht="15" spans="1:51">
      <c r="A46" s="91"/>
      <c r="B46" s="95"/>
      <c r="C46" s="128" t="s">
        <v>24</v>
      </c>
      <c r="D46" s="129" t="s">
        <v>25</v>
      </c>
      <c r="E46" s="130" t="s">
        <v>26</v>
      </c>
      <c r="F46" s="142" t="s">
        <v>65</v>
      </c>
      <c r="G46" s="142" t="s">
        <v>65</v>
      </c>
      <c r="H46" s="142" t="s">
        <v>65</v>
      </c>
      <c r="I46" s="142" t="s">
        <v>65</v>
      </c>
      <c r="J46" s="132">
        <v>0.9</v>
      </c>
      <c r="K46" s="133" t="s">
        <v>35</v>
      </c>
      <c r="L46" s="133" t="s">
        <v>35</v>
      </c>
      <c r="M46" s="134" t="s">
        <v>35</v>
      </c>
      <c r="N46" s="133">
        <v>0.926694329183956</v>
      </c>
      <c r="O46" s="135">
        <v>0.9</v>
      </c>
      <c r="P46" s="133">
        <v>0.944547134935305</v>
      </c>
      <c r="Q46" s="133">
        <v>0.952941176470588</v>
      </c>
      <c r="R46" s="133">
        <v>0.972508591065292</v>
      </c>
      <c r="S46" s="133">
        <v>0.947569200720237</v>
      </c>
      <c r="T46" s="135">
        <v>0.9</v>
      </c>
      <c r="U46" s="133">
        <v>0.966728280961183</v>
      </c>
      <c r="V46" s="133">
        <v>0.979411764705882</v>
      </c>
      <c r="W46" s="133">
        <v>0.986254295532646</v>
      </c>
      <c r="X46" s="133">
        <v>0.788933988464003</v>
      </c>
      <c r="Y46" s="135">
        <v>0.92</v>
      </c>
      <c r="Z46" s="135">
        <v>0.996865203761755</v>
      </c>
      <c r="AA46" s="135">
        <v>0.993377483443709</v>
      </c>
      <c r="AB46" s="135">
        <v>0.984375</v>
      </c>
      <c r="AC46" s="135">
        <v>0.913239001567149</v>
      </c>
      <c r="AD46" s="135">
        <v>0.92</v>
      </c>
      <c r="AE46" s="133" t="s">
        <v>35</v>
      </c>
      <c r="AF46" s="133" t="s">
        <v>35</v>
      </c>
      <c r="AG46" s="133" t="s">
        <v>35</v>
      </c>
      <c r="AH46" s="133">
        <v>0.9709256622045</v>
      </c>
      <c r="AI46" s="135">
        <v>0.92</v>
      </c>
      <c r="AJ46" s="133">
        <v>0.993962678375412</v>
      </c>
      <c r="AK46" s="133">
        <v>0.981781376518219</v>
      </c>
      <c r="AL46" s="133">
        <v>0.97741273100616</v>
      </c>
      <c r="AM46" s="133">
        <v>0.945320839758036</v>
      </c>
      <c r="AN46" s="132">
        <v>0.99</v>
      </c>
      <c r="AO46" s="137" t="s">
        <v>35</v>
      </c>
      <c r="AP46" s="137" t="s">
        <v>35</v>
      </c>
      <c r="AQ46" s="137" t="s">
        <v>35</v>
      </c>
      <c r="AR46" s="137">
        <v>0.999323867478026</v>
      </c>
      <c r="AS46" s="139">
        <v>0.0872182100128262</v>
      </c>
      <c r="AT46" s="141" t="s">
        <v>35</v>
      </c>
      <c r="AU46" s="141" t="s">
        <v>35</v>
      </c>
      <c r="AV46" s="141">
        <v>0</v>
      </c>
      <c r="AW46" s="141">
        <v>0.0687203791469194</v>
      </c>
      <c r="AX46" s="95"/>
      <c r="AY46" s="93"/>
    </row>
    <row r="47" ht="15" spans="1:51">
      <c r="A47" s="91"/>
      <c r="B47" s="95"/>
      <c r="C47" s="128" t="s">
        <v>24</v>
      </c>
      <c r="D47" s="129" t="s">
        <v>25</v>
      </c>
      <c r="E47" s="130" t="s">
        <v>26</v>
      </c>
      <c r="F47" s="142" t="s">
        <v>66</v>
      </c>
      <c r="G47" s="142" t="s">
        <v>66</v>
      </c>
      <c r="H47" s="142" t="s">
        <v>66</v>
      </c>
      <c r="I47" s="142" t="s">
        <v>66</v>
      </c>
      <c r="J47" s="132">
        <v>0.9</v>
      </c>
      <c r="K47" s="133">
        <v>0.789473684210526</v>
      </c>
      <c r="L47" s="133">
        <v>0.82051282051282</v>
      </c>
      <c r="M47" s="134">
        <v>0.932584269662921</v>
      </c>
      <c r="N47" s="133">
        <v>0.883920505871725</v>
      </c>
      <c r="O47" s="135">
        <v>0.9</v>
      </c>
      <c r="P47" s="133">
        <v>0.959352606869286</v>
      </c>
      <c r="Q47" s="133">
        <v>0.95832317816232</v>
      </c>
      <c r="R47" s="133">
        <v>0.966006256517205</v>
      </c>
      <c r="S47" s="133">
        <v>0.944804642056579</v>
      </c>
      <c r="T47" s="135">
        <v>0.9</v>
      </c>
      <c r="U47" s="133">
        <v>0.771188534717074</v>
      </c>
      <c r="V47" s="133">
        <v>0.894954911040702</v>
      </c>
      <c r="W47" s="133">
        <v>0.815224191866528</v>
      </c>
      <c r="X47" s="133">
        <v>0.805110234656528</v>
      </c>
      <c r="Y47" s="135">
        <v>0.92</v>
      </c>
      <c r="Z47" s="135">
        <v>0.904492665036675</v>
      </c>
      <c r="AA47" s="135">
        <v>0.950328022492971</v>
      </c>
      <c r="AB47" s="135">
        <v>0.889899909008189</v>
      </c>
      <c r="AC47" s="135">
        <v>0.944920399352401</v>
      </c>
      <c r="AD47" s="135">
        <v>0.92</v>
      </c>
      <c r="AE47" s="133">
        <v>0.987544761015102</v>
      </c>
      <c r="AF47" s="133">
        <v>0.992895504715186</v>
      </c>
      <c r="AG47" s="133">
        <v>0.997117009643106</v>
      </c>
      <c r="AH47" s="133">
        <v>0.984340867308316</v>
      </c>
      <c r="AI47" s="135">
        <v>0.92</v>
      </c>
      <c r="AJ47" s="133">
        <v>0.925541362114899</v>
      </c>
      <c r="AK47" s="133">
        <v>0.963455682000321</v>
      </c>
      <c r="AL47" s="133">
        <v>0.918416916702386</v>
      </c>
      <c r="AM47" s="133">
        <v>0.960096020038965</v>
      </c>
      <c r="AN47" s="132">
        <v>0.99</v>
      </c>
      <c r="AO47" s="137">
        <v>1</v>
      </c>
      <c r="AP47" s="137">
        <v>1</v>
      </c>
      <c r="AQ47" s="137">
        <v>1</v>
      </c>
      <c r="AR47" s="137">
        <v>1</v>
      </c>
      <c r="AS47" s="139">
        <v>0.0872182100128262</v>
      </c>
      <c r="AT47" s="141">
        <v>0</v>
      </c>
      <c r="AU47" s="141">
        <v>0.0344827586206897</v>
      </c>
      <c r="AV47" s="141">
        <v>0.0344827586206897</v>
      </c>
      <c r="AW47" s="141">
        <v>0.067816091954023</v>
      </c>
      <c r="AX47" s="95"/>
      <c r="AY47" s="93"/>
    </row>
    <row r="48" ht="15" spans="1:51">
      <c r="A48" s="91"/>
      <c r="B48" s="95"/>
      <c r="C48" s="128" t="s">
        <v>24</v>
      </c>
      <c r="D48" s="129" t="s">
        <v>25</v>
      </c>
      <c r="E48" s="130" t="s">
        <v>26</v>
      </c>
      <c r="F48" s="142" t="s">
        <v>67</v>
      </c>
      <c r="G48" s="142" t="s">
        <v>67</v>
      </c>
      <c r="H48" s="142" t="s">
        <v>67</v>
      </c>
      <c r="I48" s="142" t="s">
        <v>67</v>
      </c>
      <c r="J48" s="132">
        <v>0.9</v>
      </c>
      <c r="K48" s="133">
        <v>1</v>
      </c>
      <c r="L48" s="133">
        <v>0.96969696969697</v>
      </c>
      <c r="M48" s="134">
        <v>0.966101694915254</v>
      </c>
      <c r="N48" s="133">
        <v>0.977561705310396</v>
      </c>
      <c r="O48" s="135">
        <v>0.9</v>
      </c>
      <c r="P48" s="133">
        <v>0.979142526071842</v>
      </c>
      <c r="Q48" s="133">
        <v>0.936349453978159</v>
      </c>
      <c r="R48" s="133">
        <v>0.971945464079706</v>
      </c>
      <c r="S48" s="133">
        <v>0.953702347115187</v>
      </c>
      <c r="T48" s="135">
        <v>0.9</v>
      </c>
      <c r="U48" s="133">
        <v>0.906803509352756</v>
      </c>
      <c r="V48" s="133">
        <v>0.925741029641186</v>
      </c>
      <c r="W48" s="133">
        <v>0.856581017304667</v>
      </c>
      <c r="X48" s="133">
        <v>0.865219132456218</v>
      </c>
      <c r="Y48" s="135">
        <v>0.92</v>
      </c>
      <c r="Z48" s="135">
        <v>0.939857727958612</v>
      </c>
      <c r="AA48" s="135">
        <v>0.942786069651741</v>
      </c>
      <c r="AB48" s="135">
        <v>0.941773504273504</v>
      </c>
      <c r="AC48" s="135">
        <v>0.957567688901961</v>
      </c>
      <c r="AD48" s="135">
        <v>0.92</v>
      </c>
      <c r="AE48" s="133">
        <v>0.711164445915749</v>
      </c>
      <c r="AF48" s="133">
        <v>0.971611136467367</v>
      </c>
      <c r="AG48" s="133">
        <v>0.903936926189118</v>
      </c>
      <c r="AH48" s="133">
        <v>0.958735188647974</v>
      </c>
      <c r="AI48" s="135">
        <v>0.92</v>
      </c>
      <c r="AJ48" s="133">
        <v>0.952902621722846</v>
      </c>
      <c r="AK48" s="133">
        <v>0.962185746935383</v>
      </c>
      <c r="AL48" s="133">
        <v>0.951468260946017</v>
      </c>
      <c r="AM48" s="133">
        <v>0.971150046107232</v>
      </c>
      <c r="AN48" s="132">
        <v>0.99</v>
      </c>
      <c r="AO48" s="137">
        <v>1</v>
      </c>
      <c r="AP48" s="137">
        <v>1</v>
      </c>
      <c r="AQ48" s="137">
        <v>1</v>
      </c>
      <c r="AR48" s="137">
        <v>1</v>
      </c>
      <c r="AS48" s="139">
        <v>0.0872182100128262</v>
      </c>
      <c r="AT48" s="141">
        <v>0</v>
      </c>
      <c r="AU48" s="141">
        <v>0.0344827586206897</v>
      </c>
      <c r="AV48" s="141">
        <v>0.0333333333333333</v>
      </c>
      <c r="AW48" s="141">
        <v>0.0419847328244275</v>
      </c>
      <c r="AX48" s="95"/>
      <c r="AY48" s="93"/>
    </row>
    <row r="49" ht="15" spans="1:51">
      <c r="A49" s="91"/>
      <c r="B49" s="95"/>
      <c r="C49" s="128" t="s">
        <v>24</v>
      </c>
      <c r="D49" s="129" t="s">
        <v>25</v>
      </c>
      <c r="E49" s="130" t="s">
        <v>26</v>
      </c>
      <c r="F49" s="142" t="s">
        <v>68</v>
      </c>
      <c r="G49" s="142" t="s">
        <v>68</v>
      </c>
      <c r="H49" s="142" t="s">
        <v>68</v>
      </c>
      <c r="I49" s="142" t="s">
        <v>68</v>
      </c>
      <c r="J49" s="132">
        <v>0.9</v>
      </c>
      <c r="K49" s="133">
        <v>0.905660377358491</v>
      </c>
      <c r="L49" s="133">
        <v>0.941176470588235</v>
      </c>
      <c r="M49" s="134">
        <v>0.911111111111111</v>
      </c>
      <c r="N49" s="133">
        <v>0.943455497382199</v>
      </c>
      <c r="O49" s="135">
        <v>0.9</v>
      </c>
      <c r="P49" s="133">
        <v>0.990587219343696</v>
      </c>
      <c r="Q49" s="133">
        <v>0.974136725849294</v>
      </c>
      <c r="R49" s="133">
        <v>0.83053500284576</v>
      </c>
      <c r="S49" s="133">
        <v>0.938684273874617</v>
      </c>
      <c r="T49" s="135">
        <v>0.9</v>
      </c>
      <c r="U49" s="133">
        <v>0.955699481865285</v>
      </c>
      <c r="V49" s="133">
        <v>0.956801342094226</v>
      </c>
      <c r="W49" s="133">
        <v>0.857142857142857</v>
      </c>
      <c r="X49" s="133">
        <v>0.916627119226934</v>
      </c>
      <c r="Y49" s="135">
        <v>0.92</v>
      </c>
      <c r="Z49" s="135">
        <v>0.961210974456008</v>
      </c>
      <c r="AA49" s="135">
        <v>0.985471558729377</v>
      </c>
      <c r="AB49" s="135">
        <v>0.872518747243052</v>
      </c>
      <c r="AC49" s="135">
        <v>0.969785804944345</v>
      </c>
      <c r="AD49" s="135">
        <v>0.92</v>
      </c>
      <c r="AE49" s="133">
        <v>0.992557756175608</v>
      </c>
      <c r="AF49" s="133">
        <v>0.970076952887117</v>
      </c>
      <c r="AG49" s="133">
        <v>0.990200217772938</v>
      </c>
      <c r="AH49" s="133">
        <v>0.981963360986985</v>
      </c>
      <c r="AI49" s="135">
        <v>0.92</v>
      </c>
      <c r="AJ49" s="133">
        <v>0.975284534702075</v>
      </c>
      <c r="AK49" s="133">
        <v>0.989836854774004</v>
      </c>
      <c r="AL49" s="133">
        <v>0.881020319930826</v>
      </c>
      <c r="AM49" s="133">
        <v>0.977346775156509</v>
      </c>
      <c r="AN49" s="132">
        <v>0.99</v>
      </c>
      <c r="AO49" s="137">
        <v>1</v>
      </c>
      <c r="AP49" s="137">
        <v>1</v>
      </c>
      <c r="AQ49" s="137">
        <v>1</v>
      </c>
      <c r="AR49" s="137">
        <v>1</v>
      </c>
      <c r="AS49" s="139">
        <v>0.0872182100128262</v>
      </c>
      <c r="AT49" s="141">
        <v>0.1</v>
      </c>
      <c r="AU49" s="141">
        <v>0.0384615384615385</v>
      </c>
      <c r="AV49" s="141">
        <v>0</v>
      </c>
      <c r="AW49" s="141">
        <v>0.0739030023094688</v>
      </c>
      <c r="AX49" s="95"/>
      <c r="AY49" s="93"/>
    </row>
    <row r="50" ht="15" spans="1:51">
      <c r="A50" s="91"/>
      <c r="B50" s="95"/>
      <c r="C50" s="128" t="s">
        <v>24</v>
      </c>
      <c r="D50" s="129" t="s">
        <v>25</v>
      </c>
      <c r="E50" s="130" t="s">
        <v>26</v>
      </c>
      <c r="F50" s="142" t="s">
        <v>69</v>
      </c>
      <c r="G50" s="142" t="s">
        <v>69</v>
      </c>
      <c r="H50" s="142" t="s">
        <v>69</v>
      </c>
      <c r="I50" s="142" t="s">
        <v>69</v>
      </c>
      <c r="J50" s="132">
        <v>0.9</v>
      </c>
      <c r="K50" s="133">
        <v>0.929133858267717</v>
      </c>
      <c r="L50" s="133">
        <v>0.983333333333333</v>
      </c>
      <c r="M50" s="134">
        <v>0.95</v>
      </c>
      <c r="N50" s="133">
        <v>0.934553775743707</v>
      </c>
      <c r="O50" s="135">
        <v>0.9</v>
      </c>
      <c r="P50" s="133">
        <v>0.948463611859838</v>
      </c>
      <c r="Q50" s="133">
        <v>0.961783439490446</v>
      </c>
      <c r="R50" s="133">
        <v>0.903431271830696</v>
      </c>
      <c r="S50" s="133">
        <v>0.901446518844787</v>
      </c>
      <c r="T50" s="135">
        <v>0.9</v>
      </c>
      <c r="U50" s="133">
        <v>0.773045822102426</v>
      </c>
      <c r="V50" s="133">
        <v>0.814107100731305</v>
      </c>
      <c r="W50" s="133">
        <v>0.702691596465995</v>
      </c>
      <c r="X50" s="133">
        <v>0.660662445567846</v>
      </c>
      <c r="Y50" s="135">
        <v>0.92</v>
      </c>
      <c r="Z50" s="135">
        <v>0.898648648648649</v>
      </c>
      <c r="AA50" s="135">
        <v>0.901719901719902</v>
      </c>
      <c r="AB50" s="135">
        <v>0.80709426627794</v>
      </c>
      <c r="AC50" s="135">
        <v>0.889016110240649</v>
      </c>
      <c r="AD50" s="135">
        <v>0.92</v>
      </c>
      <c r="AE50" s="133">
        <v>0.98876404494382</v>
      </c>
      <c r="AF50" s="133">
        <v>0.95360824742268</v>
      </c>
      <c r="AG50" s="133">
        <v>0.956521739130435</v>
      </c>
      <c r="AH50" s="133">
        <v>0.897276494967436</v>
      </c>
      <c r="AI50" s="135">
        <v>0.92</v>
      </c>
      <c r="AJ50" s="133">
        <v>0.926266222579534</v>
      </c>
      <c r="AK50" s="133">
        <v>0.944683564482704</v>
      </c>
      <c r="AL50" s="133">
        <v>0.86002886002886</v>
      </c>
      <c r="AM50" s="133">
        <v>0.92393122855711</v>
      </c>
      <c r="AN50" s="132">
        <v>0.99</v>
      </c>
      <c r="AO50" s="137">
        <v>1</v>
      </c>
      <c r="AP50" s="137">
        <v>1</v>
      </c>
      <c r="AQ50" s="137">
        <v>1</v>
      </c>
      <c r="AR50" s="137">
        <v>1</v>
      </c>
      <c r="AS50" s="139">
        <v>0.0872182100128262</v>
      </c>
      <c r="AT50" s="141">
        <v>0.0923076923076923</v>
      </c>
      <c r="AU50" s="141">
        <v>0.0416666666666667</v>
      </c>
      <c r="AV50" s="141">
        <v>0.162162162162162</v>
      </c>
      <c r="AW50" s="141">
        <v>0.0651242502142245</v>
      </c>
      <c r="AX50" s="95"/>
      <c r="AY50" s="93"/>
    </row>
    <row r="51" ht="15" spans="1:51">
      <c r="A51" s="91"/>
      <c r="B51" s="95"/>
      <c r="C51" s="128" t="s">
        <v>24</v>
      </c>
      <c r="D51" s="129" t="s">
        <v>25</v>
      </c>
      <c r="E51" s="130" t="s">
        <v>26</v>
      </c>
      <c r="F51" s="142" t="s">
        <v>70</v>
      </c>
      <c r="G51" s="142" t="s">
        <v>70</v>
      </c>
      <c r="H51" s="142" t="s">
        <v>70</v>
      </c>
      <c r="I51" s="142" t="s">
        <v>70</v>
      </c>
      <c r="J51" s="132">
        <v>0.9</v>
      </c>
      <c r="K51" s="133">
        <v>0.96078431372549</v>
      </c>
      <c r="L51" s="133">
        <v>0.989690721649485</v>
      </c>
      <c r="M51" s="134">
        <v>0.885057471264368</v>
      </c>
      <c r="N51" s="133">
        <v>0.924029262802476</v>
      </c>
      <c r="O51" s="135">
        <v>0.9</v>
      </c>
      <c r="P51" s="133">
        <v>0.964177750906892</v>
      </c>
      <c r="Q51" s="133">
        <v>0.979290869155946</v>
      </c>
      <c r="R51" s="133">
        <v>0.95647823911956</v>
      </c>
      <c r="S51" s="133">
        <v>0.9389415528258</v>
      </c>
      <c r="T51" s="135">
        <v>0.9</v>
      </c>
      <c r="U51" s="133">
        <v>0.863210399032648</v>
      </c>
      <c r="V51" s="133">
        <v>0.90241606526514</v>
      </c>
      <c r="W51" s="133">
        <v>0.835167583791896</v>
      </c>
      <c r="X51" s="133">
        <v>0.82060302773323</v>
      </c>
      <c r="Y51" s="135">
        <v>0.92</v>
      </c>
      <c r="Z51" s="135">
        <v>0.930275229357798</v>
      </c>
      <c r="AA51" s="135">
        <v>0.919225634178905</v>
      </c>
      <c r="AB51" s="135">
        <v>0.907625542467452</v>
      </c>
      <c r="AC51" s="135">
        <v>0.93740227115429</v>
      </c>
      <c r="AD51" s="135">
        <v>0.92</v>
      </c>
      <c r="AE51" s="133">
        <v>1</v>
      </c>
      <c r="AF51" s="133">
        <v>0.444444444444444</v>
      </c>
      <c r="AG51" s="133">
        <v>0.833333333333333</v>
      </c>
      <c r="AH51" s="133">
        <v>0.764705882352941</v>
      </c>
      <c r="AI51" s="135">
        <v>0.92</v>
      </c>
      <c r="AJ51" s="133">
        <v>0.947030370311633</v>
      </c>
      <c r="AK51" s="133">
        <v>0.949413020277481</v>
      </c>
      <c r="AL51" s="133">
        <v>0.947968638631504</v>
      </c>
      <c r="AM51" s="133">
        <v>0.960360780812467</v>
      </c>
      <c r="AN51" s="132">
        <v>0.99</v>
      </c>
      <c r="AO51" s="137">
        <v>1</v>
      </c>
      <c r="AP51" s="137">
        <v>1</v>
      </c>
      <c r="AQ51" s="137">
        <v>1</v>
      </c>
      <c r="AR51" s="137">
        <v>1</v>
      </c>
      <c r="AS51" s="139">
        <v>0.0872182100128262</v>
      </c>
      <c r="AT51" s="141">
        <v>0.0392156862745098</v>
      </c>
      <c r="AU51" s="141">
        <v>0.0540540540540541</v>
      </c>
      <c r="AV51" s="141">
        <v>0.05</v>
      </c>
      <c r="AW51" s="141">
        <v>0.0532030401737242</v>
      </c>
      <c r="AX51" s="95"/>
      <c r="AY51" s="93"/>
    </row>
    <row r="52" ht="15" spans="1:51">
      <c r="A52" s="91"/>
      <c r="B52" s="95"/>
      <c r="C52" s="128" t="s">
        <v>24</v>
      </c>
      <c r="D52" s="129" t="s">
        <v>25</v>
      </c>
      <c r="E52" s="130" t="s">
        <v>26</v>
      </c>
      <c r="F52" s="142" t="s">
        <v>71</v>
      </c>
      <c r="G52" s="142" t="s">
        <v>71</v>
      </c>
      <c r="H52" s="142" t="s">
        <v>71</v>
      </c>
      <c r="I52" s="142" t="s">
        <v>71</v>
      </c>
      <c r="J52" s="132">
        <v>0.9</v>
      </c>
      <c r="K52" s="133">
        <v>0.988888888888889</v>
      </c>
      <c r="L52" s="133">
        <v>0.964705882352941</v>
      </c>
      <c r="M52" s="134">
        <v>1</v>
      </c>
      <c r="N52" s="133">
        <v>0.975108898568762</v>
      </c>
      <c r="O52" s="135">
        <v>0.9</v>
      </c>
      <c r="P52" s="133">
        <v>0.995687796463993</v>
      </c>
      <c r="Q52" s="133">
        <v>0.993318485523385</v>
      </c>
      <c r="R52" s="133">
        <v>0.992332968236583</v>
      </c>
      <c r="S52" s="133">
        <v>0.993243167656699</v>
      </c>
      <c r="T52" s="135">
        <v>0.9</v>
      </c>
      <c r="U52" s="133">
        <v>0.915912031047865</v>
      </c>
      <c r="V52" s="133">
        <v>0.900668151447661</v>
      </c>
      <c r="W52" s="133">
        <v>0.898138006571741</v>
      </c>
      <c r="X52" s="133">
        <v>0.916859639113557</v>
      </c>
      <c r="Y52" s="135">
        <v>0.92</v>
      </c>
      <c r="Z52" s="135">
        <v>0.940484272459833</v>
      </c>
      <c r="AA52" s="135">
        <v>0.946564885496183</v>
      </c>
      <c r="AB52" s="135">
        <v>0.919906687402799</v>
      </c>
      <c r="AC52" s="135">
        <v>0.953888607677612</v>
      </c>
      <c r="AD52" s="135">
        <v>0.92</v>
      </c>
      <c r="AE52" s="133">
        <v>0.997455039022735</v>
      </c>
      <c r="AF52" s="133">
        <v>0.987484737484738</v>
      </c>
      <c r="AG52" s="133">
        <v>0.995746943115364</v>
      </c>
      <c r="AH52" s="133">
        <v>0.979187565718706</v>
      </c>
      <c r="AI52" s="135">
        <v>0.92</v>
      </c>
      <c r="AJ52" s="133">
        <v>0.953963347317289</v>
      </c>
      <c r="AK52" s="133">
        <v>0.959493670886076</v>
      </c>
      <c r="AL52" s="133">
        <v>0.943147964250248</v>
      </c>
      <c r="AM52" s="133">
        <v>0.968450049784268</v>
      </c>
      <c r="AN52" s="132">
        <v>0.99</v>
      </c>
      <c r="AO52" s="137">
        <v>1</v>
      </c>
      <c r="AP52" s="137">
        <v>1</v>
      </c>
      <c r="AQ52" s="137">
        <v>1</v>
      </c>
      <c r="AR52" s="137">
        <v>1</v>
      </c>
      <c r="AS52" s="139">
        <v>0.0872182100128262</v>
      </c>
      <c r="AT52" s="141">
        <v>0.0652173913043478</v>
      </c>
      <c r="AU52" s="141">
        <v>0.133333333333333</v>
      </c>
      <c r="AV52" s="141">
        <v>0.0952380952380952</v>
      </c>
      <c r="AW52" s="141">
        <v>0.0692235734331151</v>
      </c>
      <c r="AX52" s="95"/>
      <c r="AY52" s="93"/>
    </row>
    <row r="53" ht="15" spans="1:51">
      <c r="A53" s="91"/>
      <c r="B53" s="95"/>
      <c r="C53" s="128" t="s">
        <v>24</v>
      </c>
      <c r="D53" s="129" t="s">
        <v>25</v>
      </c>
      <c r="E53" s="130" t="s">
        <v>26</v>
      </c>
      <c r="F53" s="142" t="s">
        <v>72</v>
      </c>
      <c r="G53" s="142" t="s">
        <v>72</v>
      </c>
      <c r="H53" s="142" t="s">
        <v>72</v>
      </c>
      <c r="I53" s="142" t="s">
        <v>72</v>
      </c>
      <c r="J53" s="132">
        <v>0.9</v>
      </c>
      <c r="K53" s="133">
        <v>0.981818181818182</v>
      </c>
      <c r="L53" s="133">
        <v>0.942307692307692</v>
      </c>
      <c r="M53" s="134">
        <v>0.883720930232558</v>
      </c>
      <c r="N53" s="133">
        <v>0.953751284686536</v>
      </c>
      <c r="O53" s="135">
        <v>0.9</v>
      </c>
      <c r="P53" s="133">
        <v>0.982333010648596</v>
      </c>
      <c r="Q53" s="133">
        <v>0.977685521536066</v>
      </c>
      <c r="R53" s="133">
        <v>0.524894316580554</v>
      </c>
      <c r="S53" s="133">
        <v>0.930293855262091</v>
      </c>
      <c r="T53" s="135">
        <v>0.9</v>
      </c>
      <c r="U53" s="133">
        <v>0.866892545982575</v>
      </c>
      <c r="V53" s="133">
        <v>0.889465490399585</v>
      </c>
      <c r="W53" s="133">
        <v>0.898309065288868</v>
      </c>
      <c r="X53" s="133">
        <v>0.835608661566327</v>
      </c>
      <c r="Y53" s="135">
        <v>0.92</v>
      </c>
      <c r="Z53" s="135">
        <v>0.926683937823834</v>
      </c>
      <c r="AA53" s="135">
        <v>0.902163687676388</v>
      </c>
      <c r="AB53" s="135">
        <v>0.840886203423968</v>
      </c>
      <c r="AC53" s="135">
        <v>0.935880022637238</v>
      </c>
      <c r="AD53" s="135">
        <v>0.92</v>
      </c>
      <c r="AE53" s="133">
        <v>0.998700173310225</v>
      </c>
      <c r="AF53" s="133">
        <v>0.870495495495496</v>
      </c>
      <c r="AG53" s="133">
        <v>0.98659793814433</v>
      </c>
      <c r="AH53" s="133">
        <v>0.953512117481005</v>
      </c>
      <c r="AI53" s="135">
        <v>0.92</v>
      </c>
      <c r="AJ53" s="133">
        <v>0.947954460152634</v>
      </c>
      <c r="AK53" s="133">
        <v>0.929120695419592</v>
      </c>
      <c r="AL53" s="133">
        <v>0.928231486769465</v>
      </c>
      <c r="AM53" s="133">
        <v>0.953736654804271</v>
      </c>
      <c r="AN53" s="132">
        <v>0.99</v>
      </c>
      <c r="AO53" s="137">
        <v>1</v>
      </c>
      <c r="AP53" s="137">
        <v>1</v>
      </c>
      <c r="AQ53" s="137">
        <v>1</v>
      </c>
      <c r="AR53" s="137">
        <v>1</v>
      </c>
      <c r="AS53" s="139">
        <v>0.0872182100128262</v>
      </c>
      <c r="AT53" s="141">
        <v>0.0689655172413793</v>
      </c>
      <c r="AU53" s="141">
        <v>0</v>
      </c>
      <c r="AV53" s="141">
        <v>0.0869565217391304</v>
      </c>
      <c r="AW53" s="141">
        <v>0.0481540930979133</v>
      </c>
      <c r="AX53" s="95"/>
      <c r="AY53" s="93"/>
    </row>
    <row r="54" ht="15" spans="1:51">
      <c r="A54" s="91"/>
      <c r="B54" s="95"/>
      <c r="C54" s="128" t="s">
        <v>24</v>
      </c>
      <c r="D54" s="129" t="s">
        <v>25</v>
      </c>
      <c r="E54" s="130" t="s">
        <v>26</v>
      </c>
      <c r="F54" s="142" t="s">
        <v>73</v>
      </c>
      <c r="G54" s="142" t="s">
        <v>73</v>
      </c>
      <c r="H54" s="142" t="s">
        <v>73</v>
      </c>
      <c r="I54" s="142" t="s">
        <v>73</v>
      </c>
      <c r="J54" s="132">
        <v>0.9</v>
      </c>
      <c r="K54" s="133">
        <v>1</v>
      </c>
      <c r="L54" s="133">
        <v>1</v>
      </c>
      <c r="M54" s="134">
        <v>0.954545454545455</v>
      </c>
      <c r="N54" s="133">
        <v>0.946635730858469</v>
      </c>
      <c r="O54" s="135">
        <v>0.9</v>
      </c>
      <c r="P54" s="133">
        <v>0.961538461538462</v>
      </c>
      <c r="Q54" s="133">
        <v>0.968819599109131</v>
      </c>
      <c r="R54" s="133">
        <v>0.964321110009911</v>
      </c>
      <c r="S54" s="133">
        <v>0.950983159281212</v>
      </c>
      <c r="T54" s="135">
        <v>0.9</v>
      </c>
      <c r="U54" s="133">
        <v>0.905797101449275</v>
      </c>
      <c r="V54" s="133">
        <v>0.932071269487751</v>
      </c>
      <c r="W54" s="133">
        <v>0.934588701684836</v>
      </c>
      <c r="X54" s="133">
        <v>0.904255652773858</v>
      </c>
      <c r="Y54" s="135">
        <v>0.92</v>
      </c>
      <c r="Z54" s="135">
        <v>0.940600522193211</v>
      </c>
      <c r="AA54" s="135">
        <v>0.918518518518519</v>
      </c>
      <c r="AB54" s="135">
        <v>0.907035175879397</v>
      </c>
      <c r="AC54" s="135">
        <v>0.945036237171069</v>
      </c>
      <c r="AD54" s="135">
        <v>0.92</v>
      </c>
      <c r="AE54" s="133">
        <v>0.99741935483871</v>
      </c>
      <c r="AF54" s="133">
        <v>0.70417193426043</v>
      </c>
      <c r="AG54" s="133">
        <v>0.987405541561713</v>
      </c>
      <c r="AH54" s="133">
        <v>0.785403653040247</v>
      </c>
      <c r="AI54" s="135">
        <v>0.92</v>
      </c>
      <c r="AJ54" s="133">
        <v>0.956704750450992</v>
      </c>
      <c r="AK54" s="133">
        <v>0.95088257866462</v>
      </c>
      <c r="AL54" s="133">
        <v>0.952414772727273</v>
      </c>
      <c r="AM54" s="133">
        <v>0.967134360225713</v>
      </c>
      <c r="AN54" s="132">
        <v>0.99</v>
      </c>
      <c r="AO54" s="137">
        <v>1</v>
      </c>
      <c r="AP54" s="137">
        <v>1</v>
      </c>
      <c r="AQ54" s="137">
        <v>1</v>
      </c>
      <c r="AR54" s="137">
        <v>1</v>
      </c>
      <c r="AS54" s="139">
        <v>0.0872182100128262</v>
      </c>
      <c r="AT54" s="141">
        <v>0.0625</v>
      </c>
      <c r="AU54" s="141">
        <v>0.166666666666667</v>
      </c>
      <c r="AV54" s="141">
        <v>0</v>
      </c>
      <c r="AW54" s="141">
        <v>0.060126582278481</v>
      </c>
      <c r="AX54" s="95"/>
      <c r="AY54" s="93"/>
    </row>
    <row r="55" ht="15" spans="1:51">
      <c r="A55" s="91"/>
      <c r="B55" s="95"/>
      <c r="C55" s="128" t="s">
        <v>24</v>
      </c>
      <c r="D55" s="129" t="s">
        <v>25</v>
      </c>
      <c r="E55" s="130" t="s">
        <v>26</v>
      </c>
      <c r="F55" s="142" t="s">
        <v>74</v>
      </c>
      <c r="G55" s="142" t="s">
        <v>74</v>
      </c>
      <c r="H55" s="142" t="s">
        <v>74</v>
      </c>
      <c r="I55" s="142" t="s">
        <v>74</v>
      </c>
      <c r="J55" s="132">
        <v>0.9</v>
      </c>
      <c r="K55" s="133">
        <v>0.958333333333333</v>
      </c>
      <c r="L55" s="133">
        <v>0.944444444444444</v>
      </c>
      <c r="M55" s="134">
        <v>0.917808219178082</v>
      </c>
      <c r="N55" s="133">
        <v>0.927315357561547</v>
      </c>
      <c r="O55" s="135">
        <v>0.9</v>
      </c>
      <c r="P55" s="133">
        <v>0.987611968744044</v>
      </c>
      <c r="Q55" s="133">
        <v>0.989980732177264</v>
      </c>
      <c r="R55" s="133">
        <v>0.962688868331792</v>
      </c>
      <c r="S55" s="133">
        <v>0.948202524698134</v>
      </c>
      <c r="T55" s="135">
        <v>0.9</v>
      </c>
      <c r="U55" s="133">
        <v>0.919763674480656</v>
      </c>
      <c r="V55" s="133">
        <v>0.915221579961464</v>
      </c>
      <c r="W55" s="133">
        <v>0.8859081097749</v>
      </c>
      <c r="X55" s="133">
        <v>0.899678532225184</v>
      </c>
      <c r="Y55" s="135">
        <v>0.92</v>
      </c>
      <c r="Z55" s="135">
        <v>0.94501099780044</v>
      </c>
      <c r="AA55" s="135">
        <v>0.935595567867036</v>
      </c>
      <c r="AB55" s="135">
        <v>0.901675163874727</v>
      </c>
      <c r="AC55" s="135">
        <v>0.945791623518582</v>
      </c>
      <c r="AD55" s="135">
        <v>0.92</v>
      </c>
      <c r="AE55" s="133">
        <v>0.990500863557858</v>
      </c>
      <c r="AF55" s="133">
        <v>0.926605504587156</v>
      </c>
      <c r="AG55" s="133">
        <v>0.962648556876061</v>
      </c>
      <c r="AH55" s="133">
        <v>0.926135210123841</v>
      </c>
      <c r="AI55" s="135">
        <v>0.92</v>
      </c>
      <c r="AJ55" s="133">
        <v>0.958536585365854</v>
      </c>
      <c r="AK55" s="133">
        <v>0.957178217821782</v>
      </c>
      <c r="AL55" s="133">
        <v>0.935483870967742</v>
      </c>
      <c r="AM55" s="133">
        <v>0.964459105824207</v>
      </c>
      <c r="AN55" s="132">
        <v>0.99</v>
      </c>
      <c r="AO55" s="137">
        <v>1</v>
      </c>
      <c r="AP55" s="137">
        <v>1</v>
      </c>
      <c r="AQ55" s="137">
        <v>1</v>
      </c>
      <c r="AR55" s="137">
        <v>1</v>
      </c>
      <c r="AS55" s="139">
        <v>0.0872182100128262</v>
      </c>
      <c r="AT55" s="141">
        <v>0.0266666666666667</v>
      </c>
      <c r="AU55" s="141">
        <v>0.0434782608695652</v>
      </c>
      <c r="AV55" s="141">
        <v>0.0196078431372549</v>
      </c>
      <c r="AW55" s="141">
        <v>0.0418604651162791</v>
      </c>
      <c r="AX55" s="95"/>
      <c r="AY55" s="93"/>
    </row>
    <row r="56" ht="15" spans="1:51">
      <c r="A56" s="91"/>
      <c r="B56" s="95"/>
      <c r="C56" s="128" t="s">
        <v>24</v>
      </c>
      <c r="D56" s="129" t="s">
        <v>25</v>
      </c>
      <c r="E56" s="130" t="s">
        <v>26</v>
      </c>
      <c r="F56" s="142" t="s">
        <v>75</v>
      </c>
      <c r="G56" s="142" t="s">
        <v>75</v>
      </c>
      <c r="H56" s="142" t="s">
        <v>75</v>
      </c>
      <c r="I56" s="142" t="s">
        <v>75</v>
      </c>
      <c r="J56" s="132">
        <v>0.9</v>
      </c>
      <c r="K56" s="133">
        <v>1</v>
      </c>
      <c r="L56" s="133">
        <v>1</v>
      </c>
      <c r="M56" s="134">
        <v>1</v>
      </c>
      <c r="N56" s="133">
        <v>0.994019933554817</v>
      </c>
      <c r="O56" s="135">
        <v>0.9</v>
      </c>
      <c r="P56" s="133">
        <v>0.984372374390859</v>
      </c>
      <c r="Q56" s="133">
        <v>0.985157059026579</v>
      </c>
      <c r="R56" s="133">
        <v>0.975913621262459</v>
      </c>
      <c r="S56" s="133">
        <v>0.977874093942291</v>
      </c>
      <c r="T56" s="135">
        <v>0.9</v>
      </c>
      <c r="U56" s="133">
        <v>0.911443454881533</v>
      </c>
      <c r="V56" s="133">
        <v>0.920952709699689</v>
      </c>
      <c r="W56" s="133">
        <v>0.91140642303433</v>
      </c>
      <c r="X56" s="133">
        <v>0.908424364483466</v>
      </c>
      <c r="Y56" s="135">
        <v>0.92</v>
      </c>
      <c r="Z56" s="135">
        <v>0.937873573627966</v>
      </c>
      <c r="AA56" s="135">
        <v>0.933508887425938</v>
      </c>
      <c r="AB56" s="135">
        <v>0.902529761904762</v>
      </c>
      <c r="AC56" s="135">
        <v>0.938188854923297</v>
      </c>
      <c r="AD56" s="135">
        <v>0.92</v>
      </c>
      <c r="AE56" s="133">
        <v>0.995747696669029</v>
      </c>
      <c r="AF56" s="133">
        <v>0.997874924104432</v>
      </c>
      <c r="AG56" s="133">
        <v>0.997621474685695</v>
      </c>
      <c r="AH56" s="133">
        <v>0.97557713963964</v>
      </c>
      <c r="AI56" s="135">
        <v>0.92</v>
      </c>
      <c r="AJ56" s="133">
        <v>0.957374476987448</v>
      </c>
      <c r="AK56" s="133">
        <v>0.960597826086957</v>
      </c>
      <c r="AL56" s="133">
        <v>0.944948578342408</v>
      </c>
      <c r="AM56" s="133">
        <v>0.958391270599141</v>
      </c>
      <c r="AN56" s="132">
        <v>0.99</v>
      </c>
      <c r="AO56" s="137">
        <v>1</v>
      </c>
      <c r="AP56" s="137">
        <v>1</v>
      </c>
      <c r="AQ56" s="137">
        <v>1</v>
      </c>
      <c r="AR56" s="137">
        <v>1</v>
      </c>
      <c r="AS56" s="139">
        <v>0.0872182100128262</v>
      </c>
      <c r="AT56" s="141">
        <v>0</v>
      </c>
      <c r="AU56" s="141">
        <v>0.0277777777777778</v>
      </c>
      <c r="AV56" s="141">
        <v>0.148148148148148</v>
      </c>
      <c r="AW56" s="141">
        <v>0.0561797752808989</v>
      </c>
      <c r="AX56" s="95"/>
      <c r="AY56" s="93"/>
    </row>
    <row r="57" ht="15" spans="1:51">
      <c r="A57" s="91"/>
      <c r="B57" s="95"/>
      <c r="C57" s="128" t="s">
        <v>24</v>
      </c>
      <c r="D57" s="129" t="s">
        <v>25</v>
      </c>
      <c r="E57" s="130" t="s">
        <v>26</v>
      </c>
      <c r="F57" s="142" t="s">
        <v>76</v>
      </c>
      <c r="G57" s="142" t="s">
        <v>76</v>
      </c>
      <c r="H57" s="142" t="s">
        <v>76</v>
      </c>
      <c r="I57" s="142" t="s">
        <v>76</v>
      </c>
      <c r="J57" s="132">
        <v>0.9</v>
      </c>
      <c r="K57" s="133">
        <v>1</v>
      </c>
      <c r="L57" s="133">
        <v>0.986301369863014</v>
      </c>
      <c r="M57" s="134">
        <v>0.933333333333333</v>
      </c>
      <c r="N57" s="133">
        <v>0.966353677621283</v>
      </c>
      <c r="O57" s="135">
        <v>0.9</v>
      </c>
      <c r="P57" s="133">
        <v>0.973905109489051</v>
      </c>
      <c r="Q57" s="133">
        <v>0.979573712255773</v>
      </c>
      <c r="R57" s="133">
        <v>0.975860959124558</v>
      </c>
      <c r="S57" s="133">
        <v>0.973136384509414</v>
      </c>
      <c r="T57" s="135">
        <v>0.9</v>
      </c>
      <c r="U57" s="133">
        <v>0.927189781021898</v>
      </c>
      <c r="V57" s="133">
        <v>0.939905269390172</v>
      </c>
      <c r="W57" s="133">
        <v>0.904087544254908</v>
      </c>
      <c r="X57" s="133">
        <v>0.921224114932978</v>
      </c>
      <c r="Y57" s="135">
        <v>0.92</v>
      </c>
      <c r="Z57" s="135">
        <v>0.958837209302326</v>
      </c>
      <c r="AA57" s="135">
        <v>0.938682816048448</v>
      </c>
      <c r="AB57" s="135">
        <v>0.946351931330472</v>
      </c>
      <c r="AC57" s="135">
        <v>0.953947594354202</v>
      </c>
      <c r="AD57" s="135">
        <v>0.92</v>
      </c>
      <c r="AE57" s="133">
        <v>0.980187335434022</v>
      </c>
      <c r="AF57" s="133">
        <v>0.933835803530781</v>
      </c>
      <c r="AG57" s="133">
        <v>0.978269061675669</v>
      </c>
      <c r="AH57" s="133">
        <v>0.973927375667745</v>
      </c>
      <c r="AI57" s="135">
        <v>0.92</v>
      </c>
      <c r="AJ57" s="133">
        <v>0.969737245680401</v>
      </c>
      <c r="AK57" s="133">
        <v>0.96936170212766</v>
      </c>
      <c r="AL57" s="133">
        <v>0.959600443951165</v>
      </c>
      <c r="AM57" s="133">
        <v>0.971566355190125</v>
      </c>
      <c r="AN57" s="132">
        <v>0.99</v>
      </c>
      <c r="AO57" s="137">
        <v>1</v>
      </c>
      <c r="AP57" s="137">
        <v>1</v>
      </c>
      <c r="AQ57" s="137">
        <v>1</v>
      </c>
      <c r="AR57" s="137">
        <v>1</v>
      </c>
      <c r="AS57" s="139">
        <v>0.0872182100128262</v>
      </c>
      <c r="AT57" s="141">
        <v>0.0476190476190476</v>
      </c>
      <c r="AU57" s="141">
        <v>0.0689655172413793</v>
      </c>
      <c r="AV57" s="141">
        <v>0.0357142857142857</v>
      </c>
      <c r="AW57" s="141">
        <v>0.0349288486416559</v>
      </c>
      <c r="AX57" s="95"/>
      <c r="AY57" s="93"/>
    </row>
    <row r="58" ht="15" spans="1:51">
      <c r="A58" s="91"/>
      <c r="B58" s="95"/>
      <c r="C58" s="128" t="s">
        <v>24</v>
      </c>
      <c r="D58" s="129" t="s">
        <v>25</v>
      </c>
      <c r="E58" s="130" t="s">
        <v>26</v>
      </c>
      <c r="F58" s="142" t="s">
        <v>77</v>
      </c>
      <c r="G58" s="142" t="s">
        <v>77</v>
      </c>
      <c r="H58" s="142" t="s">
        <v>77</v>
      </c>
      <c r="I58" s="142" t="s">
        <v>77</v>
      </c>
      <c r="J58" s="132">
        <v>0.9</v>
      </c>
      <c r="K58" s="133">
        <v>0.96969696969697</v>
      </c>
      <c r="L58" s="133">
        <v>1</v>
      </c>
      <c r="M58" s="134">
        <v>1</v>
      </c>
      <c r="N58" s="133">
        <v>0.966129032258065</v>
      </c>
      <c r="O58" s="135">
        <v>0.9</v>
      </c>
      <c r="P58" s="133">
        <v>0.940622440622441</v>
      </c>
      <c r="Q58" s="133">
        <v>0.898795180722892</v>
      </c>
      <c r="R58" s="133">
        <v>0.539613716988569</v>
      </c>
      <c r="S58" s="133">
        <v>0.922364188301391</v>
      </c>
      <c r="T58" s="135">
        <v>0.9</v>
      </c>
      <c r="U58" s="133">
        <v>0.945945945945946</v>
      </c>
      <c r="V58" s="133">
        <v>0.957429718875502</v>
      </c>
      <c r="W58" s="133">
        <v>0.96570752857706</v>
      </c>
      <c r="X58" s="133">
        <v>0.92936432422636</v>
      </c>
      <c r="Y58" s="135">
        <v>0.92</v>
      </c>
      <c r="Z58" s="135">
        <v>0.959866220735786</v>
      </c>
      <c r="AA58" s="135">
        <v>0.955621301775148</v>
      </c>
      <c r="AB58" s="135">
        <v>0.910652920962199</v>
      </c>
      <c r="AC58" s="135">
        <v>0.96756671899529</v>
      </c>
      <c r="AD58" s="135">
        <v>0.92</v>
      </c>
      <c r="AE58" s="133">
        <v>0.998533724340176</v>
      </c>
      <c r="AF58" s="133">
        <v>0.978191148171905</v>
      </c>
      <c r="AG58" s="133">
        <v>0.990632318501171</v>
      </c>
      <c r="AH58" s="133">
        <v>0.979175063818353</v>
      </c>
      <c r="AI58" s="135">
        <v>0.92</v>
      </c>
      <c r="AJ58" s="133">
        <v>0.970030850594976</v>
      </c>
      <c r="AK58" s="133">
        <v>0.971904266389178</v>
      </c>
      <c r="AL58" s="133">
        <v>0.967307692307692</v>
      </c>
      <c r="AM58" s="133">
        <v>0.97620363062352</v>
      </c>
      <c r="AN58" s="132">
        <v>0.99</v>
      </c>
      <c r="AO58" s="137">
        <v>1</v>
      </c>
      <c r="AP58" s="137">
        <v>1</v>
      </c>
      <c r="AQ58" s="137">
        <v>1</v>
      </c>
      <c r="AR58" s="137">
        <v>1</v>
      </c>
      <c r="AS58" s="139">
        <v>0.0872182100128262</v>
      </c>
      <c r="AT58" s="141">
        <v>0</v>
      </c>
      <c r="AU58" s="141">
        <v>0</v>
      </c>
      <c r="AV58" s="141">
        <v>0</v>
      </c>
      <c r="AW58" s="141">
        <v>0.049645390070922</v>
      </c>
      <c r="AX58" s="95"/>
      <c r="AY58" s="93"/>
    </row>
    <row r="59" ht="15" spans="1:51">
      <c r="A59" s="91"/>
      <c r="B59" s="95"/>
      <c r="C59" s="128" t="s">
        <v>24</v>
      </c>
      <c r="D59" s="129" t="s">
        <v>25</v>
      </c>
      <c r="E59" s="130" t="s">
        <v>26</v>
      </c>
      <c r="F59" s="142" t="s">
        <v>78</v>
      </c>
      <c r="G59" s="142" t="s">
        <v>78</v>
      </c>
      <c r="H59" s="142" t="s">
        <v>78</v>
      </c>
      <c r="I59" s="142" t="s">
        <v>78</v>
      </c>
      <c r="J59" s="132">
        <v>0.9</v>
      </c>
      <c r="K59" s="133">
        <v>0.923076923076923</v>
      </c>
      <c r="L59" s="133">
        <v>0.95959595959596</v>
      </c>
      <c r="M59" s="134">
        <v>0.935064935064935</v>
      </c>
      <c r="N59" s="133">
        <v>0.904243743199129</v>
      </c>
      <c r="O59" s="135">
        <v>0.9</v>
      </c>
      <c r="P59" s="133">
        <v>0.979272074424678</v>
      </c>
      <c r="Q59" s="133">
        <v>0.978919631093544</v>
      </c>
      <c r="R59" s="133">
        <v>0.902051983584131</v>
      </c>
      <c r="S59" s="133">
        <v>0.952789981523301</v>
      </c>
      <c r="T59" s="135">
        <v>0.9</v>
      </c>
      <c r="U59" s="133">
        <v>0.7579565856047</v>
      </c>
      <c r="V59" s="133">
        <v>0.740777338603426</v>
      </c>
      <c r="W59" s="133">
        <v>0.59781121751026</v>
      </c>
      <c r="X59" s="133">
        <v>0.677388626565387</v>
      </c>
      <c r="Y59" s="135">
        <v>0.92</v>
      </c>
      <c r="Z59" s="135">
        <v>0.902483900643974</v>
      </c>
      <c r="AA59" s="135">
        <v>0.901554404145078</v>
      </c>
      <c r="AB59" s="135">
        <v>0.622015915119363</v>
      </c>
      <c r="AC59" s="135">
        <v>0.90939855610999</v>
      </c>
      <c r="AD59" s="135">
        <v>0.92</v>
      </c>
      <c r="AE59" s="133">
        <v>0.998549883990719</v>
      </c>
      <c r="AF59" s="133">
        <v>0.98664715566124</v>
      </c>
      <c r="AG59" s="133">
        <v>0.961820285383725</v>
      </c>
      <c r="AH59" s="133">
        <v>0.993626857617874</v>
      </c>
      <c r="AI59" s="135">
        <v>0.92</v>
      </c>
      <c r="AJ59" s="133">
        <v>0.928824699472455</v>
      </c>
      <c r="AK59" s="133">
        <v>0.938877974241432</v>
      </c>
      <c r="AL59" s="133">
        <v>0.743609604957397</v>
      </c>
      <c r="AM59" s="133">
        <v>0.937678174679666</v>
      </c>
      <c r="AN59" s="132">
        <v>0.99</v>
      </c>
      <c r="AO59" s="137">
        <v>1</v>
      </c>
      <c r="AP59" s="137">
        <v>1</v>
      </c>
      <c r="AQ59" s="137">
        <v>1</v>
      </c>
      <c r="AR59" s="137">
        <v>1</v>
      </c>
      <c r="AS59" s="139">
        <v>0.0872182100128262</v>
      </c>
      <c r="AT59" s="141">
        <v>0.02</v>
      </c>
      <c r="AU59" s="141">
        <v>0.131578947368421</v>
      </c>
      <c r="AV59" s="141">
        <v>0.0697674418604651</v>
      </c>
      <c r="AW59" s="141">
        <v>0.0631578947368421</v>
      </c>
      <c r="AX59" s="95"/>
      <c r="AY59" s="93"/>
    </row>
    <row r="60" ht="15" spans="1:51">
      <c r="A60" s="91"/>
      <c r="B60" s="95"/>
      <c r="C60" s="128" t="s">
        <v>24</v>
      </c>
      <c r="D60" s="129" t="s">
        <v>25</v>
      </c>
      <c r="E60" s="130" t="s">
        <v>26</v>
      </c>
      <c r="F60" s="142" t="s">
        <v>79</v>
      </c>
      <c r="G60" s="142" t="s">
        <v>79</v>
      </c>
      <c r="H60" s="142" t="s">
        <v>79</v>
      </c>
      <c r="I60" s="142" t="s">
        <v>79</v>
      </c>
      <c r="J60" s="132">
        <v>0.9</v>
      </c>
      <c r="K60" s="133">
        <v>0.936708860759494</v>
      </c>
      <c r="L60" s="133">
        <v>0.948717948717949</v>
      </c>
      <c r="M60" s="134">
        <v>0.890909090909091</v>
      </c>
      <c r="N60" s="133">
        <v>0.940158615717376</v>
      </c>
      <c r="O60" s="135">
        <v>0.9</v>
      </c>
      <c r="P60" s="133">
        <v>0.976428079834824</v>
      </c>
      <c r="Q60" s="133">
        <v>0.863402692778458</v>
      </c>
      <c r="R60" s="133">
        <v>0.938393297190734</v>
      </c>
      <c r="S60" s="133">
        <v>0.946410515672396</v>
      </c>
      <c r="T60" s="135">
        <v>0.9</v>
      </c>
      <c r="U60" s="133">
        <v>0.800757054370268</v>
      </c>
      <c r="V60" s="133">
        <v>0.817135862913097</v>
      </c>
      <c r="W60" s="133">
        <v>0.700344997535732</v>
      </c>
      <c r="X60" s="133">
        <v>0.748115448798573</v>
      </c>
      <c r="Y60" s="135">
        <v>0.92</v>
      </c>
      <c r="Z60" s="135">
        <v>0.945224968877823</v>
      </c>
      <c r="AA60" s="135">
        <v>0.92330383480826</v>
      </c>
      <c r="AB60" s="135">
        <v>0.924302788844621</v>
      </c>
      <c r="AC60" s="135">
        <v>0.951884322931815</v>
      </c>
      <c r="AD60" s="135">
        <v>0.92</v>
      </c>
      <c r="AE60" s="133">
        <v>0.989317738791423</v>
      </c>
      <c r="AF60" s="133">
        <v>0.983379319406123</v>
      </c>
      <c r="AG60" s="133">
        <v>0.992246959243189</v>
      </c>
      <c r="AH60" s="133">
        <v>0.986210422973083</v>
      </c>
      <c r="AI60" s="135">
        <v>0.92</v>
      </c>
      <c r="AJ60" s="133">
        <v>0.955753760055964</v>
      </c>
      <c r="AK60" s="133">
        <v>0.942051548175056</v>
      </c>
      <c r="AL60" s="133">
        <v>0.933791917454858</v>
      </c>
      <c r="AM60" s="133">
        <v>0.964583053924957</v>
      </c>
      <c r="AN60" s="132">
        <v>0.99</v>
      </c>
      <c r="AO60" s="137">
        <v>1</v>
      </c>
      <c r="AP60" s="137">
        <v>1</v>
      </c>
      <c r="AQ60" s="137">
        <v>1</v>
      </c>
      <c r="AR60" s="137">
        <v>1</v>
      </c>
      <c r="AS60" s="139">
        <v>0.0872182100128262</v>
      </c>
      <c r="AT60" s="141">
        <v>0.075</v>
      </c>
      <c r="AU60" s="141">
        <v>0.0555555555555556</v>
      </c>
      <c r="AV60" s="141">
        <v>0.0256410256410256</v>
      </c>
      <c r="AW60" s="141">
        <v>0.0502450980392157</v>
      </c>
      <c r="AX60" s="95"/>
      <c r="AY60" s="93"/>
    </row>
    <row r="61" ht="15" spans="1:51">
      <c r="A61" s="91"/>
      <c r="B61" s="95"/>
      <c r="C61" s="128" t="s">
        <v>24</v>
      </c>
      <c r="D61" s="129" t="s">
        <v>25</v>
      </c>
      <c r="E61" s="130" t="s">
        <v>26</v>
      </c>
      <c r="F61" s="142" t="s">
        <v>80</v>
      </c>
      <c r="G61" s="142" t="s">
        <v>80</v>
      </c>
      <c r="H61" s="142" t="s">
        <v>80</v>
      </c>
      <c r="I61" s="142" t="s">
        <v>80</v>
      </c>
      <c r="J61" s="132">
        <v>0.9</v>
      </c>
      <c r="K61" s="133">
        <v>0.938144329896907</v>
      </c>
      <c r="L61" s="133">
        <v>0.978260869565217</v>
      </c>
      <c r="M61" s="134">
        <v>0.914285714285714</v>
      </c>
      <c r="N61" s="133">
        <v>0.937780628608082</v>
      </c>
      <c r="O61" s="135">
        <v>0.9</v>
      </c>
      <c r="P61" s="133">
        <v>0.982315891472868</v>
      </c>
      <c r="Q61" s="133">
        <v>0.892152996845426</v>
      </c>
      <c r="R61" s="133">
        <v>0.954430379746835</v>
      </c>
      <c r="S61" s="133">
        <v>0.964885916425505</v>
      </c>
      <c r="T61" s="135">
        <v>0.9</v>
      </c>
      <c r="U61" s="133">
        <v>0.884811046511628</v>
      </c>
      <c r="V61" s="133">
        <v>0.911080441640379</v>
      </c>
      <c r="W61" s="133">
        <v>0.877330264672037</v>
      </c>
      <c r="X61" s="133">
        <v>0.848868091564437</v>
      </c>
      <c r="Y61" s="135">
        <v>0.92</v>
      </c>
      <c r="Z61" s="135">
        <v>0.941186134384754</v>
      </c>
      <c r="AA61" s="135">
        <v>0.939605110336818</v>
      </c>
      <c r="AB61" s="135">
        <v>0.91913903432228</v>
      </c>
      <c r="AC61" s="135">
        <v>0.954037364183538</v>
      </c>
      <c r="AD61" s="135">
        <v>0.92</v>
      </c>
      <c r="AE61" s="133">
        <v>0.987037037037037</v>
      </c>
      <c r="AF61" s="133">
        <v>0.945317840054682</v>
      </c>
      <c r="AG61" s="133">
        <v>0.989929401993355</v>
      </c>
      <c r="AH61" s="133">
        <v>0.973813443972983</v>
      </c>
      <c r="AI61" s="135">
        <v>0.92</v>
      </c>
      <c r="AJ61" s="133">
        <v>0.958658672615728</v>
      </c>
      <c r="AK61" s="133">
        <v>0.962761259935237</v>
      </c>
      <c r="AL61" s="133">
        <v>0.947073371805441</v>
      </c>
      <c r="AM61" s="133">
        <v>0.968048485996354</v>
      </c>
      <c r="AN61" s="132">
        <v>0.99</v>
      </c>
      <c r="AO61" s="137">
        <v>1</v>
      </c>
      <c r="AP61" s="137">
        <v>1</v>
      </c>
      <c r="AQ61" s="137">
        <v>1</v>
      </c>
      <c r="AR61" s="137">
        <v>0.999322187076367</v>
      </c>
      <c r="AS61" s="139">
        <v>0.0872182100128262</v>
      </c>
      <c r="AT61" s="141">
        <v>0.0655737704918033</v>
      </c>
      <c r="AU61" s="141">
        <v>0.0961538461538462</v>
      </c>
      <c r="AV61" s="141">
        <v>0.0909090909090909</v>
      </c>
      <c r="AW61" s="141">
        <v>0.0712303422756707</v>
      </c>
      <c r="AX61" s="95"/>
      <c r="AY61" s="93"/>
    </row>
    <row r="62" ht="15" spans="1:51">
      <c r="A62" s="91"/>
      <c r="B62" s="95"/>
      <c r="C62" s="128" t="s">
        <v>24</v>
      </c>
      <c r="D62" s="129" t="s">
        <v>81</v>
      </c>
      <c r="E62" s="130" t="s">
        <v>26</v>
      </c>
      <c r="F62" s="142" t="s">
        <v>82</v>
      </c>
      <c r="G62" s="142" t="s">
        <v>82</v>
      </c>
      <c r="H62" s="142" t="s">
        <v>82</v>
      </c>
      <c r="I62" s="142" t="s">
        <v>82</v>
      </c>
      <c r="J62" s="132">
        <v>0.9</v>
      </c>
      <c r="K62" s="133">
        <v>0.959183673469388</v>
      </c>
      <c r="L62" s="133">
        <v>0.918367346938776</v>
      </c>
      <c r="M62" s="134">
        <v>0.914285714285714</v>
      </c>
      <c r="N62" s="133">
        <v>0.837027379400261</v>
      </c>
      <c r="O62" s="135">
        <v>0.9</v>
      </c>
      <c r="P62" s="133">
        <v>0.976517946997652</v>
      </c>
      <c r="Q62" s="133">
        <v>0.957983193277311</v>
      </c>
      <c r="R62" s="133">
        <v>0.922471229557844</v>
      </c>
      <c r="S62" s="133">
        <v>0.972192106514503</v>
      </c>
      <c r="T62" s="135">
        <v>0.9</v>
      </c>
      <c r="U62" s="133">
        <v>0.813485407581349</v>
      </c>
      <c r="V62" s="133">
        <v>0.786414565826331</v>
      </c>
      <c r="W62" s="133">
        <v>0.586311326468807</v>
      </c>
      <c r="X62" s="133">
        <v>0.655805991440799</v>
      </c>
      <c r="Y62" s="135">
        <v>0.92</v>
      </c>
      <c r="Z62" s="135">
        <v>0.951269451269451</v>
      </c>
      <c r="AA62" s="135">
        <v>0.95583596214511</v>
      </c>
      <c r="AB62" s="135">
        <v>0.742759795570698</v>
      </c>
      <c r="AC62" s="135">
        <v>0.891029301277235</v>
      </c>
      <c r="AD62" s="135">
        <v>0.92</v>
      </c>
      <c r="AE62" s="133">
        <v>1</v>
      </c>
      <c r="AF62" s="133">
        <v>0.76027397260274</v>
      </c>
      <c r="AG62" s="133">
        <v>1</v>
      </c>
      <c r="AH62" s="133">
        <v>0.872636262513904</v>
      </c>
      <c r="AI62" s="135">
        <v>0.92</v>
      </c>
      <c r="AJ62" s="133">
        <v>0.96533284160059</v>
      </c>
      <c r="AK62" s="133">
        <v>0.969932104752667</v>
      </c>
      <c r="AL62" s="133">
        <v>0.773458445040214</v>
      </c>
      <c r="AM62" s="133">
        <v>0.911592042118995</v>
      </c>
      <c r="AN62" s="132">
        <v>0.99</v>
      </c>
      <c r="AO62" s="137">
        <v>1</v>
      </c>
      <c r="AP62" s="137">
        <v>1</v>
      </c>
      <c r="AQ62" s="137">
        <v>1</v>
      </c>
      <c r="AR62" s="137">
        <v>1</v>
      </c>
      <c r="AS62" s="139">
        <v>0.0872182100128262</v>
      </c>
      <c r="AT62" s="141">
        <v>0</v>
      </c>
      <c r="AU62" s="141">
        <v>0</v>
      </c>
      <c r="AV62" s="141">
        <v>0</v>
      </c>
      <c r="AW62" s="141">
        <v>0.0414201183431953</v>
      </c>
      <c r="AX62" s="95"/>
      <c r="AY62" s="93"/>
    </row>
    <row r="63" ht="15" spans="1:51">
      <c r="A63" s="91"/>
      <c r="B63" s="95"/>
      <c r="C63" s="128" t="s">
        <v>24</v>
      </c>
      <c r="D63" s="129" t="s">
        <v>25</v>
      </c>
      <c r="E63" s="130" t="s">
        <v>26</v>
      </c>
      <c r="F63" s="142" t="s">
        <v>83</v>
      </c>
      <c r="G63" s="142" t="s">
        <v>83</v>
      </c>
      <c r="H63" s="142" t="s">
        <v>83</v>
      </c>
      <c r="I63" s="142" t="s">
        <v>83</v>
      </c>
      <c r="J63" s="132">
        <v>0.9</v>
      </c>
      <c r="K63" s="133">
        <v>0.990196078431373</v>
      </c>
      <c r="L63" s="133">
        <v>0.989247311827957</v>
      </c>
      <c r="M63" s="134">
        <v>0.975308641975309</v>
      </c>
      <c r="N63" s="133">
        <v>0.927137119908204</v>
      </c>
      <c r="O63" s="135">
        <v>0.9</v>
      </c>
      <c r="P63" s="133">
        <v>0.9935161170804</v>
      </c>
      <c r="Q63" s="133">
        <v>0.995014245014245</v>
      </c>
      <c r="R63" s="133">
        <v>0.996983822319715</v>
      </c>
      <c r="S63" s="133">
        <v>0.98693559067237</v>
      </c>
      <c r="T63" s="135">
        <v>0.9</v>
      </c>
      <c r="U63" s="133">
        <v>0.893849573916265</v>
      </c>
      <c r="V63" s="133">
        <v>0.893162393162393</v>
      </c>
      <c r="W63" s="133">
        <v>0.892240197422539</v>
      </c>
      <c r="X63" s="133">
        <v>0.855888827245557</v>
      </c>
      <c r="Y63" s="135">
        <v>0.92</v>
      </c>
      <c r="Z63" s="135">
        <v>0.939650310208686</v>
      </c>
      <c r="AA63" s="135">
        <v>0.91497461928934</v>
      </c>
      <c r="AB63" s="135">
        <v>0.892927957699934</v>
      </c>
      <c r="AC63" s="135">
        <v>0.931622357568503</v>
      </c>
      <c r="AD63" s="135">
        <v>0.92</v>
      </c>
      <c r="AE63" s="133">
        <v>0.989473684210526</v>
      </c>
      <c r="AF63" s="133">
        <v>0.981765834932822</v>
      </c>
      <c r="AG63" s="133">
        <v>0.990491283676704</v>
      </c>
      <c r="AH63" s="133">
        <v>0.983817515160062</v>
      </c>
      <c r="AI63" s="135">
        <v>0.92</v>
      </c>
      <c r="AJ63" s="133">
        <v>0.953349505504758</v>
      </c>
      <c r="AK63" s="133">
        <v>0.948448905109489</v>
      </c>
      <c r="AL63" s="133">
        <v>0.941085271317829</v>
      </c>
      <c r="AM63" s="133">
        <v>0.956178375154433</v>
      </c>
      <c r="AN63" s="132">
        <v>0.99</v>
      </c>
      <c r="AO63" s="137">
        <v>1</v>
      </c>
      <c r="AP63" s="137">
        <v>1</v>
      </c>
      <c r="AQ63" s="137">
        <v>1</v>
      </c>
      <c r="AR63" s="137">
        <v>1</v>
      </c>
      <c r="AS63" s="139">
        <v>0.0872182100128262</v>
      </c>
      <c r="AT63" s="141">
        <v>0.0392156862745098</v>
      </c>
      <c r="AU63" s="141">
        <v>0.121212121212121</v>
      </c>
      <c r="AV63" s="141">
        <v>0.129032258064516</v>
      </c>
      <c r="AW63" s="141">
        <v>0.0720164609053498</v>
      </c>
      <c r="AX63" s="95"/>
      <c r="AY63" s="93"/>
    </row>
    <row r="64" ht="15" spans="1:51">
      <c r="A64" s="91"/>
      <c r="B64" s="95"/>
      <c r="C64" s="128" t="s">
        <v>24</v>
      </c>
      <c r="D64" s="129" t="s">
        <v>25</v>
      </c>
      <c r="E64" s="130" t="s">
        <v>26</v>
      </c>
      <c r="F64" s="142" t="s">
        <v>84</v>
      </c>
      <c r="G64" s="142" t="s">
        <v>84</v>
      </c>
      <c r="H64" s="142" t="s">
        <v>84</v>
      </c>
      <c r="I64" s="142" t="s">
        <v>84</v>
      </c>
      <c r="J64" s="132">
        <v>0.9</v>
      </c>
      <c r="K64" s="133">
        <v>0.944</v>
      </c>
      <c r="L64" s="133">
        <v>0.957264957264957</v>
      </c>
      <c r="M64" s="134">
        <v>0.927835051546392</v>
      </c>
      <c r="N64" s="133">
        <v>0.934601113172542</v>
      </c>
      <c r="O64" s="135">
        <v>0.9</v>
      </c>
      <c r="P64" s="133">
        <v>0.98172561141922</v>
      </c>
      <c r="Q64" s="133">
        <v>0.990818812066704</v>
      </c>
      <c r="R64" s="133">
        <v>0.985113692131523</v>
      </c>
      <c r="S64" s="133">
        <v>0.966747085699646</v>
      </c>
      <c r="T64" s="135">
        <v>0.9</v>
      </c>
      <c r="U64" s="133">
        <v>0.881443767615238</v>
      </c>
      <c r="V64" s="133">
        <v>0.916994566235713</v>
      </c>
      <c r="W64" s="133">
        <v>0.85768035334533</v>
      </c>
      <c r="X64" s="133">
        <v>0.801101669584525</v>
      </c>
      <c r="Y64" s="135">
        <v>0.92</v>
      </c>
      <c r="Z64" s="135">
        <v>0.942668136714443</v>
      </c>
      <c r="AA64" s="135">
        <v>0.951114692452323</v>
      </c>
      <c r="AB64" s="135">
        <v>0.918546365914787</v>
      </c>
      <c r="AC64" s="135">
        <v>0.945361655887972</v>
      </c>
      <c r="AD64" s="135">
        <v>0.92</v>
      </c>
      <c r="AE64" s="133">
        <v>0.927609306345891</v>
      </c>
      <c r="AF64" s="133">
        <v>0.952529688273132</v>
      </c>
      <c r="AG64" s="133">
        <v>0.995101733232856</v>
      </c>
      <c r="AH64" s="133">
        <v>0.974168876843854</v>
      </c>
      <c r="AI64" s="135">
        <v>0.92</v>
      </c>
      <c r="AJ64" s="133">
        <v>0.958850196781747</v>
      </c>
      <c r="AK64" s="133">
        <v>0.963138726409889</v>
      </c>
      <c r="AL64" s="133">
        <v>0.932944228274968</v>
      </c>
      <c r="AM64" s="133">
        <v>0.962514842159028</v>
      </c>
      <c r="AN64" s="132">
        <v>0.99</v>
      </c>
      <c r="AO64" s="137">
        <v>1</v>
      </c>
      <c r="AP64" s="137">
        <v>1</v>
      </c>
      <c r="AQ64" s="137">
        <v>1</v>
      </c>
      <c r="AR64" s="137">
        <v>0.999946036371486</v>
      </c>
      <c r="AS64" s="139">
        <v>0.0872182100128262</v>
      </c>
      <c r="AT64" s="141">
        <v>0.0657894736842105</v>
      </c>
      <c r="AU64" s="141">
        <v>0.09375</v>
      </c>
      <c r="AV64" s="141">
        <v>0.111111111111111</v>
      </c>
      <c r="AW64" s="141">
        <v>0.0690440060698027</v>
      </c>
      <c r="AX64" s="95"/>
      <c r="AY64" s="93"/>
    </row>
    <row r="65" ht="15" spans="1:51">
      <c r="A65" s="91"/>
      <c r="B65" s="95"/>
      <c r="C65" s="128" t="s">
        <v>24</v>
      </c>
      <c r="D65" s="129" t="s">
        <v>25</v>
      </c>
      <c r="E65" s="130" t="s">
        <v>26</v>
      </c>
      <c r="F65" s="142" t="s">
        <v>85</v>
      </c>
      <c r="G65" s="142" t="s">
        <v>85</v>
      </c>
      <c r="H65" s="142" t="s">
        <v>85</v>
      </c>
      <c r="I65" s="142" t="s">
        <v>85</v>
      </c>
      <c r="J65" s="132">
        <v>0.9</v>
      </c>
      <c r="K65" s="133">
        <v>0.8375</v>
      </c>
      <c r="L65" s="133">
        <v>0.846153846153846</v>
      </c>
      <c r="M65" s="134">
        <v>0.811594202898551</v>
      </c>
      <c r="N65" s="133">
        <v>0.822131704005431</v>
      </c>
      <c r="O65" s="135">
        <v>0.9</v>
      </c>
      <c r="P65" s="133">
        <v>0.983271737016145</v>
      </c>
      <c r="Q65" s="133">
        <v>0.980432972522898</v>
      </c>
      <c r="R65" s="133">
        <v>0.968335035750766</v>
      </c>
      <c r="S65" s="133">
        <v>0.947887672419125</v>
      </c>
      <c r="T65" s="135">
        <v>0.9</v>
      </c>
      <c r="U65" s="133">
        <v>0.756662127990663</v>
      </c>
      <c r="V65" s="133">
        <v>0.686094920899251</v>
      </c>
      <c r="W65" s="133">
        <v>0.58495062989445</v>
      </c>
      <c r="X65" s="133">
        <v>0.667048102100988</v>
      </c>
      <c r="Y65" s="135">
        <v>0.92</v>
      </c>
      <c r="Z65" s="135">
        <v>0.8928264604811</v>
      </c>
      <c r="AA65" s="135">
        <v>0.901806755695208</v>
      </c>
      <c r="AB65" s="135">
        <v>0.622372372372372</v>
      </c>
      <c r="AC65" s="135">
        <v>0.867627209090624</v>
      </c>
      <c r="AD65" s="135">
        <v>0.92</v>
      </c>
      <c r="AE65" s="133">
        <v>0.975439761035513</v>
      </c>
      <c r="AF65" s="133">
        <v>0.900166389351082</v>
      </c>
      <c r="AG65" s="133">
        <v>0.978151260504202</v>
      </c>
      <c r="AH65" s="133">
        <v>0.886799913724926</v>
      </c>
      <c r="AI65" s="135">
        <v>0.92</v>
      </c>
      <c r="AJ65" s="133">
        <v>0.91284824982141</v>
      </c>
      <c r="AK65" s="133">
        <v>0.926530612244898</v>
      </c>
      <c r="AL65" s="133">
        <v>0.724250936329588</v>
      </c>
      <c r="AM65" s="133">
        <v>0.899459345116997</v>
      </c>
      <c r="AN65" s="132">
        <v>0.99</v>
      </c>
      <c r="AO65" s="137">
        <v>1</v>
      </c>
      <c r="AP65" s="137">
        <v>1</v>
      </c>
      <c r="AQ65" s="137">
        <v>1</v>
      </c>
      <c r="AR65" s="137">
        <v>1</v>
      </c>
      <c r="AS65" s="139">
        <v>0.0872182100128262</v>
      </c>
      <c r="AT65" s="141">
        <v>0.19047619047619</v>
      </c>
      <c r="AU65" s="141">
        <v>0.0588235294117647</v>
      </c>
      <c r="AV65" s="141">
        <v>0.0285714285714286</v>
      </c>
      <c r="AW65" s="141">
        <v>0.0680851063829787</v>
      </c>
      <c r="AX65" s="95"/>
      <c r="AY65" s="93"/>
    </row>
    <row r="66" ht="15" spans="1:51">
      <c r="A66" s="91"/>
      <c r="B66" s="95"/>
      <c r="C66" s="128" t="s">
        <v>24</v>
      </c>
      <c r="D66" s="129" t="s">
        <v>25</v>
      </c>
      <c r="E66" s="130" t="s">
        <v>26</v>
      </c>
      <c r="F66" s="142" t="s">
        <v>86</v>
      </c>
      <c r="G66" s="142" t="s">
        <v>86</v>
      </c>
      <c r="H66" s="142" t="s">
        <v>86</v>
      </c>
      <c r="I66" s="142" t="s">
        <v>86</v>
      </c>
      <c r="J66" s="132">
        <v>0.9</v>
      </c>
      <c r="K66" s="133">
        <v>0.934426229508197</v>
      </c>
      <c r="L66" s="133">
        <v>0.949152542372881</v>
      </c>
      <c r="M66" s="134">
        <v>0.978260869565217</v>
      </c>
      <c r="N66" s="133">
        <v>0.946498054474708</v>
      </c>
      <c r="O66" s="135">
        <v>0.9</v>
      </c>
      <c r="P66" s="133">
        <v>0.974023852311714</v>
      </c>
      <c r="Q66" s="133">
        <v>0.920603015075377</v>
      </c>
      <c r="R66" s="133">
        <v>0.952289156626506</v>
      </c>
      <c r="S66" s="133">
        <v>0.968764289270726</v>
      </c>
      <c r="T66" s="135">
        <v>0.9</v>
      </c>
      <c r="U66" s="133">
        <v>0.91537330501552</v>
      </c>
      <c r="V66" s="133">
        <v>0.938190954773869</v>
      </c>
      <c r="W66" s="133">
        <v>0.852771084337349</v>
      </c>
      <c r="X66" s="133">
        <v>0.853017385914463</v>
      </c>
      <c r="Y66" s="135">
        <v>0.92</v>
      </c>
      <c r="Z66" s="135">
        <v>0.94177093358999</v>
      </c>
      <c r="AA66" s="135">
        <v>0.980789200415369</v>
      </c>
      <c r="AB66" s="135">
        <v>0.957425240750127</v>
      </c>
      <c r="AC66" s="135">
        <v>0.966705842847549</v>
      </c>
      <c r="AD66" s="135">
        <v>0.92</v>
      </c>
      <c r="AE66" s="133">
        <v>0.995731461500154</v>
      </c>
      <c r="AF66" s="133">
        <v>0.984239166500763</v>
      </c>
      <c r="AG66" s="133">
        <v>0.992152950955943</v>
      </c>
      <c r="AH66" s="133">
        <v>0.990046971483391</v>
      </c>
      <c r="AI66" s="135">
        <v>0.92</v>
      </c>
      <c r="AJ66" s="133">
        <v>0.955146915742362</v>
      </c>
      <c r="AK66" s="133">
        <v>0.977661194787612</v>
      </c>
      <c r="AL66" s="133">
        <v>0.937326587236821</v>
      </c>
      <c r="AM66" s="133">
        <v>0.973487556868874</v>
      </c>
      <c r="AN66" s="132">
        <v>0.99</v>
      </c>
      <c r="AO66" s="137">
        <v>1</v>
      </c>
      <c r="AP66" s="137">
        <v>1</v>
      </c>
      <c r="AQ66" s="137">
        <v>1</v>
      </c>
      <c r="AR66" s="137">
        <v>1</v>
      </c>
      <c r="AS66" s="139">
        <v>0.0872182100128262</v>
      </c>
      <c r="AT66" s="141">
        <v>0.0645161290322581</v>
      </c>
      <c r="AU66" s="141">
        <v>0.230769230769231</v>
      </c>
      <c r="AV66" s="141">
        <v>0.05</v>
      </c>
      <c r="AW66" s="141">
        <v>0.0624</v>
      </c>
      <c r="AX66" s="95"/>
      <c r="AY66" s="93"/>
    </row>
    <row r="67" ht="15" spans="1:51">
      <c r="A67" s="91"/>
      <c r="B67" s="95"/>
      <c r="C67" s="128" t="s">
        <v>24</v>
      </c>
      <c r="D67" s="129" t="s">
        <v>25</v>
      </c>
      <c r="E67" s="130" t="s">
        <v>26</v>
      </c>
      <c r="F67" s="142" t="s">
        <v>87</v>
      </c>
      <c r="G67" s="142" t="s">
        <v>87</v>
      </c>
      <c r="H67" s="142" t="s">
        <v>87</v>
      </c>
      <c r="I67" s="142" t="s">
        <v>87</v>
      </c>
      <c r="J67" s="132">
        <v>0.9</v>
      </c>
      <c r="K67" s="133" t="s">
        <v>35</v>
      </c>
      <c r="L67" s="133" t="s">
        <v>35</v>
      </c>
      <c r="M67" s="134" t="s">
        <v>35</v>
      </c>
      <c r="N67" s="133" t="s">
        <v>35</v>
      </c>
      <c r="O67" s="135">
        <v>0.9</v>
      </c>
      <c r="P67" s="133">
        <v>0</v>
      </c>
      <c r="Q67" s="133">
        <v>0</v>
      </c>
      <c r="R67" s="133">
        <v>0.5</v>
      </c>
      <c r="S67" s="133">
        <v>0.824165029469548</v>
      </c>
      <c r="T67" s="135">
        <v>0.9</v>
      </c>
      <c r="U67" s="133">
        <v>1</v>
      </c>
      <c r="V67" s="133">
        <v>1</v>
      </c>
      <c r="W67" s="133">
        <v>1</v>
      </c>
      <c r="X67" s="133">
        <v>0.947937131630648</v>
      </c>
      <c r="Y67" s="135">
        <v>0.92</v>
      </c>
      <c r="Z67" s="135">
        <v>1</v>
      </c>
      <c r="AA67" s="135">
        <v>1</v>
      </c>
      <c r="AB67" s="135">
        <v>1</v>
      </c>
      <c r="AC67" s="135">
        <v>0.971264367816092</v>
      </c>
      <c r="AD67" s="135">
        <v>0.92</v>
      </c>
      <c r="AE67" s="133" t="s">
        <v>35</v>
      </c>
      <c r="AF67" s="133" t="s">
        <v>35</v>
      </c>
      <c r="AG67" s="133" t="s">
        <v>35</v>
      </c>
      <c r="AH67" s="133">
        <v>0.833333333333333</v>
      </c>
      <c r="AI67" s="135">
        <v>0.92</v>
      </c>
      <c r="AJ67" s="133">
        <v>1</v>
      </c>
      <c r="AK67" s="133">
        <v>1</v>
      </c>
      <c r="AL67" s="133">
        <v>1</v>
      </c>
      <c r="AM67" s="133">
        <v>0.966494845360825</v>
      </c>
      <c r="AN67" s="132">
        <v>0.99</v>
      </c>
      <c r="AO67" s="137" t="s">
        <v>35</v>
      </c>
      <c r="AP67" s="137" t="s">
        <v>35</v>
      </c>
      <c r="AQ67" s="137" t="s">
        <v>35</v>
      </c>
      <c r="AR67" s="137">
        <v>1</v>
      </c>
      <c r="AS67" s="139">
        <v>0.0872182100128262</v>
      </c>
      <c r="AT67" s="141" t="s">
        <v>35</v>
      </c>
      <c r="AU67" s="141" t="s">
        <v>35</v>
      </c>
      <c r="AV67" s="141" t="s">
        <v>35</v>
      </c>
      <c r="AW67" s="141">
        <v>2</v>
      </c>
      <c r="AX67" s="95"/>
      <c r="AY67" s="93"/>
    </row>
    <row r="68" ht="15" spans="1:51">
      <c r="A68" s="91"/>
      <c r="B68" s="95"/>
      <c r="C68" s="128" t="s">
        <v>24</v>
      </c>
      <c r="D68" s="129" t="s">
        <v>25</v>
      </c>
      <c r="E68" s="130" t="s">
        <v>26</v>
      </c>
      <c r="F68" s="142" t="s">
        <v>88</v>
      </c>
      <c r="G68" s="142" t="s">
        <v>88</v>
      </c>
      <c r="H68" s="142" t="s">
        <v>88</v>
      </c>
      <c r="I68" s="142" t="s">
        <v>88</v>
      </c>
      <c r="J68" s="132">
        <v>0.9</v>
      </c>
      <c r="K68" s="133">
        <v>0.943820224719101</v>
      </c>
      <c r="L68" s="133">
        <v>0.939024390243902</v>
      </c>
      <c r="M68" s="134">
        <v>0.917647058823529</v>
      </c>
      <c r="N68" s="133">
        <v>0.930317848410758</v>
      </c>
      <c r="O68" s="135">
        <v>0.9</v>
      </c>
      <c r="P68" s="133">
        <v>0.996616651956458</v>
      </c>
      <c r="Q68" s="133">
        <v>0.995661605206074</v>
      </c>
      <c r="R68" s="133">
        <v>0.992109951641639</v>
      </c>
      <c r="S68" s="133">
        <v>0.975496320417852</v>
      </c>
      <c r="T68" s="135">
        <v>0.9</v>
      </c>
      <c r="U68" s="133">
        <v>0.842600764930862</v>
      </c>
      <c r="V68" s="133">
        <v>0.807561202355129</v>
      </c>
      <c r="W68" s="133">
        <v>0.740137439552049</v>
      </c>
      <c r="X68" s="133">
        <v>0.763491129506783</v>
      </c>
      <c r="Y68" s="135">
        <v>0.92</v>
      </c>
      <c r="Z68" s="135">
        <v>0.938734516237027</v>
      </c>
      <c r="AA68" s="135">
        <v>0.917682926829268</v>
      </c>
      <c r="AB68" s="135">
        <v>0.857495373226403</v>
      </c>
      <c r="AC68" s="135">
        <v>0.91562593292865</v>
      </c>
      <c r="AD68" s="135">
        <v>0.92</v>
      </c>
      <c r="AE68" s="133">
        <v>0.973482299098129</v>
      </c>
      <c r="AF68" s="133">
        <v>0.987670343932511</v>
      </c>
      <c r="AG68" s="133">
        <v>0.968331303288672</v>
      </c>
      <c r="AH68" s="133">
        <v>0.977518524735618</v>
      </c>
      <c r="AI68" s="135">
        <v>0.92</v>
      </c>
      <c r="AJ68" s="133">
        <v>0.947619793297839</v>
      </c>
      <c r="AK68" s="133">
        <v>0.940004109307582</v>
      </c>
      <c r="AL68" s="133">
        <v>0.876440922190202</v>
      </c>
      <c r="AM68" s="133">
        <v>0.934562437342592</v>
      </c>
      <c r="AN68" s="132">
        <v>0.99</v>
      </c>
      <c r="AO68" s="137">
        <v>1</v>
      </c>
      <c r="AP68" s="137">
        <v>1</v>
      </c>
      <c r="AQ68" s="137">
        <v>1</v>
      </c>
      <c r="AR68" s="137">
        <v>1</v>
      </c>
      <c r="AS68" s="139">
        <v>0.0872182100128262</v>
      </c>
      <c r="AT68" s="141">
        <v>0.0769230769230769</v>
      </c>
      <c r="AU68" s="141">
        <v>0.0810810810810811</v>
      </c>
      <c r="AV68" s="141">
        <v>0.191489361702128</v>
      </c>
      <c r="AW68" s="141">
        <v>0.0721357850070721</v>
      </c>
      <c r="AX68" s="95"/>
      <c r="AY68" s="93"/>
    </row>
    <row r="69" ht="15" spans="1:51">
      <c r="A69" s="91"/>
      <c r="B69" s="95"/>
      <c r="C69" s="128" t="s">
        <v>24</v>
      </c>
      <c r="D69" s="129" t="s">
        <v>25</v>
      </c>
      <c r="E69" s="130" t="s">
        <v>26</v>
      </c>
      <c r="F69" s="142" t="s">
        <v>89</v>
      </c>
      <c r="G69" s="142" t="s">
        <v>89</v>
      </c>
      <c r="H69" s="142" t="s">
        <v>89</v>
      </c>
      <c r="I69" s="142" t="s">
        <v>89</v>
      </c>
      <c r="J69" s="132">
        <v>0.9</v>
      </c>
      <c r="K69" s="133">
        <v>0.975609756097561</v>
      </c>
      <c r="L69" s="133">
        <v>0.899159663865546</v>
      </c>
      <c r="M69" s="134">
        <v>0.989010989010989</v>
      </c>
      <c r="N69" s="133">
        <v>0.974254742547426</v>
      </c>
      <c r="O69" s="135">
        <v>0.9</v>
      </c>
      <c r="P69" s="133">
        <v>0.98721521062121</v>
      </c>
      <c r="Q69" s="133">
        <v>0.99180586196029</v>
      </c>
      <c r="R69" s="133">
        <v>0.988539380638869</v>
      </c>
      <c r="S69" s="133">
        <v>0.972951293075788</v>
      </c>
      <c r="T69" s="135">
        <v>0.9</v>
      </c>
      <c r="U69" s="133">
        <v>0.866579249303393</v>
      </c>
      <c r="V69" s="133">
        <v>0.848723605420737</v>
      </c>
      <c r="W69" s="133">
        <v>0.752011704462326</v>
      </c>
      <c r="X69" s="133">
        <v>0.812728614515819</v>
      </c>
      <c r="Y69" s="135">
        <v>0.92</v>
      </c>
      <c r="Z69" s="135">
        <v>0.928306342780027</v>
      </c>
      <c r="AA69" s="135">
        <v>0.930880713489409</v>
      </c>
      <c r="AB69" s="135">
        <v>0.777777777777778</v>
      </c>
      <c r="AC69" s="135">
        <v>0.916795638816382</v>
      </c>
      <c r="AD69" s="135">
        <v>0.92</v>
      </c>
      <c r="AE69" s="133">
        <v>0.991931869116988</v>
      </c>
      <c r="AF69" s="133">
        <v>0.976218787158145</v>
      </c>
      <c r="AG69" s="133">
        <v>0.974293059125964</v>
      </c>
      <c r="AH69" s="133">
        <v>0.986170288311319</v>
      </c>
      <c r="AI69" s="135">
        <v>0.92</v>
      </c>
      <c r="AJ69" s="133">
        <v>0.94672539893617</v>
      </c>
      <c r="AK69" s="133">
        <v>0.956110328165895</v>
      </c>
      <c r="AL69" s="133">
        <v>0.842963970088375</v>
      </c>
      <c r="AM69" s="133">
        <v>0.942143753106288</v>
      </c>
      <c r="AN69" s="132">
        <v>0.99</v>
      </c>
      <c r="AO69" s="137">
        <v>1</v>
      </c>
      <c r="AP69" s="137">
        <v>1</v>
      </c>
      <c r="AQ69" s="137">
        <v>1</v>
      </c>
      <c r="AR69" s="137">
        <v>1</v>
      </c>
      <c r="AS69" s="139">
        <v>0.0872182100128262</v>
      </c>
      <c r="AT69" s="141">
        <v>0.0416666666666667</v>
      </c>
      <c r="AU69" s="141">
        <v>0.0684931506849315</v>
      </c>
      <c r="AV69" s="141">
        <v>0</v>
      </c>
      <c r="AW69" s="141">
        <v>0.0471760797342193</v>
      </c>
      <c r="AX69" s="95"/>
      <c r="AY69" s="93"/>
    </row>
    <row r="70" ht="15" spans="1:51">
      <c r="A70" s="91"/>
      <c r="B70" s="95"/>
      <c r="C70" s="128" t="s">
        <v>24</v>
      </c>
      <c r="D70" s="129" t="s">
        <v>25</v>
      </c>
      <c r="E70" s="130" t="s">
        <v>26</v>
      </c>
      <c r="F70" s="142" t="s">
        <v>90</v>
      </c>
      <c r="G70" s="142" t="s">
        <v>90</v>
      </c>
      <c r="H70" s="142" t="s">
        <v>90</v>
      </c>
      <c r="I70" s="142" t="s">
        <v>90</v>
      </c>
      <c r="J70" s="132">
        <v>0.9</v>
      </c>
      <c r="K70" s="133">
        <v>0.936305732484076</v>
      </c>
      <c r="L70" s="133">
        <v>0.974358974358974</v>
      </c>
      <c r="M70" s="134">
        <v>0.904347826086957</v>
      </c>
      <c r="N70" s="133">
        <v>0.952512998266898</v>
      </c>
      <c r="O70" s="135">
        <v>0.9</v>
      </c>
      <c r="P70" s="133">
        <v>0.977939801832118</v>
      </c>
      <c r="Q70" s="133">
        <v>0.986629250577748</v>
      </c>
      <c r="R70" s="133">
        <v>0.982067077344285</v>
      </c>
      <c r="S70" s="133">
        <v>0.970853856613037</v>
      </c>
      <c r="T70" s="135">
        <v>0.9</v>
      </c>
      <c r="U70" s="133">
        <v>0.882314451299308</v>
      </c>
      <c r="V70" s="133">
        <v>0.890392868933641</v>
      </c>
      <c r="W70" s="133">
        <v>0.794113620807666</v>
      </c>
      <c r="X70" s="133">
        <v>0.835725585012671</v>
      </c>
      <c r="Y70" s="135">
        <v>0.92</v>
      </c>
      <c r="Z70" s="135">
        <v>0.930219471018571</v>
      </c>
      <c r="AA70" s="135">
        <v>0.952292441140025</v>
      </c>
      <c r="AB70" s="135">
        <v>0.861994023363217</v>
      </c>
      <c r="AC70" s="135">
        <v>0.946716517010244</v>
      </c>
      <c r="AD70" s="135">
        <v>0.92</v>
      </c>
      <c r="AE70" s="133">
        <v>0.904273955508627</v>
      </c>
      <c r="AF70" s="133">
        <v>0.977593810240566</v>
      </c>
      <c r="AG70" s="133">
        <v>0.988651965591639</v>
      </c>
      <c r="AH70" s="133">
        <v>0.980644522328866</v>
      </c>
      <c r="AI70" s="135">
        <v>0.92</v>
      </c>
      <c r="AJ70" s="133">
        <v>0.951337826797386</v>
      </c>
      <c r="AK70" s="133">
        <v>0.965546942291128</v>
      </c>
      <c r="AL70" s="133">
        <v>0.893740902474527</v>
      </c>
      <c r="AM70" s="133">
        <v>0.963047335403333</v>
      </c>
      <c r="AN70" s="132">
        <v>0.99</v>
      </c>
      <c r="AO70" s="137">
        <v>1</v>
      </c>
      <c r="AP70" s="137">
        <v>1</v>
      </c>
      <c r="AQ70" s="137">
        <v>1</v>
      </c>
      <c r="AR70" s="137">
        <v>1</v>
      </c>
      <c r="AS70" s="139">
        <v>0.0872182100128262</v>
      </c>
      <c r="AT70" s="141">
        <v>0.128205128205128</v>
      </c>
      <c r="AU70" s="141">
        <v>0.0967741935483871</v>
      </c>
      <c r="AV70" s="141">
        <v>0.0545454545454545</v>
      </c>
      <c r="AW70" s="141">
        <v>0.0689655172413793</v>
      </c>
      <c r="AX70" s="95"/>
      <c r="AY70" s="93"/>
    </row>
    <row r="71" ht="15" spans="1:51">
      <c r="A71" s="91"/>
      <c r="B71" s="95"/>
      <c r="C71" s="128" t="s">
        <v>24</v>
      </c>
      <c r="D71" s="129" t="s">
        <v>25</v>
      </c>
      <c r="E71" s="130" t="s">
        <v>26</v>
      </c>
      <c r="F71" s="142" t="s">
        <v>91</v>
      </c>
      <c r="G71" s="142" t="s">
        <v>91</v>
      </c>
      <c r="H71" s="142" t="s">
        <v>91</v>
      </c>
      <c r="I71" s="142" t="s">
        <v>91</v>
      </c>
      <c r="J71" s="132">
        <v>0.9</v>
      </c>
      <c r="K71" s="133">
        <v>0.905405405405405</v>
      </c>
      <c r="L71" s="133">
        <v>0.972222222222222</v>
      </c>
      <c r="M71" s="134">
        <v>0.836363636363636</v>
      </c>
      <c r="N71" s="133">
        <v>0.923400673400673</v>
      </c>
      <c r="O71" s="135">
        <v>0.9</v>
      </c>
      <c r="P71" s="133">
        <v>0.971591720199857</v>
      </c>
      <c r="Q71" s="133">
        <v>0.880748786688237</v>
      </c>
      <c r="R71" s="133">
        <v>0.931111111111111</v>
      </c>
      <c r="S71" s="133">
        <v>0.95340587015655</v>
      </c>
      <c r="T71" s="135">
        <v>0.9</v>
      </c>
      <c r="U71" s="133">
        <v>0.922626695217702</v>
      </c>
      <c r="V71" s="133">
        <v>0.923041368153455</v>
      </c>
      <c r="W71" s="133">
        <v>0.861481481481482</v>
      </c>
      <c r="X71" s="133">
        <v>0.846388693386087</v>
      </c>
      <c r="Y71" s="135">
        <v>0.92</v>
      </c>
      <c r="Z71" s="135">
        <v>0.947730694773069</v>
      </c>
      <c r="AA71" s="135">
        <v>0.968109339407745</v>
      </c>
      <c r="AB71" s="135">
        <v>0.963696369636964</v>
      </c>
      <c r="AC71" s="135">
        <v>0.949228163876767</v>
      </c>
      <c r="AD71" s="135">
        <v>0.92</v>
      </c>
      <c r="AE71" s="133">
        <v>0.887619899994163</v>
      </c>
      <c r="AF71" s="133">
        <v>0.858930784209595</v>
      </c>
      <c r="AG71" s="133">
        <v>0.995585501858736</v>
      </c>
      <c r="AH71" s="133">
        <v>0.904775376258911</v>
      </c>
      <c r="AI71" s="135">
        <v>0.92</v>
      </c>
      <c r="AJ71" s="133">
        <v>0.966540837336994</v>
      </c>
      <c r="AK71" s="133">
        <v>0.978303747534517</v>
      </c>
      <c r="AL71" s="133">
        <v>0.955025553662692</v>
      </c>
      <c r="AM71" s="133">
        <v>0.968377453628669</v>
      </c>
      <c r="AN71" s="132">
        <v>0.99</v>
      </c>
      <c r="AO71" s="137">
        <v>1</v>
      </c>
      <c r="AP71" s="137">
        <v>1</v>
      </c>
      <c r="AQ71" s="137">
        <v>1</v>
      </c>
      <c r="AR71" s="137">
        <v>1</v>
      </c>
      <c r="AS71" s="139">
        <v>0.0872182100128262</v>
      </c>
      <c r="AT71" s="141">
        <v>0.032258064516129</v>
      </c>
      <c r="AU71" s="141">
        <v>0.15</v>
      </c>
      <c r="AV71" s="141">
        <v>0.138888888888889</v>
      </c>
      <c r="AW71" s="141">
        <v>0.0791457286432161</v>
      </c>
      <c r="AX71" s="95"/>
      <c r="AY71" s="93"/>
    </row>
    <row r="72" ht="15" spans="1:51">
      <c r="A72" s="91"/>
      <c r="B72" s="95"/>
      <c r="C72" s="128" t="s">
        <v>24</v>
      </c>
      <c r="D72" s="129" t="s">
        <v>25</v>
      </c>
      <c r="E72" s="130" t="s">
        <v>26</v>
      </c>
      <c r="F72" s="142" t="s">
        <v>92</v>
      </c>
      <c r="G72" s="142" t="s">
        <v>92</v>
      </c>
      <c r="H72" s="142" t="s">
        <v>92</v>
      </c>
      <c r="I72" s="142" t="s">
        <v>92</v>
      </c>
      <c r="J72" s="132">
        <v>0.9</v>
      </c>
      <c r="K72" s="133">
        <v>0.871287128712871</v>
      </c>
      <c r="L72" s="133">
        <v>0.827956989247312</v>
      </c>
      <c r="M72" s="134">
        <v>0.833333333333333</v>
      </c>
      <c r="N72" s="133">
        <v>0.840728100113766</v>
      </c>
      <c r="O72" s="135">
        <v>0.9</v>
      </c>
      <c r="P72" s="133">
        <v>0.957069991499008</v>
      </c>
      <c r="Q72" s="133">
        <v>0.960698689956332</v>
      </c>
      <c r="R72" s="133">
        <v>0.94733257661748</v>
      </c>
      <c r="S72" s="133">
        <v>0.858945332957338</v>
      </c>
      <c r="T72" s="135">
        <v>0.9</v>
      </c>
      <c r="U72" s="133">
        <v>0.732785491640691</v>
      </c>
      <c r="V72" s="133">
        <v>0.712081513828239</v>
      </c>
      <c r="W72" s="133">
        <v>0.634960272417707</v>
      </c>
      <c r="X72" s="133">
        <v>0.651839020263465</v>
      </c>
      <c r="Y72" s="135">
        <v>0.92</v>
      </c>
      <c r="Z72" s="135">
        <v>0.836391699536958</v>
      </c>
      <c r="AA72" s="135">
        <v>0.865847414234511</v>
      </c>
      <c r="AB72" s="135">
        <v>0.700371057513915</v>
      </c>
      <c r="AC72" s="135">
        <v>0.860211550030078</v>
      </c>
      <c r="AD72" s="135">
        <v>0.92</v>
      </c>
      <c r="AE72" s="133">
        <v>0.953441621100032</v>
      </c>
      <c r="AF72" s="133">
        <v>0.883474219513017</v>
      </c>
      <c r="AG72" s="133">
        <v>0.990817740817741</v>
      </c>
      <c r="AH72" s="133">
        <v>0.907450192342989</v>
      </c>
      <c r="AI72" s="135">
        <v>0.92</v>
      </c>
      <c r="AJ72" s="133">
        <v>0.881768813033359</v>
      </c>
      <c r="AK72" s="133">
        <v>0.904788418708241</v>
      </c>
      <c r="AL72" s="133">
        <v>0.771176112126752</v>
      </c>
      <c r="AM72" s="133">
        <v>0.896379586812928</v>
      </c>
      <c r="AN72" s="132">
        <v>0.99</v>
      </c>
      <c r="AO72" s="137">
        <v>1</v>
      </c>
      <c r="AP72" s="137">
        <v>1</v>
      </c>
      <c r="AQ72" s="137">
        <v>1</v>
      </c>
      <c r="AR72" s="137">
        <v>1</v>
      </c>
      <c r="AS72" s="139">
        <v>0.0872182100128262</v>
      </c>
      <c r="AT72" s="141">
        <v>0.0256410256410256</v>
      </c>
      <c r="AU72" s="141">
        <v>0.0909090909090909</v>
      </c>
      <c r="AV72" s="141">
        <v>0.0869565217391304</v>
      </c>
      <c r="AW72" s="141">
        <v>0.0592991913746631</v>
      </c>
      <c r="AX72" s="95"/>
      <c r="AY72" s="93"/>
    </row>
    <row r="73" ht="15" spans="1:51">
      <c r="A73" s="91"/>
      <c r="B73" s="95"/>
      <c r="C73" s="128" t="s">
        <v>24</v>
      </c>
      <c r="D73" s="129" t="s">
        <v>25</v>
      </c>
      <c r="E73" s="130" t="s">
        <v>26</v>
      </c>
      <c r="F73" s="142" t="s">
        <v>93</v>
      </c>
      <c r="G73" s="142" t="s">
        <v>93</v>
      </c>
      <c r="H73" s="142" t="s">
        <v>93</v>
      </c>
      <c r="I73" s="142" t="s">
        <v>93</v>
      </c>
      <c r="J73" s="132">
        <v>0.9</v>
      </c>
      <c r="K73" s="133">
        <v>0.986206896551724</v>
      </c>
      <c r="L73" s="133">
        <v>0.959459459459459</v>
      </c>
      <c r="M73" s="134">
        <v>0.953125</v>
      </c>
      <c r="N73" s="133">
        <v>0.917963224893918</v>
      </c>
      <c r="O73" s="135">
        <v>0.9</v>
      </c>
      <c r="P73" s="133">
        <v>0.948560513030427</v>
      </c>
      <c r="Q73" s="133">
        <v>0.946660259490629</v>
      </c>
      <c r="R73" s="133">
        <v>0.953468050245767</v>
      </c>
      <c r="S73" s="133">
        <v>0.90278472642162</v>
      </c>
      <c r="T73" s="135">
        <v>0.9</v>
      </c>
      <c r="U73" s="133">
        <v>0.843975985809797</v>
      </c>
      <c r="V73" s="133">
        <v>0.865689572321</v>
      </c>
      <c r="W73" s="133">
        <v>0.781212452211906</v>
      </c>
      <c r="X73" s="133">
        <v>0.770918076576714</v>
      </c>
      <c r="Y73" s="135">
        <v>0.92</v>
      </c>
      <c r="Z73" s="135">
        <v>0.921591460456089</v>
      </c>
      <c r="AA73" s="135">
        <v>0.948448905109489</v>
      </c>
      <c r="AB73" s="135">
        <v>0.890826873385013</v>
      </c>
      <c r="AC73" s="135">
        <v>0.933813523209941</v>
      </c>
      <c r="AD73" s="135">
        <v>0.92</v>
      </c>
      <c r="AE73" s="133">
        <v>0.981724713355224</v>
      </c>
      <c r="AF73" s="133">
        <v>0.891349510309643</v>
      </c>
      <c r="AG73" s="133">
        <v>0.995035268195671</v>
      </c>
      <c r="AH73" s="133">
        <v>0.95573674669385</v>
      </c>
      <c r="AI73" s="135">
        <v>0.92</v>
      </c>
      <c r="AJ73" s="133">
        <v>0.949941932641865</v>
      </c>
      <c r="AK73" s="133">
        <v>0.953422501966955</v>
      </c>
      <c r="AL73" s="133">
        <v>0.905382887778019</v>
      </c>
      <c r="AM73" s="133">
        <v>0.952271377474519</v>
      </c>
      <c r="AN73" s="132">
        <v>0.99</v>
      </c>
      <c r="AO73" s="137">
        <v>1</v>
      </c>
      <c r="AP73" s="137">
        <v>1</v>
      </c>
      <c r="AQ73" s="137">
        <v>1</v>
      </c>
      <c r="AR73" s="137">
        <v>0.999873896595208</v>
      </c>
      <c r="AS73" s="139">
        <v>0.0872182100128262</v>
      </c>
      <c r="AT73" s="141">
        <v>0.0657894736842105</v>
      </c>
      <c r="AU73" s="141">
        <v>0.0833333333333333</v>
      </c>
      <c r="AV73" s="141">
        <v>0.105263157894737</v>
      </c>
      <c r="AW73" s="141">
        <v>0.0552596537949401</v>
      </c>
      <c r="AX73" s="95"/>
      <c r="AY73" s="93"/>
    </row>
    <row r="74" ht="15" spans="1:51">
      <c r="A74" s="91"/>
      <c r="B74" s="95"/>
      <c r="C74" s="128" t="s">
        <v>24</v>
      </c>
      <c r="D74" s="129" t="s">
        <v>25</v>
      </c>
      <c r="E74" s="130" t="s">
        <v>26</v>
      </c>
      <c r="F74" s="142" t="s">
        <v>94</v>
      </c>
      <c r="G74" s="142" t="s">
        <v>94</v>
      </c>
      <c r="H74" s="142" t="s">
        <v>94</v>
      </c>
      <c r="I74" s="142" t="s">
        <v>94</v>
      </c>
      <c r="J74" s="132">
        <v>0.9</v>
      </c>
      <c r="K74" s="133">
        <v>0.866666666666667</v>
      </c>
      <c r="L74" s="133">
        <v>0.792452830188679</v>
      </c>
      <c r="M74" s="134">
        <v>0.730769230769231</v>
      </c>
      <c r="N74" s="133">
        <v>0.834490122797651</v>
      </c>
      <c r="O74" s="135">
        <v>0.9</v>
      </c>
      <c r="P74" s="133">
        <v>0.976914817465999</v>
      </c>
      <c r="Q74" s="133">
        <v>0.992369838420108</v>
      </c>
      <c r="R74" s="133">
        <v>0.989695780176644</v>
      </c>
      <c r="S74" s="133">
        <v>0.935461871175003</v>
      </c>
      <c r="T74" s="135">
        <v>0.9</v>
      </c>
      <c r="U74" s="133">
        <v>0.860415175375805</v>
      </c>
      <c r="V74" s="133">
        <v>0.89721723518851</v>
      </c>
      <c r="W74" s="133">
        <v>0.73405299313052</v>
      </c>
      <c r="X74" s="133">
        <v>0.775055785877947</v>
      </c>
      <c r="Y74" s="135">
        <v>0.92</v>
      </c>
      <c r="Z74" s="135">
        <v>0.920608958228485</v>
      </c>
      <c r="AA74" s="135">
        <v>0.950368689733409</v>
      </c>
      <c r="AB74" s="135">
        <v>0.836644075718626</v>
      </c>
      <c r="AC74" s="135">
        <v>0.882480284521416</v>
      </c>
      <c r="AD74" s="135">
        <v>0.92</v>
      </c>
      <c r="AE74" s="133">
        <v>0.930910062809034</v>
      </c>
      <c r="AF74" s="133">
        <v>0.945771281716434</v>
      </c>
      <c r="AG74" s="133">
        <v>0.997792775584702</v>
      </c>
      <c r="AH74" s="133">
        <v>0.984469131804874</v>
      </c>
      <c r="AI74" s="135">
        <v>0.92</v>
      </c>
      <c r="AJ74" s="133">
        <v>0.949441136529823</v>
      </c>
      <c r="AK74" s="133">
        <v>0.968120477214942</v>
      </c>
      <c r="AL74" s="133">
        <v>0.856758832565284</v>
      </c>
      <c r="AM74" s="133">
        <v>0.927688290328863</v>
      </c>
      <c r="AN74" s="132">
        <v>0.99</v>
      </c>
      <c r="AO74" s="137">
        <v>1</v>
      </c>
      <c r="AP74" s="137">
        <v>1</v>
      </c>
      <c r="AQ74" s="137">
        <v>1</v>
      </c>
      <c r="AR74" s="137">
        <v>1</v>
      </c>
      <c r="AS74" s="139">
        <v>0.0872182100128262</v>
      </c>
      <c r="AT74" s="141">
        <v>0.0681818181818182</v>
      </c>
      <c r="AU74" s="141">
        <v>0.25</v>
      </c>
      <c r="AV74" s="141">
        <v>0.04</v>
      </c>
      <c r="AW74" s="141">
        <v>0.0563961485557084</v>
      </c>
      <c r="AX74" s="95"/>
      <c r="AY74" s="93"/>
    </row>
    <row r="75" ht="15" spans="1:51">
      <c r="A75" s="91"/>
      <c r="B75" s="95"/>
      <c r="C75" s="128" t="s">
        <v>24</v>
      </c>
      <c r="D75" s="129" t="s">
        <v>25</v>
      </c>
      <c r="E75" s="130" t="s">
        <v>26</v>
      </c>
      <c r="F75" s="142" t="s">
        <v>95</v>
      </c>
      <c r="G75" s="142" t="s">
        <v>95</v>
      </c>
      <c r="H75" s="142" t="s">
        <v>95</v>
      </c>
      <c r="I75" s="142" t="s">
        <v>95</v>
      </c>
      <c r="J75" s="132">
        <v>0.9</v>
      </c>
      <c r="K75" s="133">
        <v>0.96875</v>
      </c>
      <c r="L75" s="133">
        <v>0.941176470588235</v>
      </c>
      <c r="M75" s="134">
        <v>0.894736842105263</v>
      </c>
      <c r="N75" s="133">
        <v>0.953447259870359</v>
      </c>
      <c r="O75" s="135">
        <v>0.9</v>
      </c>
      <c r="P75" s="133">
        <v>0.982727599856063</v>
      </c>
      <c r="Q75" s="133">
        <v>0.920160295930949</v>
      </c>
      <c r="R75" s="133">
        <v>0.948724362181091</v>
      </c>
      <c r="S75" s="133">
        <v>0.970085218924478</v>
      </c>
      <c r="T75" s="135">
        <v>0.9</v>
      </c>
      <c r="U75" s="133">
        <v>0.902842749190356</v>
      </c>
      <c r="V75" s="133">
        <v>0.904747225647349</v>
      </c>
      <c r="W75" s="133">
        <v>0.842921460730365</v>
      </c>
      <c r="X75" s="133">
        <v>0.872308747183857</v>
      </c>
      <c r="Y75" s="135">
        <v>0.92</v>
      </c>
      <c r="Z75" s="135">
        <v>0.956126482213439</v>
      </c>
      <c r="AA75" s="135">
        <v>0.956303365143144</v>
      </c>
      <c r="AB75" s="135">
        <v>0.923172242874845</v>
      </c>
      <c r="AC75" s="135">
        <v>0.966321102168872</v>
      </c>
      <c r="AD75" s="135">
        <v>0.92</v>
      </c>
      <c r="AE75" s="133">
        <v>0.999827853331038</v>
      </c>
      <c r="AF75" s="133">
        <v>0.995387126534668</v>
      </c>
      <c r="AG75" s="133">
        <v>0.998716989201326</v>
      </c>
      <c r="AH75" s="133">
        <v>0.964259666791393</v>
      </c>
      <c r="AI75" s="135">
        <v>0.92</v>
      </c>
      <c r="AJ75" s="133">
        <v>0.965945437441204</v>
      </c>
      <c r="AK75" s="133">
        <v>0.969113441372736</v>
      </c>
      <c r="AL75" s="133">
        <v>0.93502179779946</v>
      </c>
      <c r="AM75" s="133">
        <v>0.972917996171027</v>
      </c>
      <c r="AN75" s="132">
        <v>0.99</v>
      </c>
      <c r="AO75" s="137">
        <v>1</v>
      </c>
      <c r="AP75" s="137">
        <v>1</v>
      </c>
      <c r="AQ75" s="137">
        <v>1</v>
      </c>
      <c r="AR75" s="137">
        <v>1</v>
      </c>
      <c r="AS75" s="139">
        <v>0.0872182100128262</v>
      </c>
      <c r="AT75" s="141">
        <v>0.0909090909090909</v>
      </c>
      <c r="AU75" s="141">
        <v>0.1</v>
      </c>
      <c r="AV75" s="141">
        <v>0.037037037037037</v>
      </c>
      <c r="AW75" s="141">
        <v>0.0648298217179903</v>
      </c>
      <c r="AX75" s="95"/>
      <c r="AY75" s="93"/>
    </row>
    <row r="76" ht="15" spans="1:51">
      <c r="A76" s="91"/>
      <c r="B76" s="95"/>
      <c r="C76" s="128" t="s">
        <v>24</v>
      </c>
      <c r="D76" s="129" t="s">
        <v>25</v>
      </c>
      <c r="E76" s="130" t="s">
        <v>26</v>
      </c>
      <c r="F76" s="142" t="s">
        <v>96</v>
      </c>
      <c r="G76" s="142" t="s">
        <v>96</v>
      </c>
      <c r="H76" s="142" t="s">
        <v>96</v>
      </c>
      <c r="I76" s="142" t="s">
        <v>96</v>
      </c>
      <c r="J76" s="132">
        <v>0.9</v>
      </c>
      <c r="K76" s="133">
        <v>0.851063829787234</v>
      </c>
      <c r="L76" s="133">
        <v>0.934065934065934</v>
      </c>
      <c r="M76" s="134">
        <v>0.879518072289157</v>
      </c>
      <c r="N76" s="133">
        <v>0.887976539589443</v>
      </c>
      <c r="O76" s="135">
        <v>0.9</v>
      </c>
      <c r="P76" s="133">
        <v>0.937682003494467</v>
      </c>
      <c r="Q76" s="133">
        <v>0.84887459807074</v>
      </c>
      <c r="R76" s="133">
        <v>0.941105284388866</v>
      </c>
      <c r="S76" s="133">
        <v>0.942040784976382</v>
      </c>
      <c r="T76" s="135">
        <v>0.9</v>
      </c>
      <c r="U76" s="133">
        <v>0.748980780430984</v>
      </c>
      <c r="V76" s="133">
        <v>0.725281350482315</v>
      </c>
      <c r="W76" s="133">
        <v>0.630496167809601</v>
      </c>
      <c r="X76" s="133">
        <v>0.736656553631092</v>
      </c>
      <c r="Y76" s="135">
        <v>0.92</v>
      </c>
      <c r="Z76" s="135">
        <v>0.922631839973549</v>
      </c>
      <c r="AA76" s="135">
        <v>0.910085632730733</v>
      </c>
      <c r="AB76" s="135">
        <v>0.912739150723285</v>
      </c>
      <c r="AC76" s="135">
        <v>0.935790630078045</v>
      </c>
      <c r="AD76" s="135">
        <v>0.92</v>
      </c>
      <c r="AE76" s="133">
        <v>0.997474400856508</v>
      </c>
      <c r="AF76" s="133">
        <v>0.932004771594976</v>
      </c>
      <c r="AG76" s="133">
        <v>0.997507350121437</v>
      </c>
      <c r="AH76" s="133">
        <v>0.990747712840711</v>
      </c>
      <c r="AI76" s="135">
        <v>0.92</v>
      </c>
      <c r="AJ76" s="133">
        <v>0.940434748975014</v>
      </c>
      <c r="AK76" s="133">
        <v>0.938876341050254</v>
      </c>
      <c r="AL76" s="133">
        <v>0.916924809912701</v>
      </c>
      <c r="AM76" s="133">
        <v>0.948921878086994</v>
      </c>
      <c r="AN76" s="132">
        <v>0.99</v>
      </c>
      <c r="AO76" s="137">
        <v>1</v>
      </c>
      <c r="AP76" s="137">
        <v>1</v>
      </c>
      <c r="AQ76" s="137">
        <v>1</v>
      </c>
      <c r="AR76" s="137">
        <v>1</v>
      </c>
      <c r="AS76" s="139">
        <v>0.0872182100128262</v>
      </c>
      <c r="AT76" s="141">
        <v>0.105263157894737</v>
      </c>
      <c r="AU76" s="141">
        <v>0.133333333333333</v>
      </c>
      <c r="AV76" s="141">
        <v>0.115384615384615</v>
      </c>
      <c r="AW76" s="141">
        <v>0.0659340659340659</v>
      </c>
      <c r="AX76" s="95"/>
      <c r="AY76" s="93"/>
    </row>
    <row r="77" ht="15" spans="1:51">
      <c r="A77" s="91"/>
      <c r="B77" s="95"/>
      <c r="C77" s="128" t="s">
        <v>24</v>
      </c>
      <c r="D77" s="129" t="s">
        <v>25</v>
      </c>
      <c r="E77" s="130" t="s">
        <v>26</v>
      </c>
      <c r="F77" s="142" t="s">
        <v>97</v>
      </c>
      <c r="G77" s="142" t="s">
        <v>97</v>
      </c>
      <c r="H77" s="142" t="s">
        <v>97</v>
      </c>
      <c r="I77" s="142" t="s">
        <v>97</v>
      </c>
      <c r="J77" s="132">
        <v>0.9</v>
      </c>
      <c r="K77" s="133">
        <v>1</v>
      </c>
      <c r="L77" s="133">
        <v>1</v>
      </c>
      <c r="M77" s="134">
        <v>1</v>
      </c>
      <c r="N77" s="133">
        <v>0.971875</v>
      </c>
      <c r="O77" s="135">
        <v>0.9</v>
      </c>
      <c r="P77" s="133">
        <v>0.98314606741573</v>
      </c>
      <c r="Q77" s="133">
        <v>0.625620655412115</v>
      </c>
      <c r="R77" s="133">
        <v>0.936507936507937</v>
      </c>
      <c r="S77" s="133">
        <v>0.957064466133289</v>
      </c>
      <c r="T77" s="135">
        <v>0.9</v>
      </c>
      <c r="U77" s="133">
        <v>0.816211878009631</v>
      </c>
      <c r="V77" s="133">
        <v>0.914597815292949</v>
      </c>
      <c r="W77" s="133">
        <v>0.759637188208617</v>
      </c>
      <c r="X77" s="133">
        <v>0.851715326938382</v>
      </c>
      <c r="Y77" s="135">
        <v>0.92</v>
      </c>
      <c r="Z77" s="135">
        <v>0.924712134632418</v>
      </c>
      <c r="AA77" s="135">
        <v>0.947115384615385</v>
      </c>
      <c r="AB77" s="135">
        <v>0.858156028368794</v>
      </c>
      <c r="AC77" s="135">
        <v>0.954320912362017</v>
      </c>
      <c r="AD77" s="135">
        <v>0.92</v>
      </c>
      <c r="AE77" s="133" t="s">
        <v>35</v>
      </c>
      <c r="AF77" s="133">
        <v>1</v>
      </c>
      <c r="AG77" s="133">
        <v>0</v>
      </c>
      <c r="AH77" s="133">
        <v>0.626373626373626</v>
      </c>
      <c r="AI77" s="135">
        <v>0.92</v>
      </c>
      <c r="AJ77" s="133">
        <v>0.938947368421053</v>
      </c>
      <c r="AK77" s="133">
        <v>0.959241040056219</v>
      </c>
      <c r="AL77" s="133">
        <v>0.882434301521438</v>
      </c>
      <c r="AM77" s="133">
        <v>0.968962606147887</v>
      </c>
      <c r="AN77" s="132">
        <v>0.99</v>
      </c>
      <c r="AO77" s="137" t="s">
        <v>35</v>
      </c>
      <c r="AP77" s="137">
        <v>1</v>
      </c>
      <c r="AQ77" s="137">
        <v>1</v>
      </c>
      <c r="AR77" s="137">
        <v>1</v>
      </c>
      <c r="AS77" s="139">
        <v>0.0872182100128262</v>
      </c>
      <c r="AT77" s="141">
        <v>0</v>
      </c>
      <c r="AU77" s="141">
        <v>0</v>
      </c>
      <c r="AV77" s="141">
        <v>0</v>
      </c>
      <c r="AW77" s="141">
        <v>0.0412371134020619</v>
      </c>
      <c r="AX77" s="95"/>
      <c r="AY77" s="93"/>
    </row>
    <row r="78" ht="15" spans="1:51">
      <c r="A78" s="91"/>
      <c r="B78" s="95"/>
      <c r="C78" s="128" t="s">
        <v>24</v>
      </c>
      <c r="D78" s="129" t="s">
        <v>25</v>
      </c>
      <c r="E78" s="130" t="s">
        <v>26</v>
      </c>
      <c r="F78" s="142" t="s">
        <v>98</v>
      </c>
      <c r="G78" s="142" t="s">
        <v>98</v>
      </c>
      <c r="H78" s="142" t="s">
        <v>98</v>
      </c>
      <c r="I78" s="142" t="s">
        <v>98</v>
      </c>
      <c r="J78" s="132">
        <v>0.9</v>
      </c>
      <c r="K78" s="133">
        <v>0.920454545454545</v>
      </c>
      <c r="L78" s="133">
        <v>0.950617283950617</v>
      </c>
      <c r="M78" s="134">
        <v>0.96</v>
      </c>
      <c r="N78" s="133">
        <v>0.949934123847167</v>
      </c>
      <c r="O78" s="135">
        <v>0.9</v>
      </c>
      <c r="P78" s="133">
        <v>0.994661541746744</v>
      </c>
      <c r="Q78" s="133">
        <v>0.419841966637401</v>
      </c>
      <c r="R78" s="133">
        <v>0.988372093023256</v>
      </c>
      <c r="S78" s="133">
        <v>0.818905166094781</v>
      </c>
      <c r="T78" s="135">
        <v>0.9</v>
      </c>
      <c r="U78" s="133">
        <v>0.896647448216955</v>
      </c>
      <c r="V78" s="133">
        <v>0.957506584723442</v>
      </c>
      <c r="W78" s="133">
        <v>0.844638242894057</v>
      </c>
      <c r="X78" s="133">
        <v>0.876515143467222</v>
      </c>
      <c r="Y78" s="135">
        <v>0.92</v>
      </c>
      <c r="Z78" s="135">
        <v>0.944826058054509</v>
      </c>
      <c r="AA78" s="135">
        <v>0.936055469953775</v>
      </c>
      <c r="AB78" s="135">
        <v>0.943950786056049</v>
      </c>
      <c r="AC78" s="135">
        <v>0.963554659467587</v>
      </c>
      <c r="AD78" s="135">
        <v>0.92</v>
      </c>
      <c r="AE78" s="133">
        <v>0.996852472332217</v>
      </c>
      <c r="AF78" s="133">
        <v>0.734578726648875</v>
      </c>
      <c r="AG78" s="133">
        <v>0.987666034155598</v>
      </c>
      <c r="AH78" s="133">
        <v>0.966036267879586</v>
      </c>
      <c r="AI78" s="135">
        <v>0.92</v>
      </c>
      <c r="AJ78" s="133">
        <v>0.96249184605349</v>
      </c>
      <c r="AK78" s="133">
        <v>0.979410923648842</v>
      </c>
      <c r="AL78" s="133">
        <v>0.967105263157895</v>
      </c>
      <c r="AM78" s="133">
        <v>0.976237416244752</v>
      </c>
      <c r="AN78" s="132">
        <v>0.99</v>
      </c>
      <c r="AO78" s="137">
        <v>1</v>
      </c>
      <c r="AP78" s="137">
        <v>1</v>
      </c>
      <c r="AQ78" s="137">
        <v>1</v>
      </c>
      <c r="AR78" s="137">
        <v>1</v>
      </c>
      <c r="AS78" s="139">
        <v>0.0872182100128262</v>
      </c>
      <c r="AT78" s="141">
        <v>0.0416666666666667</v>
      </c>
      <c r="AU78" s="141">
        <v>0.25</v>
      </c>
      <c r="AV78" s="141">
        <v>0</v>
      </c>
      <c r="AW78" s="141">
        <v>0.0794297352342159</v>
      </c>
      <c r="AX78" s="95"/>
      <c r="AY78" s="93"/>
    </row>
    <row r="79" ht="15" spans="1:51">
      <c r="A79" s="91"/>
      <c r="B79" s="95"/>
      <c r="C79" s="143"/>
      <c r="D79" s="129"/>
      <c r="E79" s="144"/>
      <c r="F79" s="144"/>
      <c r="G79" s="145"/>
      <c r="H79" s="145"/>
      <c r="I79" s="145"/>
      <c r="J79" s="146"/>
      <c r="K79" s="147"/>
      <c r="L79" s="147"/>
      <c r="M79" s="134"/>
      <c r="N79" s="147"/>
      <c r="O79" s="146"/>
      <c r="P79" s="148"/>
      <c r="Q79" s="149"/>
      <c r="R79" s="133"/>
      <c r="S79" s="149"/>
      <c r="T79" s="150"/>
      <c r="U79" s="147"/>
      <c r="V79" s="147"/>
      <c r="W79" s="133"/>
      <c r="X79" s="147"/>
      <c r="Y79" s="150"/>
      <c r="Z79" s="150"/>
      <c r="AA79" s="150"/>
      <c r="AB79" s="135"/>
      <c r="AC79" s="150"/>
      <c r="AD79" s="147"/>
      <c r="AE79" s="147"/>
      <c r="AF79" s="147"/>
      <c r="AG79" s="133"/>
      <c r="AH79" s="147"/>
      <c r="AI79" s="150"/>
      <c r="AJ79" s="147"/>
      <c r="AK79" s="147"/>
      <c r="AL79" s="133"/>
      <c r="AM79" s="147"/>
      <c r="AN79" s="146"/>
      <c r="AO79" s="146"/>
      <c r="AP79" s="146"/>
      <c r="AQ79" s="137"/>
      <c r="AR79" s="146"/>
      <c r="AS79" s="151"/>
      <c r="AT79" s="146"/>
      <c r="AU79" s="146"/>
      <c r="AV79" s="141"/>
      <c r="AW79" s="146"/>
      <c r="AX79" s="95"/>
      <c r="AY79" s="93"/>
    </row>
    <row r="80" ht="15" spans="1:51">
      <c r="A80" s="91"/>
      <c r="B80" s="95"/>
      <c r="C80" s="152" t="s">
        <v>99</v>
      </c>
      <c r="D80" s="153" t="s">
        <v>25</v>
      </c>
      <c r="E80" s="130" t="s">
        <v>100</v>
      </c>
      <c r="F80" s="154" t="s">
        <v>101</v>
      </c>
      <c r="G80" s="154" t="s">
        <v>101</v>
      </c>
      <c r="H80" s="154" t="s">
        <v>101</v>
      </c>
      <c r="I80" s="154" t="s">
        <v>101</v>
      </c>
      <c r="J80" s="132">
        <v>0.9</v>
      </c>
      <c r="K80" s="133">
        <v>0.972602739726027</v>
      </c>
      <c r="L80" s="133">
        <v>0.920634920634921</v>
      </c>
      <c r="M80" s="134">
        <v>0.883333333333333</v>
      </c>
      <c r="N80" s="133">
        <v>0.916089299461124</v>
      </c>
      <c r="O80" s="135">
        <v>0.9</v>
      </c>
      <c r="P80" s="133">
        <v>0.96962879640045</v>
      </c>
      <c r="Q80" s="133">
        <v>0.978395061728395</v>
      </c>
      <c r="R80" s="133">
        <v>0.973425555151074</v>
      </c>
      <c r="S80" s="133">
        <v>0.920552839413313</v>
      </c>
      <c r="T80" s="135">
        <v>0.9</v>
      </c>
      <c r="U80" s="133">
        <v>0.86464191976003</v>
      </c>
      <c r="V80" s="133">
        <v>0.881172839506173</v>
      </c>
      <c r="W80" s="133">
        <v>0.842009464870768</v>
      </c>
      <c r="X80" s="133">
        <v>0.863184781246082</v>
      </c>
      <c r="Y80" s="135">
        <v>0.92</v>
      </c>
      <c r="Z80" s="135">
        <v>0.913680781758958</v>
      </c>
      <c r="AA80" s="135">
        <v>0.896616541353383</v>
      </c>
      <c r="AB80" s="135">
        <v>0.837656099903939</v>
      </c>
      <c r="AC80" s="135">
        <v>0.915004471402465</v>
      </c>
      <c r="AD80" s="135">
        <v>0.92</v>
      </c>
      <c r="AE80" s="133">
        <v>0.99602932193036</v>
      </c>
      <c r="AF80" s="133">
        <v>0.947953913388955</v>
      </c>
      <c r="AG80" s="133">
        <v>0.985507246376812</v>
      </c>
      <c r="AH80" s="133">
        <v>0.976098062159308</v>
      </c>
      <c r="AI80" s="135">
        <v>0.92</v>
      </c>
      <c r="AJ80" s="133">
        <v>0.936040432206344</v>
      </c>
      <c r="AK80" s="133">
        <v>0.944813829787234</v>
      </c>
      <c r="AL80" s="133">
        <v>0.912424162490108</v>
      </c>
      <c r="AM80" s="133">
        <v>0.948450567373425</v>
      </c>
      <c r="AN80" s="132">
        <v>0.99</v>
      </c>
      <c r="AO80" s="137">
        <v>1</v>
      </c>
      <c r="AP80" s="137">
        <v>1</v>
      </c>
      <c r="AQ80" s="137">
        <v>1</v>
      </c>
      <c r="AR80" s="138">
        <v>1</v>
      </c>
      <c r="AS80" s="139">
        <v>0.105261498981944</v>
      </c>
      <c r="AT80" s="140">
        <v>0.2</v>
      </c>
      <c r="AU80" s="141">
        <v>0.0666666666666667</v>
      </c>
      <c r="AV80" s="141">
        <v>0.0909090909090909</v>
      </c>
      <c r="AW80" s="141">
        <v>0.111405835543767</v>
      </c>
      <c r="AX80" s="95"/>
      <c r="AY80" s="93"/>
    </row>
    <row r="81" ht="15" spans="1:51">
      <c r="A81" s="91"/>
      <c r="B81" s="95"/>
      <c r="C81" s="152" t="s">
        <v>99</v>
      </c>
      <c r="D81" s="153" t="s">
        <v>25</v>
      </c>
      <c r="E81" s="130" t="s">
        <v>100</v>
      </c>
      <c r="F81" s="154" t="s">
        <v>102</v>
      </c>
      <c r="G81" s="154" t="s">
        <v>102</v>
      </c>
      <c r="H81" s="154" t="s">
        <v>102</v>
      </c>
      <c r="I81" s="154" t="s">
        <v>102</v>
      </c>
      <c r="J81" s="132">
        <v>0.9</v>
      </c>
      <c r="K81" s="133">
        <v>0.907407407407407</v>
      </c>
      <c r="L81" s="133">
        <v>0.857142857142857</v>
      </c>
      <c r="M81" s="134">
        <v>0.936170212765957</v>
      </c>
      <c r="N81" s="133">
        <v>0.906886517943744</v>
      </c>
      <c r="O81" s="135">
        <v>0.9</v>
      </c>
      <c r="P81" s="133">
        <v>0.940163191296464</v>
      </c>
      <c r="Q81" s="133">
        <v>0.95448798988622</v>
      </c>
      <c r="R81" s="133">
        <v>0.954264524103832</v>
      </c>
      <c r="S81" s="133">
        <v>0.922229975963402</v>
      </c>
      <c r="T81" s="135">
        <v>0.9</v>
      </c>
      <c r="U81" s="133">
        <v>0.893925657298277</v>
      </c>
      <c r="V81" s="133">
        <v>0.894437420986094</v>
      </c>
      <c r="W81" s="133">
        <v>0.836423568191183</v>
      </c>
      <c r="X81" s="133">
        <v>0.883403117003954</v>
      </c>
      <c r="Y81" s="135">
        <v>0.92</v>
      </c>
      <c r="Z81" s="135">
        <v>0.948289269051322</v>
      </c>
      <c r="AA81" s="135">
        <v>0.939664804469274</v>
      </c>
      <c r="AB81" s="135">
        <v>0.887990762124711</v>
      </c>
      <c r="AC81" s="135">
        <v>0.94392342647201</v>
      </c>
      <c r="AD81" s="135">
        <v>0.92</v>
      </c>
      <c r="AE81" s="133">
        <v>0.979522184300341</v>
      </c>
      <c r="AF81" s="133">
        <v>0.971264367816092</v>
      </c>
      <c r="AG81" s="133">
        <v>0.980952380952381</v>
      </c>
      <c r="AH81" s="133">
        <v>0.984628283957518</v>
      </c>
      <c r="AI81" s="135">
        <v>0.92</v>
      </c>
      <c r="AJ81" s="133">
        <v>0.960476787954831</v>
      </c>
      <c r="AK81" s="133">
        <v>0.95682001614205</v>
      </c>
      <c r="AL81" s="133">
        <v>0.951730418943534</v>
      </c>
      <c r="AM81" s="133">
        <v>0.96541895235022</v>
      </c>
      <c r="AN81" s="132">
        <v>0.99</v>
      </c>
      <c r="AO81" s="137">
        <v>1</v>
      </c>
      <c r="AP81" s="137">
        <v>1</v>
      </c>
      <c r="AQ81" s="137">
        <v>1</v>
      </c>
      <c r="AR81" s="138">
        <v>1</v>
      </c>
      <c r="AS81" s="139">
        <v>0.105261498981944</v>
      </c>
      <c r="AT81" s="140">
        <v>0</v>
      </c>
      <c r="AU81" s="141">
        <v>0.125</v>
      </c>
      <c r="AV81" s="141">
        <v>0.2</v>
      </c>
      <c r="AW81" s="141">
        <v>0.151162790697674</v>
      </c>
      <c r="AX81" s="95"/>
      <c r="AY81" s="93"/>
    </row>
    <row r="82" ht="15" spans="1:51">
      <c r="A82" s="91"/>
      <c r="B82" s="95"/>
      <c r="C82" s="152" t="s">
        <v>99</v>
      </c>
      <c r="D82" s="153" t="s">
        <v>25</v>
      </c>
      <c r="E82" s="130" t="s">
        <v>100</v>
      </c>
      <c r="F82" s="154" t="s">
        <v>103</v>
      </c>
      <c r="G82" s="154" t="s">
        <v>103</v>
      </c>
      <c r="H82" s="154" t="s">
        <v>103</v>
      </c>
      <c r="I82" s="154" t="s">
        <v>103</v>
      </c>
      <c r="J82" s="132">
        <v>0.9</v>
      </c>
      <c r="K82" s="133">
        <v>0.972222222222222</v>
      </c>
      <c r="L82" s="133">
        <v>0.938144329896907</v>
      </c>
      <c r="M82" s="134">
        <v>0.988235294117647</v>
      </c>
      <c r="N82" s="133">
        <v>0.948464341488808</v>
      </c>
      <c r="O82" s="135">
        <v>0.9</v>
      </c>
      <c r="P82" s="133">
        <v>0.905735882614495</v>
      </c>
      <c r="Q82" s="133">
        <v>0.986119873817035</v>
      </c>
      <c r="R82" s="133">
        <v>0.987351778656126</v>
      </c>
      <c r="S82" s="133">
        <v>0.958952143458982</v>
      </c>
      <c r="T82" s="135">
        <v>0.9</v>
      </c>
      <c r="U82" s="133">
        <v>0.838150289017341</v>
      </c>
      <c r="V82" s="133">
        <v>0.876971608832808</v>
      </c>
      <c r="W82" s="133">
        <v>0.794466403162055</v>
      </c>
      <c r="X82" s="133">
        <v>0.839621437143076</v>
      </c>
      <c r="Y82" s="135">
        <v>0.92</v>
      </c>
      <c r="Z82" s="135">
        <v>0.944836800916205</v>
      </c>
      <c r="AA82" s="135">
        <v>0.93685488767456</v>
      </c>
      <c r="AB82" s="135">
        <v>0.87602403058438</v>
      </c>
      <c r="AC82" s="135">
        <v>0.939809162031384</v>
      </c>
      <c r="AD82" s="135">
        <v>0.92</v>
      </c>
      <c r="AE82" s="133">
        <v>0.989682212133719</v>
      </c>
      <c r="AF82" s="133">
        <v>0.967400162999185</v>
      </c>
      <c r="AG82" s="133">
        <v>0.991119005328597</v>
      </c>
      <c r="AH82" s="133">
        <v>0.975221707478491</v>
      </c>
      <c r="AI82" s="135">
        <v>0.92</v>
      </c>
      <c r="AJ82" s="133">
        <v>0.957186858316222</v>
      </c>
      <c r="AK82" s="133">
        <v>0.96408553041312</v>
      </c>
      <c r="AL82" s="133">
        <v>0.940211870555797</v>
      </c>
      <c r="AM82" s="133">
        <v>0.96252294067953</v>
      </c>
      <c r="AN82" s="132">
        <v>0.99</v>
      </c>
      <c r="AO82" s="137">
        <v>1</v>
      </c>
      <c r="AP82" s="137">
        <v>1</v>
      </c>
      <c r="AQ82" s="137">
        <v>1</v>
      </c>
      <c r="AR82" s="137">
        <v>1</v>
      </c>
      <c r="AS82" s="139">
        <v>0.105261498981944</v>
      </c>
      <c r="AT82" s="141">
        <v>0.15</v>
      </c>
      <c r="AU82" s="141">
        <v>0</v>
      </c>
      <c r="AV82" s="141">
        <v>0</v>
      </c>
      <c r="AW82" s="141">
        <v>0.0920398009950249</v>
      </c>
      <c r="AX82" s="95"/>
      <c r="AY82" s="93"/>
    </row>
    <row r="83" ht="15" spans="1:51">
      <c r="A83" s="91"/>
      <c r="B83" s="95"/>
      <c r="C83" s="152" t="s">
        <v>99</v>
      </c>
      <c r="D83" s="153" t="s">
        <v>25</v>
      </c>
      <c r="E83" s="130" t="s">
        <v>100</v>
      </c>
      <c r="F83" s="154" t="s">
        <v>104</v>
      </c>
      <c r="G83" s="154" t="s">
        <v>104</v>
      </c>
      <c r="H83" s="154" t="s">
        <v>104</v>
      </c>
      <c r="I83" s="154" t="s">
        <v>104</v>
      </c>
      <c r="J83" s="132">
        <v>0.9</v>
      </c>
      <c r="K83" s="133">
        <v>0.878378378378378</v>
      </c>
      <c r="L83" s="133">
        <v>0.87218045112782</v>
      </c>
      <c r="M83" s="134">
        <v>0.846846846846847</v>
      </c>
      <c r="N83" s="133">
        <v>0.863460046547711</v>
      </c>
      <c r="O83" s="135">
        <v>0.9</v>
      </c>
      <c r="P83" s="133">
        <v>0.915254237288136</v>
      </c>
      <c r="Q83" s="133">
        <v>0.91187143597719</v>
      </c>
      <c r="R83" s="133">
        <v>0.884784075573549</v>
      </c>
      <c r="S83" s="133">
        <v>0.836009304651568</v>
      </c>
      <c r="T83" s="135">
        <v>0.9</v>
      </c>
      <c r="U83" s="133">
        <v>0.83693131132917</v>
      </c>
      <c r="V83" s="133">
        <v>0.845775012960083</v>
      </c>
      <c r="W83" s="133">
        <v>0.769736842105263</v>
      </c>
      <c r="X83" s="133">
        <v>0.828894428574676</v>
      </c>
      <c r="Y83" s="135">
        <v>0.92</v>
      </c>
      <c r="Z83" s="135">
        <v>0.896579156722355</v>
      </c>
      <c r="AA83" s="135">
        <v>0.899312377210216</v>
      </c>
      <c r="AB83" s="135">
        <v>0.896505970809376</v>
      </c>
      <c r="AC83" s="135">
        <v>0.931995982151481</v>
      </c>
      <c r="AD83" s="135">
        <v>0.92</v>
      </c>
      <c r="AE83" s="133">
        <v>0.987170349251604</v>
      </c>
      <c r="AF83" s="133">
        <v>0.994132180358246</v>
      </c>
      <c r="AG83" s="133">
        <v>0.989859154929577</v>
      </c>
      <c r="AH83" s="133">
        <v>0.99055926445847</v>
      </c>
      <c r="AI83" s="135">
        <v>0.92</v>
      </c>
      <c r="AJ83" s="133">
        <v>0.920625578071134</v>
      </c>
      <c r="AK83" s="133">
        <v>0.933661350525959</v>
      </c>
      <c r="AL83" s="133">
        <v>0.936531185158062</v>
      </c>
      <c r="AM83" s="133">
        <v>0.955298652888457</v>
      </c>
      <c r="AN83" s="132">
        <v>0.99</v>
      </c>
      <c r="AO83" s="137">
        <v>1</v>
      </c>
      <c r="AP83" s="137">
        <v>1</v>
      </c>
      <c r="AQ83" s="137">
        <v>1</v>
      </c>
      <c r="AR83" s="137">
        <v>1</v>
      </c>
      <c r="AS83" s="139">
        <v>0.105261498981944</v>
      </c>
      <c r="AT83" s="141">
        <v>0.1</v>
      </c>
      <c r="AU83" s="141">
        <v>0.0333333333333333</v>
      </c>
      <c r="AV83" s="141">
        <v>0.0285714285714286</v>
      </c>
      <c r="AW83" s="141">
        <v>0.0919931856899489</v>
      </c>
      <c r="AX83" s="95"/>
      <c r="AY83" s="93"/>
    </row>
    <row r="84" ht="15" spans="1:51">
      <c r="A84" s="91"/>
      <c r="B84" s="95"/>
      <c r="C84" s="152" t="s">
        <v>99</v>
      </c>
      <c r="D84" s="153" t="s">
        <v>25</v>
      </c>
      <c r="E84" s="130" t="s">
        <v>100</v>
      </c>
      <c r="F84" s="154" t="s">
        <v>105</v>
      </c>
      <c r="G84" s="154" t="s">
        <v>105</v>
      </c>
      <c r="H84" s="154" t="s">
        <v>105</v>
      </c>
      <c r="I84" s="154" t="s">
        <v>105</v>
      </c>
      <c r="J84" s="132">
        <v>0.9</v>
      </c>
      <c r="K84" s="133">
        <v>0.979381443298969</v>
      </c>
      <c r="L84" s="133">
        <v>0.974683544303797</v>
      </c>
      <c r="M84" s="134">
        <v>0.945945945945946</v>
      </c>
      <c r="N84" s="133">
        <v>0.941318814277072</v>
      </c>
      <c r="O84" s="135">
        <v>0.9</v>
      </c>
      <c r="P84" s="133">
        <v>0.911340766929562</v>
      </c>
      <c r="Q84" s="133">
        <v>0.919348430671434</v>
      </c>
      <c r="R84" s="133">
        <v>0.8704211313232</v>
      </c>
      <c r="S84" s="133">
        <v>0.879936909862097</v>
      </c>
      <c r="T84" s="135">
        <v>0.9</v>
      </c>
      <c r="U84" s="133">
        <v>0.835463693228175</v>
      </c>
      <c r="V84" s="133">
        <v>0.835121176003178</v>
      </c>
      <c r="W84" s="133">
        <v>0.784699725890855</v>
      </c>
      <c r="X84" s="133">
        <v>0.82960334207217</v>
      </c>
      <c r="Y84" s="135">
        <v>0.92</v>
      </c>
      <c r="Z84" s="135">
        <v>0.934229476716275</v>
      </c>
      <c r="AA84" s="135">
        <v>0.911127167630058</v>
      </c>
      <c r="AB84" s="135">
        <v>0.889736477115118</v>
      </c>
      <c r="AC84" s="135">
        <v>0.921789090909091</v>
      </c>
      <c r="AD84" s="135">
        <v>0.92</v>
      </c>
      <c r="AE84" s="133">
        <v>0.981031416716064</v>
      </c>
      <c r="AF84" s="133">
        <v>0.975646879756469</v>
      </c>
      <c r="AG84" s="133">
        <v>0.989583333333333</v>
      </c>
      <c r="AH84" s="133">
        <v>0.980970425899992</v>
      </c>
      <c r="AI84" s="135">
        <v>0.92</v>
      </c>
      <c r="AJ84" s="133">
        <v>0.953716690042076</v>
      </c>
      <c r="AK84" s="133">
        <v>0.946950281906714</v>
      </c>
      <c r="AL84" s="133">
        <v>0.937683284457478</v>
      </c>
      <c r="AM84" s="133">
        <v>0.950729130148655</v>
      </c>
      <c r="AN84" s="132">
        <v>0.99</v>
      </c>
      <c r="AO84" s="137">
        <v>1</v>
      </c>
      <c r="AP84" s="137">
        <v>1</v>
      </c>
      <c r="AQ84" s="137">
        <v>1</v>
      </c>
      <c r="AR84" s="137">
        <v>1</v>
      </c>
      <c r="AS84" s="139">
        <v>0.105261498981944</v>
      </c>
      <c r="AT84" s="141">
        <v>0.0588235294117647</v>
      </c>
      <c r="AU84" s="141">
        <v>0.08</v>
      </c>
      <c r="AV84" s="141">
        <v>0.0555555555555556</v>
      </c>
      <c r="AW84" s="141">
        <v>0.0833333333333333</v>
      </c>
      <c r="AX84" s="95"/>
      <c r="AY84" s="93"/>
    </row>
    <row r="85" ht="15" spans="1:51">
      <c r="A85" s="91"/>
      <c r="B85" s="95"/>
      <c r="C85" s="152" t="s">
        <v>99</v>
      </c>
      <c r="D85" s="153" t="s">
        <v>25</v>
      </c>
      <c r="E85" s="130" t="s">
        <v>100</v>
      </c>
      <c r="F85" s="154" t="s">
        <v>106</v>
      </c>
      <c r="G85" s="154" t="s">
        <v>106</v>
      </c>
      <c r="H85" s="154" t="s">
        <v>106</v>
      </c>
      <c r="I85" s="154" t="s">
        <v>106</v>
      </c>
      <c r="J85" s="132">
        <v>0.9</v>
      </c>
      <c r="K85" s="133">
        <v>0.984615384615385</v>
      </c>
      <c r="L85" s="133">
        <v>0.928571428571429</v>
      </c>
      <c r="M85" s="134">
        <v>0.888888888888889</v>
      </c>
      <c r="N85" s="133">
        <v>0.940425531914894</v>
      </c>
      <c r="O85" s="135">
        <v>0.9</v>
      </c>
      <c r="P85" s="133" t="s">
        <v>35</v>
      </c>
      <c r="Q85" s="133">
        <v>0</v>
      </c>
      <c r="R85" s="133">
        <v>0</v>
      </c>
      <c r="S85" s="133">
        <v>0.2</v>
      </c>
      <c r="T85" s="135">
        <v>0.9</v>
      </c>
      <c r="U85" s="133" t="s">
        <v>35</v>
      </c>
      <c r="V85" s="133">
        <v>0</v>
      </c>
      <c r="W85" s="133">
        <v>0</v>
      </c>
      <c r="X85" s="133">
        <v>0</v>
      </c>
      <c r="Y85" s="135">
        <v>0.92</v>
      </c>
      <c r="Z85" s="135" t="s">
        <v>35</v>
      </c>
      <c r="AA85" s="135" t="s">
        <v>35</v>
      </c>
      <c r="AB85" s="135" t="s">
        <v>35</v>
      </c>
      <c r="AC85" s="135">
        <v>0.666666666666667</v>
      </c>
      <c r="AD85" s="135">
        <v>0.92</v>
      </c>
      <c r="AE85" s="133">
        <v>0.981651376146789</v>
      </c>
      <c r="AF85" s="133">
        <v>0.927536231884058</v>
      </c>
      <c r="AG85" s="133">
        <v>0.9</v>
      </c>
      <c r="AH85" s="133">
        <v>0.87566988210075</v>
      </c>
      <c r="AI85" s="135">
        <v>0.92</v>
      </c>
      <c r="AJ85" s="133">
        <v>0.969042663891779</v>
      </c>
      <c r="AK85" s="133">
        <v>0.96037296037296</v>
      </c>
      <c r="AL85" s="133">
        <v>0.963468700124135</v>
      </c>
      <c r="AM85" s="133">
        <v>0.973062352012628</v>
      </c>
      <c r="AN85" s="132">
        <v>0.99</v>
      </c>
      <c r="AO85" s="137">
        <v>1</v>
      </c>
      <c r="AP85" s="137">
        <v>1</v>
      </c>
      <c r="AQ85" s="137">
        <v>1</v>
      </c>
      <c r="AR85" s="137">
        <v>1</v>
      </c>
      <c r="AS85" s="139">
        <v>0.105261498981944</v>
      </c>
      <c r="AT85" s="141">
        <v>0.0476190476190476</v>
      </c>
      <c r="AU85" s="141">
        <v>0.142857142857143</v>
      </c>
      <c r="AV85" s="141">
        <v>0.142857142857143</v>
      </c>
      <c r="AW85" s="141">
        <v>0.086687306501548</v>
      </c>
      <c r="AX85" s="95"/>
      <c r="AY85" s="93"/>
    </row>
    <row r="86" ht="15" spans="1:51">
      <c r="A86" s="91"/>
      <c r="B86" s="95"/>
      <c r="C86" s="152" t="s">
        <v>99</v>
      </c>
      <c r="D86" s="153" t="s">
        <v>25</v>
      </c>
      <c r="E86" s="130" t="s">
        <v>100</v>
      </c>
      <c r="F86" s="154" t="s">
        <v>107</v>
      </c>
      <c r="G86" s="154" t="s">
        <v>107</v>
      </c>
      <c r="H86" s="154" t="s">
        <v>107</v>
      </c>
      <c r="I86" s="154" t="s">
        <v>107</v>
      </c>
      <c r="J86" s="132">
        <v>0.9</v>
      </c>
      <c r="K86" s="133">
        <v>0.940298507462687</v>
      </c>
      <c r="L86" s="133">
        <v>0.873015873015873</v>
      </c>
      <c r="M86" s="134">
        <v>0.866666666666667</v>
      </c>
      <c r="N86" s="133">
        <v>0.881180223285486</v>
      </c>
      <c r="O86" s="135">
        <v>0.9</v>
      </c>
      <c r="P86" s="133">
        <v>0.939876503087423</v>
      </c>
      <c r="Q86" s="133">
        <v>0.970504281636537</v>
      </c>
      <c r="R86" s="133">
        <v>0.967886962106615</v>
      </c>
      <c r="S86" s="133">
        <v>0.931485321113033</v>
      </c>
      <c r="T86" s="135">
        <v>0.9</v>
      </c>
      <c r="U86" s="133">
        <v>0.843028924276893</v>
      </c>
      <c r="V86" s="133">
        <v>0.85442435775452</v>
      </c>
      <c r="W86" s="133">
        <v>0.841682723185613</v>
      </c>
      <c r="X86" s="133">
        <v>0.852233858506887</v>
      </c>
      <c r="Y86" s="135">
        <v>0.92</v>
      </c>
      <c r="Z86" s="135">
        <v>0.917945505793924</v>
      </c>
      <c r="AA86" s="135">
        <v>0.906730769230769</v>
      </c>
      <c r="AB86" s="135">
        <v>0.858874458874459</v>
      </c>
      <c r="AC86" s="135">
        <v>0.935860058309038</v>
      </c>
      <c r="AD86" s="135">
        <v>0.92</v>
      </c>
      <c r="AE86" s="133">
        <v>0.993670886075949</v>
      </c>
      <c r="AF86" s="133">
        <v>0.986206896551724</v>
      </c>
      <c r="AG86" s="133">
        <v>0.992753623188406</v>
      </c>
      <c r="AH86" s="133">
        <v>0.973008682521706</v>
      </c>
      <c r="AI86" s="135">
        <v>0.92</v>
      </c>
      <c r="AJ86" s="133">
        <v>0.93512910423972</v>
      </c>
      <c r="AK86" s="133">
        <v>0.941139039134585</v>
      </c>
      <c r="AL86" s="133">
        <v>0.930929524701475</v>
      </c>
      <c r="AM86" s="133">
        <v>0.959018453500682</v>
      </c>
      <c r="AN86" s="132">
        <v>0.99</v>
      </c>
      <c r="AO86" s="137">
        <v>1</v>
      </c>
      <c r="AP86" s="137">
        <v>1</v>
      </c>
      <c r="AQ86" s="137">
        <v>1</v>
      </c>
      <c r="AR86" s="137">
        <v>1</v>
      </c>
      <c r="AS86" s="139">
        <v>0.105261498981944</v>
      </c>
      <c r="AT86" s="141">
        <v>0</v>
      </c>
      <c r="AU86" s="141">
        <v>0.1</v>
      </c>
      <c r="AV86" s="141">
        <v>0.0909090909090909</v>
      </c>
      <c r="AW86" s="141">
        <v>0.0894568690095847</v>
      </c>
      <c r="AX86" s="95"/>
      <c r="AY86" s="93"/>
    </row>
    <row r="87" ht="15" spans="1:51">
      <c r="A87" s="91"/>
      <c r="B87" s="95"/>
      <c r="C87" s="152" t="s">
        <v>99</v>
      </c>
      <c r="D87" s="153" t="s">
        <v>25</v>
      </c>
      <c r="E87" s="130" t="s">
        <v>100</v>
      </c>
      <c r="F87" s="154" t="s">
        <v>108</v>
      </c>
      <c r="G87" s="154" t="s">
        <v>108</v>
      </c>
      <c r="H87" s="154" t="s">
        <v>108</v>
      </c>
      <c r="I87" s="154" t="s">
        <v>108</v>
      </c>
      <c r="J87" s="132">
        <v>0.9</v>
      </c>
      <c r="K87" s="133">
        <v>0.917647058823529</v>
      </c>
      <c r="L87" s="133">
        <v>0.886075949367089</v>
      </c>
      <c r="M87" s="134">
        <v>0.922077922077922</v>
      </c>
      <c r="N87" s="133">
        <v>0.917631917631918</v>
      </c>
      <c r="O87" s="135">
        <v>0.9</v>
      </c>
      <c r="P87" s="133">
        <v>0.2</v>
      </c>
      <c r="Q87" s="133">
        <v>0</v>
      </c>
      <c r="R87" s="133" t="s">
        <v>35</v>
      </c>
      <c r="S87" s="133">
        <v>0.6</v>
      </c>
      <c r="T87" s="135">
        <v>0.9</v>
      </c>
      <c r="U87" s="133">
        <v>0</v>
      </c>
      <c r="V87" s="133">
        <v>0</v>
      </c>
      <c r="W87" s="133" t="s">
        <v>35</v>
      </c>
      <c r="X87" s="133">
        <v>0.56</v>
      </c>
      <c r="Y87" s="135">
        <v>0.92</v>
      </c>
      <c r="Z87" s="135">
        <v>0.5</v>
      </c>
      <c r="AA87" s="135">
        <v>1</v>
      </c>
      <c r="AB87" s="135">
        <v>1</v>
      </c>
      <c r="AC87" s="135">
        <v>0.828571428571429</v>
      </c>
      <c r="AD87" s="135">
        <v>0.92</v>
      </c>
      <c r="AE87" s="133">
        <v>0.97341211225997</v>
      </c>
      <c r="AF87" s="133">
        <v>0.9449378330373</v>
      </c>
      <c r="AG87" s="133">
        <v>0.947807933194154</v>
      </c>
      <c r="AH87" s="133">
        <v>0.973530206176285</v>
      </c>
      <c r="AI87" s="135">
        <v>0.92</v>
      </c>
      <c r="AJ87" s="133">
        <v>0.971174685739055</v>
      </c>
      <c r="AK87" s="133">
        <v>0.973186565057861</v>
      </c>
      <c r="AL87" s="133">
        <v>0.978121353558926</v>
      </c>
      <c r="AM87" s="133">
        <v>0.984784901430057</v>
      </c>
      <c r="AN87" s="132">
        <v>0.99</v>
      </c>
      <c r="AO87" s="137">
        <v>1</v>
      </c>
      <c r="AP87" s="137">
        <v>1</v>
      </c>
      <c r="AQ87" s="137">
        <v>1</v>
      </c>
      <c r="AR87" s="137">
        <v>1</v>
      </c>
      <c r="AS87" s="139">
        <v>0.105261498981944</v>
      </c>
      <c r="AT87" s="141">
        <v>0.0769230769230769</v>
      </c>
      <c r="AU87" s="141">
        <v>0</v>
      </c>
      <c r="AV87" s="141">
        <v>0</v>
      </c>
      <c r="AW87" s="141">
        <v>0.0609756097560976</v>
      </c>
      <c r="AX87" s="95"/>
      <c r="AY87" s="93"/>
    </row>
    <row r="88" ht="15" spans="1:51">
      <c r="A88" s="91"/>
      <c r="B88" s="95"/>
      <c r="C88" s="152" t="s">
        <v>99</v>
      </c>
      <c r="D88" s="153" t="s">
        <v>25</v>
      </c>
      <c r="E88" s="130" t="s">
        <v>100</v>
      </c>
      <c r="F88" s="154" t="s">
        <v>109</v>
      </c>
      <c r="G88" s="154" t="s">
        <v>109</v>
      </c>
      <c r="H88" s="154" t="s">
        <v>109</v>
      </c>
      <c r="I88" s="154" t="s">
        <v>109</v>
      </c>
      <c r="J88" s="132">
        <v>0.9</v>
      </c>
      <c r="K88" s="133">
        <v>0.958333333333333</v>
      </c>
      <c r="L88" s="133">
        <v>0.974358974358974</v>
      </c>
      <c r="M88" s="134">
        <v>0.951219512195122</v>
      </c>
      <c r="N88" s="133">
        <v>0.966542750929368</v>
      </c>
      <c r="O88" s="135">
        <v>0.9</v>
      </c>
      <c r="P88" s="133">
        <v>0.929292929292929</v>
      </c>
      <c r="Q88" s="133">
        <v>0.930428134556575</v>
      </c>
      <c r="R88" s="133">
        <v>0.913693346190935</v>
      </c>
      <c r="S88" s="133">
        <v>0.927363416725119</v>
      </c>
      <c r="T88" s="135">
        <v>0.9</v>
      </c>
      <c r="U88" s="133">
        <v>0.895959595959596</v>
      </c>
      <c r="V88" s="133">
        <v>0.902905198776758</v>
      </c>
      <c r="W88" s="133">
        <v>0.879459980713597</v>
      </c>
      <c r="X88" s="133">
        <v>0.893383212532149</v>
      </c>
      <c r="Y88" s="135">
        <v>0.92</v>
      </c>
      <c r="Z88" s="135">
        <v>0.948959365708622</v>
      </c>
      <c r="AA88" s="135">
        <v>0.958199356913183</v>
      </c>
      <c r="AB88" s="135">
        <v>0.936085219707057</v>
      </c>
      <c r="AC88" s="135">
        <v>0.955942595154771</v>
      </c>
      <c r="AD88" s="135">
        <v>0.92</v>
      </c>
      <c r="AE88" s="133">
        <v>0.996845425867508</v>
      </c>
      <c r="AF88" s="133">
        <v>1</v>
      </c>
      <c r="AG88" s="133">
        <v>1</v>
      </c>
      <c r="AH88" s="133">
        <v>0.984751934456076</v>
      </c>
      <c r="AI88" s="135">
        <v>0.92</v>
      </c>
      <c r="AJ88" s="133">
        <v>0.965232616308154</v>
      </c>
      <c r="AK88" s="133">
        <v>0.964766839378238</v>
      </c>
      <c r="AL88" s="133">
        <v>0.960735762292182</v>
      </c>
      <c r="AM88" s="133">
        <v>0.969656079556407</v>
      </c>
      <c r="AN88" s="132">
        <v>0.99</v>
      </c>
      <c r="AO88" s="137">
        <v>1</v>
      </c>
      <c r="AP88" s="137">
        <v>1</v>
      </c>
      <c r="AQ88" s="137">
        <v>1</v>
      </c>
      <c r="AR88" s="137">
        <v>1</v>
      </c>
      <c r="AS88" s="139">
        <v>0.105261498981944</v>
      </c>
      <c r="AT88" s="141">
        <v>0</v>
      </c>
      <c r="AU88" s="141">
        <v>0.0833333333333333</v>
      </c>
      <c r="AV88" s="141">
        <v>0</v>
      </c>
      <c r="AW88" s="141">
        <v>0.0769230769230769</v>
      </c>
      <c r="AX88" s="95"/>
      <c r="AY88" s="93"/>
    </row>
    <row r="89" ht="15" spans="1:51">
      <c r="A89" s="91"/>
      <c r="B89" s="95"/>
      <c r="C89" s="152" t="s">
        <v>99</v>
      </c>
      <c r="D89" s="153" t="s">
        <v>25</v>
      </c>
      <c r="E89" s="130" t="s">
        <v>100</v>
      </c>
      <c r="F89" s="154" t="s">
        <v>110</v>
      </c>
      <c r="G89" s="154" t="s">
        <v>110</v>
      </c>
      <c r="H89" s="154" t="s">
        <v>110</v>
      </c>
      <c r="I89" s="154" t="s">
        <v>110</v>
      </c>
      <c r="J89" s="132">
        <v>0.9</v>
      </c>
      <c r="K89" s="133">
        <v>0.870967741935484</v>
      </c>
      <c r="L89" s="133">
        <v>0.836363636363636</v>
      </c>
      <c r="M89" s="134">
        <v>0.697674418604651</v>
      </c>
      <c r="N89" s="133">
        <v>0.813031161473088</v>
      </c>
      <c r="O89" s="135">
        <v>0.9</v>
      </c>
      <c r="P89" s="133">
        <v>1</v>
      </c>
      <c r="Q89" s="133">
        <v>1</v>
      </c>
      <c r="R89" s="133">
        <v>0.333333333333333</v>
      </c>
      <c r="S89" s="133">
        <v>0.529411764705882</v>
      </c>
      <c r="T89" s="135">
        <v>0.9</v>
      </c>
      <c r="U89" s="133">
        <v>0</v>
      </c>
      <c r="V89" s="133">
        <v>0</v>
      </c>
      <c r="W89" s="133">
        <v>0</v>
      </c>
      <c r="X89" s="133">
        <v>0.294117647058824</v>
      </c>
      <c r="Y89" s="135">
        <v>0.92</v>
      </c>
      <c r="Z89" s="135">
        <v>0</v>
      </c>
      <c r="AA89" s="135" t="s">
        <v>35</v>
      </c>
      <c r="AB89" s="135" t="s">
        <v>35</v>
      </c>
      <c r="AC89" s="135">
        <v>0.470588235294118</v>
      </c>
      <c r="AD89" s="135">
        <v>0.92</v>
      </c>
      <c r="AE89" s="133">
        <v>1</v>
      </c>
      <c r="AF89" s="133">
        <v>1</v>
      </c>
      <c r="AG89" s="133">
        <v>1</v>
      </c>
      <c r="AH89" s="133">
        <v>0.949010654490107</v>
      </c>
      <c r="AI89" s="135">
        <v>0.92</v>
      </c>
      <c r="AJ89" s="133">
        <v>0.948043406774087</v>
      </c>
      <c r="AK89" s="133">
        <v>0.929753914988814</v>
      </c>
      <c r="AL89" s="133">
        <v>0.865536460752439</v>
      </c>
      <c r="AM89" s="133">
        <v>0.94200187090739</v>
      </c>
      <c r="AN89" s="132">
        <v>0.99</v>
      </c>
      <c r="AO89" s="137">
        <v>1</v>
      </c>
      <c r="AP89" s="137">
        <v>1</v>
      </c>
      <c r="AQ89" s="137">
        <v>1</v>
      </c>
      <c r="AR89" s="137">
        <v>1</v>
      </c>
      <c r="AS89" s="139">
        <v>0.105261498981944</v>
      </c>
      <c r="AT89" s="141">
        <v>0.272727272727273</v>
      </c>
      <c r="AU89" s="141">
        <v>0.181818181818182</v>
      </c>
      <c r="AV89" s="141">
        <v>0.0588235294117647</v>
      </c>
      <c r="AW89" s="141">
        <v>0.110204081632653</v>
      </c>
      <c r="AX89" s="95"/>
      <c r="AY89" s="93"/>
    </row>
    <row r="90" ht="15" spans="1:51">
      <c r="A90" s="91"/>
      <c r="B90" s="95"/>
      <c r="C90" s="152" t="s">
        <v>99</v>
      </c>
      <c r="D90" s="153" t="s">
        <v>25</v>
      </c>
      <c r="E90" s="130" t="s">
        <v>100</v>
      </c>
      <c r="F90" s="154" t="s">
        <v>111</v>
      </c>
      <c r="G90" s="154" t="s">
        <v>111</v>
      </c>
      <c r="H90" s="154" t="s">
        <v>111</v>
      </c>
      <c r="I90" s="154" t="s">
        <v>111</v>
      </c>
      <c r="J90" s="132">
        <v>0.9</v>
      </c>
      <c r="K90" s="133">
        <v>0.887096774193548</v>
      </c>
      <c r="L90" s="133">
        <v>0.857142857142857</v>
      </c>
      <c r="M90" s="134">
        <v>0.879310344827586</v>
      </c>
      <c r="N90" s="133">
        <v>0.89748045178106</v>
      </c>
      <c r="O90" s="135">
        <v>0.9</v>
      </c>
      <c r="P90" s="133">
        <v>0.25</v>
      </c>
      <c r="Q90" s="133">
        <v>0</v>
      </c>
      <c r="R90" s="133" t="s">
        <v>35</v>
      </c>
      <c r="S90" s="133">
        <v>0.452380952380952</v>
      </c>
      <c r="T90" s="135">
        <v>0.9</v>
      </c>
      <c r="U90" s="133">
        <v>0.125</v>
      </c>
      <c r="V90" s="133">
        <v>1</v>
      </c>
      <c r="W90" s="133" t="s">
        <v>35</v>
      </c>
      <c r="X90" s="133">
        <v>0.404761904761905</v>
      </c>
      <c r="Y90" s="135">
        <v>0.92</v>
      </c>
      <c r="Z90" s="135">
        <v>0</v>
      </c>
      <c r="AA90" s="135">
        <v>0.5</v>
      </c>
      <c r="AB90" s="135" t="s">
        <v>35</v>
      </c>
      <c r="AC90" s="135">
        <v>0.53125</v>
      </c>
      <c r="AD90" s="135">
        <v>0.92</v>
      </c>
      <c r="AE90" s="133">
        <v>0.995327102803738</v>
      </c>
      <c r="AF90" s="133">
        <v>0.997445721583653</v>
      </c>
      <c r="AG90" s="133">
        <v>0.944954128440367</v>
      </c>
      <c r="AH90" s="133">
        <v>0.982050531655448</v>
      </c>
      <c r="AI90" s="135">
        <v>0.92</v>
      </c>
      <c r="AJ90" s="133">
        <v>0.981446241674596</v>
      </c>
      <c r="AK90" s="133">
        <v>0.982940446650124</v>
      </c>
      <c r="AL90" s="133">
        <v>0.988285229202037</v>
      </c>
      <c r="AM90" s="133">
        <v>0.986010444690616</v>
      </c>
      <c r="AN90" s="132">
        <v>0.99</v>
      </c>
      <c r="AO90" s="137">
        <v>1</v>
      </c>
      <c r="AP90" s="137">
        <v>1</v>
      </c>
      <c r="AQ90" s="137">
        <v>1</v>
      </c>
      <c r="AR90" s="137">
        <v>1</v>
      </c>
      <c r="AS90" s="139">
        <v>0.105261498981944</v>
      </c>
      <c r="AT90" s="141">
        <v>0</v>
      </c>
      <c r="AU90" s="141">
        <v>0.285714285714286</v>
      </c>
      <c r="AV90" s="141">
        <v>0.333333333333333</v>
      </c>
      <c r="AW90" s="141">
        <v>0.147859922178988</v>
      </c>
      <c r="AX90" s="95"/>
      <c r="AY90" s="93"/>
    </row>
    <row r="91" ht="15" spans="1:51">
      <c r="A91" s="91"/>
      <c r="B91" s="95"/>
      <c r="C91" s="152" t="s">
        <v>99</v>
      </c>
      <c r="D91" s="153" t="s">
        <v>25</v>
      </c>
      <c r="E91" s="130" t="s">
        <v>100</v>
      </c>
      <c r="F91" s="154" t="s">
        <v>112</v>
      </c>
      <c r="G91" s="154" t="s">
        <v>112</v>
      </c>
      <c r="H91" s="154" t="s">
        <v>112</v>
      </c>
      <c r="I91" s="154" t="s">
        <v>112</v>
      </c>
      <c r="J91" s="132">
        <v>0.9</v>
      </c>
      <c r="K91" s="133">
        <v>0.970149253731343</v>
      </c>
      <c r="L91" s="133">
        <v>0.879310344827586</v>
      </c>
      <c r="M91" s="134">
        <v>0.851851851851852</v>
      </c>
      <c r="N91" s="133">
        <v>0.943965517241379</v>
      </c>
      <c r="O91" s="135">
        <v>0.9</v>
      </c>
      <c r="P91" s="133">
        <v>0.978991596638655</v>
      </c>
      <c r="Q91" s="133">
        <v>0.97265625</v>
      </c>
      <c r="R91" s="133">
        <v>0.942990654205607</v>
      </c>
      <c r="S91" s="133">
        <v>0.965196833076754</v>
      </c>
      <c r="T91" s="135">
        <v>0.9</v>
      </c>
      <c r="U91" s="133">
        <v>0.898109243697479</v>
      </c>
      <c r="V91" s="133">
        <v>0.8759765625</v>
      </c>
      <c r="W91" s="133">
        <v>0.806230529595016</v>
      </c>
      <c r="X91" s="133">
        <v>0.863165273806906</v>
      </c>
      <c r="Y91" s="135">
        <v>0.92</v>
      </c>
      <c r="Z91" s="135">
        <v>0.948129519019176</v>
      </c>
      <c r="AA91" s="135">
        <v>0.928571428571429</v>
      </c>
      <c r="AB91" s="135">
        <v>0.877568493150685</v>
      </c>
      <c r="AC91" s="135">
        <v>0.942210081396851</v>
      </c>
      <c r="AD91" s="135">
        <v>0.92</v>
      </c>
      <c r="AE91" s="133">
        <v>0.939632545931758</v>
      </c>
      <c r="AF91" s="133">
        <v>0.806640625</v>
      </c>
      <c r="AG91" s="133">
        <v>0.946666666666667</v>
      </c>
      <c r="AH91" s="133">
        <v>0.971654790182106</v>
      </c>
      <c r="AI91" s="135">
        <v>0.92</v>
      </c>
      <c r="AJ91" s="133">
        <v>0.964912280701754</v>
      </c>
      <c r="AK91" s="133">
        <v>0.959845807902345</v>
      </c>
      <c r="AL91" s="133">
        <v>0.92176094890511</v>
      </c>
      <c r="AM91" s="133">
        <v>0.962248249462433</v>
      </c>
      <c r="AN91" s="132">
        <v>0.99</v>
      </c>
      <c r="AO91" s="137">
        <v>1</v>
      </c>
      <c r="AP91" s="137">
        <v>1</v>
      </c>
      <c r="AQ91" s="137">
        <v>1</v>
      </c>
      <c r="AR91" s="137">
        <v>1</v>
      </c>
      <c r="AS91" s="139">
        <v>0.105261498981944</v>
      </c>
      <c r="AT91" s="141">
        <v>0.263157894736842</v>
      </c>
      <c r="AU91" s="141">
        <v>0.285714285714286</v>
      </c>
      <c r="AV91" s="141">
        <v>0.0476190476190476</v>
      </c>
      <c r="AW91" s="141">
        <v>0.102981029810298</v>
      </c>
      <c r="AX91" s="95"/>
      <c r="AY91" s="93"/>
    </row>
    <row r="92" ht="15" spans="1:51">
      <c r="A92" s="91"/>
      <c r="B92" s="95"/>
      <c r="C92" s="152" t="s">
        <v>99</v>
      </c>
      <c r="D92" s="153" t="s">
        <v>25</v>
      </c>
      <c r="E92" s="130" t="s">
        <v>100</v>
      </c>
      <c r="F92" s="154" t="s">
        <v>113</v>
      </c>
      <c r="G92" s="154" t="s">
        <v>113</v>
      </c>
      <c r="H92" s="154" t="s">
        <v>113</v>
      </c>
      <c r="I92" s="154" t="s">
        <v>113</v>
      </c>
      <c r="J92" s="132">
        <v>0.9</v>
      </c>
      <c r="K92" s="133">
        <v>0.963636363636364</v>
      </c>
      <c r="L92" s="133">
        <v>0.979166666666667</v>
      </c>
      <c r="M92" s="134">
        <v>0.938775510204082</v>
      </c>
      <c r="N92" s="133">
        <v>0.952191235059761</v>
      </c>
      <c r="O92" s="135">
        <v>0.9</v>
      </c>
      <c r="P92" s="133">
        <v>0.5</v>
      </c>
      <c r="Q92" s="133">
        <v>1</v>
      </c>
      <c r="R92" s="133">
        <v>0</v>
      </c>
      <c r="S92" s="133">
        <v>0.555555555555556</v>
      </c>
      <c r="T92" s="135">
        <v>0.9</v>
      </c>
      <c r="U92" s="133">
        <v>0</v>
      </c>
      <c r="V92" s="133">
        <v>1</v>
      </c>
      <c r="W92" s="133">
        <v>0</v>
      </c>
      <c r="X92" s="133">
        <v>0.5</v>
      </c>
      <c r="Y92" s="135">
        <v>0.92</v>
      </c>
      <c r="Z92" s="135">
        <v>0</v>
      </c>
      <c r="AA92" s="135" t="s">
        <v>35</v>
      </c>
      <c r="AB92" s="135" t="s">
        <v>35</v>
      </c>
      <c r="AC92" s="135">
        <v>0.5</v>
      </c>
      <c r="AD92" s="135">
        <v>0.92</v>
      </c>
      <c r="AE92" s="133">
        <v>0.982954545454545</v>
      </c>
      <c r="AF92" s="133">
        <v>0.890756302521008</v>
      </c>
      <c r="AG92" s="133">
        <v>0.958015267175573</v>
      </c>
      <c r="AH92" s="133">
        <v>0.954213036565978</v>
      </c>
      <c r="AI92" s="135">
        <v>0.92</v>
      </c>
      <c r="AJ92" s="133">
        <v>0.98292220113852</v>
      </c>
      <c r="AK92" s="133">
        <v>0.986796116504854</v>
      </c>
      <c r="AL92" s="133">
        <v>0.98882069267865</v>
      </c>
      <c r="AM92" s="133">
        <v>0.99017591040912</v>
      </c>
      <c r="AN92" s="132">
        <v>0.99</v>
      </c>
      <c r="AO92" s="137">
        <v>1</v>
      </c>
      <c r="AP92" s="137">
        <v>1</v>
      </c>
      <c r="AQ92" s="137">
        <v>1</v>
      </c>
      <c r="AR92" s="137">
        <v>1</v>
      </c>
      <c r="AS92" s="139">
        <v>0.105261498981944</v>
      </c>
      <c r="AT92" s="141">
        <v>0.111111111111111</v>
      </c>
      <c r="AU92" s="141">
        <v>0</v>
      </c>
      <c r="AV92" s="141">
        <v>0.1</v>
      </c>
      <c r="AW92" s="141">
        <v>0.105527638190955</v>
      </c>
      <c r="AX92" s="95"/>
      <c r="AY92" s="93"/>
    </row>
    <row r="93" ht="15" spans="1:51">
      <c r="A93" s="91"/>
      <c r="B93" s="95"/>
      <c r="C93" s="152" t="s">
        <v>99</v>
      </c>
      <c r="D93" s="153" t="s">
        <v>25</v>
      </c>
      <c r="E93" s="130" t="s">
        <v>100</v>
      </c>
      <c r="F93" s="154" t="s">
        <v>114</v>
      </c>
      <c r="G93" s="154" t="s">
        <v>114</v>
      </c>
      <c r="H93" s="154" t="s">
        <v>114</v>
      </c>
      <c r="I93" s="154" t="s">
        <v>114</v>
      </c>
      <c r="J93" s="132">
        <v>0.9</v>
      </c>
      <c r="K93" s="133">
        <v>0.949152542372881</v>
      </c>
      <c r="L93" s="133">
        <v>0.964912280701754</v>
      </c>
      <c r="M93" s="134">
        <v>0.96551724137931</v>
      </c>
      <c r="N93" s="133">
        <v>0.937272727272727</v>
      </c>
      <c r="O93" s="135">
        <v>0.9</v>
      </c>
      <c r="P93" s="133">
        <v>0.952951620062139</v>
      </c>
      <c r="Q93" s="133">
        <v>0.968483256730138</v>
      </c>
      <c r="R93" s="133">
        <v>0.948322406478982</v>
      </c>
      <c r="S93" s="133">
        <v>0.945194860884337</v>
      </c>
      <c r="T93" s="135">
        <v>0.9</v>
      </c>
      <c r="U93" s="133">
        <v>0.879715934309809</v>
      </c>
      <c r="V93" s="133">
        <v>0.887065003282994</v>
      </c>
      <c r="W93" s="133">
        <v>0.87736212880833</v>
      </c>
      <c r="X93" s="133">
        <v>0.883297874094965</v>
      </c>
      <c r="Y93" s="135">
        <v>0.92</v>
      </c>
      <c r="Z93" s="135">
        <v>0.915159944367177</v>
      </c>
      <c r="AA93" s="135">
        <v>0.918305597579425</v>
      </c>
      <c r="AB93" s="135">
        <v>0.921241050119332</v>
      </c>
      <c r="AC93" s="135">
        <v>0.94187314172448</v>
      </c>
      <c r="AD93" s="135">
        <v>0.92</v>
      </c>
      <c r="AE93" s="133">
        <v>0.943396226415094</v>
      </c>
      <c r="AF93" s="133">
        <v>0.931147540983607</v>
      </c>
      <c r="AG93" s="133">
        <v>0.875</v>
      </c>
      <c r="AH93" s="133">
        <v>0.944194909486865</v>
      </c>
      <c r="AI93" s="135">
        <v>0.92</v>
      </c>
      <c r="AJ93" s="133">
        <v>0.946950804806166</v>
      </c>
      <c r="AK93" s="133">
        <v>0.957875457875458</v>
      </c>
      <c r="AL93" s="133">
        <v>0.959593023255814</v>
      </c>
      <c r="AM93" s="133">
        <v>0.967368389797797</v>
      </c>
      <c r="AN93" s="132">
        <v>0.99</v>
      </c>
      <c r="AO93" s="137">
        <v>1</v>
      </c>
      <c r="AP93" s="137">
        <v>1</v>
      </c>
      <c r="AQ93" s="137">
        <v>1</v>
      </c>
      <c r="AR93" s="137">
        <v>1</v>
      </c>
      <c r="AS93" s="139">
        <v>0.105261498981944</v>
      </c>
      <c r="AT93" s="141">
        <v>0.25</v>
      </c>
      <c r="AU93" s="141">
        <v>0.142857142857143</v>
      </c>
      <c r="AV93" s="141">
        <v>0</v>
      </c>
      <c r="AW93" s="141">
        <v>0.0988372093023256</v>
      </c>
      <c r="AX93" s="95"/>
      <c r="AY93" s="93"/>
    </row>
    <row r="94" ht="15" spans="1:51">
      <c r="A94" s="91"/>
      <c r="B94" s="95"/>
      <c r="C94" s="152" t="s">
        <v>99</v>
      </c>
      <c r="D94" s="153" t="s">
        <v>25</v>
      </c>
      <c r="E94" s="130" t="s">
        <v>100</v>
      </c>
      <c r="F94" s="154" t="s">
        <v>115</v>
      </c>
      <c r="G94" s="154" t="s">
        <v>115</v>
      </c>
      <c r="H94" s="154" t="s">
        <v>115</v>
      </c>
      <c r="I94" s="154" t="s">
        <v>115</v>
      </c>
      <c r="J94" s="132">
        <v>0.9</v>
      </c>
      <c r="K94" s="133">
        <v>0.986486486486487</v>
      </c>
      <c r="L94" s="133">
        <v>0.947368421052632</v>
      </c>
      <c r="M94" s="134">
        <v>0.938461538461538</v>
      </c>
      <c r="N94" s="133">
        <v>0.943911439114391</v>
      </c>
      <c r="O94" s="135">
        <v>0.9</v>
      </c>
      <c r="P94" s="133">
        <v>0.975157582499073</v>
      </c>
      <c r="Q94" s="133">
        <v>0.910875331564987</v>
      </c>
      <c r="R94" s="133">
        <v>0.822015915119363</v>
      </c>
      <c r="S94" s="133">
        <v>0.919275057306398</v>
      </c>
      <c r="T94" s="135">
        <v>0.9</v>
      </c>
      <c r="U94" s="133">
        <v>0.919169447534297</v>
      </c>
      <c r="V94" s="133">
        <v>0.908753315649867</v>
      </c>
      <c r="W94" s="133">
        <v>0.931299734748011</v>
      </c>
      <c r="X94" s="133">
        <v>0.917706671671202</v>
      </c>
      <c r="Y94" s="135">
        <v>0.92</v>
      </c>
      <c r="Z94" s="135">
        <v>0.930247305009512</v>
      </c>
      <c r="AA94" s="135">
        <v>0.942413162705667</v>
      </c>
      <c r="AB94" s="135">
        <v>0.919382504288165</v>
      </c>
      <c r="AC94" s="135">
        <v>0.950731651983212</v>
      </c>
      <c r="AD94" s="135">
        <v>0.92</v>
      </c>
      <c r="AE94" s="133">
        <v>0.880851063829787</v>
      </c>
      <c r="AF94" s="133">
        <v>0.976878612716763</v>
      </c>
      <c r="AG94" s="133">
        <v>0.954128440366973</v>
      </c>
      <c r="AH94" s="133">
        <v>0.955254636443921</v>
      </c>
      <c r="AI94" s="135">
        <v>0.92</v>
      </c>
      <c r="AJ94" s="133">
        <v>0.952153110047847</v>
      </c>
      <c r="AK94" s="133">
        <v>0.967103054716348</v>
      </c>
      <c r="AL94" s="133">
        <v>0.967193195625759</v>
      </c>
      <c r="AM94" s="133">
        <v>0.972166234010682</v>
      </c>
      <c r="AN94" s="132">
        <v>0.99</v>
      </c>
      <c r="AO94" s="137">
        <v>1</v>
      </c>
      <c r="AP94" s="137">
        <v>1</v>
      </c>
      <c r="AQ94" s="137">
        <v>1</v>
      </c>
      <c r="AR94" s="137">
        <v>1</v>
      </c>
      <c r="AS94" s="139">
        <v>0.105261498981944</v>
      </c>
      <c r="AT94" s="141">
        <v>0</v>
      </c>
      <c r="AU94" s="141">
        <v>0.0666666666666667</v>
      </c>
      <c r="AV94" s="141">
        <v>0</v>
      </c>
      <c r="AW94" s="141">
        <v>0.0738255033557047</v>
      </c>
      <c r="AX94" s="95"/>
      <c r="AY94" s="93"/>
    </row>
    <row r="95" ht="15" spans="1:51">
      <c r="A95" s="91"/>
      <c r="B95" s="95"/>
      <c r="C95" s="152" t="s">
        <v>99</v>
      </c>
      <c r="D95" s="153" t="s">
        <v>25</v>
      </c>
      <c r="E95" s="130" t="s">
        <v>100</v>
      </c>
      <c r="F95" s="154" t="s">
        <v>116</v>
      </c>
      <c r="G95" s="154" t="s">
        <v>116</v>
      </c>
      <c r="H95" s="154" t="s">
        <v>116</v>
      </c>
      <c r="I95" s="154" t="s">
        <v>116</v>
      </c>
      <c r="J95" s="132">
        <v>0.9</v>
      </c>
      <c r="K95" s="133">
        <v>0.904109589041096</v>
      </c>
      <c r="L95" s="133">
        <v>0.95</v>
      </c>
      <c r="M95" s="134">
        <v>0.849056603773585</v>
      </c>
      <c r="N95" s="133">
        <v>0.9213217938631</v>
      </c>
      <c r="O95" s="135">
        <v>0.9</v>
      </c>
      <c r="P95" s="133">
        <v>0.962916666666667</v>
      </c>
      <c r="Q95" s="133">
        <v>0.944344703770198</v>
      </c>
      <c r="R95" s="133">
        <v>0.935598577637297</v>
      </c>
      <c r="S95" s="133">
        <v>0.958569675257903</v>
      </c>
      <c r="T95" s="135">
        <v>0.9</v>
      </c>
      <c r="U95" s="133">
        <v>0.897916666666667</v>
      </c>
      <c r="V95" s="133">
        <v>0.873129862357869</v>
      </c>
      <c r="W95" s="133">
        <v>0.882259976293955</v>
      </c>
      <c r="X95" s="133">
        <v>0.909476896540286</v>
      </c>
      <c r="Y95" s="135">
        <v>0.92</v>
      </c>
      <c r="Z95" s="135">
        <v>0.94</v>
      </c>
      <c r="AA95" s="135">
        <v>0.918827508455468</v>
      </c>
      <c r="AB95" s="135">
        <v>0.88422131147541</v>
      </c>
      <c r="AC95" s="135">
        <v>0.949681498383723</v>
      </c>
      <c r="AD95" s="135">
        <v>0.92</v>
      </c>
      <c r="AE95" s="133">
        <v>0.996464869642068</v>
      </c>
      <c r="AF95" s="133">
        <v>0.950798722044728</v>
      </c>
      <c r="AG95" s="133">
        <v>0.987645847632121</v>
      </c>
      <c r="AH95" s="133">
        <v>0.987446126090007</v>
      </c>
      <c r="AI95" s="135">
        <v>0.92</v>
      </c>
      <c r="AJ95" s="133">
        <v>0.956272259596359</v>
      </c>
      <c r="AK95" s="133">
        <v>0.952306489444879</v>
      </c>
      <c r="AL95" s="133">
        <v>0.934169278996865</v>
      </c>
      <c r="AM95" s="133">
        <v>0.970276526954296</v>
      </c>
      <c r="AN95" s="132">
        <v>0.99</v>
      </c>
      <c r="AO95" s="137">
        <v>1</v>
      </c>
      <c r="AP95" s="137">
        <v>1</v>
      </c>
      <c r="AQ95" s="137">
        <v>1</v>
      </c>
      <c r="AR95" s="137">
        <v>1</v>
      </c>
      <c r="AS95" s="139">
        <v>0.105261498981944</v>
      </c>
      <c r="AT95" s="141">
        <v>0</v>
      </c>
      <c r="AU95" s="141">
        <v>0.3</v>
      </c>
      <c r="AV95" s="141">
        <v>0.1</v>
      </c>
      <c r="AW95" s="141">
        <v>0.1015625</v>
      </c>
      <c r="AX95" s="95"/>
      <c r="AY95" s="93"/>
    </row>
    <row r="96" ht="15" spans="1:51">
      <c r="A96" s="91"/>
      <c r="B96" s="95"/>
      <c r="C96" s="152" t="s">
        <v>99</v>
      </c>
      <c r="D96" s="153" t="s">
        <v>25</v>
      </c>
      <c r="E96" s="130" t="s">
        <v>100</v>
      </c>
      <c r="F96" s="154" t="s">
        <v>117</v>
      </c>
      <c r="G96" s="154" t="s">
        <v>117</v>
      </c>
      <c r="H96" s="154" t="s">
        <v>117</v>
      </c>
      <c r="I96" s="154" t="s">
        <v>117</v>
      </c>
      <c r="J96" s="132">
        <v>0.9</v>
      </c>
      <c r="K96" s="133">
        <v>0.888888888888889</v>
      </c>
      <c r="L96" s="133">
        <v>0.895522388059702</v>
      </c>
      <c r="M96" s="134">
        <v>0.847457627118644</v>
      </c>
      <c r="N96" s="133">
        <v>0.901498929336188</v>
      </c>
      <c r="O96" s="135">
        <v>0.9</v>
      </c>
      <c r="P96" s="133">
        <v>0.921489682939104</v>
      </c>
      <c r="Q96" s="133">
        <v>0.938552713661884</v>
      </c>
      <c r="R96" s="133">
        <v>0.768311922470137</v>
      </c>
      <c r="S96" s="133">
        <v>0.877313432835821</v>
      </c>
      <c r="T96" s="135">
        <v>0.9</v>
      </c>
      <c r="U96" s="133">
        <v>0.887434994128502</v>
      </c>
      <c r="V96" s="133">
        <v>0.899875233936369</v>
      </c>
      <c r="W96" s="133">
        <v>0.739914356547217</v>
      </c>
      <c r="X96" s="133">
        <v>0.858182616330114</v>
      </c>
      <c r="Y96" s="135">
        <v>0.92</v>
      </c>
      <c r="Z96" s="135">
        <v>0.921007441327991</v>
      </c>
      <c r="AA96" s="135">
        <v>0.922077922077922</v>
      </c>
      <c r="AB96" s="135">
        <v>0.838788870703764</v>
      </c>
      <c r="AC96" s="135">
        <v>0.928204970661424</v>
      </c>
      <c r="AD96" s="135">
        <v>0.92</v>
      </c>
      <c r="AE96" s="133">
        <v>0.982161234991424</v>
      </c>
      <c r="AF96" s="133">
        <v>0.762726870296591</v>
      </c>
      <c r="AG96" s="133">
        <v>0.951219512195122</v>
      </c>
      <c r="AH96" s="133">
        <v>0.936131121298115</v>
      </c>
      <c r="AI96" s="135">
        <v>0.92</v>
      </c>
      <c r="AJ96" s="133">
        <v>0.944925466392931</v>
      </c>
      <c r="AK96" s="133">
        <v>0.960148083623693</v>
      </c>
      <c r="AL96" s="133">
        <v>0.90565371024735</v>
      </c>
      <c r="AM96" s="133">
        <v>0.954590904774407</v>
      </c>
      <c r="AN96" s="132">
        <v>0.99</v>
      </c>
      <c r="AO96" s="137">
        <v>1</v>
      </c>
      <c r="AP96" s="137">
        <v>1</v>
      </c>
      <c r="AQ96" s="137">
        <v>1</v>
      </c>
      <c r="AR96" s="137">
        <v>1</v>
      </c>
      <c r="AS96" s="139">
        <v>0.105261498981944</v>
      </c>
      <c r="AT96" s="141">
        <v>0.105263157894737</v>
      </c>
      <c r="AU96" s="141">
        <v>0.1</v>
      </c>
      <c r="AV96" s="141">
        <v>0</v>
      </c>
      <c r="AW96" s="141">
        <v>0.0779816513761468</v>
      </c>
      <c r="AX96" s="95"/>
      <c r="AY96" s="93"/>
    </row>
    <row r="97" ht="15" spans="1:51">
      <c r="A97" s="91"/>
      <c r="B97" s="95"/>
      <c r="C97" s="152" t="s">
        <v>99</v>
      </c>
      <c r="D97" s="153" t="s">
        <v>25</v>
      </c>
      <c r="E97" s="130" t="s">
        <v>100</v>
      </c>
      <c r="F97" s="154" t="s">
        <v>118</v>
      </c>
      <c r="G97" s="154" t="s">
        <v>118</v>
      </c>
      <c r="H97" s="154" t="s">
        <v>118</v>
      </c>
      <c r="I97" s="154" t="s">
        <v>118</v>
      </c>
      <c r="J97" s="132">
        <v>0.9</v>
      </c>
      <c r="K97" s="133">
        <v>0.926315789473684</v>
      </c>
      <c r="L97" s="133">
        <v>0.833333333333333</v>
      </c>
      <c r="M97" s="134">
        <v>0.911764705882353</v>
      </c>
      <c r="N97" s="133">
        <v>0.8955042527339</v>
      </c>
      <c r="O97" s="135">
        <v>0.9</v>
      </c>
      <c r="P97" s="133">
        <v>0.950196358443413</v>
      </c>
      <c r="Q97" s="133">
        <v>0.942019950124688</v>
      </c>
      <c r="R97" s="133">
        <v>0.918107588856868</v>
      </c>
      <c r="S97" s="133">
        <v>0.913663760213311</v>
      </c>
      <c r="T97" s="135">
        <v>0.9</v>
      </c>
      <c r="U97" s="133">
        <v>0.907354516244198</v>
      </c>
      <c r="V97" s="133">
        <v>0.894014962593516</v>
      </c>
      <c r="W97" s="133">
        <v>0.842459173871278</v>
      </c>
      <c r="X97" s="133">
        <v>0.846446667866972</v>
      </c>
      <c r="Y97" s="135">
        <v>0.92</v>
      </c>
      <c r="Z97" s="135">
        <v>0.933915425440849</v>
      </c>
      <c r="AA97" s="135">
        <v>0.968125</v>
      </c>
      <c r="AB97" s="135">
        <v>0.8921302578019</v>
      </c>
      <c r="AC97" s="135">
        <v>0.930400730648451</v>
      </c>
      <c r="AD97" s="135">
        <v>0.92</v>
      </c>
      <c r="AE97" s="133">
        <v>0.995215311004785</v>
      </c>
      <c r="AF97" s="133">
        <v>0.900374181478017</v>
      </c>
      <c r="AG97" s="133">
        <v>0.962679425837321</v>
      </c>
      <c r="AH97" s="133">
        <v>0.920047108086888</v>
      </c>
      <c r="AI97" s="135">
        <v>0.92</v>
      </c>
      <c r="AJ97" s="133">
        <v>0.955879783330421</v>
      </c>
      <c r="AK97" s="133">
        <v>0.979825291181364</v>
      </c>
      <c r="AL97" s="133">
        <v>0.941145187023577</v>
      </c>
      <c r="AM97" s="133">
        <v>0.960492056711621</v>
      </c>
      <c r="AN97" s="132">
        <v>0.99</v>
      </c>
      <c r="AO97" s="137">
        <v>1</v>
      </c>
      <c r="AP97" s="137">
        <v>1</v>
      </c>
      <c r="AQ97" s="137">
        <v>1</v>
      </c>
      <c r="AR97" s="137">
        <v>1</v>
      </c>
      <c r="AS97" s="139">
        <v>0.105261498981944</v>
      </c>
      <c r="AT97" s="141">
        <v>0.0833333333333333</v>
      </c>
      <c r="AU97" s="141">
        <v>0</v>
      </c>
      <c r="AV97" s="141">
        <v>0.176470588235294</v>
      </c>
      <c r="AW97" s="141">
        <v>0.0784023668639053</v>
      </c>
      <c r="AX97" s="95"/>
      <c r="AY97" s="93"/>
    </row>
    <row r="98" ht="15" spans="1:51">
      <c r="A98" s="91"/>
      <c r="B98" s="95"/>
      <c r="C98" s="152" t="s">
        <v>99</v>
      </c>
      <c r="D98" s="153" t="s">
        <v>25</v>
      </c>
      <c r="E98" s="130" t="s">
        <v>100</v>
      </c>
      <c r="F98" s="154" t="s">
        <v>119</v>
      </c>
      <c r="G98" s="154" t="s">
        <v>119</v>
      </c>
      <c r="H98" s="154" t="s">
        <v>119</v>
      </c>
      <c r="I98" s="154" t="s">
        <v>119</v>
      </c>
      <c r="J98" s="132">
        <v>0.9</v>
      </c>
      <c r="K98" s="133">
        <v>0.951219512195122</v>
      </c>
      <c r="L98" s="133">
        <v>0.971428571428571</v>
      </c>
      <c r="M98" s="134">
        <v>0.961538461538462</v>
      </c>
      <c r="N98" s="133">
        <v>0.941258741258741</v>
      </c>
      <c r="O98" s="135">
        <v>0.9</v>
      </c>
      <c r="P98" s="133">
        <v>0.891358910003585</v>
      </c>
      <c r="Q98" s="133">
        <v>0.942282749675746</v>
      </c>
      <c r="R98" s="133">
        <v>0.932798395185557</v>
      </c>
      <c r="S98" s="133">
        <v>0.899074275574602</v>
      </c>
      <c r="T98" s="135">
        <v>0.9</v>
      </c>
      <c r="U98" s="133">
        <v>0.87163858013625</v>
      </c>
      <c r="V98" s="133">
        <v>0.896887159533074</v>
      </c>
      <c r="W98" s="133">
        <v>0.804413239719157</v>
      </c>
      <c r="X98" s="133">
        <v>0.80484456869277</v>
      </c>
      <c r="Y98" s="135">
        <v>0.92</v>
      </c>
      <c r="Z98" s="135">
        <v>0.944347826086957</v>
      </c>
      <c r="AA98" s="135">
        <v>0.953434225844005</v>
      </c>
      <c r="AB98" s="135">
        <v>0.911854103343465</v>
      </c>
      <c r="AC98" s="135">
        <v>0.944177489771822</v>
      </c>
      <c r="AD98" s="135">
        <v>0.92</v>
      </c>
      <c r="AE98" s="133">
        <v>0.995079950799508</v>
      </c>
      <c r="AF98" s="133">
        <v>0.991762767710049</v>
      </c>
      <c r="AG98" s="133">
        <v>0.96551724137931</v>
      </c>
      <c r="AH98" s="133">
        <v>0.988014420150756</v>
      </c>
      <c r="AI98" s="135">
        <v>0.92</v>
      </c>
      <c r="AJ98" s="133">
        <v>0.950741525423729</v>
      </c>
      <c r="AK98" s="133">
        <v>0.966680549770929</v>
      </c>
      <c r="AL98" s="133">
        <v>0.94683257918552</v>
      </c>
      <c r="AM98" s="133">
        <v>0.963071579363346</v>
      </c>
      <c r="AN98" s="132">
        <v>0.99</v>
      </c>
      <c r="AO98" s="137">
        <v>1</v>
      </c>
      <c r="AP98" s="137">
        <v>1</v>
      </c>
      <c r="AQ98" s="137">
        <v>1</v>
      </c>
      <c r="AR98" s="137">
        <v>1</v>
      </c>
      <c r="AS98" s="139">
        <v>0.105261498981944</v>
      </c>
      <c r="AT98" s="141">
        <v>0.0444444444444444</v>
      </c>
      <c r="AU98" s="141">
        <v>0.0731707317073171</v>
      </c>
      <c r="AV98" s="141">
        <v>0</v>
      </c>
      <c r="AW98" s="141">
        <v>0.0556492411467116</v>
      </c>
      <c r="AX98" s="95"/>
      <c r="AY98" s="93"/>
    </row>
    <row r="99" ht="15" spans="1:51">
      <c r="A99" s="91"/>
      <c r="B99" s="95"/>
      <c r="C99" s="152" t="s">
        <v>99</v>
      </c>
      <c r="D99" s="153" t="s">
        <v>25</v>
      </c>
      <c r="E99" s="130" t="s">
        <v>100</v>
      </c>
      <c r="F99" s="154" t="s">
        <v>120</v>
      </c>
      <c r="G99" s="154" t="s">
        <v>120</v>
      </c>
      <c r="H99" s="154" t="s">
        <v>120</v>
      </c>
      <c r="I99" s="154" t="s">
        <v>120</v>
      </c>
      <c r="J99" s="132">
        <v>0.9</v>
      </c>
      <c r="K99" s="133">
        <v>0.857142857142857</v>
      </c>
      <c r="L99" s="133">
        <v>0.934782608695652</v>
      </c>
      <c r="M99" s="134">
        <v>0.828571428571429</v>
      </c>
      <c r="N99" s="133">
        <v>0.903954802259887</v>
      </c>
      <c r="O99" s="135">
        <v>0.9</v>
      </c>
      <c r="P99" s="133">
        <v>0.940789473684211</v>
      </c>
      <c r="Q99" s="133">
        <v>0.95552223888056</v>
      </c>
      <c r="R99" s="133">
        <v>0.889054912215166</v>
      </c>
      <c r="S99" s="133">
        <v>0.905870317689429</v>
      </c>
      <c r="T99" s="135">
        <v>0.9</v>
      </c>
      <c r="U99" s="133">
        <v>0.903782894736842</v>
      </c>
      <c r="V99" s="133">
        <v>0.903548225887057</v>
      </c>
      <c r="W99" s="133">
        <v>0.833022039596563</v>
      </c>
      <c r="X99" s="133">
        <v>0.8623018820331</v>
      </c>
      <c r="Y99" s="135">
        <v>0.92</v>
      </c>
      <c r="Z99" s="135">
        <v>0.901794145420208</v>
      </c>
      <c r="AA99" s="135">
        <v>0.923965351299326</v>
      </c>
      <c r="AB99" s="135">
        <v>0.892405063291139</v>
      </c>
      <c r="AC99" s="135">
        <v>0.936534506671768</v>
      </c>
      <c r="AD99" s="135">
        <v>0.92</v>
      </c>
      <c r="AE99" s="133">
        <v>0.995354119347512</v>
      </c>
      <c r="AF99" s="133">
        <v>0.939371602321939</v>
      </c>
      <c r="AG99" s="133">
        <v>0.99722067815453</v>
      </c>
      <c r="AH99" s="133">
        <v>0.986373179036842</v>
      </c>
      <c r="AI99" s="135">
        <v>0.92</v>
      </c>
      <c r="AJ99" s="133">
        <v>0.937893657536253</v>
      </c>
      <c r="AK99" s="133">
        <v>0.960539296284117</v>
      </c>
      <c r="AL99" s="133">
        <v>0.942329873125721</v>
      </c>
      <c r="AM99" s="133">
        <v>0.962589661142716</v>
      </c>
      <c r="AN99" s="132">
        <v>0.99</v>
      </c>
      <c r="AO99" s="137">
        <v>1</v>
      </c>
      <c r="AP99" s="137">
        <v>1</v>
      </c>
      <c r="AQ99" s="137">
        <v>1</v>
      </c>
      <c r="AR99" s="137">
        <v>1</v>
      </c>
      <c r="AS99" s="139">
        <v>0.105261498981944</v>
      </c>
      <c r="AT99" s="141">
        <v>0.157894736842105</v>
      </c>
      <c r="AU99" s="141">
        <v>0.357142857142857</v>
      </c>
      <c r="AV99" s="141">
        <v>0</v>
      </c>
      <c r="AW99" s="141">
        <v>0.110552763819095</v>
      </c>
      <c r="AX99" s="95"/>
      <c r="AY99" s="93"/>
    </row>
    <row r="100" ht="15" spans="1:51">
      <c r="A100" s="91"/>
      <c r="B100" s="95"/>
      <c r="C100" s="152" t="s">
        <v>99</v>
      </c>
      <c r="D100" s="153" t="s">
        <v>25</v>
      </c>
      <c r="E100" s="130" t="s">
        <v>100</v>
      </c>
      <c r="F100" s="154" t="s">
        <v>121</v>
      </c>
      <c r="G100" s="154" t="s">
        <v>121</v>
      </c>
      <c r="H100" s="154" t="s">
        <v>121</v>
      </c>
      <c r="I100" s="154" t="s">
        <v>121</v>
      </c>
      <c r="J100" s="132">
        <v>0.9</v>
      </c>
      <c r="K100" s="133">
        <v>0.972222222222222</v>
      </c>
      <c r="L100" s="133">
        <v>0.967741935483871</v>
      </c>
      <c r="M100" s="134">
        <v>0.931034482758621</v>
      </c>
      <c r="N100" s="133">
        <v>0.968944099378882</v>
      </c>
      <c r="O100" s="135">
        <v>0.9</v>
      </c>
      <c r="P100" s="133">
        <v>0.939130434782609</v>
      </c>
      <c r="Q100" s="133">
        <v>0.962177121771218</v>
      </c>
      <c r="R100" s="133">
        <v>0.945668135095448</v>
      </c>
      <c r="S100" s="133">
        <v>0.956657773465923</v>
      </c>
      <c r="T100" s="135">
        <v>0.9</v>
      </c>
      <c r="U100" s="133">
        <v>0.917391304347826</v>
      </c>
      <c r="V100" s="133">
        <v>0.930811808118081</v>
      </c>
      <c r="W100" s="133">
        <v>0.884728340675477</v>
      </c>
      <c r="X100" s="133">
        <v>0.92391462527286</v>
      </c>
      <c r="Y100" s="135">
        <v>0.92</v>
      </c>
      <c r="Z100" s="135">
        <v>0.947445972495088</v>
      </c>
      <c r="AA100" s="135">
        <v>0.959633027522936</v>
      </c>
      <c r="AB100" s="135">
        <v>0.912663755458515</v>
      </c>
      <c r="AC100" s="135">
        <v>0.96647403419886</v>
      </c>
      <c r="AD100" s="135">
        <v>0.92</v>
      </c>
      <c r="AE100" s="133">
        <v>0.970233876683203</v>
      </c>
      <c r="AF100" s="133">
        <v>0.99486301369863</v>
      </c>
      <c r="AG100" s="133">
        <v>0.990990990990991</v>
      </c>
      <c r="AH100" s="133">
        <v>0.987015196189612</v>
      </c>
      <c r="AI100" s="135">
        <v>0.92</v>
      </c>
      <c r="AJ100" s="133">
        <v>0.958462332301342</v>
      </c>
      <c r="AK100" s="133">
        <v>0.976672805402087</v>
      </c>
      <c r="AL100" s="133">
        <v>0.949450549450549</v>
      </c>
      <c r="AM100" s="133">
        <v>0.977938190841417</v>
      </c>
      <c r="AN100" s="132">
        <v>0.99</v>
      </c>
      <c r="AO100" s="137">
        <v>1</v>
      </c>
      <c r="AP100" s="137">
        <v>1</v>
      </c>
      <c r="AQ100" s="137">
        <v>1</v>
      </c>
      <c r="AR100" s="137">
        <v>1</v>
      </c>
      <c r="AS100" s="139">
        <v>0.105261498981944</v>
      </c>
      <c r="AT100" s="141">
        <v>0.3125</v>
      </c>
      <c r="AU100" s="141">
        <v>0.111111111111111</v>
      </c>
      <c r="AV100" s="141">
        <v>0</v>
      </c>
      <c r="AW100" s="141">
        <v>0.0745614035087719</v>
      </c>
      <c r="AX100" s="95"/>
      <c r="AY100" s="93"/>
    </row>
    <row r="101" ht="15" spans="1:51">
      <c r="A101" s="91"/>
      <c r="B101" s="95"/>
      <c r="C101" s="152" t="s">
        <v>99</v>
      </c>
      <c r="D101" s="153" t="s">
        <v>25</v>
      </c>
      <c r="E101" s="130" t="s">
        <v>100</v>
      </c>
      <c r="F101" s="154" t="s">
        <v>122</v>
      </c>
      <c r="G101" s="154" t="s">
        <v>122</v>
      </c>
      <c r="H101" s="154" t="s">
        <v>122</v>
      </c>
      <c r="I101" s="154" t="s">
        <v>122</v>
      </c>
      <c r="J101" s="132">
        <v>0.9</v>
      </c>
      <c r="K101" s="133">
        <v>1</v>
      </c>
      <c r="L101" s="133">
        <v>0.983870967741935</v>
      </c>
      <c r="M101" s="134">
        <v>0.94</v>
      </c>
      <c r="N101" s="133">
        <v>0.946443514644352</v>
      </c>
      <c r="O101" s="135">
        <v>0.9</v>
      </c>
      <c r="P101" s="133">
        <v>0.953824362606232</v>
      </c>
      <c r="Q101" s="133">
        <v>0.960973137354283</v>
      </c>
      <c r="R101" s="133">
        <v>0.949941792782305</v>
      </c>
      <c r="S101" s="133">
        <v>0.95625746925558</v>
      </c>
      <c r="T101" s="135">
        <v>0.9</v>
      </c>
      <c r="U101" s="133">
        <v>0.921246458923513</v>
      </c>
      <c r="V101" s="133">
        <v>0.926507856056766</v>
      </c>
      <c r="W101" s="133">
        <v>0.892898719441211</v>
      </c>
      <c r="X101" s="133">
        <v>0.912257931867539</v>
      </c>
      <c r="Y101" s="135">
        <v>0.92</v>
      </c>
      <c r="Z101" s="135">
        <v>0.936336660372269</v>
      </c>
      <c r="AA101" s="135">
        <v>0.936229205175601</v>
      </c>
      <c r="AB101" s="135">
        <v>0.886666666666667</v>
      </c>
      <c r="AC101" s="135">
        <v>0.950560385461402</v>
      </c>
      <c r="AD101" s="135">
        <v>0.92</v>
      </c>
      <c r="AE101" s="133">
        <v>0.997934950955085</v>
      </c>
      <c r="AF101" s="133">
        <v>0.982545454545454</v>
      </c>
      <c r="AG101" s="133">
        <v>0.992916174734357</v>
      </c>
      <c r="AH101" s="133">
        <v>0.989983652845891</v>
      </c>
      <c r="AI101" s="135">
        <v>0.92</v>
      </c>
      <c r="AJ101" s="133">
        <v>0.95495371010087</v>
      </c>
      <c r="AK101" s="133">
        <v>0.961047463175123</v>
      </c>
      <c r="AL101" s="133">
        <v>0.932700603968939</v>
      </c>
      <c r="AM101" s="133">
        <v>0.969806782522818</v>
      </c>
      <c r="AN101" s="132">
        <v>0.99</v>
      </c>
      <c r="AO101" s="137">
        <v>1</v>
      </c>
      <c r="AP101" s="137">
        <v>1</v>
      </c>
      <c r="AQ101" s="137">
        <v>1</v>
      </c>
      <c r="AR101" s="137">
        <v>1</v>
      </c>
      <c r="AS101" s="139">
        <v>0.105261498981944</v>
      </c>
      <c r="AT101" s="141">
        <v>0.0909090909090909</v>
      </c>
      <c r="AU101" s="141">
        <v>0.0714285714285714</v>
      </c>
      <c r="AV101" s="141">
        <v>0.0769230769230769</v>
      </c>
      <c r="AW101" s="141">
        <v>0.103305785123967</v>
      </c>
      <c r="AX101" s="95"/>
      <c r="AY101" s="93"/>
    </row>
    <row r="102" ht="15" spans="1:51">
      <c r="A102" s="91"/>
      <c r="B102" s="95"/>
      <c r="C102" s="152" t="s">
        <v>99</v>
      </c>
      <c r="D102" s="153" t="s">
        <v>25</v>
      </c>
      <c r="E102" s="130" t="s">
        <v>100</v>
      </c>
      <c r="F102" s="154" t="s">
        <v>123</v>
      </c>
      <c r="G102" s="154" t="s">
        <v>123</v>
      </c>
      <c r="H102" s="154" t="s">
        <v>123</v>
      </c>
      <c r="I102" s="154" t="s">
        <v>123</v>
      </c>
      <c r="J102" s="132">
        <v>0.9</v>
      </c>
      <c r="K102" s="133" t="s">
        <v>35</v>
      </c>
      <c r="L102" s="133" t="s">
        <v>35</v>
      </c>
      <c r="M102" s="134" t="s">
        <v>35</v>
      </c>
      <c r="N102" s="133" t="s">
        <v>35</v>
      </c>
      <c r="O102" s="135">
        <v>0.9</v>
      </c>
      <c r="P102" s="133">
        <v>0</v>
      </c>
      <c r="Q102" s="133">
        <v>0</v>
      </c>
      <c r="R102" s="133">
        <v>0</v>
      </c>
      <c r="S102" s="133">
        <v>0.336734693877551</v>
      </c>
      <c r="T102" s="135">
        <v>0.9</v>
      </c>
      <c r="U102" s="133">
        <v>0.953488372093023</v>
      </c>
      <c r="V102" s="133">
        <v>1</v>
      </c>
      <c r="W102" s="133">
        <v>0.916666666666667</v>
      </c>
      <c r="X102" s="133">
        <v>0.975667189952904</v>
      </c>
      <c r="Y102" s="135">
        <v>0.92</v>
      </c>
      <c r="Z102" s="135">
        <v>1</v>
      </c>
      <c r="AA102" s="135">
        <v>1</v>
      </c>
      <c r="AB102" s="135">
        <v>1</v>
      </c>
      <c r="AC102" s="135">
        <v>0.971111111111111</v>
      </c>
      <c r="AD102" s="135">
        <v>0.92</v>
      </c>
      <c r="AE102" s="133" t="s">
        <v>35</v>
      </c>
      <c r="AF102" s="133" t="s">
        <v>35</v>
      </c>
      <c r="AG102" s="133" t="s">
        <v>35</v>
      </c>
      <c r="AH102" s="133">
        <v>0.731947483588621</v>
      </c>
      <c r="AI102" s="135">
        <v>0.92</v>
      </c>
      <c r="AJ102" s="133">
        <v>0.914893617021277</v>
      </c>
      <c r="AK102" s="133">
        <v>1</v>
      </c>
      <c r="AL102" s="133">
        <v>0.857142857142857</v>
      </c>
      <c r="AM102" s="133">
        <v>0.96776050662061</v>
      </c>
      <c r="AN102" s="132">
        <v>0.99</v>
      </c>
      <c r="AO102" s="137" t="s">
        <v>35</v>
      </c>
      <c r="AP102" s="137" t="s">
        <v>35</v>
      </c>
      <c r="AQ102" s="137" t="s">
        <v>35</v>
      </c>
      <c r="AR102" s="137">
        <v>1</v>
      </c>
      <c r="AS102" s="139">
        <v>0.105261498981944</v>
      </c>
      <c r="AT102" s="141" t="s">
        <v>35</v>
      </c>
      <c r="AU102" s="141" t="s">
        <v>35</v>
      </c>
      <c r="AV102" s="141" t="s">
        <v>35</v>
      </c>
      <c r="AW102" s="141">
        <v>0</v>
      </c>
      <c r="AX102" s="95"/>
      <c r="AY102" s="93"/>
    </row>
    <row r="103" ht="15" spans="1:51">
      <c r="A103" s="91"/>
      <c r="B103" s="95"/>
      <c r="C103" s="152" t="s">
        <v>99</v>
      </c>
      <c r="D103" s="153" t="s">
        <v>25</v>
      </c>
      <c r="E103" s="130" t="s">
        <v>100</v>
      </c>
      <c r="F103" s="154" t="s">
        <v>124</v>
      </c>
      <c r="G103" s="154" t="s">
        <v>124</v>
      </c>
      <c r="H103" s="154" t="s">
        <v>124</v>
      </c>
      <c r="I103" s="154" t="s">
        <v>124</v>
      </c>
      <c r="J103" s="132">
        <v>0.9</v>
      </c>
      <c r="K103" s="133">
        <v>0.967741935483871</v>
      </c>
      <c r="L103" s="133">
        <v>0.952941176470588</v>
      </c>
      <c r="M103" s="134">
        <v>0.988095238095238</v>
      </c>
      <c r="N103" s="133">
        <v>0.947048082775411</v>
      </c>
      <c r="O103" s="135">
        <v>0.9</v>
      </c>
      <c r="P103" s="133">
        <v>0.95325</v>
      </c>
      <c r="Q103" s="133">
        <v>0.94478033051189</v>
      </c>
      <c r="R103" s="133">
        <v>0.956800832755031</v>
      </c>
      <c r="S103" s="133">
        <v>0.925664917143363</v>
      </c>
      <c r="T103" s="135">
        <v>0.9</v>
      </c>
      <c r="U103" s="133">
        <v>0.920625</v>
      </c>
      <c r="V103" s="133">
        <v>0.928053204353083</v>
      </c>
      <c r="W103" s="133">
        <v>0.902498265093685</v>
      </c>
      <c r="X103" s="133">
        <v>0.882548505042166</v>
      </c>
      <c r="Y103" s="135">
        <v>0.92</v>
      </c>
      <c r="Z103" s="135">
        <v>0.918394270637015</v>
      </c>
      <c r="AA103" s="135">
        <v>0.915451895043732</v>
      </c>
      <c r="AB103" s="135">
        <v>0.871838111298482</v>
      </c>
      <c r="AC103" s="135">
        <v>0.917973411784297</v>
      </c>
      <c r="AD103" s="135">
        <v>0.92</v>
      </c>
      <c r="AE103" s="133">
        <v>0.875554833820504</v>
      </c>
      <c r="AF103" s="133">
        <v>0.841812119065359</v>
      </c>
      <c r="AG103" s="133">
        <v>0.974522747546833</v>
      </c>
      <c r="AH103" s="133">
        <v>0.897766429509904</v>
      </c>
      <c r="AI103" s="135">
        <v>0.92</v>
      </c>
      <c r="AJ103" s="133">
        <v>0.953661284265866</v>
      </c>
      <c r="AK103" s="133">
        <v>0.956428876548484</v>
      </c>
      <c r="AL103" s="133">
        <v>0.944643093629983</v>
      </c>
      <c r="AM103" s="133">
        <v>0.952521812742297</v>
      </c>
      <c r="AN103" s="132">
        <v>0.99</v>
      </c>
      <c r="AO103" s="137">
        <v>1</v>
      </c>
      <c r="AP103" s="137">
        <v>1</v>
      </c>
      <c r="AQ103" s="137">
        <v>1</v>
      </c>
      <c r="AR103" s="137">
        <v>1</v>
      </c>
      <c r="AS103" s="139">
        <v>0.105261498981944</v>
      </c>
      <c r="AT103" s="141">
        <v>0</v>
      </c>
      <c r="AU103" s="141">
        <v>0.0833333333333333</v>
      </c>
      <c r="AV103" s="141">
        <v>0.0909090909090909</v>
      </c>
      <c r="AW103" s="141">
        <v>0.0681114551083591</v>
      </c>
      <c r="AX103" s="95"/>
      <c r="AY103" s="93"/>
    </row>
    <row r="104" ht="15" spans="1:51">
      <c r="A104" s="91"/>
      <c r="B104" s="95"/>
      <c r="C104" s="152" t="s">
        <v>99</v>
      </c>
      <c r="D104" s="153" t="s">
        <v>125</v>
      </c>
      <c r="E104" s="130" t="s">
        <v>100</v>
      </c>
      <c r="F104" s="154" t="s">
        <v>126</v>
      </c>
      <c r="G104" s="154" t="s">
        <v>126</v>
      </c>
      <c r="H104" s="154" t="s">
        <v>126</v>
      </c>
      <c r="I104" s="154" t="s">
        <v>126</v>
      </c>
      <c r="J104" s="132">
        <v>0.9</v>
      </c>
      <c r="K104" s="133" t="s">
        <v>35</v>
      </c>
      <c r="L104" s="133" t="s">
        <v>35</v>
      </c>
      <c r="M104" s="134" t="s">
        <v>35</v>
      </c>
      <c r="N104" s="133" t="s">
        <v>35</v>
      </c>
      <c r="O104" s="135">
        <v>0.9</v>
      </c>
      <c r="P104" s="133" t="s">
        <v>35</v>
      </c>
      <c r="Q104" s="133" t="s">
        <v>35</v>
      </c>
      <c r="R104" s="133" t="s">
        <v>35</v>
      </c>
      <c r="S104" s="133" t="s">
        <v>35</v>
      </c>
      <c r="T104" s="135">
        <v>0.9</v>
      </c>
      <c r="U104" s="133" t="s">
        <v>35</v>
      </c>
      <c r="V104" s="133" t="s">
        <v>35</v>
      </c>
      <c r="W104" s="133" t="s">
        <v>35</v>
      </c>
      <c r="X104" s="133" t="s">
        <v>35</v>
      </c>
      <c r="Y104" s="135">
        <v>0.92</v>
      </c>
      <c r="Z104" s="135" t="s">
        <v>35</v>
      </c>
      <c r="AA104" s="135" t="s">
        <v>35</v>
      </c>
      <c r="AB104" s="135" t="s">
        <v>35</v>
      </c>
      <c r="AC104" s="135" t="s">
        <v>35</v>
      </c>
      <c r="AD104" s="135">
        <v>0.92</v>
      </c>
      <c r="AE104" s="133">
        <v>0.996845425867508</v>
      </c>
      <c r="AF104" s="133">
        <v>0.897091722595078</v>
      </c>
      <c r="AG104" s="133">
        <v>1</v>
      </c>
      <c r="AH104" s="133">
        <v>0.779641292442497</v>
      </c>
      <c r="AI104" s="135">
        <v>0.92</v>
      </c>
      <c r="AJ104" s="133" t="s">
        <v>35</v>
      </c>
      <c r="AK104" s="133" t="s">
        <v>35</v>
      </c>
      <c r="AL104" s="133" t="s">
        <v>35</v>
      </c>
      <c r="AM104" s="133" t="s">
        <v>35</v>
      </c>
      <c r="AN104" s="132">
        <v>0.99</v>
      </c>
      <c r="AO104" s="137" t="s">
        <v>35</v>
      </c>
      <c r="AP104" s="137" t="s">
        <v>35</v>
      </c>
      <c r="AQ104" s="137" t="s">
        <v>35</v>
      </c>
      <c r="AR104" s="137">
        <v>1</v>
      </c>
      <c r="AS104" s="139">
        <v>0.105261498981944</v>
      </c>
      <c r="AT104" s="141" t="s">
        <v>35</v>
      </c>
      <c r="AU104" s="141" t="s">
        <v>35</v>
      </c>
      <c r="AV104" s="141" t="s">
        <v>35</v>
      </c>
      <c r="AW104" s="141" t="s">
        <v>35</v>
      </c>
      <c r="AX104" s="95"/>
      <c r="AY104" s="93"/>
    </row>
    <row r="105" ht="15" spans="1:51">
      <c r="A105" s="91"/>
      <c r="B105" s="95"/>
      <c r="C105" s="152" t="s">
        <v>99</v>
      </c>
      <c r="D105" s="153" t="s">
        <v>25</v>
      </c>
      <c r="E105" s="130" t="s">
        <v>100</v>
      </c>
      <c r="F105" s="154" t="s">
        <v>127</v>
      </c>
      <c r="G105" s="154" t="s">
        <v>127</v>
      </c>
      <c r="H105" s="154" t="s">
        <v>127</v>
      </c>
      <c r="I105" s="154" t="s">
        <v>127</v>
      </c>
      <c r="J105" s="132">
        <v>0.9</v>
      </c>
      <c r="K105" s="133">
        <v>0.947368421052632</v>
      </c>
      <c r="L105" s="133">
        <v>0.965116279069767</v>
      </c>
      <c r="M105" s="134">
        <v>0.943661971830986</v>
      </c>
      <c r="N105" s="133">
        <v>0.911138161898965</v>
      </c>
      <c r="O105" s="135">
        <v>0.9</v>
      </c>
      <c r="P105" s="133">
        <v>0.949184025474327</v>
      </c>
      <c r="Q105" s="133">
        <v>0.960380699424524</v>
      </c>
      <c r="R105" s="133">
        <v>0.958048253510983</v>
      </c>
      <c r="S105" s="133">
        <v>0.942591727316644</v>
      </c>
      <c r="T105" s="135">
        <v>0.9</v>
      </c>
      <c r="U105" s="133">
        <v>0.925965238158418</v>
      </c>
      <c r="V105" s="133">
        <v>0.934705621956618</v>
      </c>
      <c r="W105" s="133">
        <v>0.866042491897731</v>
      </c>
      <c r="X105" s="133">
        <v>0.867903160662385</v>
      </c>
      <c r="Y105" s="135">
        <v>0.92</v>
      </c>
      <c r="Z105" s="135">
        <v>0.933565004088307</v>
      </c>
      <c r="AA105" s="135">
        <v>0.935766423357664</v>
      </c>
      <c r="AB105" s="135">
        <v>0.903318077803204</v>
      </c>
      <c r="AC105" s="135">
        <v>0.92908721152996</v>
      </c>
      <c r="AD105" s="135">
        <v>0.92</v>
      </c>
      <c r="AE105" s="133">
        <v>0.98044506298195</v>
      </c>
      <c r="AF105" s="133">
        <v>0.907921335695924</v>
      </c>
      <c r="AG105" s="133">
        <v>0.996277805677823</v>
      </c>
      <c r="AH105" s="133">
        <v>0.977624254347046</v>
      </c>
      <c r="AI105" s="135">
        <v>0.92</v>
      </c>
      <c r="AJ105" s="133">
        <v>0.961473497949007</v>
      </c>
      <c r="AK105" s="133">
        <v>0.966874335207415</v>
      </c>
      <c r="AL105" s="133">
        <v>0.94661921708185</v>
      </c>
      <c r="AM105" s="133">
        <v>0.959086510746932</v>
      </c>
      <c r="AN105" s="132">
        <v>0.99</v>
      </c>
      <c r="AO105" s="137">
        <v>1</v>
      </c>
      <c r="AP105" s="137">
        <v>1</v>
      </c>
      <c r="AQ105" s="137">
        <v>1</v>
      </c>
      <c r="AR105" s="137">
        <v>1</v>
      </c>
      <c r="AS105" s="139">
        <v>0.105261498981944</v>
      </c>
      <c r="AT105" s="141">
        <v>0.111111111111111</v>
      </c>
      <c r="AU105" s="141">
        <v>0.114285714285714</v>
      </c>
      <c r="AV105" s="141">
        <v>0.0909090909090909</v>
      </c>
      <c r="AW105" s="141">
        <v>0.0587326120556414</v>
      </c>
      <c r="AX105" s="95"/>
      <c r="AY105" s="93"/>
    </row>
    <row r="106" ht="15" spans="1:51">
      <c r="A106" s="91"/>
      <c r="B106" s="95"/>
      <c r="C106" s="152" t="s">
        <v>99</v>
      </c>
      <c r="D106" s="153" t="s">
        <v>25</v>
      </c>
      <c r="E106" s="130" t="s">
        <v>100</v>
      </c>
      <c r="F106" s="154" t="s">
        <v>128</v>
      </c>
      <c r="G106" s="154" t="s">
        <v>128</v>
      </c>
      <c r="H106" s="154" t="s">
        <v>128</v>
      </c>
      <c r="I106" s="154" t="s">
        <v>128</v>
      </c>
      <c r="J106" s="132">
        <v>0.9</v>
      </c>
      <c r="K106" s="133">
        <v>0.961038961038961</v>
      </c>
      <c r="L106" s="133">
        <v>0.971014492753623</v>
      </c>
      <c r="M106" s="134">
        <v>0.964285714285714</v>
      </c>
      <c r="N106" s="133">
        <v>0.964575645756458</v>
      </c>
      <c r="O106" s="135">
        <v>0.9</v>
      </c>
      <c r="P106" s="133">
        <v>0.901234567901235</v>
      </c>
      <c r="Q106" s="133">
        <v>0.963682864450128</v>
      </c>
      <c r="R106" s="133">
        <v>0.838362068965517</v>
      </c>
      <c r="S106" s="133">
        <v>0.921320370789057</v>
      </c>
      <c r="T106" s="135">
        <v>0.9</v>
      </c>
      <c r="U106" s="133">
        <v>0.899764844209289</v>
      </c>
      <c r="V106" s="133">
        <v>0.90690537084399</v>
      </c>
      <c r="W106" s="133">
        <v>0.851652298850575</v>
      </c>
      <c r="X106" s="133">
        <v>0.889215464616776</v>
      </c>
      <c r="Y106" s="135">
        <v>0.92</v>
      </c>
      <c r="Z106" s="135">
        <v>0.929819277108434</v>
      </c>
      <c r="AA106" s="135">
        <v>0.932904411764706</v>
      </c>
      <c r="AB106" s="135">
        <v>0.909200968523002</v>
      </c>
      <c r="AC106" s="135">
        <v>0.943420150075869</v>
      </c>
      <c r="AD106" s="135">
        <v>0.92</v>
      </c>
      <c r="AE106" s="133">
        <v>0.985188509874327</v>
      </c>
      <c r="AF106" s="133">
        <v>0.990154711673699</v>
      </c>
      <c r="AG106" s="133">
        <v>0.972989564149785</v>
      </c>
      <c r="AH106" s="133">
        <v>0.964298041246009</v>
      </c>
      <c r="AI106" s="135">
        <v>0.92</v>
      </c>
      <c r="AJ106" s="133">
        <v>0.946742041059209</v>
      </c>
      <c r="AK106" s="133">
        <v>0.955635885639172</v>
      </c>
      <c r="AL106" s="133">
        <v>0.924653739612188</v>
      </c>
      <c r="AM106" s="133">
        <v>0.962726988102693</v>
      </c>
      <c r="AN106" s="132">
        <v>0.99</v>
      </c>
      <c r="AO106" s="137">
        <v>1</v>
      </c>
      <c r="AP106" s="137">
        <v>1</v>
      </c>
      <c r="AQ106" s="137">
        <v>1</v>
      </c>
      <c r="AR106" s="137">
        <v>1</v>
      </c>
      <c r="AS106" s="139">
        <v>0.105261498981944</v>
      </c>
      <c r="AT106" s="141">
        <v>0.0882352941176471</v>
      </c>
      <c r="AU106" s="141">
        <v>0.121212121212121</v>
      </c>
      <c r="AV106" s="141">
        <v>0.0769230769230769</v>
      </c>
      <c r="AW106" s="141">
        <v>0.0933098591549296</v>
      </c>
      <c r="AX106" s="95"/>
      <c r="AY106" s="93"/>
    </row>
    <row r="107" ht="15" spans="1:51">
      <c r="A107" s="91"/>
      <c r="B107" s="95"/>
      <c r="C107" s="152" t="s">
        <v>99</v>
      </c>
      <c r="D107" s="153" t="s">
        <v>25</v>
      </c>
      <c r="E107" s="130" t="s">
        <v>100</v>
      </c>
      <c r="F107" s="154" t="s">
        <v>129</v>
      </c>
      <c r="G107" s="154" t="s">
        <v>129</v>
      </c>
      <c r="H107" s="154" t="s">
        <v>129</v>
      </c>
      <c r="I107" s="154" t="s">
        <v>129</v>
      </c>
      <c r="J107" s="132">
        <v>0.9</v>
      </c>
      <c r="K107" s="133">
        <v>1</v>
      </c>
      <c r="L107" s="133">
        <v>1</v>
      </c>
      <c r="M107" s="134">
        <v>1</v>
      </c>
      <c r="N107" s="133">
        <v>0.997129186602871</v>
      </c>
      <c r="O107" s="135">
        <v>0.9</v>
      </c>
      <c r="P107" s="133">
        <v>0.973180076628352</v>
      </c>
      <c r="Q107" s="133">
        <v>0.983219390926041</v>
      </c>
      <c r="R107" s="133">
        <v>0.976674937965261</v>
      </c>
      <c r="S107" s="133">
        <v>0.979901066574636</v>
      </c>
      <c r="T107" s="135">
        <v>0.9</v>
      </c>
      <c r="U107" s="133">
        <v>0.863113897596656</v>
      </c>
      <c r="V107" s="133">
        <v>0.870105655686762</v>
      </c>
      <c r="W107" s="133">
        <v>0.811414392059553</v>
      </c>
      <c r="X107" s="133">
        <v>0.876629032523131</v>
      </c>
      <c r="Y107" s="135">
        <v>0.92</v>
      </c>
      <c r="Z107" s="135">
        <v>0.935953420669578</v>
      </c>
      <c r="AA107" s="135">
        <v>0.926342072409488</v>
      </c>
      <c r="AB107" s="135">
        <v>0.900445765230312</v>
      </c>
      <c r="AC107" s="135">
        <v>0.953445561988101</v>
      </c>
      <c r="AD107" s="135">
        <v>0.92</v>
      </c>
      <c r="AE107" s="133">
        <v>0.9983429991715</v>
      </c>
      <c r="AF107" s="133">
        <v>0.994310998735778</v>
      </c>
      <c r="AG107" s="133">
        <v>0.973913043478261</v>
      </c>
      <c r="AH107" s="133">
        <v>0.990731047718747</v>
      </c>
      <c r="AI107" s="135">
        <v>0.92</v>
      </c>
      <c r="AJ107" s="133">
        <v>0.953736654804271</v>
      </c>
      <c r="AK107" s="133">
        <v>0.956846473029046</v>
      </c>
      <c r="AL107" s="133">
        <v>0.945684523809524</v>
      </c>
      <c r="AM107" s="133">
        <v>0.971294347335347</v>
      </c>
      <c r="AN107" s="132">
        <v>0.99</v>
      </c>
      <c r="AO107" s="137">
        <v>1</v>
      </c>
      <c r="AP107" s="137">
        <v>1</v>
      </c>
      <c r="AQ107" s="137">
        <v>1</v>
      </c>
      <c r="AR107" s="137">
        <v>1</v>
      </c>
      <c r="AS107" s="139">
        <v>0.105261498981944</v>
      </c>
      <c r="AT107" s="141">
        <v>0.2</v>
      </c>
      <c r="AU107" s="141">
        <v>0.111111111111111</v>
      </c>
      <c r="AV107" s="141">
        <v>0</v>
      </c>
      <c r="AW107" s="141">
        <v>0.0835820895522388</v>
      </c>
      <c r="AX107" s="95"/>
      <c r="AY107" s="93"/>
    </row>
    <row r="108" ht="15" spans="1:51">
      <c r="A108" s="91"/>
      <c r="B108" s="95"/>
      <c r="C108" s="152" t="s">
        <v>99</v>
      </c>
      <c r="D108" s="153" t="s">
        <v>25</v>
      </c>
      <c r="E108" s="130" t="s">
        <v>100</v>
      </c>
      <c r="F108" s="154" t="s">
        <v>130</v>
      </c>
      <c r="G108" s="154" t="s">
        <v>130</v>
      </c>
      <c r="H108" s="154" t="s">
        <v>130</v>
      </c>
      <c r="I108" s="154" t="s">
        <v>130</v>
      </c>
      <c r="J108" s="132">
        <v>0.9</v>
      </c>
      <c r="K108" s="133">
        <v>0.978723404255319</v>
      </c>
      <c r="L108" s="133">
        <v>0.906976744186046</v>
      </c>
      <c r="M108" s="134">
        <v>0.9375</v>
      </c>
      <c r="N108" s="133">
        <v>0.942786069651741</v>
      </c>
      <c r="O108" s="135">
        <v>0.9</v>
      </c>
      <c r="P108" s="133">
        <v>0.95500899820036</v>
      </c>
      <c r="Q108" s="133">
        <v>0.957810320781032</v>
      </c>
      <c r="R108" s="133">
        <v>0.932912154031288</v>
      </c>
      <c r="S108" s="133">
        <v>0.939220198228541</v>
      </c>
      <c r="T108" s="135">
        <v>0.9</v>
      </c>
      <c r="U108" s="133">
        <v>0.925614877024595</v>
      </c>
      <c r="V108" s="133">
        <v>0.927824267782427</v>
      </c>
      <c r="W108" s="133">
        <v>0.893802647412756</v>
      </c>
      <c r="X108" s="133">
        <v>0.889303114836288</v>
      </c>
      <c r="Y108" s="135">
        <v>0.92</v>
      </c>
      <c r="Z108" s="135">
        <v>0.901544401544402</v>
      </c>
      <c r="AA108" s="135">
        <v>0.9340746624305</v>
      </c>
      <c r="AB108" s="135">
        <v>0.880597014925373</v>
      </c>
      <c r="AC108" s="135">
        <v>0.912768219601778</v>
      </c>
      <c r="AD108" s="135">
        <v>0.92</v>
      </c>
      <c r="AE108" s="133">
        <v>0.992534124895995</v>
      </c>
      <c r="AF108" s="133">
        <v>0.985328609212037</v>
      </c>
      <c r="AG108" s="133">
        <v>0.995958235095992</v>
      </c>
      <c r="AH108" s="133">
        <v>0.986956846231803</v>
      </c>
      <c r="AI108" s="135">
        <v>0.92</v>
      </c>
      <c r="AJ108" s="133">
        <v>0.940059200789344</v>
      </c>
      <c r="AK108" s="133">
        <v>0.958827803342214</v>
      </c>
      <c r="AL108" s="133">
        <v>0.923769923769924</v>
      </c>
      <c r="AM108" s="133">
        <v>0.946340645053055</v>
      </c>
      <c r="AN108" s="132">
        <v>0.99</v>
      </c>
      <c r="AO108" s="137">
        <v>1</v>
      </c>
      <c r="AP108" s="137">
        <v>1</v>
      </c>
      <c r="AQ108" s="137">
        <v>1</v>
      </c>
      <c r="AR108" s="137">
        <v>0.998901616193316</v>
      </c>
      <c r="AS108" s="139">
        <v>0.105261498981944</v>
      </c>
      <c r="AT108" s="141">
        <v>0.0833333333333333</v>
      </c>
      <c r="AU108" s="141">
        <v>0.153846153846154</v>
      </c>
      <c r="AV108" s="141">
        <v>0.166666666666667</v>
      </c>
      <c r="AW108" s="141">
        <v>0.108695652173913</v>
      </c>
      <c r="AX108" s="95"/>
      <c r="AY108" s="93"/>
    </row>
    <row r="109" ht="15" spans="1:51">
      <c r="A109" s="91"/>
      <c r="B109" s="95"/>
      <c r="C109" s="152" t="s">
        <v>99</v>
      </c>
      <c r="D109" s="153" t="s">
        <v>25</v>
      </c>
      <c r="E109" s="130" t="s">
        <v>100</v>
      </c>
      <c r="F109" s="154" t="s">
        <v>131</v>
      </c>
      <c r="G109" s="154" t="s">
        <v>131</v>
      </c>
      <c r="H109" s="154" t="s">
        <v>131</v>
      </c>
      <c r="I109" s="154" t="s">
        <v>131</v>
      </c>
      <c r="J109" s="132">
        <v>0.9</v>
      </c>
      <c r="K109" s="133">
        <v>1</v>
      </c>
      <c r="L109" s="133">
        <v>1</v>
      </c>
      <c r="M109" s="134">
        <v>1</v>
      </c>
      <c r="N109" s="133">
        <v>0.985482493595218</v>
      </c>
      <c r="O109" s="135">
        <v>0.9</v>
      </c>
      <c r="P109" s="133">
        <v>0.929866036249015</v>
      </c>
      <c r="Q109" s="133">
        <v>0.972068965517241</v>
      </c>
      <c r="R109" s="133">
        <v>0.889033602500651</v>
      </c>
      <c r="S109" s="133">
        <v>0.92178621494077</v>
      </c>
      <c r="T109" s="135">
        <v>0.9</v>
      </c>
      <c r="U109" s="133">
        <v>0.885933806146572</v>
      </c>
      <c r="V109" s="133">
        <v>0.932758620689655</v>
      </c>
      <c r="W109" s="133">
        <v>0.80880437613962</v>
      </c>
      <c r="X109" s="133">
        <v>0.883572857922503</v>
      </c>
      <c r="Y109" s="135">
        <v>0.92</v>
      </c>
      <c r="Z109" s="135">
        <v>0.909834035174635</v>
      </c>
      <c r="AA109" s="135">
        <v>0.889185580774366</v>
      </c>
      <c r="AB109" s="135">
        <v>0.833744855967078</v>
      </c>
      <c r="AC109" s="135">
        <v>0.910490875004783</v>
      </c>
      <c r="AD109" s="135">
        <v>0.92</v>
      </c>
      <c r="AE109" s="133">
        <v>0.975548664122137</v>
      </c>
      <c r="AF109" s="133">
        <v>0.932695383303124</v>
      </c>
      <c r="AG109" s="133">
        <v>0.994367867200237</v>
      </c>
      <c r="AH109" s="133">
        <v>0.946145365108981</v>
      </c>
      <c r="AI109" s="135">
        <v>0.92</v>
      </c>
      <c r="AJ109" s="133">
        <v>0.936361641430766</v>
      </c>
      <c r="AK109" s="133">
        <v>0.938409090909091</v>
      </c>
      <c r="AL109" s="133">
        <v>0.899703264094955</v>
      </c>
      <c r="AM109" s="133">
        <v>0.942824796734022</v>
      </c>
      <c r="AN109" s="132">
        <v>0.99</v>
      </c>
      <c r="AO109" s="137">
        <v>1</v>
      </c>
      <c r="AP109" s="137">
        <v>1</v>
      </c>
      <c r="AQ109" s="137">
        <v>1</v>
      </c>
      <c r="AR109" s="137">
        <v>0.999649245878639</v>
      </c>
      <c r="AS109" s="139">
        <v>0.105261498981944</v>
      </c>
      <c r="AT109" s="141">
        <v>0.0357142857142857</v>
      </c>
      <c r="AU109" s="141">
        <v>0.125</v>
      </c>
      <c r="AV109" s="141">
        <v>0.0833333333333333</v>
      </c>
      <c r="AW109" s="141">
        <v>0.0521415270018622</v>
      </c>
      <c r="AX109" s="95"/>
      <c r="AY109" s="93"/>
    </row>
    <row r="110" ht="15" spans="1:51">
      <c r="A110" s="91"/>
      <c r="B110" s="95"/>
      <c r="C110" s="152" t="s">
        <v>99</v>
      </c>
      <c r="D110" s="153" t="s">
        <v>25</v>
      </c>
      <c r="E110" s="130" t="s">
        <v>100</v>
      </c>
      <c r="F110" s="154" t="s">
        <v>132</v>
      </c>
      <c r="G110" s="154" t="s">
        <v>132</v>
      </c>
      <c r="H110" s="154" t="s">
        <v>132</v>
      </c>
      <c r="I110" s="154" t="s">
        <v>132</v>
      </c>
      <c r="J110" s="132">
        <v>0.9</v>
      </c>
      <c r="K110" s="133" t="s">
        <v>35</v>
      </c>
      <c r="L110" s="133" t="s">
        <v>35</v>
      </c>
      <c r="M110" s="134" t="s">
        <v>35</v>
      </c>
      <c r="N110" s="133" t="s">
        <v>35</v>
      </c>
      <c r="O110" s="135">
        <v>0.9</v>
      </c>
      <c r="P110" s="133" t="s">
        <v>35</v>
      </c>
      <c r="Q110" s="133" t="s">
        <v>35</v>
      </c>
      <c r="R110" s="133" t="s">
        <v>35</v>
      </c>
      <c r="S110" s="133" t="s">
        <v>35</v>
      </c>
      <c r="T110" s="135">
        <v>0.9</v>
      </c>
      <c r="U110" s="133" t="s">
        <v>35</v>
      </c>
      <c r="V110" s="133" t="s">
        <v>35</v>
      </c>
      <c r="W110" s="133" t="s">
        <v>35</v>
      </c>
      <c r="X110" s="133" t="s">
        <v>35</v>
      </c>
      <c r="Y110" s="135">
        <v>0.92</v>
      </c>
      <c r="Z110" s="135" t="s">
        <v>35</v>
      </c>
      <c r="AA110" s="135" t="s">
        <v>35</v>
      </c>
      <c r="AB110" s="135" t="s">
        <v>35</v>
      </c>
      <c r="AC110" s="135">
        <v>1</v>
      </c>
      <c r="AD110" s="135">
        <v>0.92</v>
      </c>
      <c r="AE110" s="133">
        <v>0.992518703241895</v>
      </c>
      <c r="AF110" s="133">
        <v>0.967948717948718</v>
      </c>
      <c r="AG110" s="133">
        <v>0.992125984251969</v>
      </c>
      <c r="AH110" s="133">
        <v>0.92722078628758</v>
      </c>
      <c r="AI110" s="135">
        <v>0.92</v>
      </c>
      <c r="AJ110" s="133" t="s">
        <v>35</v>
      </c>
      <c r="AK110" s="133" t="s">
        <v>35</v>
      </c>
      <c r="AL110" s="133" t="s">
        <v>35</v>
      </c>
      <c r="AM110" s="133">
        <v>1</v>
      </c>
      <c r="AN110" s="132">
        <v>0.99</v>
      </c>
      <c r="AO110" s="137">
        <v>1</v>
      </c>
      <c r="AP110" s="137">
        <v>1</v>
      </c>
      <c r="AQ110" s="137">
        <v>1</v>
      </c>
      <c r="AR110" s="137">
        <v>1</v>
      </c>
      <c r="AS110" s="139">
        <v>0.105261498981944</v>
      </c>
      <c r="AT110" s="141" t="s">
        <v>35</v>
      </c>
      <c r="AU110" s="141" t="s">
        <v>35</v>
      </c>
      <c r="AV110" s="141" t="s">
        <v>35</v>
      </c>
      <c r="AW110" s="141" t="s">
        <v>35</v>
      </c>
      <c r="AX110" s="95"/>
      <c r="AY110" s="93"/>
    </row>
    <row r="111" ht="15" spans="1:51">
      <c r="A111" s="91"/>
      <c r="B111" s="95"/>
      <c r="C111" s="152" t="s">
        <v>99</v>
      </c>
      <c r="D111" s="153" t="s">
        <v>25</v>
      </c>
      <c r="E111" s="130" t="s">
        <v>100</v>
      </c>
      <c r="F111" s="154" t="s">
        <v>133</v>
      </c>
      <c r="G111" s="154" t="s">
        <v>133</v>
      </c>
      <c r="H111" s="154" t="s">
        <v>133</v>
      </c>
      <c r="I111" s="154" t="s">
        <v>133</v>
      </c>
      <c r="J111" s="132">
        <v>0.9</v>
      </c>
      <c r="K111" s="133">
        <v>0.87962962962963</v>
      </c>
      <c r="L111" s="133">
        <v>0.882978723404255</v>
      </c>
      <c r="M111" s="134">
        <v>0.837837837837838</v>
      </c>
      <c r="N111" s="133">
        <v>0.877882599580713</v>
      </c>
      <c r="O111" s="135">
        <v>0.9</v>
      </c>
      <c r="P111" s="133">
        <v>0.902054368126167</v>
      </c>
      <c r="Q111" s="133">
        <v>0.885019083969466</v>
      </c>
      <c r="R111" s="133">
        <v>0.842295345104334</v>
      </c>
      <c r="S111" s="133">
        <v>0.871376270392174</v>
      </c>
      <c r="T111" s="135">
        <v>0.9</v>
      </c>
      <c r="U111" s="133">
        <v>0.903195683751816</v>
      </c>
      <c r="V111" s="133">
        <v>0.90251272264631</v>
      </c>
      <c r="W111" s="133">
        <v>0.823301230604601</v>
      </c>
      <c r="X111" s="133">
        <v>0.847564654541194</v>
      </c>
      <c r="Y111" s="135">
        <v>0.92</v>
      </c>
      <c r="Z111" s="135">
        <v>0.907103825136612</v>
      </c>
      <c r="AA111" s="135">
        <v>0.914177693761815</v>
      </c>
      <c r="AB111" s="135">
        <v>0.827586206896552</v>
      </c>
      <c r="AC111" s="135">
        <v>0.889664340312396</v>
      </c>
      <c r="AD111" s="135">
        <v>0.92</v>
      </c>
      <c r="AE111" s="133">
        <v>0.986760684990646</v>
      </c>
      <c r="AF111" s="133">
        <v>0.929028431533385</v>
      </c>
      <c r="AG111" s="133">
        <v>0.986554537214221</v>
      </c>
      <c r="AH111" s="133">
        <v>0.978034096141132</v>
      </c>
      <c r="AI111" s="135">
        <v>0.92</v>
      </c>
      <c r="AJ111" s="133">
        <v>0.939812025545246</v>
      </c>
      <c r="AK111" s="133">
        <v>0.953131991051454</v>
      </c>
      <c r="AL111" s="133">
        <v>0.882910116888352</v>
      </c>
      <c r="AM111" s="133">
        <v>0.930610730096455</v>
      </c>
      <c r="AN111" s="132">
        <v>0.99</v>
      </c>
      <c r="AO111" s="137">
        <v>1</v>
      </c>
      <c r="AP111" s="137">
        <v>1</v>
      </c>
      <c r="AQ111" s="137">
        <v>1</v>
      </c>
      <c r="AR111" s="137">
        <v>0.999941833410889</v>
      </c>
      <c r="AS111" s="139">
        <v>0.105261498981944</v>
      </c>
      <c r="AT111" s="141">
        <v>0.0591715976331361</v>
      </c>
      <c r="AU111" s="141">
        <v>0.00909090909090909</v>
      </c>
      <c r="AV111" s="141">
        <v>0.0102040816326531</v>
      </c>
      <c r="AW111" s="141">
        <v>0.0184884852416477</v>
      </c>
      <c r="AX111" s="95"/>
      <c r="AY111" s="93"/>
    </row>
    <row r="112" ht="15" spans="1:51">
      <c r="A112" s="91"/>
      <c r="B112" s="95"/>
      <c r="C112" s="152" t="s">
        <v>99</v>
      </c>
      <c r="D112" s="153" t="s">
        <v>125</v>
      </c>
      <c r="E112" s="130" t="s">
        <v>100</v>
      </c>
      <c r="F112" s="154" t="s">
        <v>134</v>
      </c>
      <c r="G112" s="154" t="s">
        <v>134</v>
      </c>
      <c r="H112" s="154" t="s">
        <v>134</v>
      </c>
      <c r="I112" s="154" t="s">
        <v>134</v>
      </c>
      <c r="J112" s="132">
        <v>0.9</v>
      </c>
      <c r="K112" s="133" t="s">
        <v>35</v>
      </c>
      <c r="L112" s="133" t="s">
        <v>35</v>
      </c>
      <c r="M112" s="134" t="s">
        <v>35</v>
      </c>
      <c r="N112" s="133" t="s">
        <v>35</v>
      </c>
      <c r="O112" s="135">
        <v>0.9</v>
      </c>
      <c r="P112" s="133">
        <v>0</v>
      </c>
      <c r="Q112" s="133">
        <v>0</v>
      </c>
      <c r="R112" s="133" t="s">
        <v>35</v>
      </c>
      <c r="S112" s="133">
        <v>0.25</v>
      </c>
      <c r="T112" s="135">
        <v>0.9</v>
      </c>
      <c r="U112" s="133">
        <v>0</v>
      </c>
      <c r="V112" s="133">
        <v>1</v>
      </c>
      <c r="W112" s="133" t="s">
        <v>35</v>
      </c>
      <c r="X112" s="133">
        <v>0.95</v>
      </c>
      <c r="Y112" s="135">
        <v>0.92</v>
      </c>
      <c r="Z112" s="135" t="s">
        <v>35</v>
      </c>
      <c r="AA112" s="135" t="s">
        <v>35</v>
      </c>
      <c r="AB112" s="135" t="s">
        <v>35</v>
      </c>
      <c r="AC112" s="135">
        <v>1</v>
      </c>
      <c r="AD112" s="135">
        <v>0.92</v>
      </c>
      <c r="AE112" s="133">
        <v>0.984898899411313</v>
      </c>
      <c r="AF112" s="133">
        <v>0.997199925331342</v>
      </c>
      <c r="AG112" s="133">
        <v>0.996537069101212</v>
      </c>
      <c r="AH112" s="133">
        <v>0.962655961540844</v>
      </c>
      <c r="AI112" s="135">
        <v>0.92</v>
      </c>
      <c r="AJ112" s="133">
        <v>0.666666666666667</v>
      </c>
      <c r="AK112" s="133">
        <v>1</v>
      </c>
      <c r="AL112" s="133" t="s">
        <v>35</v>
      </c>
      <c r="AM112" s="133">
        <v>0.964285714285714</v>
      </c>
      <c r="AN112" s="132">
        <v>0.99</v>
      </c>
      <c r="AO112" s="137">
        <v>1</v>
      </c>
      <c r="AP112" s="137">
        <v>1</v>
      </c>
      <c r="AQ112" s="137">
        <v>1</v>
      </c>
      <c r="AR112" s="137">
        <v>1</v>
      </c>
      <c r="AS112" s="139">
        <v>0.105261498981944</v>
      </c>
      <c r="AT112" s="141" t="s">
        <v>35</v>
      </c>
      <c r="AU112" s="141" t="s">
        <v>35</v>
      </c>
      <c r="AV112" s="141" t="s">
        <v>35</v>
      </c>
      <c r="AW112" s="141" t="s">
        <v>35</v>
      </c>
      <c r="AX112" s="95"/>
      <c r="AY112" s="93"/>
    </row>
    <row r="113" ht="15" spans="1:51">
      <c r="A113" s="91"/>
      <c r="B113" s="95"/>
      <c r="C113" s="152" t="s">
        <v>99</v>
      </c>
      <c r="D113" s="153" t="s">
        <v>25</v>
      </c>
      <c r="E113" s="130" t="s">
        <v>100</v>
      </c>
      <c r="F113" s="154" t="s">
        <v>135</v>
      </c>
      <c r="G113" s="154" t="s">
        <v>135</v>
      </c>
      <c r="H113" s="154" t="s">
        <v>135</v>
      </c>
      <c r="I113" s="154" t="s">
        <v>135</v>
      </c>
      <c r="J113" s="132">
        <v>0.9</v>
      </c>
      <c r="K113" s="133">
        <v>0.888888888888889</v>
      </c>
      <c r="L113" s="133">
        <v>0.955882352941177</v>
      </c>
      <c r="M113" s="134">
        <v>0.931034482758621</v>
      </c>
      <c r="N113" s="133">
        <v>0.906463878326996</v>
      </c>
      <c r="O113" s="135">
        <v>0.9</v>
      </c>
      <c r="P113" s="133">
        <v>0.958319039451115</v>
      </c>
      <c r="Q113" s="133">
        <v>0.959906274407706</v>
      </c>
      <c r="R113" s="133">
        <v>0.862077012835473</v>
      </c>
      <c r="S113" s="133">
        <v>0.929932615516258</v>
      </c>
      <c r="T113" s="135">
        <v>0.9</v>
      </c>
      <c r="U113" s="133">
        <v>0.91114922813036</v>
      </c>
      <c r="V113" s="133">
        <v>0.898463941681854</v>
      </c>
      <c r="W113" s="133">
        <v>0.79953325554259</v>
      </c>
      <c r="X113" s="133">
        <v>0.871479249857387</v>
      </c>
      <c r="Y113" s="135">
        <v>0.92</v>
      </c>
      <c r="Z113" s="135">
        <v>0.923035618399857</v>
      </c>
      <c r="AA113" s="135">
        <v>0.882623705408516</v>
      </c>
      <c r="AB113" s="135">
        <v>0.817750969409737</v>
      </c>
      <c r="AC113" s="135">
        <v>0.901501711252357</v>
      </c>
      <c r="AD113" s="135">
        <v>0.92</v>
      </c>
      <c r="AE113" s="133">
        <v>0.8004928004928</v>
      </c>
      <c r="AF113" s="133">
        <v>0.868678905282126</v>
      </c>
      <c r="AG113" s="133">
        <v>0.992842105263158</v>
      </c>
      <c r="AH113" s="133">
        <v>0.925982271887306</v>
      </c>
      <c r="AI113" s="135">
        <v>0.92</v>
      </c>
      <c r="AJ113" s="133">
        <v>0.948497854077253</v>
      </c>
      <c r="AK113" s="133">
        <v>0.938910784664995</v>
      </c>
      <c r="AL113" s="133">
        <v>0.851717355121804</v>
      </c>
      <c r="AM113" s="133">
        <v>0.934686571711478</v>
      </c>
      <c r="AN113" s="132">
        <v>0.99</v>
      </c>
      <c r="AO113" s="137">
        <v>1</v>
      </c>
      <c r="AP113" s="137">
        <v>1</v>
      </c>
      <c r="AQ113" s="137">
        <v>1</v>
      </c>
      <c r="AR113" s="137">
        <v>1</v>
      </c>
      <c r="AS113" s="139">
        <v>0.105261498981944</v>
      </c>
      <c r="AT113" s="141">
        <v>0.333333333333333</v>
      </c>
      <c r="AU113" s="141">
        <v>0.05</v>
      </c>
      <c r="AV113" s="141">
        <v>0.111111111111111</v>
      </c>
      <c r="AW113" s="141">
        <v>0.0961538461538462</v>
      </c>
      <c r="AX113" s="95"/>
      <c r="AY113" s="93"/>
    </row>
    <row r="114" ht="15" spans="1:51">
      <c r="A114" s="91"/>
      <c r="B114" s="95"/>
      <c r="C114" s="152" t="s">
        <v>99</v>
      </c>
      <c r="D114" s="153" t="s">
        <v>25</v>
      </c>
      <c r="E114" s="130" t="s">
        <v>100</v>
      </c>
      <c r="F114" s="154" t="s">
        <v>136</v>
      </c>
      <c r="G114" s="154" t="s">
        <v>136</v>
      </c>
      <c r="H114" s="154" t="s">
        <v>136</v>
      </c>
      <c r="I114" s="154" t="s">
        <v>136</v>
      </c>
      <c r="J114" s="132">
        <v>0.9</v>
      </c>
      <c r="K114" s="133">
        <v>0.919191919191919</v>
      </c>
      <c r="L114" s="133">
        <v>0.946236559139785</v>
      </c>
      <c r="M114" s="134">
        <v>0.933333333333333</v>
      </c>
      <c r="N114" s="133">
        <v>0.909691629955947</v>
      </c>
      <c r="O114" s="135">
        <v>0.9</v>
      </c>
      <c r="P114" s="133">
        <v>0.638140747176368</v>
      </c>
      <c r="Q114" s="133">
        <v>0.602168756353778</v>
      </c>
      <c r="R114" s="133">
        <v>0.679390045075285</v>
      </c>
      <c r="S114" s="133">
        <v>0.766354315234914</v>
      </c>
      <c r="T114" s="135">
        <v>0.9</v>
      </c>
      <c r="U114" s="133">
        <v>0.96763683753258</v>
      </c>
      <c r="V114" s="133">
        <v>0.978086524342031</v>
      </c>
      <c r="W114" s="133">
        <v>0.957897765416707</v>
      </c>
      <c r="X114" s="133">
        <v>0.941077542752812</v>
      </c>
      <c r="Y114" s="135">
        <v>0.92</v>
      </c>
      <c r="Z114" s="135">
        <v>0.956005788712012</v>
      </c>
      <c r="AA114" s="135">
        <v>0.978494623655914</v>
      </c>
      <c r="AB114" s="135">
        <v>0.955033362344067</v>
      </c>
      <c r="AC114" s="135">
        <v>0.972330410706045</v>
      </c>
      <c r="AD114" s="135">
        <v>0.92</v>
      </c>
      <c r="AE114" s="133">
        <v>0.975242331695658</v>
      </c>
      <c r="AF114" s="133">
        <v>0.937872208079435</v>
      </c>
      <c r="AG114" s="133">
        <v>0.955694777911164</v>
      </c>
      <c r="AH114" s="133">
        <v>0.963078850352847</v>
      </c>
      <c r="AI114" s="135">
        <v>0.92</v>
      </c>
      <c r="AJ114" s="133">
        <v>0.974446747987079</v>
      </c>
      <c r="AK114" s="133">
        <v>0.988455870312756</v>
      </c>
      <c r="AL114" s="133">
        <v>0.972280221758226</v>
      </c>
      <c r="AM114" s="133">
        <v>0.981703362875583</v>
      </c>
      <c r="AN114" s="132">
        <v>0.99</v>
      </c>
      <c r="AO114" s="137">
        <v>1</v>
      </c>
      <c r="AP114" s="137">
        <v>1</v>
      </c>
      <c r="AQ114" s="137">
        <v>1</v>
      </c>
      <c r="AR114" s="137">
        <v>0.999909958580947</v>
      </c>
      <c r="AS114" s="139">
        <v>0.105261498981944</v>
      </c>
      <c r="AT114" s="141">
        <v>0</v>
      </c>
      <c r="AU114" s="141">
        <v>0.181818181818182</v>
      </c>
      <c r="AV114" s="141">
        <v>0.133333333333333</v>
      </c>
      <c r="AW114" s="141">
        <v>0.0848484848484849</v>
      </c>
      <c r="AX114" s="95"/>
      <c r="AY114" s="93"/>
    </row>
    <row r="115" ht="15" spans="1:51">
      <c r="A115" s="91"/>
      <c r="B115" s="95"/>
      <c r="C115" s="152" t="s">
        <v>99</v>
      </c>
      <c r="D115" s="153" t="s">
        <v>25</v>
      </c>
      <c r="E115" s="130" t="s">
        <v>100</v>
      </c>
      <c r="F115" s="154" t="s">
        <v>137</v>
      </c>
      <c r="G115" s="154" t="s">
        <v>137</v>
      </c>
      <c r="H115" s="154" t="s">
        <v>137</v>
      </c>
      <c r="I115" s="154" t="s">
        <v>137</v>
      </c>
      <c r="J115" s="132">
        <v>0.9</v>
      </c>
      <c r="K115" s="133">
        <v>0.909090909090909</v>
      </c>
      <c r="L115" s="133">
        <v>0.89873417721519</v>
      </c>
      <c r="M115" s="134">
        <v>0.810344827586207</v>
      </c>
      <c r="N115" s="133">
        <v>0.871626069782752</v>
      </c>
      <c r="O115" s="135">
        <v>0.9</v>
      </c>
      <c r="P115" s="133">
        <v>0.954480213245848</v>
      </c>
      <c r="Q115" s="133">
        <v>0.975097276264591</v>
      </c>
      <c r="R115" s="133">
        <v>0.863449410474363</v>
      </c>
      <c r="S115" s="133">
        <v>0.923746426376028</v>
      </c>
      <c r="T115" s="135">
        <v>0.9</v>
      </c>
      <c r="U115" s="133">
        <v>0.873692843961452</v>
      </c>
      <c r="V115" s="133">
        <v>0.905058365758755</v>
      </c>
      <c r="W115" s="133">
        <v>0.698108034000548</v>
      </c>
      <c r="X115" s="133">
        <v>0.839726014031048</v>
      </c>
      <c r="Y115" s="135">
        <v>0.92</v>
      </c>
      <c r="Z115" s="135">
        <v>0.930157361500323</v>
      </c>
      <c r="AA115" s="135">
        <v>0.942451420029895</v>
      </c>
      <c r="AB115" s="135">
        <v>0.853456221198157</v>
      </c>
      <c r="AC115" s="135">
        <v>0.934535261726266</v>
      </c>
      <c r="AD115" s="135">
        <v>0.92</v>
      </c>
      <c r="AE115" s="133">
        <v>0.997585998792999</v>
      </c>
      <c r="AF115" s="133">
        <v>0.981023102310231</v>
      </c>
      <c r="AG115" s="133">
        <v>0.976693372177713</v>
      </c>
      <c r="AH115" s="133">
        <v>0.976108401481536</v>
      </c>
      <c r="AI115" s="135">
        <v>0.92</v>
      </c>
      <c r="AJ115" s="133">
        <v>0.950819672131147</v>
      </c>
      <c r="AK115" s="133">
        <v>0.969301611665388</v>
      </c>
      <c r="AL115" s="133">
        <v>0.87132896682865</v>
      </c>
      <c r="AM115" s="133">
        <v>0.956787734719074</v>
      </c>
      <c r="AN115" s="132">
        <v>0.99</v>
      </c>
      <c r="AO115" s="137">
        <v>1</v>
      </c>
      <c r="AP115" s="137">
        <v>1</v>
      </c>
      <c r="AQ115" s="137">
        <v>1</v>
      </c>
      <c r="AR115" s="137">
        <v>1</v>
      </c>
      <c r="AS115" s="139">
        <v>0.105261498981944</v>
      </c>
      <c r="AT115" s="141">
        <v>0.0476190476190476</v>
      </c>
      <c r="AU115" s="141">
        <v>0.25</v>
      </c>
      <c r="AV115" s="141">
        <v>0.0555555555555556</v>
      </c>
      <c r="AW115" s="141">
        <v>0.0898661567877629</v>
      </c>
      <c r="AX115" s="95"/>
      <c r="AY115" s="93"/>
    </row>
    <row r="116" ht="15" spans="1:51">
      <c r="A116" s="91"/>
      <c r="B116" s="95"/>
      <c r="C116" s="152" t="s">
        <v>99</v>
      </c>
      <c r="D116" s="153" t="s">
        <v>25</v>
      </c>
      <c r="E116" s="130" t="s">
        <v>100</v>
      </c>
      <c r="F116" s="154" t="s">
        <v>138</v>
      </c>
      <c r="G116" s="154" t="s">
        <v>138</v>
      </c>
      <c r="H116" s="154" t="s">
        <v>138</v>
      </c>
      <c r="I116" s="154" t="s">
        <v>138</v>
      </c>
      <c r="J116" s="132">
        <v>0.9</v>
      </c>
      <c r="K116" s="133">
        <v>1</v>
      </c>
      <c r="L116" s="133">
        <v>0.950617283950617</v>
      </c>
      <c r="M116" s="134">
        <v>0.974025974025974</v>
      </c>
      <c r="N116" s="133">
        <v>0.978468899521531</v>
      </c>
      <c r="O116" s="135">
        <v>0.9</v>
      </c>
      <c r="P116" s="133" t="s">
        <v>35</v>
      </c>
      <c r="Q116" s="133" t="s">
        <v>35</v>
      </c>
      <c r="R116" s="133" t="s">
        <v>35</v>
      </c>
      <c r="S116" s="133">
        <v>0.333333333333333</v>
      </c>
      <c r="T116" s="135">
        <v>0.9</v>
      </c>
      <c r="U116" s="133" t="s">
        <v>35</v>
      </c>
      <c r="V116" s="133" t="s">
        <v>35</v>
      </c>
      <c r="W116" s="133" t="s">
        <v>35</v>
      </c>
      <c r="X116" s="133">
        <v>0.333333333333333</v>
      </c>
      <c r="Y116" s="135">
        <v>0.92</v>
      </c>
      <c r="Z116" s="135" t="s">
        <v>35</v>
      </c>
      <c r="AA116" s="135" t="s">
        <v>35</v>
      </c>
      <c r="AB116" s="135" t="s">
        <v>35</v>
      </c>
      <c r="AC116" s="135">
        <v>0</v>
      </c>
      <c r="AD116" s="135">
        <v>0.92</v>
      </c>
      <c r="AE116" s="133">
        <v>0.997926744989634</v>
      </c>
      <c r="AF116" s="133">
        <v>0.990746096009254</v>
      </c>
      <c r="AG116" s="133">
        <v>0.99591280653951</v>
      </c>
      <c r="AH116" s="133">
        <v>0.995038794389734</v>
      </c>
      <c r="AI116" s="135">
        <v>0.92</v>
      </c>
      <c r="AJ116" s="133">
        <v>0.957926697028844</v>
      </c>
      <c r="AK116" s="133">
        <v>0.958003169572108</v>
      </c>
      <c r="AL116" s="133">
        <v>0.955890642615558</v>
      </c>
      <c r="AM116" s="133">
        <v>0.977796568740793</v>
      </c>
      <c r="AN116" s="132">
        <v>0.99</v>
      </c>
      <c r="AO116" s="137">
        <v>1</v>
      </c>
      <c r="AP116" s="137">
        <v>1</v>
      </c>
      <c r="AQ116" s="137">
        <v>1</v>
      </c>
      <c r="AR116" s="137">
        <v>1</v>
      </c>
      <c r="AS116" s="139">
        <v>0.105261498981944</v>
      </c>
      <c r="AT116" s="141">
        <v>0.0588235294117647</v>
      </c>
      <c r="AU116" s="141">
        <v>0.0526315789473684</v>
      </c>
      <c r="AV116" s="141">
        <v>0</v>
      </c>
      <c r="AW116" s="141">
        <v>0.08</v>
      </c>
      <c r="AX116" s="95"/>
      <c r="AY116" s="93"/>
    </row>
    <row r="117" ht="15" spans="1:51">
      <c r="A117" s="91"/>
      <c r="B117" s="95"/>
      <c r="C117" s="152" t="s">
        <v>99</v>
      </c>
      <c r="D117" s="153" t="s">
        <v>25</v>
      </c>
      <c r="E117" s="130" t="s">
        <v>100</v>
      </c>
      <c r="F117" s="154" t="s">
        <v>139</v>
      </c>
      <c r="G117" s="154" t="s">
        <v>139</v>
      </c>
      <c r="H117" s="154" t="s">
        <v>139</v>
      </c>
      <c r="I117" s="154" t="s">
        <v>139</v>
      </c>
      <c r="J117" s="132">
        <v>0.9</v>
      </c>
      <c r="K117" s="133">
        <v>0.977272727272727</v>
      </c>
      <c r="L117" s="133">
        <v>0.974025974025974</v>
      </c>
      <c r="M117" s="134">
        <v>0.923913043478261</v>
      </c>
      <c r="N117" s="133">
        <v>0.927879440258342</v>
      </c>
      <c r="O117" s="135">
        <v>0.9</v>
      </c>
      <c r="P117" s="133">
        <v>0.25</v>
      </c>
      <c r="Q117" s="133">
        <v>1</v>
      </c>
      <c r="R117" s="133" t="s">
        <v>35</v>
      </c>
      <c r="S117" s="133">
        <v>0.333333333333333</v>
      </c>
      <c r="T117" s="135">
        <v>0.9</v>
      </c>
      <c r="U117" s="133">
        <v>0</v>
      </c>
      <c r="V117" s="133">
        <v>0</v>
      </c>
      <c r="W117" s="133" t="s">
        <v>35</v>
      </c>
      <c r="X117" s="133">
        <v>0</v>
      </c>
      <c r="Y117" s="135">
        <v>0.92</v>
      </c>
      <c r="Z117" s="135">
        <v>0</v>
      </c>
      <c r="AA117" s="135">
        <v>0</v>
      </c>
      <c r="AB117" s="135" t="s">
        <v>35</v>
      </c>
      <c r="AC117" s="135">
        <v>0</v>
      </c>
      <c r="AD117" s="135">
        <v>0.92</v>
      </c>
      <c r="AE117" s="133">
        <v>1</v>
      </c>
      <c r="AF117" s="133">
        <v>1</v>
      </c>
      <c r="AG117" s="133">
        <v>0.982758620689655</v>
      </c>
      <c r="AH117" s="133">
        <v>0.875966993295513</v>
      </c>
      <c r="AI117" s="135">
        <v>0.92</v>
      </c>
      <c r="AJ117" s="133">
        <v>0.940967876512307</v>
      </c>
      <c r="AK117" s="133">
        <v>0.944841675178754</v>
      </c>
      <c r="AL117" s="133">
        <v>0.957788267026298</v>
      </c>
      <c r="AM117" s="133">
        <v>0.971386684191901</v>
      </c>
      <c r="AN117" s="132">
        <v>0.99</v>
      </c>
      <c r="AO117" s="137">
        <v>1</v>
      </c>
      <c r="AP117" s="137">
        <v>1</v>
      </c>
      <c r="AQ117" s="137">
        <v>1</v>
      </c>
      <c r="AR117" s="137">
        <v>1</v>
      </c>
      <c r="AS117" s="139">
        <v>0.105261498981944</v>
      </c>
      <c r="AT117" s="141">
        <v>0.0769230769230769</v>
      </c>
      <c r="AU117" s="141">
        <v>0</v>
      </c>
      <c r="AV117" s="141">
        <v>0.111111111111111</v>
      </c>
      <c r="AW117" s="141">
        <v>0.076555023923445</v>
      </c>
      <c r="AX117" s="95"/>
      <c r="AY117" s="93"/>
    </row>
    <row r="118" ht="15" spans="1:51">
      <c r="A118" s="91"/>
      <c r="B118" s="95"/>
      <c r="C118" s="152" t="s">
        <v>99</v>
      </c>
      <c r="D118" s="153" t="s">
        <v>25</v>
      </c>
      <c r="E118" s="130" t="s">
        <v>100</v>
      </c>
      <c r="F118" s="154" t="s">
        <v>140</v>
      </c>
      <c r="G118" s="154" t="s">
        <v>140</v>
      </c>
      <c r="H118" s="154" t="s">
        <v>140</v>
      </c>
      <c r="I118" s="154" t="s">
        <v>140</v>
      </c>
      <c r="J118" s="132">
        <v>0.9</v>
      </c>
      <c r="K118" s="133">
        <v>0.987179487179487</v>
      </c>
      <c r="L118" s="133">
        <v>1</v>
      </c>
      <c r="M118" s="134">
        <v>1</v>
      </c>
      <c r="N118" s="133">
        <v>0.975961538461538</v>
      </c>
      <c r="O118" s="135">
        <v>0.9</v>
      </c>
      <c r="P118" s="133">
        <v>0</v>
      </c>
      <c r="Q118" s="133" t="s">
        <v>35</v>
      </c>
      <c r="R118" s="133" t="s">
        <v>35</v>
      </c>
      <c r="S118" s="133">
        <v>0</v>
      </c>
      <c r="T118" s="135">
        <v>0.9</v>
      </c>
      <c r="U118" s="133">
        <v>0</v>
      </c>
      <c r="V118" s="133" t="s">
        <v>35</v>
      </c>
      <c r="W118" s="133" t="s">
        <v>35</v>
      </c>
      <c r="X118" s="133">
        <v>0</v>
      </c>
      <c r="Y118" s="135">
        <v>0.92</v>
      </c>
      <c r="Z118" s="135" t="s">
        <v>35</v>
      </c>
      <c r="AA118" s="135" t="s">
        <v>35</v>
      </c>
      <c r="AB118" s="135" t="s">
        <v>35</v>
      </c>
      <c r="AC118" s="135">
        <v>0</v>
      </c>
      <c r="AD118" s="135">
        <v>0.92</v>
      </c>
      <c r="AE118" s="133">
        <v>1</v>
      </c>
      <c r="AF118" s="133">
        <v>1</v>
      </c>
      <c r="AG118" s="133">
        <v>1</v>
      </c>
      <c r="AH118" s="133">
        <v>0.996236743072186</v>
      </c>
      <c r="AI118" s="135">
        <v>0.92</v>
      </c>
      <c r="AJ118" s="133">
        <v>0.963709677419355</v>
      </c>
      <c r="AK118" s="133">
        <v>0.963806055087639</v>
      </c>
      <c r="AL118" s="133">
        <v>0.961566617862372</v>
      </c>
      <c r="AM118" s="133">
        <v>0.974507420867035</v>
      </c>
      <c r="AN118" s="132">
        <v>0.99</v>
      </c>
      <c r="AO118" s="137">
        <v>1</v>
      </c>
      <c r="AP118" s="137">
        <v>1</v>
      </c>
      <c r="AQ118" s="137">
        <v>1</v>
      </c>
      <c r="AR118" s="137">
        <v>1</v>
      </c>
      <c r="AS118" s="139">
        <v>0.105261498981944</v>
      </c>
      <c r="AT118" s="141">
        <v>0</v>
      </c>
      <c r="AU118" s="141">
        <v>0.1</v>
      </c>
      <c r="AV118" s="141">
        <v>0.2</v>
      </c>
      <c r="AW118" s="141">
        <v>0.0984126984126984</v>
      </c>
      <c r="AX118" s="95"/>
      <c r="AY118" s="93"/>
    </row>
    <row r="119" ht="15" spans="1:51">
      <c r="A119" s="91"/>
      <c r="B119" s="95"/>
      <c r="C119" s="152" t="s">
        <v>99</v>
      </c>
      <c r="D119" s="153" t="s">
        <v>25</v>
      </c>
      <c r="E119" s="130" t="s">
        <v>100</v>
      </c>
      <c r="F119" s="154" t="s">
        <v>141</v>
      </c>
      <c r="G119" s="154" t="s">
        <v>141</v>
      </c>
      <c r="H119" s="154" t="s">
        <v>141</v>
      </c>
      <c r="I119" s="154" t="s">
        <v>141</v>
      </c>
      <c r="J119" s="132">
        <v>0.9</v>
      </c>
      <c r="K119" s="133">
        <v>0.927835051546392</v>
      </c>
      <c r="L119" s="133">
        <v>0.975308641975309</v>
      </c>
      <c r="M119" s="134">
        <v>0.96551724137931</v>
      </c>
      <c r="N119" s="133">
        <v>0.938228438228438</v>
      </c>
      <c r="O119" s="135">
        <v>0.9</v>
      </c>
      <c r="P119" s="133">
        <v>0</v>
      </c>
      <c r="Q119" s="133" t="s">
        <v>35</v>
      </c>
      <c r="R119" s="133" t="s">
        <v>35</v>
      </c>
      <c r="S119" s="133">
        <v>0</v>
      </c>
      <c r="T119" s="135">
        <v>0.9</v>
      </c>
      <c r="U119" s="133">
        <v>0</v>
      </c>
      <c r="V119" s="133" t="s">
        <v>35</v>
      </c>
      <c r="W119" s="133" t="s">
        <v>35</v>
      </c>
      <c r="X119" s="133">
        <v>0</v>
      </c>
      <c r="Y119" s="135">
        <v>0.92</v>
      </c>
      <c r="Z119" s="135">
        <v>0.666666666666667</v>
      </c>
      <c r="AA119" s="135">
        <v>0</v>
      </c>
      <c r="AB119" s="135">
        <v>0</v>
      </c>
      <c r="AC119" s="135">
        <v>0.4</v>
      </c>
      <c r="AD119" s="135">
        <v>0.92</v>
      </c>
      <c r="AE119" s="133">
        <v>0.945652173913043</v>
      </c>
      <c r="AF119" s="133">
        <v>0.989583333333333</v>
      </c>
      <c r="AG119" s="133">
        <v>0.872727272727273</v>
      </c>
      <c r="AH119" s="133">
        <v>0.947811447811448</v>
      </c>
      <c r="AI119" s="135">
        <v>0.92</v>
      </c>
      <c r="AJ119" s="133">
        <v>0.954601733388362</v>
      </c>
      <c r="AK119" s="133">
        <v>0.961940498525864</v>
      </c>
      <c r="AL119" s="133">
        <v>0.97270607598409</v>
      </c>
      <c r="AM119" s="133">
        <v>0.974498931052913</v>
      </c>
      <c r="AN119" s="132">
        <v>0.99</v>
      </c>
      <c r="AO119" s="137">
        <v>1</v>
      </c>
      <c r="AP119" s="137">
        <v>1</v>
      </c>
      <c r="AQ119" s="137">
        <v>1</v>
      </c>
      <c r="AR119" s="137">
        <v>1</v>
      </c>
      <c r="AS119" s="139">
        <v>0.105261498981944</v>
      </c>
      <c r="AT119" s="141">
        <v>0</v>
      </c>
      <c r="AU119" s="141">
        <v>0</v>
      </c>
      <c r="AV119" s="141">
        <v>0.142857142857143</v>
      </c>
      <c r="AW119" s="141">
        <v>0.076555023923445</v>
      </c>
      <c r="AX119" s="95"/>
      <c r="AY119" s="93"/>
    </row>
    <row r="120" ht="15" spans="1:51">
      <c r="A120" s="91"/>
      <c r="B120" s="95"/>
      <c r="C120" s="152" t="s">
        <v>99</v>
      </c>
      <c r="D120" s="153" t="s">
        <v>25</v>
      </c>
      <c r="E120" s="130" t="s">
        <v>100</v>
      </c>
      <c r="F120" s="154" t="s">
        <v>142</v>
      </c>
      <c r="G120" s="154" t="s">
        <v>142</v>
      </c>
      <c r="H120" s="154" t="s">
        <v>142</v>
      </c>
      <c r="I120" s="154" t="s">
        <v>142</v>
      </c>
      <c r="J120" s="132">
        <v>0.9</v>
      </c>
      <c r="K120" s="133">
        <v>0.928571428571429</v>
      </c>
      <c r="L120" s="133">
        <v>0.887323943661972</v>
      </c>
      <c r="M120" s="134">
        <v>0.91304347826087</v>
      </c>
      <c r="N120" s="133">
        <v>0.924233661075766</v>
      </c>
      <c r="O120" s="135">
        <v>0.9</v>
      </c>
      <c r="P120" s="133">
        <v>0</v>
      </c>
      <c r="Q120" s="133" t="s">
        <v>35</v>
      </c>
      <c r="R120" s="133" t="s">
        <v>35</v>
      </c>
      <c r="S120" s="133">
        <v>0.333333333333333</v>
      </c>
      <c r="T120" s="135">
        <v>0.9</v>
      </c>
      <c r="U120" s="133">
        <v>0</v>
      </c>
      <c r="V120" s="133" t="s">
        <v>35</v>
      </c>
      <c r="W120" s="133" t="s">
        <v>35</v>
      </c>
      <c r="X120" s="133">
        <v>0</v>
      </c>
      <c r="Y120" s="135">
        <v>0.92</v>
      </c>
      <c r="Z120" s="135">
        <v>0</v>
      </c>
      <c r="AA120" s="135">
        <v>0</v>
      </c>
      <c r="AB120" s="135" t="s">
        <v>35</v>
      </c>
      <c r="AC120" s="135">
        <v>0</v>
      </c>
      <c r="AD120" s="135">
        <v>0.92</v>
      </c>
      <c r="AE120" s="133">
        <v>1</v>
      </c>
      <c r="AF120" s="133">
        <v>1</v>
      </c>
      <c r="AG120" s="133">
        <v>0.857142857142857</v>
      </c>
      <c r="AH120" s="133">
        <v>0.952786885245902</v>
      </c>
      <c r="AI120" s="135">
        <v>0.92</v>
      </c>
      <c r="AJ120" s="133">
        <v>0.930678148546825</v>
      </c>
      <c r="AK120" s="133">
        <v>0.902243145942952</v>
      </c>
      <c r="AL120" s="133">
        <v>0.905685920577617</v>
      </c>
      <c r="AM120" s="133">
        <v>0.947232479770769</v>
      </c>
      <c r="AN120" s="132">
        <v>0.99</v>
      </c>
      <c r="AO120" s="137">
        <v>1</v>
      </c>
      <c r="AP120" s="137">
        <v>1</v>
      </c>
      <c r="AQ120" s="137">
        <v>1</v>
      </c>
      <c r="AR120" s="137">
        <v>1</v>
      </c>
      <c r="AS120" s="139">
        <v>0.105261498981944</v>
      </c>
      <c r="AT120" s="141">
        <v>0.1</v>
      </c>
      <c r="AU120" s="141">
        <v>0</v>
      </c>
      <c r="AV120" s="141">
        <v>0.555555555555556</v>
      </c>
      <c r="AW120" s="141">
        <v>0.0950704225352113</v>
      </c>
      <c r="AX120" s="95"/>
      <c r="AY120" s="93"/>
    </row>
    <row r="121" ht="15" spans="1:51">
      <c r="A121" s="91"/>
      <c r="B121" s="95"/>
      <c r="C121" s="152" t="s">
        <v>99</v>
      </c>
      <c r="D121" s="153" t="s">
        <v>25</v>
      </c>
      <c r="E121" s="130" t="s">
        <v>100</v>
      </c>
      <c r="F121" s="154" t="s">
        <v>143</v>
      </c>
      <c r="G121" s="154" t="s">
        <v>143</v>
      </c>
      <c r="H121" s="154" t="s">
        <v>143</v>
      </c>
      <c r="I121" s="154" t="s">
        <v>143</v>
      </c>
      <c r="J121" s="132">
        <v>0.9</v>
      </c>
      <c r="K121" s="133">
        <v>0.971428571428571</v>
      </c>
      <c r="L121" s="133">
        <v>0.962962962962963</v>
      </c>
      <c r="M121" s="134">
        <v>0.96969696969697</v>
      </c>
      <c r="N121" s="133">
        <v>0.981450252951096</v>
      </c>
      <c r="O121" s="135">
        <v>0.9</v>
      </c>
      <c r="P121" s="133" t="s">
        <v>35</v>
      </c>
      <c r="Q121" s="133">
        <v>1</v>
      </c>
      <c r="R121" s="133" t="s">
        <v>35</v>
      </c>
      <c r="S121" s="133">
        <v>0.5</v>
      </c>
      <c r="T121" s="135">
        <v>0.9</v>
      </c>
      <c r="U121" s="133" t="s">
        <v>35</v>
      </c>
      <c r="V121" s="133">
        <v>1</v>
      </c>
      <c r="W121" s="133" t="s">
        <v>35</v>
      </c>
      <c r="X121" s="133">
        <v>0.5</v>
      </c>
      <c r="Y121" s="135">
        <v>0.92</v>
      </c>
      <c r="Z121" s="135" t="s">
        <v>35</v>
      </c>
      <c r="AA121" s="135" t="s">
        <v>35</v>
      </c>
      <c r="AB121" s="135" t="s">
        <v>35</v>
      </c>
      <c r="AC121" s="135" t="s">
        <v>35</v>
      </c>
      <c r="AD121" s="135">
        <v>0.92</v>
      </c>
      <c r="AE121" s="133">
        <v>1</v>
      </c>
      <c r="AF121" s="133">
        <v>0.993650793650794</v>
      </c>
      <c r="AG121" s="133">
        <v>0.996515679442509</v>
      </c>
      <c r="AH121" s="133">
        <v>0.996128003644232</v>
      </c>
      <c r="AI121" s="135">
        <v>0.92</v>
      </c>
      <c r="AJ121" s="133">
        <v>0.948832035595106</v>
      </c>
      <c r="AK121" s="133">
        <v>0.925925925925926</v>
      </c>
      <c r="AL121" s="133">
        <v>0.969584874640362</v>
      </c>
      <c r="AM121" s="133">
        <v>0.976367744564211</v>
      </c>
      <c r="AN121" s="132">
        <v>0.99</v>
      </c>
      <c r="AO121" s="137">
        <v>1</v>
      </c>
      <c r="AP121" s="137">
        <v>1</v>
      </c>
      <c r="AQ121" s="137">
        <v>1</v>
      </c>
      <c r="AR121" s="137">
        <v>1</v>
      </c>
      <c r="AS121" s="139">
        <v>0.105261498981944</v>
      </c>
      <c r="AT121" s="141">
        <v>0</v>
      </c>
      <c r="AU121" s="141">
        <v>0</v>
      </c>
      <c r="AV121" s="141">
        <v>0</v>
      </c>
      <c r="AW121" s="141">
        <v>0.10958904109589</v>
      </c>
      <c r="AX121" s="95"/>
      <c r="AY121" s="93"/>
    </row>
    <row r="122" ht="15" spans="1:51">
      <c r="A122" s="91"/>
      <c r="B122" s="95"/>
      <c r="C122" s="152" t="s">
        <v>99</v>
      </c>
      <c r="D122" s="153" t="s">
        <v>25</v>
      </c>
      <c r="E122" s="130" t="s">
        <v>100</v>
      </c>
      <c r="F122" s="154" t="s">
        <v>144</v>
      </c>
      <c r="G122" s="154" t="s">
        <v>144</v>
      </c>
      <c r="H122" s="154" t="s">
        <v>144</v>
      </c>
      <c r="I122" s="154" t="s">
        <v>144</v>
      </c>
      <c r="J122" s="132">
        <v>0.9</v>
      </c>
      <c r="K122" s="133">
        <v>0.984848484848485</v>
      </c>
      <c r="L122" s="133">
        <v>1</v>
      </c>
      <c r="M122" s="134">
        <v>1</v>
      </c>
      <c r="N122" s="133">
        <v>0.99061767005473</v>
      </c>
      <c r="O122" s="135">
        <v>0.9</v>
      </c>
      <c r="P122" s="133">
        <v>0</v>
      </c>
      <c r="Q122" s="133" t="s">
        <v>35</v>
      </c>
      <c r="R122" s="133" t="s">
        <v>35</v>
      </c>
      <c r="S122" s="133">
        <v>0</v>
      </c>
      <c r="T122" s="135">
        <v>0.9</v>
      </c>
      <c r="U122" s="133">
        <v>0</v>
      </c>
      <c r="V122" s="133" t="s">
        <v>35</v>
      </c>
      <c r="W122" s="133" t="s">
        <v>35</v>
      </c>
      <c r="X122" s="133">
        <v>0.4</v>
      </c>
      <c r="Y122" s="135">
        <v>0.92</v>
      </c>
      <c r="Z122" s="135">
        <v>0</v>
      </c>
      <c r="AA122" s="135" t="s">
        <v>35</v>
      </c>
      <c r="AB122" s="135" t="s">
        <v>35</v>
      </c>
      <c r="AC122" s="135">
        <v>0.666666666666667</v>
      </c>
      <c r="AD122" s="135">
        <v>0.92</v>
      </c>
      <c r="AE122" s="133">
        <v>0.987234042553191</v>
      </c>
      <c r="AF122" s="133">
        <v>0.994318181818182</v>
      </c>
      <c r="AG122" s="133">
        <v>0.985915492957746</v>
      </c>
      <c r="AH122" s="133">
        <v>0.983593109105824</v>
      </c>
      <c r="AI122" s="135">
        <v>0.92</v>
      </c>
      <c r="AJ122" s="133">
        <v>0.96320503510046</v>
      </c>
      <c r="AK122" s="133">
        <v>0.985547355473555</v>
      </c>
      <c r="AL122" s="133">
        <v>0.987518236343005</v>
      </c>
      <c r="AM122" s="133">
        <v>0.989839547249604</v>
      </c>
      <c r="AN122" s="132">
        <v>0.99</v>
      </c>
      <c r="AO122" s="137">
        <v>1</v>
      </c>
      <c r="AP122" s="137">
        <v>1</v>
      </c>
      <c r="AQ122" s="137">
        <v>1</v>
      </c>
      <c r="AR122" s="137">
        <v>1</v>
      </c>
      <c r="AS122" s="139">
        <v>0.105261498981944</v>
      </c>
      <c r="AT122" s="141">
        <v>0.4</v>
      </c>
      <c r="AU122" s="141">
        <v>0.333333333333333</v>
      </c>
      <c r="AV122" s="141">
        <v>0.0909090909090909</v>
      </c>
      <c r="AW122" s="141">
        <v>0.213414634146341</v>
      </c>
      <c r="AX122" s="95"/>
      <c r="AY122" s="93"/>
    </row>
    <row r="123" ht="15" spans="1:51">
      <c r="A123" s="91"/>
      <c r="B123" s="95"/>
      <c r="C123" s="152" t="s">
        <v>99</v>
      </c>
      <c r="D123" s="153" t="s">
        <v>25</v>
      </c>
      <c r="E123" s="130" t="s">
        <v>100</v>
      </c>
      <c r="F123" s="154" t="s">
        <v>145</v>
      </c>
      <c r="G123" s="154" t="s">
        <v>145</v>
      </c>
      <c r="H123" s="154" t="s">
        <v>145</v>
      </c>
      <c r="I123" s="154" t="s">
        <v>145</v>
      </c>
      <c r="J123" s="132">
        <v>0.9</v>
      </c>
      <c r="K123" s="133">
        <v>0.988095238095238</v>
      </c>
      <c r="L123" s="133">
        <v>0.971428571428571</v>
      </c>
      <c r="M123" s="134">
        <v>1</v>
      </c>
      <c r="N123" s="133">
        <v>0.983105912930474</v>
      </c>
      <c r="O123" s="135">
        <v>0.9</v>
      </c>
      <c r="P123" s="133">
        <v>0</v>
      </c>
      <c r="Q123" s="133">
        <v>0</v>
      </c>
      <c r="R123" s="133" t="s">
        <v>35</v>
      </c>
      <c r="S123" s="133">
        <v>0</v>
      </c>
      <c r="T123" s="135">
        <v>0.9</v>
      </c>
      <c r="U123" s="133">
        <v>0</v>
      </c>
      <c r="V123" s="133">
        <v>0</v>
      </c>
      <c r="W123" s="133" t="s">
        <v>35</v>
      </c>
      <c r="X123" s="133">
        <v>0</v>
      </c>
      <c r="Y123" s="135">
        <v>0.92</v>
      </c>
      <c r="Z123" s="135">
        <v>0</v>
      </c>
      <c r="AA123" s="135" t="s">
        <v>35</v>
      </c>
      <c r="AB123" s="135" t="s">
        <v>35</v>
      </c>
      <c r="AC123" s="135">
        <v>0</v>
      </c>
      <c r="AD123" s="135">
        <v>0.92</v>
      </c>
      <c r="AE123" s="133">
        <v>1</v>
      </c>
      <c r="AF123" s="133">
        <v>0.9921875</v>
      </c>
      <c r="AG123" s="133">
        <v>1</v>
      </c>
      <c r="AH123" s="133">
        <v>0.992706740383484</v>
      </c>
      <c r="AI123" s="135">
        <v>0.92</v>
      </c>
      <c r="AJ123" s="133">
        <v>0.961172741679873</v>
      </c>
      <c r="AK123" s="133">
        <v>0.963393773520356</v>
      </c>
      <c r="AL123" s="133">
        <v>0.979256698357822</v>
      </c>
      <c r="AM123" s="133">
        <v>0.982317309801407</v>
      </c>
      <c r="AN123" s="132">
        <v>0.99</v>
      </c>
      <c r="AO123" s="137">
        <v>1</v>
      </c>
      <c r="AP123" s="137">
        <v>1</v>
      </c>
      <c r="AQ123" s="137">
        <v>1</v>
      </c>
      <c r="AR123" s="137">
        <v>1</v>
      </c>
      <c r="AS123" s="139">
        <v>0.105261498981944</v>
      </c>
      <c r="AT123" s="141">
        <v>0.2</v>
      </c>
      <c r="AU123" s="141">
        <v>0</v>
      </c>
      <c r="AV123" s="141">
        <v>0</v>
      </c>
      <c r="AW123" s="141">
        <v>0.16260162601626</v>
      </c>
      <c r="AX123" s="95"/>
      <c r="AY123" s="93"/>
    </row>
    <row r="124" ht="15" spans="1:51">
      <c r="A124" s="91"/>
      <c r="B124" s="95"/>
      <c r="C124" s="152" t="s">
        <v>99</v>
      </c>
      <c r="D124" s="153" t="s">
        <v>25</v>
      </c>
      <c r="E124" s="130" t="s">
        <v>100</v>
      </c>
      <c r="F124" s="154" t="s">
        <v>146</v>
      </c>
      <c r="G124" s="154" t="s">
        <v>146</v>
      </c>
      <c r="H124" s="154" t="s">
        <v>146</v>
      </c>
      <c r="I124" s="154" t="s">
        <v>146</v>
      </c>
      <c r="J124" s="132">
        <v>0.9</v>
      </c>
      <c r="K124" s="133">
        <v>1</v>
      </c>
      <c r="L124" s="133">
        <v>1</v>
      </c>
      <c r="M124" s="134">
        <v>0.984126984126984</v>
      </c>
      <c r="N124" s="133">
        <v>0.99198717948718</v>
      </c>
      <c r="O124" s="135">
        <v>0.9</v>
      </c>
      <c r="P124" s="133" t="s">
        <v>35</v>
      </c>
      <c r="Q124" s="133" t="s">
        <v>35</v>
      </c>
      <c r="R124" s="133" t="s">
        <v>35</v>
      </c>
      <c r="S124" s="133">
        <v>0</v>
      </c>
      <c r="T124" s="135">
        <v>0.9</v>
      </c>
      <c r="U124" s="133" t="s">
        <v>35</v>
      </c>
      <c r="V124" s="133" t="s">
        <v>35</v>
      </c>
      <c r="W124" s="133" t="s">
        <v>35</v>
      </c>
      <c r="X124" s="133">
        <v>0.5</v>
      </c>
      <c r="Y124" s="135">
        <v>0.92</v>
      </c>
      <c r="Z124" s="135">
        <v>0</v>
      </c>
      <c r="AA124" s="135">
        <v>0</v>
      </c>
      <c r="AB124" s="135" t="s">
        <v>35</v>
      </c>
      <c r="AC124" s="135">
        <v>0.2</v>
      </c>
      <c r="AD124" s="135">
        <v>0.92</v>
      </c>
      <c r="AE124" s="133">
        <v>0.989864864864865</v>
      </c>
      <c r="AF124" s="133">
        <v>0.969230769230769</v>
      </c>
      <c r="AG124" s="133">
        <v>0.0316742081447964</v>
      </c>
      <c r="AH124" s="133">
        <v>0.898974617582787</v>
      </c>
      <c r="AI124" s="135">
        <v>0.92</v>
      </c>
      <c r="AJ124" s="133">
        <v>0.940943146760688</v>
      </c>
      <c r="AK124" s="133">
        <v>0.930509991052789</v>
      </c>
      <c r="AL124" s="133">
        <v>0.943030303030303</v>
      </c>
      <c r="AM124" s="133">
        <v>0.952904190934702</v>
      </c>
      <c r="AN124" s="132">
        <v>0.99</v>
      </c>
      <c r="AO124" s="137">
        <v>1</v>
      </c>
      <c r="AP124" s="137">
        <v>1</v>
      </c>
      <c r="AQ124" s="137">
        <v>1</v>
      </c>
      <c r="AR124" s="137">
        <v>1</v>
      </c>
      <c r="AS124" s="139">
        <v>0.105261498981944</v>
      </c>
      <c r="AT124" s="141">
        <v>0.272727272727273</v>
      </c>
      <c r="AU124" s="141">
        <v>0.0909090909090909</v>
      </c>
      <c r="AV124" s="141">
        <v>0.142857142857143</v>
      </c>
      <c r="AW124" s="141">
        <v>0.0967741935483871</v>
      </c>
      <c r="AX124" s="95"/>
      <c r="AY124" s="93"/>
    </row>
    <row r="125" ht="15" spans="1:51">
      <c r="A125" s="91"/>
      <c r="B125" s="95"/>
      <c r="C125" s="152" t="s">
        <v>99</v>
      </c>
      <c r="D125" s="153" t="s">
        <v>25</v>
      </c>
      <c r="E125" s="130" t="s">
        <v>100</v>
      </c>
      <c r="F125" s="154" t="s">
        <v>147</v>
      </c>
      <c r="G125" s="154" t="s">
        <v>147</v>
      </c>
      <c r="H125" s="154" t="s">
        <v>147</v>
      </c>
      <c r="I125" s="154" t="s">
        <v>147</v>
      </c>
      <c r="J125" s="132">
        <v>0.9</v>
      </c>
      <c r="K125" s="133">
        <v>0.947368421052632</v>
      </c>
      <c r="L125" s="133">
        <v>1</v>
      </c>
      <c r="M125" s="134">
        <v>0.962264150943396</v>
      </c>
      <c r="N125" s="133">
        <v>0.973977695167286</v>
      </c>
      <c r="O125" s="135">
        <v>0.9</v>
      </c>
      <c r="P125" s="133" t="s">
        <v>35</v>
      </c>
      <c r="Q125" s="133" t="s">
        <v>35</v>
      </c>
      <c r="R125" s="133" t="s">
        <v>35</v>
      </c>
      <c r="S125" s="133" t="s">
        <v>35</v>
      </c>
      <c r="T125" s="135">
        <v>0.9</v>
      </c>
      <c r="U125" s="133" t="s">
        <v>35</v>
      </c>
      <c r="V125" s="133" t="s">
        <v>35</v>
      </c>
      <c r="W125" s="133" t="s">
        <v>35</v>
      </c>
      <c r="X125" s="133" t="s">
        <v>35</v>
      </c>
      <c r="Y125" s="135">
        <v>0.92</v>
      </c>
      <c r="Z125" s="135" t="s">
        <v>35</v>
      </c>
      <c r="AA125" s="135" t="s">
        <v>35</v>
      </c>
      <c r="AB125" s="135" t="s">
        <v>35</v>
      </c>
      <c r="AC125" s="135" t="s">
        <v>35</v>
      </c>
      <c r="AD125" s="135">
        <v>0.92</v>
      </c>
      <c r="AE125" s="133">
        <v>0.993589743589744</v>
      </c>
      <c r="AF125" s="133">
        <v>0.988372093023256</v>
      </c>
      <c r="AG125" s="133">
        <v>1</v>
      </c>
      <c r="AH125" s="133">
        <v>0.98767697954903</v>
      </c>
      <c r="AI125" s="135">
        <v>0.92</v>
      </c>
      <c r="AJ125" s="133">
        <v>0.95609909062402</v>
      </c>
      <c r="AK125" s="133">
        <v>0.961733697774307</v>
      </c>
      <c r="AL125" s="133">
        <v>0.977220520673813</v>
      </c>
      <c r="AM125" s="133">
        <v>0.980975877721346</v>
      </c>
      <c r="AN125" s="132">
        <v>0.99</v>
      </c>
      <c r="AO125" s="137">
        <v>1</v>
      </c>
      <c r="AP125" s="137">
        <v>1</v>
      </c>
      <c r="AQ125" s="137">
        <v>1</v>
      </c>
      <c r="AR125" s="137">
        <v>1</v>
      </c>
      <c r="AS125" s="139">
        <v>0.105261498981944</v>
      </c>
      <c r="AT125" s="141">
        <v>0.25</v>
      </c>
      <c r="AU125" s="141">
        <v>0</v>
      </c>
      <c r="AV125" s="141">
        <v>0.333333333333333</v>
      </c>
      <c r="AW125" s="141">
        <v>0.0705882352941176</v>
      </c>
      <c r="AX125" s="95"/>
      <c r="AY125" s="93"/>
    </row>
    <row r="126" ht="15" spans="1:51">
      <c r="A126" s="91"/>
      <c r="B126" s="95"/>
      <c r="C126" s="152" t="s">
        <v>99</v>
      </c>
      <c r="D126" s="153" t="s">
        <v>25</v>
      </c>
      <c r="E126" s="130" t="s">
        <v>100</v>
      </c>
      <c r="F126" s="154" t="s">
        <v>148</v>
      </c>
      <c r="G126" s="154" t="s">
        <v>148</v>
      </c>
      <c r="H126" s="154" t="s">
        <v>148</v>
      </c>
      <c r="I126" s="154" t="s">
        <v>148</v>
      </c>
      <c r="J126" s="132">
        <v>0.9</v>
      </c>
      <c r="K126" s="133">
        <v>0.973684210526316</v>
      </c>
      <c r="L126" s="133">
        <v>1</v>
      </c>
      <c r="M126" s="134">
        <v>1</v>
      </c>
      <c r="N126" s="133">
        <v>0.985486211901306</v>
      </c>
      <c r="O126" s="135">
        <v>0.9</v>
      </c>
      <c r="P126" s="133" t="s">
        <v>35</v>
      </c>
      <c r="Q126" s="133" t="s">
        <v>35</v>
      </c>
      <c r="R126" s="133" t="s">
        <v>35</v>
      </c>
      <c r="S126" s="133">
        <v>1</v>
      </c>
      <c r="T126" s="135">
        <v>0.9</v>
      </c>
      <c r="U126" s="133" t="s">
        <v>35</v>
      </c>
      <c r="V126" s="133" t="s">
        <v>35</v>
      </c>
      <c r="W126" s="133" t="s">
        <v>35</v>
      </c>
      <c r="X126" s="133">
        <v>0</v>
      </c>
      <c r="Y126" s="135">
        <v>0.92</v>
      </c>
      <c r="Z126" s="135" t="s">
        <v>35</v>
      </c>
      <c r="AA126" s="135" t="s">
        <v>35</v>
      </c>
      <c r="AB126" s="135" t="s">
        <v>35</v>
      </c>
      <c r="AC126" s="135">
        <v>1</v>
      </c>
      <c r="AD126" s="135">
        <v>0.92</v>
      </c>
      <c r="AE126" s="133">
        <v>1</v>
      </c>
      <c r="AF126" s="133">
        <v>1</v>
      </c>
      <c r="AG126" s="133">
        <v>1</v>
      </c>
      <c r="AH126" s="133">
        <v>0.998977505112474</v>
      </c>
      <c r="AI126" s="135">
        <v>0.92</v>
      </c>
      <c r="AJ126" s="133">
        <v>0.975822050290135</v>
      </c>
      <c r="AK126" s="133">
        <v>0.9789283564118</v>
      </c>
      <c r="AL126" s="133">
        <v>0.982937233394272</v>
      </c>
      <c r="AM126" s="133">
        <v>0.98722815019956</v>
      </c>
      <c r="AN126" s="132">
        <v>0.99</v>
      </c>
      <c r="AO126" s="137">
        <v>1</v>
      </c>
      <c r="AP126" s="137">
        <v>1</v>
      </c>
      <c r="AQ126" s="137">
        <v>1</v>
      </c>
      <c r="AR126" s="137">
        <v>1</v>
      </c>
      <c r="AS126" s="139">
        <v>0.105261498981944</v>
      </c>
      <c r="AT126" s="141">
        <v>0</v>
      </c>
      <c r="AU126" s="141">
        <v>0</v>
      </c>
      <c r="AV126" s="141">
        <v>0</v>
      </c>
      <c r="AW126" s="141">
        <v>0.0526315789473684</v>
      </c>
      <c r="AX126" s="95"/>
      <c r="AY126" s="93"/>
    </row>
    <row r="127" ht="15" spans="1:51">
      <c r="A127" s="91"/>
      <c r="B127" s="95"/>
      <c r="C127" s="152" t="s">
        <v>99</v>
      </c>
      <c r="D127" s="153" t="s">
        <v>25</v>
      </c>
      <c r="E127" s="130" t="s">
        <v>100</v>
      </c>
      <c r="F127" s="154" t="s">
        <v>149</v>
      </c>
      <c r="G127" s="154" t="s">
        <v>149</v>
      </c>
      <c r="H127" s="154" t="s">
        <v>149</v>
      </c>
      <c r="I127" s="154" t="s">
        <v>149</v>
      </c>
      <c r="J127" s="132">
        <v>0.9</v>
      </c>
      <c r="K127" s="133">
        <v>1</v>
      </c>
      <c r="L127" s="133">
        <v>0.967391304347826</v>
      </c>
      <c r="M127" s="134">
        <v>1</v>
      </c>
      <c r="N127" s="133">
        <v>0.984183673469388</v>
      </c>
      <c r="O127" s="135">
        <v>0.9</v>
      </c>
      <c r="P127" s="133" t="s">
        <v>35</v>
      </c>
      <c r="Q127" s="133">
        <v>1</v>
      </c>
      <c r="R127" s="133" t="s">
        <v>35</v>
      </c>
      <c r="S127" s="133">
        <v>0.6</v>
      </c>
      <c r="T127" s="135">
        <v>0.9</v>
      </c>
      <c r="U127" s="133" t="s">
        <v>35</v>
      </c>
      <c r="V127" s="133">
        <v>0.333333333333333</v>
      </c>
      <c r="W127" s="133" t="s">
        <v>35</v>
      </c>
      <c r="X127" s="133">
        <v>0.2</v>
      </c>
      <c r="Y127" s="135">
        <v>0.92</v>
      </c>
      <c r="Z127" s="135">
        <v>0</v>
      </c>
      <c r="AA127" s="135" t="s">
        <v>35</v>
      </c>
      <c r="AB127" s="135" t="s">
        <v>35</v>
      </c>
      <c r="AC127" s="135">
        <v>0.2</v>
      </c>
      <c r="AD127" s="135">
        <v>0.92</v>
      </c>
      <c r="AE127" s="133">
        <v>0.995689655172414</v>
      </c>
      <c r="AF127" s="133">
        <v>0.989641434262948</v>
      </c>
      <c r="AG127" s="133">
        <v>0.979310344827586</v>
      </c>
      <c r="AH127" s="133">
        <v>0.984531129900077</v>
      </c>
      <c r="AI127" s="135">
        <v>0.92</v>
      </c>
      <c r="AJ127" s="133">
        <v>0.956513144890294</v>
      </c>
      <c r="AK127" s="133">
        <v>0.973574749204796</v>
      </c>
      <c r="AL127" s="133">
        <v>0.967196177192303</v>
      </c>
      <c r="AM127" s="133">
        <v>0.98376641399345</v>
      </c>
      <c r="AN127" s="132">
        <v>0.99</v>
      </c>
      <c r="AO127" s="137">
        <v>1</v>
      </c>
      <c r="AP127" s="137">
        <v>1</v>
      </c>
      <c r="AQ127" s="137">
        <v>1</v>
      </c>
      <c r="AR127" s="137">
        <v>1</v>
      </c>
      <c r="AS127" s="139">
        <v>0.105261498981944</v>
      </c>
      <c r="AT127" s="141">
        <v>0</v>
      </c>
      <c r="AU127" s="141">
        <v>0.166666666666667</v>
      </c>
      <c r="AV127" s="141">
        <v>0.142857142857143</v>
      </c>
      <c r="AW127" s="141">
        <v>0.0590717299578059</v>
      </c>
      <c r="AX127" s="95"/>
      <c r="AY127" s="93"/>
    </row>
    <row r="128" ht="15" spans="1:51">
      <c r="A128" s="91"/>
      <c r="B128" s="95"/>
      <c r="C128" s="152" t="s">
        <v>99</v>
      </c>
      <c r="D128" s="153" t="s">
        <v>25</v>
      </c>
      <c r="E128" s="130" t="s">
        <v>100</v>
      </c>
      <c r="F128" s="154" t="s">
        <v>150</v>
      </c>
      <c r="G128" s="154" t="s">
        <v>150</v>
      </c>
      <c r="H128" s="154" t="s">
        <v>150</v>
      </c>
      <c r="I128" s="154" t="s">
        <v>150</v>
      </c>
      <c r="J128" s="132">
        <v>0.9</v>
      </c>
      <c r="K128" s="133">
        <v>0.924528301886792</v>
      </c>
      <c r="L128" s="133">
        <v>0.977272727272727</v>
      </c>
      <c r="M128" s="134">
        <v>0.980392156862745</v>
      </c>
      <c r="N128" s="133">
        <v>0.973876698014629</v>
      </c>
      <c r="O128" s="135">
        <v>0.9</v>
      </c>
      <c r="P128" s="133" t="s">
        <v>35</v>
      </c>
      <c r="Q128" s="133" t="s">
        <v>35</v>
      </c>
      <c r="R128" s="133" t="s">
        <v>35</v>
      </c>
      <c r="S128" s="133">
        <v>0.4</v>
      </c>
      <c r="T128" s="135">
        <v>0.9</v>
      </c>
      <c r="U128" s="133" t="s">
        <v>35</v>
      </c>
      <c r="V128" s="133" t="s">
        <v>35</v>
      </c>
      <c r="W128" s="133" t="s">
        <v>35</v>
      </c>
      <c r="X128" s="133">
        <v>0.4</v>
      </c>
      <c r="Y128" s="135">
        <v>0.92</v>
      </c>
      <c r="Z128" s="135" t="s">
        <v>35</v>
      </c>
      <c r="AA128" s="135">
        <v>0</v>
      </c>
      <c r="AB128" s="135" t="s">
        <v>35</v>
      </c>
      <c r="AC128" s="135">
        <v>0</v>
      </c>
      <c r="AD128" s="135">
        <v>0.92</v>
      </c>
      <c r="AE128" s="133">
        <v>0.997058823529412</v>
      </c>
      <c r="AF128" s="133">
        <v>0.99469964664311</v>
      </c>
      <c r="AG128" s="133">
        <v>0.95</v>
      </c>
      <c r="AH128" s="133">
        <v>0.979383041388932</v>
      </c>
      <c r="AI128" s="135">
        <v>0.92</v>
      </c>
      <c r="AJ128" s="133">
        <v>0.946151190887125</v>
      </c>
      <c r="AK128" s="133">
        <v>0.943515589697244</v>
      </c>
      <c r="AL128" s="133">
        <v>0.966477809254013</v>
      </c>
      <c r="AM128" s="133">
        <v>0.967372580808593</v>
      </c>
      <c r="AN128" s="132">
        <v>0.99</v>
      </c>
      <c r="AO128" s="137">
        <v>1</v>
      </c>
      <c r="AP128" s="137">
        <v>1</v>
      </c>
      <c r="AQ128" s="137">
        <v>1</v>
      </c>
      <c r="AR128" s="137">
        <v>1</v>
      </c>
      <c r="AS128" s="139">
        <v>0.105261498981944</v>
      </c>
      <c r="AT128" s="141">
        <v>0</v>
      </c>
      <c r="AU128" s="141">
        <v>0</v>
      </c>
      <c r="AV128" s="141">
        <v>0</v>
      </c>
      <c r="AW128" s="141">
        <v>0.0434782608695652</v>
      </c>
      <c r="AX128" s="95"/>
      <c r="AY128" s="93"/>
    </row>
    <row r="129" ht="15" spans="1:51">
      <c r="A129" s="91"/>
      <c r="B129" s="95"/>
      <c r="C129" s="152" t="s">
        <v>99</v>
      </c>
      <c r="D129" s="153" t="s">
        <v>25</v>
      </c>
      <c r="E129" s="130" t="s">
        <v>100</v>
      </c>
      <c r="F129" s="154" t="s">
        <v>151</v>
      </c>
      <c r="G129" s="154" t="s">
        <v>151</v>
      </c>
      <c r="H129" s="154" t="s">
        <v>151</v>
      </c>
      <c r="I129" s="154" t="s">
        <v>151</v>
      </c>
      <c r="J129" s="132">
        <v>0.9</v>
      </c>
      <c r="K129" s="133">
        <v>1</v>
      </c>
      <c r="L129" s="133">
        <v>0.981481481481482</v>
      </c>
      <c r="M129" s="134">
        <v>1</v>
      </c>
      <c r="N129" s="133">
        <v>0.992402659069326</v>
      </c>
      <c r="O129" s="135">
        <v>0.9</v>
      </c>
      <c r="P129" s="133">
        <v>1</v>
      </c>
      <c r="Q129" s="133" t="s">
        <v>35</v>
      </c>
      <c r="R129" s="133" t="s">
        <v>35</v>
      </c>
      <c r="S129" s="133">
        <v>0.5</v>
      </c>
      <c r="T129" s="135">
        <v>0.9</v>
      </c>
      <c r="U129" s="133">
        <v>0</v>
      </c>
      <c r="V129" s="133" t="s">
        <v>35</v>
      </c>
      <c r="W129" s="133" t="s">
        <v>35</v>
      </c>
      <c r="X129" s="133">
        <v>0</v>
      </c>
      <c r="Y129" s="135">
        <v>0.92</v>
      </c>
      <c r="Z129" s="135" t="s">
        <v>35</v>
      </c>
      <c r="AA129" s="135" t="s">
        <v>35</v>
      </c>
      <c r="AB129" s="135" t="s">
        <v>35</v>
      </c>
      <c r="AC129" s="135" t="s">
        <v>35</v>
      </c>
      <c r="AD129" s="135">
        <v>0.92</v>
      </c>
      <c r="AE129" s="133">
        <v>0.997347480106101</v>
      </c>
      <c r="AF129" s="133">
        <v>0.991044776119403</v>
      </c>
      <c r="AG129" s="133">
        <v>0.995648389904265</v>
      </c>
      <c r="AH129" s="133">
        <v>0.994926083688299</v>
      </c>
      <c r="AI129" s="135">
        <v>0.92</v>
      </c>
      <c r="AJ129" s="133">
        <v>0.973533163265306</v>
      </c>
      <c r="AK129" s="133">
        <v>0.976063829787234</v>
      </c>
      <c r="AL129" s="133">
        <v>0.977362761743067</v>
      </c>
      <c r="AM129" s="133">
        <v>0.984518683403883</v>
      </c>
      <c r="AN129" s="132">
        <v>0.99</v>
      </c>
      <c r="AO129" s="137">
        <v>1</v>
      </c>
      <c r="AP129" s="137">
        <v>1</v>
      </c>
      <c r="AQ129" s="137">
        <v>1</v>
      </c>
      <c r="AR129" s="137">
        <v>1</v>
      </c>
      <c r="AS129" s="139">
        <v>0.105261498981944</v>
      </c>
      <c r="AT129" s="141">
        <v>0</v>
      </c>
      <c r="AU129" s="141">
        <v>0</v>
      </c>
      <c r="AV129" s="141">
        <v>0</v>
      </c>
      <c r="AW129" s="141">
        <v>0.0481927710843374</v>
      </c>
      <c r="AX129" s="95"/>
      <c r="AY129" s="93"/>
    </row>
    <row r="130" ht="15" spans="1:51">
      <c r="A130" s="91"/>
      <c r="B130" s="95"/>
      <c r="C130" s="152" t="s">
        <v>99</v>
      </c>
      <c r="D130" s="153" t="s">
        <v>25</v>
      </c>
      <c r="E130" s="130" t="s">
        <v>100</v>
      </c>
      <c r="F130" s="154" t="s">
        <v>152</v>
      </c>
      <c r="G130" s="154" t="s">
        <v>152</v>
      </c>
      <c r="H130" s="154" t="s">
        <v>152</v>
      </c>
      <c r="I130" s="154" t="s">
        <v>152</v>
      </c>
      <c r="J130" s="132">
        <v>0.9</v>
      </c>
      <c r="K130" s="133">
        <v>1</v>
      </c>
      <c r="L130" s="133">
        <v>1</v>
      </c>
      <c r="M130" s="134">
        <v>1</v>
      </c>
      <c r="N130" s="133">
        <v>0.994604316546763</v>
      </c>
      <c r="O130" s="135">
        <v>0.9</v>
      </c>
      <c r="P130" s="133" t="s">
        <v>35</v>
      </c>
      <c r="Q130" s="133">
        <v>0</v>
      </c>
      <c r="R130" s="133">
        <v>0</v>
      </c>
      <c r="S130" s="133">
        <v>0</v>
      </c>
      <c r="T130" s="135">
        <v>0.9</v>
      </c>
      <c r="U130" s="133" t="s">
        <v>35</v>
      </c>
      <c r="V130" s="133">
        <v>0</v>
      </c>
      <c r="W130" s="133">
        <v>0</v>
      </c>
      <c r="X130" s="133">
        <v>0.25</v>
      </c>
      <c r="Y130" s="135">
        <v>0.92</v>
      </c>
      <c r="Z130" s="135">
        <v>0.5</v>
      </c>
      <c r="AA130" s="135" t="s">
        <v>35</v>
      </c>
      <c r="AB130" s="135" t="s">
        <v>35</v>
      </c>
      <c r="AC130" s="135">
        <v>0.333333333333333</v>
      </c>
      <c r="AD130" s="135">
        <v>0.92</v>
      </c>
      <c r="AE130" s="133">
        <v>0.995720399429387</v>
      </c>
      <c r="AF130" s="133">
        <v>0.994959677419355</v>
      </c>
      <c r="AG130" s="133">
        <v>0.996219281663516</v>
      </c>
      <c r="AH130" s="133">
        <v>0.991911479228679</v>
      </c>
      <c r="AI130" s="135">
        <v>0.92</v>
      </c>
      <c r="AJ130" s="133">
        <v>0.965852025443589</v>
      </c>
      <c r="AK130" s="133">
        <v>0.960458679319889</v>
      </c>
      <c r="AL130" s="133">
        <v>0.970320623916811</v>
      </c>
      <c r="AM130" s="133">
        <v>0.981849930666119</v>
      </c>
      <c r="AN130" s="132">
        <v>0.99</v>
      </c>
      <c r="AO130" s="137">
        <v>1</v>
      </c>
      <c r="AP130" s="137">
        <v>1</v>
      </c>
      <c r="AQ130" s="137">
        <v>1</v>
      </c>
      <c r="AR130" s="137">
        <v>1</v>
      </c>
      <c r="AS130" s="139">
        <v>0.105261498981944</v>
      </c>
      <c r="AT130" s="141">
        <v>0</v>
      </c>
      <c r="AU130" s="141">
        <v>0.4</v>
      </c>
      <c r="AV130" s="141">
        <v>0.153846153846154</v>
      </c>
      <c r="AW130" s="141">
        <v>0.0517241379310345</v>
      </c>
      <c r="AX130" s="95"/>
      <c r="AY130" s="93"/>
    </row>
    <row r="131" ht="15" spans="1:51">
      <c r="A131" s="91"/>
      <c r="B131" s="95"/>
      <c r="C131" s="152" t="s">
        <v>99</v>
      </c>
      <c r="D131" s="153" t="s">
        <v>25</v>
      </c>
      <c r="E131" s="130" t="s">
        <v>100</v>
      </c>
      <c r="F131" s="154" t="s">
        <v>153</v>
      </c>
      <c r="G131" s="154" t="s">
        <v>153</v>
      </c>
      <c r="H131" s="154" t="s">
        <v>153</v>
      </c>
      <c r="I131" s="154" t="s">
        <v>153</v>
      </c>
      <c r="J131" s="132">
        <v>0.9</v>
      </c>
      <c r="K131" s="133">
        <v>0.982142857142857</v>
      </c>
      <c r="L131" s="133">
        <v>0.980769230769231</v>
      </c>
      <c r="M131" s="134">
        <v>0.981132075471698</v>
      </c>
      <c r="N131" s="133">
        <v>0.987108655616943</v>
      </c>
      <c r="O131" s="135">
        <v>0.9</v>
      </c>
      <c r="P131" s="133" t="s">
        <v>35</v>
      </c>
      <c r="Q131" s="133" t="s">
        <v>35</v>
      </c>
      <c r="R131" s="133" t="s">
        <v>35</v>
      </c>
      <c r="S131" s="133">
        <v>1</v>
      </c>
      <c r="T131" s="135">
        <v>0.9</v>
      </c>
      <c r="U131" s="133" t="s">
        <v>35</v>
      </c>
      <c r="V131" s="133" t="s">
        <v>35</v>
      </c>
      <c r="W131" s="133" t="s">
        <v>35</v>
      </c>
      <c r="X131" s="133">
        <v>1</v>
      </c>
      <c r="Y131" s="135">
        <v>0.92</v>
      </c>
      <c r="Z131" s="135" t="s">
        <v>35</v>
      </c>
      <c r="AA131" s="135" t="s">
        <v>35</v>
      </c>
      <c r="AB131" s="135" t="s">
        <v>35</v>
      </c>
      <c r="AC131" s="135" t="s">
        <v>35</v>
      </c>
      <c r="AD131" s="135">
        <v>0.92</v>
      </c>
      <c r="AE131" s="133">
        <v>1</v>
      </c>
      <c r="AF131" s="133">
        <v>0.997005988023952</v>
      </c>
      <c r="AG131" s="133">
        <v>0.995215311004785</v>
      </c>
      <c r="AH131" s="133">
        <v>0.985900018311665</v>
      </c>
      <c r="AI131" s="135">
        <v>0.92</v>
      </c>
      <c r="AJ131" s="133">
        <v>0.953135100193924</v>
      </c>
      <c r="AK131" s="133">
        <v>0.963119966087325</v>
      </c>
      <c r="AL131" s="133">
        <v>0.968387536957016</v>
      </c>
      <c r="AM131" s="133">
        <v>0.969691815408167</v>
      </c>
      <c r="AN131" s="132">
        <v>0.99</v>
      </c>
      <c r="AO131" s="137">
        <v>1</v>
      </c>
      <c r="AP131" s="137">
        <v>1</v>
      </c>
      <c r="AQ131" s="137">
        <v>1</v>
      </c>
      <c r="AR131" s="137">
        <v>1</v>
      </c>
      <c r="AS131" s="139">
        <v>0.105261498981944</v>
      </c>
      <c r="AT131" s="141">
        <v>1</v>
      </c>
      <c r="AU131" s="141">
        <v>0</v>
      </c>
      <c r="AV131" s="141">
        <v>0</v>
      </c>
      <c r="AW131" s="141">
        <v>0.102272727272727</v>
      </c>
      <c r="AX131" s="95"/>
      <c r="AY131" s="93"/>
    </row>
    <row r="132" ht="15" spans="1:51">
      <c r="A132" s="91"/>
      <c r="B132" s="95"/>
      <c r="C132" s="152" t="s">
        <v>99</v>
      </c>
      <c r="D132" s="153" t="s">
        <v>25</v>
      </c>
      <c r="E132" s="130" t="s">
        <v>100</v>
      </c>
      <c r="F132" s="154" t="s">
        <v>154</v>
      </c>
      <c r="G132" s="154" t="s">
        <v>154</v>
      </c>
      <c r="H132" s="154" t="s">
        <v>154</v>
      </c>
      <c r="I132" s="154" t="s">
        <v>154</v>
      </c>
      <c r="J132" s="132">
        <v>0.9</v>
      </c>
      <c r="K132" s="133">
        <v>0.96969696969697</v>
      </c>
      <c r="L132" s="133">
        <v>1</v>
      </c>
      <c r="M132" s="134">
        <v>0.9375</v>
      </c>
      <c r="N132" s="133">
        <v>0.967266775777414</v>
      </c>
      <c r="O132" s="135">
        <v>0.9</v>
      </c>
      <c r="P132" s="133" t="s">
        <v>35</v>
      </c>
      <c r="Q132" s="133" t="s">
        <v>35</v>
      </c>
      <c r="R132" s="133" t="s">
        <v>35</v>
      </c>
      <c r="S132" s="133" t="s">
        <v>35</v>
      </c>
      <c r="T132" s="135">
        <v>0.9</v>
      </c>
      <c r="U132" s="133" t="s">
        <v>35</v>
      </c>
      <c r="V132" s="133" t="s">
        <v>35</v>
      </c>
      <c r="W132" s="133" t="s">
        <v>35</v>
      </c>
      <c r="X132" s="133" t="s">
        <v>35</v>
      </c>
      <c r="Y132" s="135">
        <v>0.92</v>
      </c>
      <c r="Z132" s="135" t="s">
        <v>35</v>
      </c>
      <c r="AA132" s="135" t="s">
        <v>35</v>
      </c>
      <c r="AB132" s="135" t="s">
        <v>35</v>
      </c>
      <c r="AC132" s="135" t="s">
        <v>35</v>
      </c>
      <c r="AD132" s="135">
        <v>0.92</v>
      </c>
      <c r="AE132" s="133">
        <v>1</v>
      </c>
      <c r="AF132" s="133">
        <v>1</v>
      </c>
      <c r="AG132" s="133">
        <v>1</v>
      </c>
      <c r="AH132" s="133">
        <v>0.976190476190476</v>
      </c>
      <c r="AI132" s="135">
        <v>0.92</v>
      </c>
      <c r="AJ132" s="133">
        <v>0.961357210179076</v>
      </c>
      <c r="AK132" s="133">
        <v>0.969102792632204</v>
      </c>
      <c r="AL132" s="133">
        <v>0.979546884833228</v>
      </c>
      <c r="AM132" s="133">
        <v>0.983195068117817</v>
      </c>
      <c r="AN132" s="132">
        <v>0.99</v>
      </c>
      <c r="AO132" s="137">
        <v>1</v>
      </c>
      <c r="AP132" s="137">
        <v>1</v>
      </c>
      <c r="AQ132" s="137">
        <v>1</v>
      </c>
      <c r="AR132" s="137">
        <v>1</v>
      </c>
      <c r="AS132" s="139">
        <v>0.105261498981944</v>
      </c>
      <c r="AT132" s="141">
        <v>0</v>
      </c>
      <c r="AU132" s="141">
        <v>0.5</v>
      </c>
      <c r="AV132" s="141">
        <v>0</v>
      </c>
      <c r="AW132" s="141">
        <v>0.040650406504065</v>
      </c>
      <c r="AX132" s="95"/>
      <c r="AY132" s="93"/>
    </row>
    <row r="133" ht="15" spans="1:51">
      <c r="A133" s="91"/>
      <c r="B133" s="95"/>
      <c r="C133" s="152" t="s">
        <v>99</v>
      </c>
      <c r="D133" s="153" t="s">
        <v>25</v>
      </c>
      <c r="E133" s="130" t="s">
        <v>100</v>
      </c>
      <c r="F133" s="154" t="s">
        <v>155</v>
      </c>
      <c r="G133" s="154" t="s">
        <v>155</v>
      </c>
      <c r="H133" s="154" t="s">
        <v>155</v>
      </c>
      <c r="I133" s="154" t="s">
        <v>155</v>
      </c>
      <c r="J133" s="132">
        <v>0.9</v>
      </c>
      <c r="K133" s="133">
        <v>0.947368421052632</v>
      </c>
      <c r="L133" s="133">
        <v>1</v>
      </c>
      <c r="M133" s="134">
        <v>0.952380952380952</v>
      </c>
      <c r="N133" s="133">
        <v>0.979057591623037</v>
      </c>
      <c r="O133" s="135">
        <v>0.9</v>
      </c>
      <c r="P133" s="133">
        <v>0</v>
      </c>
      <c r="Q133" s="133" t="s">
        <v>35</v>
      </c>
      <c r="R133" s="133" t="s">
        <v>35</v>
      </c>
      <c r="S133" s="133">
        <v>0</v>
      </c>
      <c r="T133" s="135">
        <v>0.9</v>
      </c>
      <c r="U133" s="133">
        <v>0</v>
      </c>
      <c r="V133" s="133" t="s">
        <v>35</v>
      </c>
      <c r="W133" s="133" t="s">
        <v>35</v>
      </c>
      <c r="X133" s="133">
        <v>0</v>
      </c>
      <c r="Y133" s="135">
        <v>0.92</v>
      </c>
      <c r="Z133" s="135">
        <v>0</v>
      </c>
      <c r="AA133" s="135" t="s">
        <v>35</v>
      </c>
      <c r="AB133" s="135" t="s">
        <v>35</v>
      </c>
      <c r="AC133" s="135">
        <v>0</v>
      </c>
      <c r="AD133" s="135">
        <v>0.92</v>
      </c>
      <c r="AE133" s="133">
        <v>1</v>
      </c>
      <c r="AF133" s="133">
        <v>0.990476190476191</v>
      </c>
      <c r="AG133" s="133">
        <v>1</v>
      </c>
      <c r="AH133" s="133">
        <v>0.983164983164983</v>
      </c>
      <c r="AI133" s="135">
        <v>0.92</v>
      </c>
      <c r="AJ133" s="133">
        <v>0.941533788914199</v>
      </c>
      <c r="AK133" s="133">
        <v>0.980612244897959</v>
      </c>
      <c r="AL133" s="133">
        <v>0.987019470793809</v>
      </c>
      <c r="AM133" s="133">
        <v>0.990285468779836</v>
      </c>
      <c r="AN133" s="132">
        <v>0.99</v>
      </c>
      <c r="AO133" s="137">
        <v>1</v>
      </c>
      <c r="AP133" s="137">
        <v>1</v>
      </c>
      <c r="AQ133" s="137">
        <v>1</v>
      </c>
      <c r="AR133" s="137">
        <v>1</v>
      </c>
      <c r="AS133" s="139">
        <v>0.105261498981944</v>
      </c>
      <c r="AT133" s="141">
        <v>0</v>
      </c>
      <c r="AU133" s="141">
        <v>0</v>
      </c>
      <c r="AV133" s="141">
        <v>0</v>
      </c>
      <c r="AW133" s="141">
        <v>0.0227272727272727</v>
      </c>
      <c r="AX133" s="95"/>
      <c r="AY133" s="93"/>
    </row>
    <row r="134" ht="15" spans="1:51">
      <c r="A134" s="91"/>
      <c r="B134" s="95"/>
      <c r="C134" s="152" t="s">
        <v>99</v>
      </c>
      <c r="D134" s="153" t="s">
        <v>25</v>
      </c>
      <c r="E134" s="130" t="s">
        <v>100</v>
      </c>
      <c r="F134" s="154" t="s">
        <v>156</v>
      </c>
      <c r="G134" s="154" t="s">
        <v>156</v>
      </c>
      <c r="H134" s="154" t="s">
        <v>156</v>
      </c>
      <c r="I134" s="154" t="s">
        <v>156</v>
      </c>
      <c r="J134" s="132">
        <v>0.9</v>
      </c>
      <c r="K134" s="133">
        <v>1</v>
      </c>
      <c r="L134" s="133">
        <v>1</v>
      </c>
      <c r="M134" s="134">
        <v>1</v>
      </c>
      <c r="N134" s="133">
        <v>0.984967788117394</v>
      </c>
      <c r="O134" s="135">
        <v>0.9</v>
      </c>
      <c r="P134" s="133">
        <v>0</v>
      </c>
      <c r="Q134" s="133" t="s">
        <v>35</v>
      </c>
      <c r="R134" s="133">
        <v>1</v>
      </c>
      <c r="S134" s="133">
        <v>0.285714285714286</v>
      </c>
      <c r="T134" s="135">
        <v>0.9</v>
      </c>
      <c r="U134" s="133">
        <v>0</v>
      </c>
      <c r="V134" s="133" t="s">
        <v>35</v>
      </c>
      <c r="W134" s="133">
        <v>1</v>
      </c>
      <c r="X134" s="133">
        <v>0.428571428571429</v>
      </c>
      <c r="Y134" s="135">
        <v>0.92</v>
      </c>
      <c r="Z134" s="135">
        <v>0</v>
      </c>
      <c r="AA134" s="135" t="s">
        <v>35</v>
      </c>
      <c r="AB134" s="135">
        <v>0</v>
      </c>
      <c r="AC134" s="135">
        <v>0</v>
      </c>
      <c r="AD134" s="135">
        <v>0.92</v>
      </c>
      <c r="AE134" s="133">
        <v>0.99025069637883</v>
      </c>
      <c r="AF134" s="133">
        <v>0.997026022304833</v>
      </c>
      <c r="AG134" s="133">
        <v>0.995283018867924</v>
      </c>
      <c r="AH134" s="133">
        <v>0.995987598030275</v>
      </c>
      <c r="AI134" s="135">
        <v>0.92</v>
      </c>
      <c r="AJ134" s="133">
        <v>0.96971916971917</v>
      </c>
      <c r="AK134" s="133">
        <v>0.98045905707196</v>
      </c>
      <c r="AL134" s="133">
        <v>0.985264900662252</v>
      </c>
      <c r="AM134" s="133">
        <v>0.987870480319416</v>
      </c>
      <c r="AN134" s="132">
        <v>0.99</v>
      </c>
      <c r="AO134" s="137">
        <v>1</v>
      </c>
      <c r="AP134" s="137">
        <v>1</v>
      </c>
      <c r="AQ134" s="137">
        <v>1</v>
      </c>
      <c r="AR134" s="137">
        <v>1</v>
      </c>
      <c r="AS134" s="139">
        <v>0.105261498981944</v>
      </c>
      <c r="AT134" s="141">
        <v>0.1</v>
      </c>
      <c r="AU134" s="141">
        <v>1.33333333333333</v>
      </c>
      <c r="AV134" s="141">
        <v>0.181818181818182</v>
      </c>
      <c r="AW134" s="141">
        <v>0.0572687224669604</v>
      </c>
      <c r="AX134" s="95"/>
      <c r="AY134" s="93"/>
    </row>
    <row r="135" ht="15" spans="1:51">
      <c r="A135" s="91"/>
      <c r="B135" s="95"/>
      <c r="C135" s="152" t="s">
        <v>99</v>
      </c>
      <c r="D135" s="153" t="s">
        <v>25</v>
      </c>
      <c r="E135" s="130" t="s">
        <v>100</v>
      </c>
      <c r="F135" s="154" t="s">
        <v>157</v>
      </c>
      <c r="G135" s="154" t="s">
        <v>157</v>
      </c>
      <c r="H135" s="154" t="s">
        <v>157</v>
      </c>
      <c r="I135" s="154" t="s">
        <v>157</v>
      </c>
      <c r="J135" s="132">
        <v>0.9</v>
      </c>
      <c r="K135" s="133">
        <v>1</v>
      </c>
      <c r="L135" s="133">
        <v>0.9375</v>
      </c>
      <c r="M135" s="134">
        <v>0.950819672131147</v>
      </c>
      <c r="N135" s="133">
        <v>0.968986384266263</v>
      </c>
      <c r="O135" s="135">
        <v>0.9</v>
      </c>
      <c r="P135" s="133" t="s">
        <v>35</v>
      </c>
      <c r="Q135" s="133" t="s">
        <v>35</v>
      </c>
      <c r="R135" s="133" t="s">
        <v>35</v>
      </c>
      <c r="S135" s="133">
        <v>0</v>
      </c>
      <c r="T135" s="135">
        <v>0.9</v>
      </c>
      <c r="U135" s="133" t="s">
        <v>35</v>
      </c>
      <c r="V135" s="133" t="s">
        <v>35</v>
      </c>
      <c r="W135" s="133" t="s">
        <v>35</v>
      </c>
      <c r="X135" s="133">
        <v>0.666666666666667</v>
      </c>
      <c r="Y135" s="135">
        <v>0.92</v>
      </c>
      <c r="Z135" s="135" t="s">
        <v>35</v>
      </c>
      <c r="AA135" s="135">
        <v>0</v>
      </c>
      <c r="AB135" s="135" t="s">
        <v>35</v>
      </c>
      <c r="AC135" s="135">
        <v>0</v>
      </c>
      <c r="AD135" s="135">
        <v>0.92</v>
      </c>
      <c r="AE135" s="133">
        <v>0.996996996996997</v>
      </c>
      <c r="AF135" s="133">
        <v>0.98876404494382</v>
      </c>
      <c r="AG135" s="133">
        <v>0.995515695067265</v>
      </c>
      <c r="AH135" s="133">
        <v>0.993662700465598</v>
      </c>
      <c r="AI135" s="135">
        <v>0.92</v>
      </c>
      <c r="AJ135" s="133">
        <v>0.975545851528384</v>
      </c>
      <c r="AK135" s="133">
        <v>0.973180076628352</v>
      </c>
      <c r="AL135" s="133">
        <v>0.978672550101122</v>
      </c>
      <c r="AM135" s="133">
        <v>0.988368670335649</v>
      </c>
      <c r="AN135" s="132">
        <v>0.99</v>
      </c>
      <c r="AO135" s="137">
        <v>1</v>
      </c>
      <c r="AP135" s="137">
        <v>1</v>
      </c>
      <c r="AQ135" s="137">
        <v>1</v>
      </c>
      <c r="AR135" s="137">
        <v>1</v>
      </c>
      <c r="AS135" s="139">
        <v>0.105261498981944</v>
      </c>
      <c r="AT135" s="141">
        <v>0.142857142857143</v>
      </c>
      <c r="AU135" s="141">
        <v>0.0909090909090909</v>
      </c>
      <c r="AV135" s="141">
        <v>0</v>
      </c>
      <c r="AW135" s="141">
        <v>0.0354767184035477</v>
      </c>
      <c r="AX135" s="95"/>
      <c r="AY135" s="93"/>
    </row>
    <row r="136" ht="15" spans="1:51">
      <c r="A136" s="91"/>
      <c r="B136" s="95"/>
      <c r="C136" s="152" t="s">
        <v>99</v>
      </c>
      <c r="D136" s="153" t="s">
        <v>25</v>
      </c>
      <c r="E136" s="130" t="s">
        <v>100</v>
      </c>
      <c r="F136" s="154" t="s">
        <v>158</v>
      </c>
      <c r="G136" s="154" t="s">
        <v>158</v>
      </c>
      <c r="H136" s="154" t="s">
        <v>158</v>
      </c>
      <c r="I136" s="154" t="s">
        <v>158</v>
      </c>
      <c r="J136" s="132">
        <v>0.9</v>
      </c>
      <c r="K136" s="133">
        <v>0.979166666666667</v>
      </c>
      <c r="L136" s="133">
        <v>0.976190476190476</v>
      </c>
      <c r="M136" s="134">
        <v>0.974358974358974</v>
      </c>
      <c r="N136" s="133">
        <v>0.985057471264368</v>
      </c>
      <c r="O136" s="135">
        <v>0.9</v>
      </c>
      <c r="P136" s="133">
        <v>0</v>
      </c>
      <c r="Q136" s="133" t="s">
        <v>35</v>
      </c>
      <c r="R136" s="133" t="s">
        <v>35</v>
      </c>
      <c r="S136" s="133">
        <v>0</v>
      </c>
      <c r="T136" s="135">
        <v>0.9</v>
      </c>
      <c r="U136" s="133">
        <v>0</v>
      </c>
      <c r="V136" s="133" t="s">
        <v>35</v>
      </c>
      <c r="W136" s="133" t="s">
        <v>35</v>
      </c>
      <c r="X136" s="133">
        <v>0</v>
      </c>
      <c r="Y136" s="135">
        <v>0.92</v>
      </c>
      <c r="Z136" s="135" t="s">
        <v>35</v>
      </c>
      <c r="AA136" s="135" t="s">
        <v>35</v>
      </c>
      <c r="AB136" s="135" t="s">
        <v>35</v>
      </c>
      <c r="AC136" s="135">
        <v>1</v>
      </c>
      <c r="AD136" s="135">
        <v>0.92</v>
      </c>
      <c r="AE136" s="133">
        <v>1</v>
      </c>
      <c r="AF136" s="133">
        <v>0.995850622406639</v>
      </c>
      <c r="AG136" s="133">
        <v>0.99644128113879</v>
      </c>
      <c r="AH136" s="133">
        <v>0.995683993244511</v>
      </c>
      <c r="AI136" s="135">
        <v>0.92</v>
      </c>
      <c r="AJ136" s="133">
        <v>0.988372093023256</v>
      </c>
      <c r="AK136" s="133">
        <v>0.988859416445623</v>
      </c>
      <c r="AL136" s="133">
        <v>0.983642311886587</v>
      </c>
      <c r="AM136" s="133">
        <v>0.992393212404915</v>
      </c>
      <c r="AN136" s="132">
        <v>0.99</v>
      </c>
      <c r="AO136" s="137">
        <v>1</v>
      </c>
      <c r="AP136" s="137">
        <v>1</v>
      </c>
      <c r="AQ136" s="137">
        <v>1</v>
      </c>
      <c r="AR136" s="137">
        <v>1</v>
      </c>
      <c r="AS136" s="139">
        <v>0.105261498981944</v>
      </c>
      <c r="AT136" s="141">
        <v>0</v>
      </c>
      <c r="AU136" s="141">
        <v>0.333333333333333</v>
      </c>
      <c r="AV136" s="141">
        <v>0</v>
      </c>
      <c r="AW136" s="141">
        <v>0.0886075949367089</v>
      </c>
      <c r="AX136" s="95"/>
      <c r="AY136" s="93"/>
    </row>
    <row r="137" ht="15" spans="1:51">
      <c r="A137" s="91"/>
      <c r="B137" s="95"/>
      <c r="C137" s="152" t="s">
        <v>99</v>
      </c>
      <c r="D137" s="153" t="s">
        <v>25</v>
      </c>
      <c r="E137" s="130" t="s">
        <v>100</v>
      </c>
      <c r="F137" s="154" t="s">
        <v>159</v>
      </c>
      <c r="G137" s="154" t="s">
        <v>159</v>
      </c>
      <c r="H137" s="154" t="s">
        <v>159</v>
      </c>
      <c r="I137" s="154" t="s">
        <v>159</v>
      </c>
      <c r="J137" s="132">
        <v>0.9</v>
      </c>
      <c r="K137" s="133">
        <v>1</v>
      </c>
      <c r="L137" s="133">
        <v>0.961538461538462</v>
      </c>
      <c r="M137" s="134">
        <v>1</v>
      </c>
      <c r="N137" s="133">
        <v>0.991319444444444</v>
      </c>
      <c r="O137" s="135">
        <v>0.9</v>
      </c>
      <c r="P137" s="133" t="s">
        <v>35</v>
      </c>
      <c r="Q137" s="133" t="s">
        <v>35</v>
      </c>
      <c r="R137" s="133" t="s">
        <v>35</v>
      </c>
      <c r="S137" s="133">
        <v>0</v>
      </c>
      <c r="T137" s="135">
        <v>0.9</v>
      </c>
      <c r="U137" s="133" t="s">
        <v>35</v>
      </c>
      <c r="V137" s="133" t="s">
        <v>35</v>
      </c>
      <c r="W137" s="133" t="s">
        <v>35</v>
      </c>
      <c r="X137" s="133">
        <v>0</v>
      </c>
      <c r="Y137" s="135">
        <v>0.92</v>
      </c>
      <c r="Z137" s="135">
        <v>0</v>
      </c>
      <c r="AA137" s="135" t="s">
        <v>35</v>
      </c>
      <c r="AB137" s="135" t="s">
        <v>35</v>
      </c>
      <c r="AC137" s="135">
        <v>0</v>
      </c>
      <c r="AD137" s="135">
        <v>0.92</v>
      </c>
      <c r="AE137" s="133">
        <v>0.992125984251969</v>
      </c>
      <c r="AF137" s="133">
        <v>1</v>
      </c>
      <c r="AG137" s="133">
        <v>1</v>
      </c>
      <c r="AH137" s="133">
        <v>0.983388704318937</v>
      </c>
      <c r="AI137" s="135">
        <v>0.92</v>
      </c>
      <c r="AJ137" s="133">
        <v>0.964494163424125</v>
      </c>
      <c r="AK137" s="133">
        <v>0.987843889955214</v>
      </c>
      <c r="AL137" s="133">
        <v>0.989727240524265</v>
      </c>
      <c r="AM137" s="133">
        <v>0.990916169218791</v>
      </c>
      <c r="AN137" s="132">
        <v>0.99</v>
      </c>
      <c r="AO137" s="137">
        <v>1</v>
      </c>
      <c r="AP137" s="137">
        <v>1</v>
      </c>
      <c r="AQ137" s="137">
        <v>1</v>
      </c>
      <c r="AR137" s="137">
        <v>1</v>
      </c>
      <c r="AS137" s="139">
        <v>0.105261498981944</v>
      </c>
      <c r="AT137" s="141" t="s">
        <v>35</v>
      </c>
      <c r="AU137" s="141" t="s">
        <v>35</v>
      </c>
      <c r="AV137" s="141" t="s">
        <v>35</v>
      </c>
      <c r="AW137" s="141">
        <v>0.159090909090909</v>
      </c>
      <c r="AX137" s="95"/>
      <c r="AY137" s="93"/>
    </row>
    <row r="138" ht="15" spans="1:51">
      <c r="A138" s="91"/>
      <c r="B138" s="95"/>
      <c r="C138" s="152" t="s">
        <v>99</v>
      </c>
      <c r="D138" s="153" t="s">
        <v>25</v>
      </c>
      <c r="E138" s="130" t="s">
        <v>100</v>
      </c>
      <c r="F138" s="154" t="s">
        <v>160</v>
      </c>
      <c r="G138" s="154" t="s">
        <v>160</v>
      </c>
      <c r="H138" s="154" t="s">
        <v>160</v>
      </c>
      <c r="I138" s="154" t="s">
        <v>160</v>
      </c>
      <c r="J138" s="132">
        <v>0.9</v>
      </c>
      <c r="K138" s="133">
        <v>1</v>
      </c>
      <c r="L138" s="133">
        <v>0.949152542372881</v>
      </c>
      <c r="M138" s="134">
        <v>0.985507246376812</v>
      </c>
      <c r="N138" s="133">
        <v>0.98303647158609</v>
      </c>
      <c r="O138" s="135">
        <v>0.9</v>
      </c>
      <c r="P138" s="133">
        <v>0</v>
      </c>
      <c r="Q138" s="133">
        <v>0.2</v>
      </c>
      <c r="R138" s="133" t="s">
        <v>35</v>
      </c>
      <c r="S138" s="133">
        <v>0.222222222222222</v>
      </c>
      <c r="T138" s="135">
        <v>0.9</v>
      </c>
      <c r="U138" s="133">
        <v>0</v>
      </c>
      <c r="V138" s="133">
        <v>0.2</v>
      </c>
      <c r="W138" s="133" t="s">
        <v>35</v>
      </c>
      <c r="X138" s="133">
        <v>0.111111111111111</v>
      </c>
      <c r="Y138" s="135">
        <v>0.92</v>
      </c>
      <c r="Z138" s="135">
        <v>0</v>
      </c>
      <c r="AA138" s="135">
        <v>0</v>
      </c>
      <c r="AB138" s="135" t="s">
        <v>35</v>
      </c>
      <c r="AC138" s="135">
        <v>0</v>
      </c>
      <c r="AD138" s="135">
        <v>0.92</v>
      </c>
      <c r="AE138" s="133">
        <v>0.998800959232614</v>
      </c>
      <c r="AF138" s="133">
        <v>0.998420221169036</v>
      </c>
      <c r="AG138" s="133">
        <v>0.996545768566494</v>
      </c>
      <c r="AH138" s="133">
        <v>0.997493904091032</v>
      </c>
      <c r="AI138" s="135">
        <v>0.92</v>
      </c>
      <c r="AJ138" s="133">
        <v>0.972418020226785</v>
      </c>
      <c r="AK138" s="133">
        <v>0.97583081570997</v>
      </c>
      <c r="AL138" s="133">
        <v>0.977486696684404</v>
      </c>
      <c r="AM138" s="133">
        <v>0.986029300709863</v>
      </c>
      <c r="AN138" s="132">
        <v>0.99</v>
      </c>
      <c r="AO138" s="137">
        <v>1</v>
      </c>
      <c r="AP138" s="137">
        <v>1</v>
      </c>
      <c r="AQ138" s="137">
        <v>1</v>
      </c>
      <c r="AR138" s="137">
        <v>1</v>
      </c>
      <c r="AS138" s="139">
        <v>0.105261498981944</v>
      </c>
      <c r="AT138" s="141">
        <v>0</v>
      </c>
      <c r="AU138" s="141">
        <v>0</v>
      </c>
      <c r="AV138" s="141">
        <v>0</v>
      </c>
      <c r="AW138" s="141">
        <v>0.0535714285714286</v>
      </c>
      <c r="AX138" s="95"/>
      <c r="AY138" s="93"/>
    </row>
    <row r="139" ht="15" spans="1:51">
      <c r="A139" s="91"/>
      <c r="B139" s="95"/>
      <c r="C139" s="152" t="s">
        <v>99</v>
      </c>
      <c r="D139" s="153" t="s">
        <v>25</v>
      </c>
      <c r="E139" s="130" t="s">
        <v>100</v>
      </c>
      <c r="F139" s="154" t="s">
        <v>161</v>
      </c>
      <c r="G139" s="154" t="s">
        <v>161</v>
      </c>
      <c r="H139" s="154" t="s">
        <v>161</v>
      </c>
      <c r="I139" s="154" t="s">
        <v>161</v>
      </c>
      <c r="J139" s="132">
        <v>0.9</v>
      </c>
      <c r="K139" s="133">
        <v>0.948979591836735</v>
      </c>
      <c r="L139" s="133">
        <v>0.94047619047619</v>
      </c>
      <c r="M139" s="134">
        <v>0.977272727272727</v>
      </c>
      <c r="N139" s="133">
        <v>0.959252971137521</v>
      </c>
      <c r="O139" s="135">
        <v>0.9</v>
      </c>
      <c r="P139" s="133">
        <v>0.969525568509754</v>
      </c>
      <c r="Q139" s="133">
        <v>0.987707317073171</v>
      </c>
      <c r="R139" s="133">
        <v>0.945293644408689</v>
      </c>
      <c r="S139" s="133">
        <v>0.946065445203999</v>
      </c>
      <c r="T139" s="135">
        <v>0.9</v>
      </c>
      <c r="U139" s="133">
        <v>0.955442687290777</v>
      </c>
      <c r="V139" s="133">
        <v>0.961170731707317</v>
      </c>
      <c r="W139" s="133">
        <v>0.913274336283186</v>
      </c>
      <c r="X139" s="133">
        <v>0.926897497174827</v>
      </c>
      <c r="Y139" s="135">
        <v>0.92</v>
      </c>
      <c r="Z139" s="135">
        <v>0.963633573730244</v>
      </c>
      <c r="AA139" s="135">
        <v>0.968707482993197</v>
      </c>
      <c r="AB139" s="135">
        <v>0.936552498596294</v>
      </c>
      <c r="AC139" s="135">
        <v>0.965167272271645</v>
      </c>
      <c r="AD139" s="135">
        <v>0.92</v>
      </c>
      <c r="AE139" s="133">
        <v>0.996165239621799</v>
      </c>
      <c r="AF139" s="133">
        <v>0.971661333370597</v>
      </c>
      <c r="AG139" s="133">
        <v>0.940639269406393</v>
      </c>
      <c r="AH139" s="133">
        <v>0.982571635779443</v>
      </c>
      <c r="AI139" s="135">
        <v>0.92</v>
      </c>
      <c r="AJ139" s="133">
        <v>0.97649614852854</v>
      </c>
      <c r="AK139" s="133">
        <v>0.982956094900464</v>
      </c>
      <c r="AL139" s="133">
        <v>0.971735867933967</v>
      </c>
      <c r="AM139" s="133">
        <v>0.979462173166308</v>
      </c>
      <c r="AN139" s="132">
        <v>0.99</v>
      </c>
      <c r="AO139" s="137">
        <v>1</v>
      </c>
      <c r="AP139" s="137">
        <v>1</v>
      </c>
      <c r="AQ139" s="137">
        <v>1</v>
      </c>
      <c r="AR139" s="137">
        <v>1</v>
      </c>
      <c r="AS139" s="139">
        <v>0.105261498981944</v>
      </c>
      <c r="AT139" s="141">
        <v>0.1</v>
      </c>
      <c r="AU139" s="141">
        <v>0.111111111111111</v>
      </c>
      <c r="AV139" s="141">
        <v>0.0714285714285714</v>
      </c>
      <c r="AW139" s="141">
        <v>0.0779944289693593</v>
      </c>
      <c r="AX139" s="95"/>
      <c r="AY139" s="93"/>
    </row>
    <row r="140" ht="15" spans="1:51">
      <c r="A140" s="91"/>
      <c r="B140" s="95"/>
      <c r="C140" s="152" t="s">
        <v>99</v>
      </c>
      <c r="D140" s="153" t="s">
        <v>25</v>
      </c>
      <c r="E140" s="130" t="s">
        <v>100</v>
      </c>
      <c r="F140" s="154" t="s">
        <v>162</v>
      </c>
      <c r="G140" s="154" t="s">
        <v>162</v>
      </c>
      <c r="H140" s="154" t="s">
        <v>162</v>
      </c>
      <c r="I140" s="154" t="s">
        <v>162</v>
      </c>
      <c r="J140" s="132">
        <v>0.9</v>
      </c>
      <c r="K140" s="133">
        <v>0.9875</v>
      </c>
      <c r="L140" s="133">
        <v>0.973684210526316</v>
      </c>
      <c r="M140" s="134">
        <v>1</v>
      </c>
      <c r="N140" s="133">
        <v>0.978334461746784</v>
      </c>
      <c r="O140" s="135">
        <v>0.9</v>
      </c>
      <c r="P140" s="133">
        <v>0.972639637085342</v>
      </c>
      <c r="Q140" s="133">
        <v>0.98169443792537</v>
      </c>
      <c r="R140" s="133">
        <v>0.97377309755613</v>
      </c>
      <c r="S140" s="133">
        <v>0.9721094354215</v>
      </c>
      <c r="T140" s="135">
        <v>0.9</v>
      </c>
      <c r="U140" s="133">
        <v>0.941735185710235</v>
      </c>
      <c r="V140" s="133">
        <v>0.951889227880779</v>
      </c>
      <c r="W140" s="133">
        <v>0.934234055235446</v>
      </c>
      <c r="X140" s="133">
        <v>0.939288476411446</v>
      </c>
      <c r="Y140" s="135">
        <v>0.92</v>
      </c>
      <c r="Z140" s="135">
        <v>0.955798039578324</v>
      </c>
      <c r="AA140" s="135">
        <v>0.960709759188847</v>
      </c>
      <c r="AB140" s="135">
        <v>0.93471019320453</v>
      </c>
      <c r="AC140" s="135">
        <v>0.963419604646424</v>
      </c>
      <c r="AD140" s="135">
        <v>0.92</v>
      </c>
      <c r="AE140" s="133">
        <v>0.979187718616401</v>
      </c>
      <c r="AF140" s="133">
        <v>0.951792841205493</v>
      </c>
      <c r="AG140" s="133">
        <v>0.983274647887324</v>
      </c>
      <c r="AH140" s="133">
        <v>0.982482548832621</v>
      </c>
      <c r="AI140" s="135">
        <v>0.92</v>
      </c>
      <c r="AJ140" s="133">
        <v>0.974159377257042</v>
      </c>
      <c r="AK140" s="133">
        <v>0.982705479452055</v>
      </c>
      <c r="AL140" s="133">
        <v>0.972451790633609</v>
      </c>
      <c r="AM140" s="133">
        <v>0.980595815292074</v>
      </c>
      <c r="AN140" s="132">
        <v>0.99</v>
      </c>
      <c r="AO140" s="137">
        <v>1</v>
      </c>
      <c r="AP140" s="137">
        <v>1</v>
      </c>
      <c r="AQ140" s="137">
        <v>1</v>
      </c>
      <c r="AR140" s="137">
        <v>1</v>
      </c>
      <c r="AS140" s="139">
        <v>0.105261498981944</v>
      </c>
      <c r="AT140" s="141">
        <v>0.166666666666667</v>
      </c>
      <c r="AU140" s="141">
        <v>0.111111111111111</v>
      </c>
      <c r="AV140" s="141">
        <v>0.0666666666666667</v>
      </c>
      <c r="AW140" s="141">
        <v>0.0993975903614458</v>
      </c>
      <c r="AX140" s="95"/>
      <c r="AY140" s="93"/>
    </row>
    <row r="141" ht="15" spans="1:51">
      <c r="A141" s="91"/>
      <c r="B141" s="95"/>
      <c r="C141" s="152" t="s">
        <v>99</v>
      </c>
      <c r="D141" s="153" t="s">
        <v>25</v>
      </c>
      <c r="E141" s="130" t="s">
        <v>100</v>
      </c>
      <c r="F141" s="154" t="s">
        <v>163</v>
      </c>
      <c r="G141" s="154" t="s">
        <v>163</v>
      </c>
      <c r="H141" s="154" t="s">
        <v>163</v>
      </c>
      <c r="I141" s="154" t="s">
        <v>163</v>
      </c>
      <c r="J141" s="132">
        <v>0.9</v>
      </c>
      <c r="K141" s="133">
        <v>0.964601769911504</v>
      </c>
      <c r="L141" s="133">
        <v>0.958762886597938</v>
      </c>
      <c r="M141" s="134">
        <v>0.931818181818182</v>
      </c>
      <c r="N141" s="133">
        <v>0.962234868080704</v>
      </c>
      <c r="O141" s="135">
        <v>0.9</v>
      </c>
      <c r="P141" s="133">
        <v>0.969118136439268</v>
      </c>
      <c r="Q141" s="133">
        <v>0.918058513619549</v>
      </c>
      <c r="R141" s="133">
        <v>0.892010703363914</v>
      </c>
      <c r="S141" s="133">
        <v>0.916919801277502</v>
      </c>
      <c r="T141" s="135">
        <v>0.9</v>
      </c>
      <c r="U141" s="133">
        <v>0.935174708818636</v>
      </c>
      <c r="V141" s="133">
        <v>0.944512946979038</v>
      </c>
      <c r="W141" s="133">
        <v>0.895642201834862</v>
      </c>
      <c r="X141" s="133">
        <v>0.90467944168441</v>
      </c>
      <c r="Y141" s="135">
        <v>0.92</v>
      </c>
      <c r="Z141" s="135">
        <v>0.880966767371601</v>
      </c>
      <c r="AA141" s="135">
        <v>0.93542953396968</v>
      </c>
      <c r="AB141" s="135">
        <v>0.868985695708713</v>
      </c>
      <c r="AC141" s="135">
        <v>0.903536006492587</v>
      </c>
      <c r="AD141" s="135">
        <v>0.92</v>
      </c>
      <c r="AE141" s="133">
        <v>0.990537084398977</v>
      </c>
      <c r="AF141" s="133">
        <v>0.989053563741467</v>
      </c>
      <c r="AG141" s="133">
        <v>0.96524884765739</v>
      </c>
      <c r="AH141" s="133">
        <v>0.987823883325823</v>
      </c>
      <c r="AI141" s="135">
        <v>0.92</v>
      </c>
      <c r="AJ141" s="133">
        <v>0.937293587819001</v>
      </c>
      <c r="AK141" s="133">
        <v>0.96344</v>
      </c>
      <c r="AL141" s="133">
        <v>0.930596574128766</v>
      </c>
      <c r="AM141" s="133">
        <v>0.944295160360508</v>
      </c>
      <c r="AN141" s="132">
        <v>0.99</v>
      </c>
      <c r="AO141" s="137">
        <v>1</v>
      </c>
      <c r="AP141" s="137">
        <v>1</v>
      </c>
      <c r="AQ141" s="137">
        <v>1</v>
      </c>
      <c r="AR141" s="137">
        <v>1</v>
      </c>
      <c r="AS141" s="139">
        <v>0.105261498981944</v>
      </c>
      <c r="AT141" s="141">
        <v>0.444444444444444</v>
      </c>
      <c r="AU141" s="141">
        <v>0.05</v>
      </c>
      <c r="AV141" s="141">
        <v>0.166666666666667</v>
      </c>
      <c r="AW141" s="141">
        <v>0.121359223300971</v>
      </c>
      <c r="AX141" s="95"/>
      <c r="AY141" s="93"/>
    </row>
    <row r="142" ht="15" spans="1:51">
      <c r="A142" s="91"/>
      <c r="B142" s="95"/>
      <c r="C142" s="152" t="s">
        <v>99</v>
      </c>
      <c r="D142" s="153" t="s">
        <v>81</v>
      </c>
      <c r="E142" s="130" t="s">
        <v>100</v>
      </c>
      <c r="F142" s="154" t="s">
        <v>164</v>
      </c>
      <c r="G142" s="154" t="s">
        <v>164</v>
      </c>
      <c r="H142" s="154" t="s">
        <v>164</v>
      </c>
      <c r="I142" s="154" t="s">
        <v>164</v>
      </c>
      <c r="J142" s="132">
        <v>0.9</v>
      </c>
      <c r="K142" s="133">
        <v>1</v>
      </c>
      <c r="L142" s="133">
        <v>0.989010989010989</v>
      </c>
      <c r="M142" s="134">
        <v>0.988888888888889</v>
      </c>
      <c r="N142" s="133">
        <v>0.920374707259953</v>
      </c>
      <c r="O142" s="135">
        <v>0.9</v>
      </c>
      <c r="P142" s="133">
        <v>0.951996105160662</v>
      </c>
      <c r="Q142" s="133">
        <v>0.958894990847063</v>
      </c>
      <c r="R142" s="133">
        <v>0.913428035379255</v>
      </c>
      <c r="S142" s="133">
        <v>0.948618317295605</v>
      </c>
      <c r="T142" s="135">
        <v>0.9</v>
      </c>
      <c r="U142" s="133">
        <v>0.941869522882181</v>
      </c>
      <c r="V142" s="133">
        <v>0.954568147778333</v>
      </c>
      <c r="W142" s="133">
        <v>0.899222728491021</v>
      </c>
      <c r="X142" s="133">
        <v>0.934384356928984</v>
      </c>
      <c r="Y142" s="135">
        <v>0.92</v>
      </c>
      <c r="Z142" s="135">
        <v>0.948394180620368</v>
      </c>
      <c r="AA142" s="135">
        <v>0.950202429149798</v>
      </c>
      <c r="AB142" s="135">
        <v>0.371415968239965</v>
      </c>
      <c r="AC142" s="135">
        <v>0.934447625463119</v>
      </c>
      <c r="AD142" s="135">
        <v>0.92</v>
      </c>
      <c r="AE142" s="133">
        <v>0.96487145665862</v>
      </c>
      <c r="AF142" s="133">
        <v>0.962453659798258</v>
      </c>
      <c r="AG142" s="133">
        <v>0.989544995603036</v>
      </c>
      <c r="AH142" s="133">
        <v>0.961421288217797</v>
      </c>
      <c r="AI142" s="135">
        <v>0.92</v>
      </c>
      <c r="AJ142" s="133">
        <v>0.968561339560314</v>
      </c>
      <c r="AK142" s="133">
        <v>0.977245932563075</v>
      </c>
      <c r="AL142" s="133">
        <v>0.807316822525948</v>
      </c>
      <c r="AM142" s="133">
        <v>0.967572470474992</v>
      </c>
      <c r="AN142" s="132">
        <v>0.99</v>
      </c>
      <c r="AO142" s="137">
        <v>1</v>
      </c>
      <c r="AP142" s="137">
        <v>1</v>
      </c>
      <c r="AQ142" s="137">
        <v>1</v>
      </c>
      <c r="AR142" s="137">
        <v>1</v>
      </c>
      <c r="AS142" s="139">
        <v>0.105261498981944</v>
      </c>
      <c r="AT142" s="141">
        <v>0.333333333333333</v>
      </c>
      <c r="AU142" s="141">
        <v>0.1875</v>
      </c>
      <c r="AV142" s="141">
        <v>0</v>
      </c>
      <c r="AW142" s="141">
        <v>0.123809523809524</v>
      </c>
      <c r="AX142" s="95"/>
      <c r="AY142" s="93"/>
    </row>
    <row r="143" ht="15" spans="1:51">
      <c r="A143" s="91"/>
      <c r="B143" s="95"/>
      <c r="C143" s="152" t="s">
        <v>99</v>
      </c>
      <c r="D143" s="153" t="s">
        <v>25</v>
      </c>
      <c r="E143" s="130" t="s">
        <v>100</v>
      </c>
      <c r="F143" s="154" t="s">
        <v>165</v>
      </c>
      <c r="G143" s="154" t="s">
        <v>165</v>
      </c>
      <c r="H143" s="154" t="s">
        <v>165</v>
      </c>
      <c r="I143" s="154" t="s">
        <v>165</v>
      </c>
      <c r="J143" s="132">
        <v>0.9</v>
      </c>
      <c r="K143" s="133">
        <v>1</v>
      </c>
      <c r="L143" s="133">
        <v>1</v>
      </c>
      <c r="M143" s="134">
        <v>1</v>
      </c>
      <c r="N143" s="133">
        <v>0.998380129589633</v>
      </c>
      <c r="O143" s="135">
        <v>0.9</v>
      </c>
      <c r="P143" s="133">
        <v>0.977704817897228</v>
      </c>
      <c r="Q143" s="133">
        <v>0.988177211900741</v>
      </c>
      <c r="R143" s="133">
        <v>0.977456647398844</v>
      </c>
      <c r="S143" s="133">
        <v>0.974001423566496</v>
      </c>
      <c r="T143" s="135">
        <v>0.9</v>
      </c>
      <c r="U143" s="133">
        <v>0.976864930900206</v>
      </c>
      <c r="V143" s="133">
        <v>0.981811095231909</v>
      </c>
      <c r="W143" s="133">
        <v>0.964393063583815</v>
      </c>
      <c r="X143" s="133">
        <v>0.967724789469306</v>
      </c>
      <c r="Y143" s="135">
        <v>0.92</v>
      </c>
      <c r="Z143" s="135">
        <v>0.952201257861635</v>
      </c>
      <c r="AA143" s="135">
        <v>0.979531198415319</v>
      </c>
      <c r="AB143" s="135">
        <v>0.936367142306209</v>
      </c>
      <c r="AC143" s="135">
        <v>0.950149963801841</v>
      </c>
      <c r="AD143" s="135">
        <v>0.92</v>
      </c>
      <c r="AE143" s="133">
        <v>0.996275676713381</v>
      </c>
      <c r="AF143" s="133">
        <v>0.974519267023603</v>
      </c>
      <c r="AG143" s="133">
        <v>0.98841439525382</v>
      </c>
      <c r="AH143" s="133">
        <v>0.978676906973522</v>
      </c>
      <c r="AI143" s="135">
        <v>0.92</v>
      </c>
      <c r="AJ143" s="133">
        <v>0.974529838590256</v>
      </c>
      <c r="AK143" s="133">
        <v>0.989193217812558</v>
      </c>
      <c r="AL143" s="133">
        <v>0.976622222222222</v>
      </c>
      <c r="AM143" s="133">
        <v>0.977927877706754</v>
      </c>
      <c r="AN143" s="132">
        <v>0.99</v>
      </c>
      <c r="AO143" s="137">
        <v>1</v>
      </c>
      <c r="AP143" s="137">
        <v>1</v>
      </c>
      <c r="AQ143" s="137">
        <v>1</v>
      </c>
      <c r="AR143" s="137">
        <v>1</v>
      </c>
      <c r="AS143" s="139">
        <v>0.105261498981944</v>
      </c>
      <c r="AT143" s="141">
        <v>0.117647058823529</v>
      </c>
      <c r="AU143" s="141">
        <v>0.0384615384615385</v>
      </c>
      <c r="AV143" s="141">
        <v>0</v>
      </c>
      <c r="AW143" s="141">
        <v>0.050251256281407</v>
      </c>
      <c r="AX143" s="95"/>
      <c r="AY143" s="93"/>
    </row>
    <row r="144" ht="15" spans="1:51">
      <c r="A144" s="91"/>
      <c r="B144" s="95"/>
      <c r="C144" s="152" t="s">
        <v>99</v>
      </c>
      <c r="D144" s="153" t="s">
        <v>25</v>
      </c>
      <c r="E144" s="130" t="s">
        <v>100</v>
      </c>
      <c r="F144" s="154" t="s">
        <v>166</v>
      </c>
      <c r="G144" s="154" t="s">
        <v>166</v>
      </c>
      <c r="H144" s="154" t="s">
        <v>166</v>
      </c>
      <c r="I144" s="154" t="s">
        <v>166</v>
      </c>
      <c r="J144" s="132">
        <v>0.9</v>
      </c>
      <c r="K144" s="133">
        <v>1</v>
      </c>
      <c r="L144" s="133">
        <v>1</v>
      </c>
      <c r="M144" s="134">
        <v>1</v>
      </c>
      <c r="N144" s="133">
        <v>0.99890350877193</v>
      </c>
      <c r="O144" s="135">
        <v>0.9</v>
      </c>
      <c r="P144" s="133">
        <v>0.967674062739097</v>
      </c>
      <c r="Q144" s="133">
        <v>0.93488219895288</v>
      </c>
      <c r="R144" s="133">
        <v>0.984388068023418</v>
      </c>
      <c r="S144" s="133">
        <v>0.969471379418205</v>
      </c>
      <c r="T144" s="135">
        <v>0.9</v>
      </c>
      <c r="U144" s="133">
        <v>0.969395562356542</v>
      </c>
      <c r="V144" s="133">
        <v>0.970549738219895</v>
      </c>
      <c r="W144" s="133">
        <v>0.925564538611653</v>
      </c>
      <c r="X144" s="133">
        <v>0.962402252111354</v>
      </c>
      <c r="Y144" s="135">
        <v>0.92</v>
      </c>
      <c r="Z144" s="135">
        <v>0.964359964359964</v>
      </c>
      <c r="AA144" s="135">
        <v>0.955838323353293</v>
      </c>
      <c r="AB144" s="135">
        <v>0.955634427684117</v>
      </c>
      <c r="AC144" s="135">
        <v>0.963802174675552</v>
      </c>
      <c r="AD144" s="135">
        <v>0.92</v>
      </c>
      <c r="AE144" s="133">
        <v>0.991315315315315</v>
      </c>
      <c r="AF144" s="133">
        <v>0.973221307859047</v>
      </c>
      <c r="AG144" s="133">
        <v>0.987969300974901</v>
      </c>
      <c r="AH144" s="133">
        <v>0.979628590025618</v>
      </c>
      <c r="AI144" s="135">
        <v>0.92</v>
      </c>
      <c r="AJ144" s="133">
        <v>0.979542020225503</v>
      </c>
      <c r="AK144" s="133">
        <v>0.980209281164695</v>
      </c>
      <c r="AL144" s="133">
        <v>0.971810089020771</v>
      </c>
      <c r="AM144" s="133">
        <v>0.982354378818737</v>
      </c>
      <c r="AN144" s="132">
        <v>0.99</v>
      </c>
      <c r="AO144" s="137">
        <v>1</v>
      </c>
      <c r="AP144" s="137">
        <v>1</v>
      </c>
      <c r="AQ144" s="137">
        <v>1</v>
      </c>
      <c r="AR144" s="137">
        <v>1</v>
      </c>
      <c r="AS144" s="139">
        <v>0.105261498981944</v>
      </c>
      <c r="AT144" s="141">
        <v>0.111111111111111</v>
      </c>
      <c r="AU144" s="141">
        <v>0</v>
      </c>
      <c r="AV144" s="141">
        <v>0</v>
      </c>
      <c r="AW144" s="141">
        <v>0.114864864864865</v>
      </c>
      <c r="AX144" s="95"/>
      <c r="AY144" s="93"/>
    </row>
    <row r="145" ht="15" spans="1:51">
      <c r="A145" s="91"/>
      <c r="B145" s="95"/>
      <c r="C145" s="152" t="s">
        <v>99</v>
      </c>
      <c r="D145" s="153" t="s">
        <v>25</v>
      </c>
      <c r="E145" s="130" t="s">
        <v>100</v>
      </c>
      <c r="F145" s="154" t="s">
        <v>167</v>
      </c>
      <c r="G145" s="154" t="s">
        <v>167</v>
      </c>
      <c r="H145" s="154" t="s">
        <v>167</v>
      </c>
      <c r="I145" s="154" t="s">
        <v>167</v>
      </c>
      <c r="J145" s="132">
        <v>0.9</v>
      </c>
      <c r="K145" s="133">
        <v>0.974358974358974</v>
      </c>
      <c r="L145" s="133">
        <v>0.915966386554622</v>
      </c>
      <c r="M145" s="134">
        <v>0.898148148148148</v>
      </c>
      <c r="N145" s="133">
        <v>0.925492033739456</v>
      </c>
      <c r="O145" s="135">
        <v>0.9</v>
      </c>
      <c r="P145" s="133">
        <v>0.793748926670101</v>
      </c>
      <c r="Q145" s="133">
        <v>0.898215962441315</v>
      </c>
      <c r="R145" s="133">
        <v>0.9611171502634</v>
      </c>
      <c r="S145" s="133">
        <v>0.887868326707295</v>
      </c>
      <c r="T145" s="135">
        <v>0.9</v>
      </c>
      <c r="U145" s="133">
        <v>0.927070811151182</v>
      </c>
      <c r="V145" s="133">
        <v>0.955492957746479</v>
      </c>
      <c r="W145" s="133">
        <v>0.906764779663851</v>
      </c>
      <c r="X145" s="133">
        <v>0.889766821620409</v>
      </c>
      <c r="Y145" s="135">
        <v>0.92</v>
      </c>
      <c r="Z145" s="135">
        <v>0.918483096085409</v>
      </c>
      <c r="AA145" s="135">
        <v>0.980957562568009</v>
      </c>
      <c r="AB145" s="135">
        <v>0.502037252619325</v>
      </c>
      <c r="AC145" s="135">
        <v>0.927556728040831</v>
      </c>
      <c r="AD145" s="135">
        <v>0.92</v>
      </c>
      <c r="AE145" s="133">
        <v>0.905193989642964</v>
      </c>
      <c r="AF145" s="133">
        <v>0.928542120935031</v>
      </c>
      <c r="AG145" s="133">
        <v>0.850115295926211</v>
      </c>
      <c r="AH145" s="133">
        <v>0.977040091661767</v>
      </c>
      <c r="AI145" s="135">
        <v>0.92</v>
      </c>
      <c r="AJ145" s="133">
        <v>0.948685006045949</v>
      </c>
      <c r="AK145" s="133">
        <v>0.990720066982975</v>
      </c>
      <c r="AL145" s="133">
        <v>0.843995583555238</v>
      </c>
      <c r="AM145" s="133">
        <v>0.958391960944042</v>
      </c>
      <c r="AN145" s="132">
        <v>0.99</v>
      </c>
      <c r="AO145" s="137">
        <v>1</v>
      </c>
      <c r="AP145" s="137">
        <v>1</v>
      </c>
      <c r="AQ145" s="137">
        <v>1</v>
      </c>
      <c r="AR145" s="137">
        <v>1</v>
      </c>
      <c r="AS145" s="139">
        <v>0.105261498981944</v>
      </c>
      <c r="AT145" s="141">
        <v>0.0384615384615385</v>
      </c>
      <c r="AU145" s="141">
        <v>0.136363636363636</v>
      </c>
      <c r="AV145" s="141">
        <v>0.0714285714285714</v>
      </c>
      <c r="AW145" s="141">
        <v>0.0750507099391481</v>
      </c>
      <c r="AX145" s="95"/>
      <c r="AY145" s="93"/>
    </row>
    <row r="146" ht="15" spans="1:51">
      <c r="A146" s="91"/>
      <c r="B146" s="95"/>
      <c r="C146" s="152" t="s">
        <v>99</v>
      </c>
      <c r="D146" s="153" t="s">
        <v>25</v>
      </c>
      <c r="E146" s="130" t="s">
        <v>100</v>
      </c>
      <c r="F146" s="154" t="s">
        <v>168</v>
      </c>
      <c r="G146" s="154" t="s">
        <v>168</v>
      </c>
      <c r="H146" s="154" t="s">
        <v>168</v>
      </c>
      <c r="I146" s="154" t="s">
        <v>168</v>
      </c>
      <c r="J146" s="132">
        <v>0.9</v>
      </c>
      <c r="K146" s="133">
        <v>0.913793103448276</v>
      </c>
      <c r="L146" s="133">
        <v>0.933333333333333</v>
      </c>
      <c r="M146" s="134">
        <v>0.900990099009901</v>
      </c>
      <c r="N146" s="133">
        <v>0.929307805596465</v>
      </c>
      <c r="O146" s="135">
        <v>0.9</v>
      </c>
      <c r="P146" s="133">
        <v>0.930293070391674</v>
      </c>
      <c r="Q146" s="133">
        <v>0.979527938342967</v>
      </c>
      <c r="R146" s="133">
        <v>0.97632920611799</v>
      </c>
      <c r="S146" s="133">
        <v>0.973739345062136</v>
      </c>
      <c r="T146" s="135">
        <v>0.9</v>
      </c>
      <c r="U146" s="133">
        <v>0.930156121610518</v>
      </c>
      <c r="V146" s="133">
        <v>0.940269749518304</v>
      </c>
      <c r="W146" s="133">
        <v>0.919337217771304</v>
      </c>
      <c r="X146" s="133">
        <v>0.939076715552622</v>
      </c>
      <c r="Y146" s="135">
        <v>0.92</v>
      </c>
      <c r="Z146" s="135">
        <v>0.938538205980066</v>
      </c>
      <c r="AA146" s="135">
        <v>0.925</v>
      </c>
      <c r="AB146" s="135">
        <v>0.121656050955414</v>
      </c>
      <c r="AC146" s="135">
        <v>0.933076742780307</v>
      </c>
      <c r="AD146" s="135">
        <v>0.92</v>
      </c>
      <c r="AE146" s="133">
        <v>0.89306802804773</v>
      </c>
      <c r="AF146" s="133">
        <v>0.959756864389017</v>
      </c>
      <c r="AG146" s="133">
        <v>0.972089857045609</v>
      </c>
      <c r="AH146" s="133">
        <v>0.96976121253069</v>
      </c>
      <c r="AI146" s="135">
        <v>0.92</v>
      </c>
      <c r="AJ146" s="133">
        <v>0.957517075733694</v>
      </c>
      <c r="AK146" s="133">
        <v>0.965287049399199</v>
      </c>
      <c r="AL146" s="133">
        <v>0.751910557599774</v>
      </c>
      <c r="AM146" s="133">
        <v>0.965945171181305</v>
      </c>
      <c r="AN146" s="132">
        <v>0.99</v>
      </c>
      <c r="AO146" s="137">
        <v>1</v>
      </c>
      <c r="AP146" s="137">
        <v>1</v>
      </c>
      <c r="AQ146" s="137">
        <v>1</v>
      </c>
      <c r="AR146" s="137">
        <v>1</v>
      </c>
      <c r="AS146" s="139">
        <v>0.105261498981944</v>
      </c>
      <c r="AT146" s="141">
        <v>0.176470588235294</v>
      </c>
      <c r="AU146" s="141">
        <v>0</v>
      </c>
      <c r="AV146" s="141">
        <v>0</v>
      </c>
      <c r="AW146" s="141">
        <v>0.136518771331058</v>
      </c>
      <c r="AX146" s="95"/>
      <c r="AY146" s="93"/>
    </row>
    <row r="147" ht="15" spans="1:51">
      <c r="A147" s="91"/>
      <c r="B147" s="95"/>
      <c r="C147" s="152" t="s">
        <v>99</v>
      </c>
      <c r="D147" s="153" t="s">
        <v>25</v>
      </c>
      <c r="E147" s="130" t="s">
        <v>100</v>
      </c>
      <c r="F147" s="154" t="s">
        <v>169</v>
      </c>
      <c r="G147" s="154" t="s">
        <v>169</v>
      </c>
      <c r="H147" s="154" t="s">
        <v>169</v>
      </c>
      <c r="I147" s="154" t="s">
        <v>169</v>
      </c>
      <c r="J147" s="132">
        <v>0.9</v>
      </c>
      <c r="K147" s="133">
        <v>0.955056179775281</v>
      </c>
      <c r="L147" s="133">
        <v>0.96551724137931</v>
      </c>
      <c r="M147" s="134">
        <v>0.976470588235294</v>
      </c>
      <c r="N147" s="133">
        <v>0.958692971639951</v>
      </c>
      <c r="O147" s="135">
        <v>0.9</v>
      </c>
      <c r="P147" s="133">
        <v>0.989239598278336</v>
      </c>
      <c r="Q147" s="133">
        <v>0.984824533670566</v>
      </c>
      <c r="R147" s="133">
        <v>0.989299610894942</v>
      </c>
      <c r="S147" s="133">
        <v>0.978545457997513</v>
      </c>
      <c r="T147" s="135">
        <v>0.9</v>
      </c>
      <c r="U147" s="133">
        <v>0.945659971305595</v>
      </c>
      <c r="V147" s="133">
        <v>0.953525134366108</v>
      </c>
      <c r="W147" s="133">
        <v>0.886429961089494</v>
      </c>
      <c r="X147" s="133">
        <v>0.94677185088144</v>
      </c>
      <c r="Y147" s="135">
        <v>0.92</v>
      </c>
      <c r="Z147" s="135">
        <v>0.935141509433962</v>
      </c>
      <c r="AA147" s="135">
        <v>0.937953795379538</v>
      </c>
      <c r="AB147" s="135">
        <v>0.0852830188679245</v>
      </c>
      <c r="AC147" s="135">
        <v>0.930257217679096</v>
      </c>
      <c r="AD147" s="135">
        <v>0.92</v>
      </c>
      <c r="AE147" s="133">
        <v>0.900220642314293</v>
      </c>
      <c r="AF147" s="133">
        <v>0.543519394512772</v>
      </c>
      <c r="AG147" s="133">
        <v>0.979919678714859</v>
      </c>
      <c r="AH147" s="133">
        <v>0.929542170556763</v>
      </c>
      <c r="AI147" s="135">
        <v>0.92</v>
      </c>
      <c r="AJ147" s="133">
        <v>0.958458364591148</v>
      </c>
      <c r="AK147" s="133">
        <v>0.972430006411626</v>
      </c>
      <c r="AL147" s="133">
        <v>0.719146588192018</v>
      </c>
      <c r="AM147" s="133">
        <v>0.966487879673768</v>
      </c>
      <c r="AN147" s="132">
        <v>0.99</v>
      </c>
      <c r="AO147" s="137">
        <v>1</v>
      </c>
      <c r="AP147" s="137">
        <v>1</v>
      </c>
      <c r="AQ147" s="137">
        <v>1</v>
      </c>
      <c r="AR147" s="137">
        <v>1</v>
      </c>
      <c r="AS147" s="139">
        <v>0.105261498981944</v>
      </c>
      <c r="AT147" s="141">
        <v>0</v>
      </c>
      <c r="AU147" s="141">
        <v>0.263157894736842</v>
      </c>
      <c r="AV147" s="141">
        <v>0.2</v>
      </c>
      <c r="AW147" s="141">
        <v>0.135135135135135</v>
      </c>
      <c r="AX147" s="95"/>
      <c r="AY147" s="93"/>
    </row>
    <row r="148" ht="15" spans="1:51">
      <c r="A148" s="91"/>
      <c r="B148" s="95"/>
      <c r="C148" s="152" t="s">
        <v>99</v>
      </c>
      <c r="D148" s="153" t="s">
        <v>25</v>
      </c>
      <c r="E148" s="130" t="s">
        <v>100</v>
      </c>
      <c r="F148" s="154" t="s">
        <v>170</v>
      </c>
      <c r="G148" s="154" t="s">
        <v>170</v>
      </c>
      <c r="H148" s="154" t="s">
        <v>170</v>
      </c>
      <c r="I148" s="154" t="s">
        <v>170</v>
      </c>
      <c r="J148" s="132">
        <v>0.9</v>
      </c>
      <c r="K148" s="133">
        <v>1</v>
      </c>
      <c r="L148" s="133">
        <v>1</v>
      </c>
      <c r="M148" s="134">
        <v>1</v>
      </c>
      <c r="N148" s="133">
        <v>0.996372430471584</v>
      </c>
      <c r="O148" s="135">
        <v>0.9</v>
      </c>
      <c r="P148" s="133">
        <v>0.940786115364982</v>
      </c>
      <c r="Q148" s="133">
        <v>0.941994247363375</v>
      </c>
      <c r="R148" s="133">
        <v>0.963814677037538</v>
      </c>
      <c r="S148" s="133">
        <v>0.94841650671785</v>
      </c>
      <c r="T148" s="135">
        <v>0.9</v>
      </c>
      <c r="U148" s="133">
        <v>0.942827973455845</v>
      </c>
      <c r="V148" s="133">
        <v>0.931447746883988</v>
      </c>
      <c r="W148" s="133">
        <v>0.910720324653365</v>
      </c>
      <c r="X148" s="133">
        <v>0.923325588443277</v>
      </c>
      <c r="Y148" s="135">
        <v>0.92</v>
      </c>
      <c r="Z148" s="135">
        <v>0.942938659058488</v>
      </c>
      <c r="AA148" s="135">
        <v>0.940603700097371</v>
      </c>
      <c r="AB148" s="135">
        <v>0.140112994350282</v>
      </c>
      <c r="AC148" s="135">
        <v>0.937204984228541</v>
      </c>
      <c r="AD148" s="135">
        <v>0.92</v>
      </c>
      <c r="AE148" s="133">
        <v>0.945416461310991</v>
      </c>
      <c r="AF148" s="133">
        <v>0.884744018523283</v>
      </c>
      <c r="AG148" s="133">
        <v>0.980939414567733</v>
      </c>
      <c r="AH148" s="133">
        <v>0.957604461080131</v>
      </c>
      <c r="AI148" s="135">
        <v>0.92</v>
      </c>
      <c r="AJ148" s="133">
        <v>0.963756399892212</v>
      </c>
      <c r="AK148" s="133">
        <v>0.965306778027626</v>
      </c>
      <c r="AL148" s="133">
        <v>0.759562841530055</v>
      </c>
      <c r="AM148" s="133">
        <v>0.969055939822923</v>
      </c>
      <c r="AN148" s="132">
        <v>0.99</v>
      </c>
      <c r="AO148" s="137">
        <v>1</v>
      </c>
      <c r="AP148" s="137">
        <v>1</v>
      </c>
      <c r="AQ148" s="137">
        <v>1</v>
      </c>
      <c r="AR148" s="137">
        <v>1</v>
      </c>
      <c r="AS148" s="139">
        <v>0.105261498981944</v>
      </c>
      <c r="AT148" s="141">
        <v>0</v>
      </c>
      <c r="AU148" s="141">
        <v>0.0666666666666667</v>
      </c>
      <c r="AV148" s="141">
        <v>0</v>
      </c>
      <c r="AW148" s="141">
        <v>0.0881057268722467</v>
      </c>
      <c r="AX148" s="95"/>
      <c r="AY148" s="93"/>
    </row>
    <row r="149" ht="15" spans="1:51">
      <c r="A149" s="91"/>
      <c r="B149" s="95"/>
      <c r="C149" s="152" t="s">
        <v>99</v>
      </c>
      <c r="D149" s="153" t="s">
        <v>25</v>
      </c>
      <c r="E149" s="130" t="s">
        <v>100</v>
      </c>
      <c r="F149" s="154" t="s">
        <v>171</v>
      </c>
      <c r="G149" s="154" t="s">
        <v>171</v>
      </c>
      <c r="H149" s="154" t="s">
        <v>171</v>
      </c>
      <c r="I149" s="154" t="s">
        <v>171</v>
      </c>
      <c r="J149" s="132">
        <v>0.9</v>
      </c>
      <c r="K149" s="133">
        <v>0.961538461538462</v>
      </c>
      <c r="L149" s="133">
        <v>0.971428571428571</v>
      </c>
      <c r="M149" s="134">
        <v>0.968253968253968</v>
      </c>
      <c r="N149" s="133">
        <v>0.972037283621837</v>
      </c>
      <c r="O149" s="135">
        <v>0.9</v>
      </c>
      <c r="P149" s="133">
        <v>0.948740778427881</v>
      </c>
      <c r="Q149" s="133">
        <v>0.960274296524001</v>
      </c>
      <c r="R149" s="133">
        <v>0.91219512195122</v>
      </c>
      <c r="S149" s="133">
        <v>0.923865387780754</v>
      </c>
      <c r="T149" s="135">
        <v>0.9</v>
      </c>
      <c r="U149" s="133">
        <v>0.89544645128466</v>
      </c>
      <c r="V149" s="133">
        <v>0.926223693544573</v>
      </c>
      <c r="W149" s="133">
        <v>0.867208672086721</v>
      </c>
      <c r="X149" s="133">
        <v>0.890130033368747</v>
      </c>
      <c r="Y149" s="135">
        <v>0.92</v>
      </c>
      <c r="Z149" s="135">
        <v>0.883330323279754</v>
      </c>
      <c r="AA149" s="135">
        <v>0.929138022210471</v>
      </c>
      <c r="AB149" s="135">
        <v>0.887169568020632</v>
      </c>
      <c r="AC149" s="135">
        <v>0.910358760013932</v>
      </c>
      <c r="AD149" s="135">
        <v>0.92</v>
      </c>
      <c r="AE149" s="133">
        <v>0.990412289220447</v>
      </c>
      <c r="AF149" s="133">
        <v>0.951118884254899</v>
      </c>
      <c r="AG149" s="133">
        <v>0.991488249135752</v>
      </c>
      <c r="AH149" s="133">
        <v>0.985934749128908</v>
      </c>
      <c r="AI149" s="135">
        <v>0.92</v>
      </c>
      <c r="AJ149" s="133">
        <v>0.928358208955224</v>
      </c>
      <c r="AK149" s="133">
        <v>0.960998694516971</v>
      </c>
      <c r="AL149" s="133">
        <v>0.92847065462754</v>
      </c>
      <c r="AM149" s="133">
        <v>0.948972887740353</v>
      </c>
      <c r="AN149" s="132">
        <v>0.99</v>
      </c>
      <c r="AO149" s="137">
        <v>1</v>
      </c>
      <c r="AP149" s="137">
        <v>1</v>
      </c>
      <c r="AQ149" s="137">
        <v>1</v>
      </c>
      <c r="AR149" s="137">
        <v>1</v>
      </c>
      <c r="AS149" s="139">
        <v>0.105261498981944</v>
      </c>
      <c r="AT149" s="141">
        <v>0.16</v>
      </c>
      <c r="AU149" s="141">
        <v>0.0625</v>
      </c>
      <c r="AV149" s="141">
        <v>0.117647058823529</v>
      </c>
      <c r="AW149" s="141">
        <v>0.0956521739130435</v>
      </c>
      <c r="AX149" s="95"/>
      <c r="AY149" s="93"/>
    </row>
    <row r="150" ht="15" spans="1:51">
      <c r="A150" s="91"/>
      <c r="B150" s="95"/>
      <c r="C150" s="152" t="s">
        <v>99</v>
      </c>
      <c r="D150" s="153" t="s">
        <v>25</v>
      </c>
      <c r="E150" s="130" t="s">
        <v>100</v>
      </c>
      <c r="F150" s="154" t="s">
        <v>172</v>
      </c>
      <c r="G150" s="154" t="s">
        <v>172</v>
      </c>
      <c r="H150" s="154" t="s">
        <v>172</v>
      </c>
      <c r="I150" s="154" t="s">
        <v>172</v>
      </c>
      <c r="J150" s="132">
        <v>0.9</v>
      </c>
      <c r="K150" s="133">
        <v>0.958333333333333</v>
      </c>
      <c r="L150" s="133">
        <v>0.909090909090909</v>
      </c>
      <c r="M150" s="134">
        <v>0.888888888888889</v>
      </c>
      <c r="N150" s="133">
        <v>0.780548628428928</v>
      </c>
      <c r="O150" s="135">
        <v>0.9</v>
      </c>
      <c r="P150" s="133">
        <v>0.901070292160833</v>
      </c>
      <c r="Q150" s="133">
        <v>0.933173076923077</v>
      </c>
      <c r="R150" s="133">
        <v>0.931919092254563</v>
      </c>
      <c r="S150" s="133">
        <v>0.836725016793772</v>
      </c>
      <c r="T150" s="135">
        <v>0.9</v>
      </c>
      <c r="U150" s="133">
        <v>0.82586057275094</v>
      </c>
      <c r="V150" s="133">
        <v>0.9</v>
      </c>
      <c r="W150" s="133">
        <v>0.811544153922052</v>
      </c>
      <c r="X150" s="133">
        <v>0.783577666258347</v>
      </c>
      <c r="Y150" s="135">
        <v>0.92</v>
      </c>
      <c r="Z150" s="135">
        <v>0.913959613696225</v>
      </c>
      <c r="AA150" s="135">
        <v>0.914402173913043</v>
      </c>
      <c r="AB150" s="135">
        <v>0.914507772020725</v>
      </c>
      <c r="AC150" s="135">
        <v>0.937084999449723</v>
      </c>
      <c r="AD150" s="135">
        <v>0.92</v>
      </c>
      <c r="AE150" s="133">
        <v>0.993668804472948</v>
      </c>
      <c r="AF150" s="133">
        <v>0.967526929273147</v>
      </c>
      <c r="AG150" s="133">
        <v>0.969125930046589</v>
      </c>
      <c r="AH150" s="133">
        <v>0.980036409333018</v>
      </c>
      <c r="AI150" s="135">
        <v>0.92</v>
      </c>
      <c r="AJ150" s="133">
        <v>0.941422594142259</v>
      </c>
      <c r="AK150" s="133">
        <v>0.945686900958466</v>
      </c>
      <c r="AL150" s="133">
        <v>0.9375</v>
      </c>
      <c r="AM150" s="133">
        <v>0.951852089619311</v>
      </c>
      <c r="AN150" s="132">
        <v>0.99</v>
      </c>
      <c r="AO150" s="137">
        <v>1</v>
      </c>
      <c r="AP150" s="137">
        <v>1</v>
      </c>
      <c r="AQ150" s="137">
        <v>1</v>
      </c>
      <c r="AR150" s="137">
        <v>1</v>
      </c>
      <c r="AS150" s="139">
        <v>0.105261498981944</v>
      </c>
      <c r="AT150" s="141">
        <v>0.307692307692308</v>
      </c>
      <c r="AU150" s="141">
        <v>0</v>
      </c>
      <c r="AV150" s="141">
        <v>0.1</v>
      </c>
      <c r="AW150" s="141">
        <v>0.0871369294605809</v>
      </c>
      <c r="AX150" s="95"/>
      <c r="AY150" s="93"/>
    </row>
    <row r="151" ht="15" spans="1:51">
      <c r="A151" s="91"/>
      <c r="B151" s="95"/>
      <c r="C151" s="152" t="s">
        <v>99</v>
      </c>
      <c r="D151" s="153" t="s">
        <v>25</v>
      </c>
      <c r="E151" s="130" t="s">
        <v>100</v>
      </c>
      <c r="F151" s="154" t="s">
        <v>173</v>
      </c>
      <c r="G151" s="154" t="s">
        <v>173</v>
      </c>
      <c r="H151" s="154" t="s">
        <v>173</v>
      </c>
      <c r="I151" s="154" t="s">
        <v>173</v>
      </c>
      <c r="J151" s="132">
        <v>0.9</v>
      </c>
      <c r="K151" s="133">
        <v>1</v>
      </c>
      <c r="L151" s="133">
        <v>1</v>
      </c>
      <c r="M151" s="134">
        <v>1</v>
      </c>
      <c r="N151" s="133">
        <v>0.995951417004049</v>
      </c>
      <c r="O151" s="135">
        <v>0.9</v>
      </c>
      <c r="P151" s="133">
        <v>0.921052631578947</v>
      </c>
      <c r="Q151" s="133">
        <v>0.978528410578686</v>
      </c>
      <c r="R151" s="133">
        <v>0.862276541408245</v>
      </c>
      <c r="S151" s="133">
        <v>0.960023420258524</v>
      </c>
      <c r="T151" s="135">
        <v>0.9</v>
      </c>
      <c r="U151" s="133">
        <v>0.949859856742448</v>
      </c>
      <c r="V151" s="133">
        <v>0.963603037444357</v>
      </c>
      <c r="W151" s="133">
        <v>0.900948558920102</v>
      </c>
      <c r="X151" s="133">
        <v>0.932162320407152</v>
      </c>
      <c r="Y151" s="135">
        <v>0.92</v>
      </c>
      <c r="Z151" s="135">
        <v>0.918314924222964</v>
      </c>
      <c r="AA151" s="135">
        <v>0.909457900807382</v>
      </c>
      <c r="AB151" s="135">
        <v>0.462575859743763</v>
      </c>
      <c r="AC151" s="135">
        <v>0.916679794850251</v>
      </c>
      <c r="AD151" s="135">
        <v>0.92</v>
      </c>
      <c r="AE151" s="133">
        <v>0.927631440422799</v>
      </c>
      <c r="AF151" s="133">
        <v>0.873376440820916</v>
      </c>
      <c r="AG151" s="133">
        <v>0.942001618559482</v>
      </c>
      <c r="AH151" s="133">
        <v>0.978280530949911</v>
      </c>
      <c r="AI151" s="135">
        <v>0.92</v>
      </c>
      <c r="AJ151" s="133">
        <v>0.953770110486528</v>
      </c>
      <c r="AK151" s="133">
        <v>0.960208858480375</v>
      </c>
      <c r="AL151" s="133">
        <v>0.818521177315147</v>
      </c>
      <c r="AM151" s="133">
        <v>0.9575824241163</v>
      </c>
      <c r="AN151" s="132">
        <v>0.99</v>
      </c>
      <c r="AO151" s="137">
        <v>1</v>
      </c>
      <c r="AP151" s="137">
        <v>1</v>
      </c>
      <c r="AQ151" s="137">
        <v>1</v>
      </c>
      <c r="AR151" s="137">
        <v>1</v>
      </c>
      <c r="AS151" s="139">
        <v>0.105261498981944</v>
      </c>
      <c r="AT151" s="141">
        <v>0.0384615384615385</v>
      </c>
      <c r="AU151" s="141">
        <v>0.0476190476190476</v>
      </c>
      <c r="AV151" s="141">
        <v>0.0526315789473684</v>
      </c>
      <c r="AW151" s="141">
        <v>0.0436619718309859</v>
      </c>
      <c r="AX151" s="95"/>
      <c r="AY151" s="93"/>
    </row>
    <row r="152" ht="15" spans="1:51">
      <c r="A152" s="91"/>
      <c r="B152" s="95"/>
      <c r="C152" s="152" t="s">
        <v>99</v>
      </c>
      <c r="D152" s="153" t="s">
        <v>25</v>
      </c>
      <c r="E152" s="130" t="s">
        <v>100</v>
      </c>
      <c r="F152" s="154" t="s">
        <v>174</v>
      </c>
      <c r="G152" s="154" t="s">
        <v>174</v>
      </c>
      <c r="H152" s="154" t="s">
        <v>174</v>
      </c>
      <c r="I152" s="154" t="s">
        <v>174</v>
      </c>
      <c r="J152" s="132">
        <v>0.9</v>
      </c>
      <c r="K152" s="133" t="s">
        <v>35</v>
      </c>
      <c r="L152" s="133" t="s">
        <v>35</v>
      </c>
      <c r="M152" s="134" t="s">
        <v>35</v>
      </c>
      <c r="N152" s="133" t="s">
        <v>35</v>
      </c>
      <c r="O152" s="135">
        <v>0.9</v>
      </c>
      <c r="P152" s="133" t="s">
        <v>35</v>
      </c>
      <c r="Q152" s="133" t="s">
        <v>35</v>
      </c>
      <c r="R152" s="133" t="s">
        <v>35</v>
      </c>
      <c r="S152" s="133" t="s">
        <v>35</v>
      </c>
      <c r="T152" s="135">
        <v>0.9</v>
      </c>
      <c r="U152" s="133" t="s">
        <v>35</v>
      </c>
      <c r="V152" s="133" t="s">
        <v>35</v>
      </c>
      <c r="W152" s="133" t="s">
        <v>35</v>
      </c>
      <c r="X152" s="133" t="s">
        <v>35</v>
      </c>
      <c r="Y152" s="135">
        <v>0.92</v>
      </c>
      <c r="Z152" s="135" t="s">
        <v>35</v>
      </c>
      <c r="AA152" s="135" t="s">
        <v>35</v>
      </c>
      <c r="AB152" s="135" t="s">
        <v>35</v>
      </c>
      <c r="AC152" s="135" t="s">
        <v>35</v>
      </c>
      <c r="AD152" s="135">
        <v>0.92</v>
      </c>
      <c r="AE152" s="133" t="s">
        <v>35</v>
      </c>
      <c r="AF152" s="133" t="s">
        <v>35</v>
      </c>
      <c r="AG152" s="133" t="s">
        <v>35</v>
      </c>
      <c r="AH152" s="133" t="s">
        <v>35</v>
      </c>
      <c r="AI152" s="135">
        <v>0.92</v>
      </c>
      <c r="AJ152" s="133" t="s">
        <v>35</v>
      </c>
      <c r="AK152" s="133" t="s">
        <v>35</v>
      </c>
      <c r="AL152" s="133" t="s">
        <v>35</v>
      </c>
      <c r="AM152" s="133" t="s">
        <v>35</v>
      </c>
      <c r="AN152" s="132">
        <v>0.99</v>
      </c>
      <c r="AO152" s="137" t="s">
        <v>35</v>
      </c>
      <c r="AP152" s="137" t="s">
        <v>35</v>
      </c>
      <c r="AQ152" s="137" t="s">
        <v>35</v>
      </c>
      <c r="AR152" s="137" t="s">
        <v>35</v>
      </c>
      <c r="AS152" s="139">
        <v>0.105261498981944</v>
      </c>
      <c r="AT152" s="141" t="s">
        <v>35</v>
      </c>
      <c r="AU152" s="141" t="s">
        <v>35</v>
      </c>
      <c r="AV152" s="141" t="s">
        <v>35</v>
      </c>
      <c r="AW152" s="141" t="s">
        <v>35</v>
      </c>
      <c r="AX152" s="95"/>
      <c r="AY152" s="93"/>
    </row>
    <row r="153" ht="15" spans="1:51">
      <c r="A153" s="91"/>
      <c r="B153" s="95"/>
      <c r="C153" s="152" t="s">
        <v>99</v>
      </c>
      <c r="D153" s="153" t="s">
        <v>25</v>
      </c>
      <c r="E153" s="130" t="s">
        <v>100</v>
      </c>
      <c r="F153" s="154" t="s">
        <v>175</v>
      </c>
      <c r="G153" s="154" t="s">
        <v>175</v>
      </c>
      <c r="H153" s="154" t="s">
        <v>175</v>
      </c>
      <c r="I153" s="154" t="s">
        <v>175</v>
      </c>
      <c r="J153" s="132">
        <v>0.9</v>
      </c>
      <c r="K153" s="133">
        <v>0.943820224719101</v>
      </c>
      <c r="L153" s="133">
        <v>0.975</v>
      </c>
      <c r="M153" s="134">
        <v>0.971428571428571</v>
      </c>
      <c r="N153" s="133">
        <v>0.966984126984127</v>
      </c>
      <c r="O153" s="135">
        <v>0.9</v>
      </c>
      <c r="P153" s="133">
        <v>0.96790243902439</v>
      </c>
      <c r="Q153" s="133">
        <v>0.983365019011407</v>
      </c>
      <c r="R153" s="133">
        <v>0.965368567454798</v>
      </c>
      <c r="S153" s="133">
        <v>0.935798708419642</v>
      </c>
      <c r="T153" s="135">
        <v>0.9</v>
      </c>
      <c r="U153" s="133">
        <v>0.953463414634146</v>
      </c>
      <c r="V153" s="133">
        <v>0.961501901140684</v>
      </c>
      <c r="W153" s="133">
        <v>0.953963838664812</v>
      </c>
      <c r="X153" s="133">
        <v>0.933367856707689</v>
      </c>
      <c r="Y153" s="135">
        <v>0.92</v>
      </c>
      <c r="Z153" s="135">
        <v>0.952565970535859</v>
      </c>
      <c r="AA153" s="135">
        <v>0.963452566096423</v>
      </c>
      <c r="AB153" s="135">
        <v>0.96001859600186</v>
      </c>
      <c r="AC153" s="135">
        <v>0.965922802085164</v>
      </c>
      <c r="AD153" s="135">
        <v>0.92</v>
      </c>
      <c r="AE153" s="133">
        <v>0.975814857231094</v>
      </c>
      <c r="AF153" s="133">
        <v>0.902141897108868</v>
      </c>
      <c r="AG153" s="133">
        <v>0.994137881902746</v>
      </c>
      <c r="AH153" s="133">
        <v>0.983353441342066</v>
      </c>
      <c r="AI153" s="135">
        <v>0.92</v>
      </c>
      <c r="AJ153" s="133">
        <v>0.972252646951442</v>
      </c>
      <c r="AK153" s="133">
        <v>0.979311895659996</v>
      </c>
      <c r="AL153" s="133">
        <v>0.978598180845372</v>
      </c>
      <c r="AM153" s="133">
        <v>0.980398048217677</v>
      </c>
      <c r="AN153" s="132">
        <v>0.99</v>
      </c>
      <c r="AO153" s="137">
        <v>1</v>
      </c>
      <c r="AP153" s="137">
        <v>1</v>
      </c>
      <c r="AQ153" s="137">
        <v>1</v>
      </c>
      <c r="AR153" s="137">
        <v>1</v>
      </c>
      <c r="AS153" s="139">
        <v>0.105261498981944</v>
      </c>
      <c r="AT153" s="141">
        <v>0.214285714285714</v>
      </c>
      <c r="AU153" s="141">
        <v>0</v>
      </c>
      <c r="AV153" s="141">
        <v>0.0833333333333333</v>
      </c>
      <c r="AW153" s="141">
        <v>0.0539906103286385</v>
      </c>
      <c r="AX153" s="95"/>
      <c r="AY153" s="93"/>
    </row>
    <row r="154" ht="15" spans="1:51">
      <c r="A154" s="91"/>
      <c r="B154" s="95"/>
      <c r="C154" s="152" t="s">
        <v>99</v>
      </c>
      <c r="D154" s="153" t="s">
        <v>25</v>
      </c>
      <c r="E154" s="130" t="s">
        <v>100</v>
      </c>
      <c r="F154" s="154" t="s">
        <v>176</v>
      </c>
      <c r="G154" s="154" t="s">
        <v>176</v>
      </c>
      <c r="H154" s="154" t="s">
        <v>176</v>
      </c>
      <c r="I154" s="154" t="s">
        <v>176</v>
      </c>
      <c r="J154" s="132">
        <v>0.9</v>
      </c>
      <c r="K154" s="133">
        <v>0.968503937007874</v>
      </c>
      <c r="L154" s="133">
        <v>0.991596638655462</v>
      </c>
      <c r="M154" s="134">
        <v>0.981818181818182</v>
      </c>
      <c r="N154" s="133">
        <v>0.973055193394176</v>
      </c>
      <c r="O154" s="135">
        <v>0.9</v>
      </c>
      <c r="P154" s="133">
        <v>0.886674536490522</v>
      </c>
      <c r="Q154" s="133">
        <v>0.924417910447761</v>
      </c>
      <c r="R154" s="133">
        <v>0.875024182627201</v>
      </c>
      <c r="S154" s="133">
        <v>0.920511554706059</v>
      </c>
      <c r="T154" s="135">
        <v>0.9</v>
      </c>
      <c r="U154" s="133">
        <v>0.957641830428442</v>
      </c>
      <c r="V154" s="133">
        <v>0.964298507462687</v>
      </c>
      <c r="W154" s="133">
        <v>0.953956277810021</v>
      </c>
      <c r="X154" s="133">
        <v>0.94260410205778</v>
      </c>
      <c r="Y154" s="135">
        <v>0.92</v>
      </c>
      <c r="Z154" s="135">
        <v>0.935456202423073</v>
      </c>
      <c r="AA154" s="135">
        <v>0.942087155963303</v>
      </c>
      <c r="AB154" s="135">
        <v>0.916829109811566</v>
      </c>
      <c r="AC154" s="135">
        <v>0.94644495412844</v>
      </c>
      <c r="AD154" s="135">
        <v>0.92</v>
      </c>
      <c r="AE154" s="133">
        <v>0.799262771322078</v>
      </c>
      <c r="AF154" s="133">
        <v>0.638064063595978</v>
      </c>
      <c r="AG154" s="133">
        <v>0.832164990348471</v>
      </c>
      <c r="AH154" s="133">
        <v>0.906915976345636</v>
      </c>
      <c r="AI154" s="135">
        <v>0.92</v>
      </c>
      <c r="AJ154" s="133">
        <v>0.961604922661946</v>
      </c>
      <c r="AK154" s="133">
        <v>0.972187104930468</v>
      </c>
      <c r="AL154" s="133">
        <v>0.966249441215914</v>
      </c>
      <c r="AM154" s="133">
        <v>0.972263521602824</v>
      </c>
      <c r="AN154" s="132">
        <v>0.99</v>
      </c>
      <c r="AO154" s="137">
        <v>1</v>
      </c>
      <c r="AP154" s="137">
        <v>1</v>
      </c>
      <c r="AQ154" s="137">
        <v>1</v>
      </c>
      <c r="AR154" s="137">
        <v>1</v>
      </c>
      <c r="AS154" s="139">
        <v>0.105261498981944</v>
      </c>
      <c r="AT154" s="141">
        <v>0.0495049504950495</v>
      </c>
      <c r="AU154" s="141">
        <v>0.00694444444444444</v>
      </c>
      <c r="AV154" s="141">
        <v>0.0158730158730159</v>
      </c>
      <c r="AW154" s="141">
        <v>0.0185361216730038</v>
      </c>
      <c r="AX154" s="95"/>
      <c r="AY154" s="93"/>
    </row>
    <row r="155" ht="15" spans="1:51">
      <c r="A155" s="91"/>
      <c r="B155" s="95"/>
      <c r="C155" s="152" t="s">
        <v>99</v>
      </c>
      <c r="D155" s="153" t="s">
        <v>25</v>
      </c>
      <c r="E155" s="130" t="s">
        <v>100</v>
      </c>
      <c r="F155" s="154" t="s">
        <v>177</v>
      </c>
      <c r="G155" s="154" t="s">
        <v>177</v>
      </c>
      <c r="H155" s="154" t="s">
        <v>177</v>
      </c>
      <c r="I155" s="154" t="s">
        <v>177</v>
      </c>
      <c r="J155" s="132">
        <v>0.9</v>
      </c>
      <c r="K155" s="133">
        <v>0.943661971830986</v>
      </c>
      <c r="L155" s="133">
        <v>0.96875</v>
      </c>
      <c r="M155" s="134">
        <v>0.949152542372881</v>
      </c>
      <c r="N155" s="133">
        <v>0.953433307024467</v>
      </c>
      <c r="O155" s="135">
        <v>0.9</v>
      </c>
      <c r="P155" s="133">
        <v>0.932544624325446</v>
      </c>
      <c r="Q155" s="133">
        <v>0.948736462093863</v>
      </c>
      <c r="R155" s="133">
        <v>0.905405405405405</v>
      </c>
      <c r="S155" s="133">
        <v>0.895663639027249</v>
      </c>
      <c r="T155" s="135">
        <v>0.9</v>
      </c>
      <c r="U155" s="133">
        <v>0.913034454130345</v>
      </c>
      <c r="V155" s="133">
        <v>0.936101083032491</v>
      </c>
      <c r="W155" s="133">
        <v>0.880860452289024</v>
      </c>
      <c r="X155" s="133">
        <v>0.874714327571052</v>
      </c>
      <c r="Y155" s="135">
        <v>0.92</v>
      </c>
      <c r="Z155" s="135">
        <v>0.963223959480291</v>
      </c>
      <c r="AA155" s="135">
        <v>0.932078559738134</v>
      </c>
      <c r="AB155" s="135">
        <v>0.890524379024839</v>
      </c>
      <c r="AC155" s="135">
        <v>0.940645074946467</v>
      </c>
      <c r="AD155" s="135">
        <v>0.92</v>
      </c>
      <c r="AE155" s="133">
        <v>0.997822931785196</v>
      </c>
      <c r="AF155" s="133">
        <v>0.983994432846207</v>
      </c>
      <c r="AG155" s="133">
        <v>0.988304093567251</v>
      </c>
      <c r="AH155" s="133">
        <v>0.992776291417987</v>
      </c>
      <c r="AI155" s="135">
        <v>0.92</v>
      </c>
      <c r="AJ155" s="133">
        <v>0.967101046784875</v>
      </c>
      <c r="AK155" s="133">
        <v>0.966691710493363</v>
      </c>
      <c r="AL155" s="133">
        <v>0.943148069579975</v>
      </c>
      <c r="AM155" s="133">
        <v>0.96179054783118</v>
      </c>
      <c r="AN155" s="132">
        <v>0.99</v>
      </c>
      <c r="AO155" s="137">
        <v>1</v>
      </c>
      <c r="AP155" s="137">
        <v>1</v>
      </c>
      <c r="AQ155" s="137">
        <v>1</v>
      </c>
      <c r="AR155" s="137">
        <v>1</v>
      </c>
      <c r="AS155" s="139">
        <v>0.105261498981944</v>
      </c>
      <c r="AT155" s="141">
        <v>0.0833333333333333</v>
      </c>
      <c r="AU155" s="141">
        <v>0</v>
      </c>
      <c r="AV155" s="141">
        <v>0.1</v>
      </c>
      <c r="AW155" s="141">
        <v>0.0801282051282051</v>
      </c>
      <c r="AX155" s="95"/>
      <c r="AY155" s="93"/>
    </row>
    <row r="156" ht="15" spans="1:51">
      <c r="A156" s="91"/>
      <c r="B156" s="95"/>
      <c r="C156" s="152" t="s">
        <v>99</v>
      </c>
      <c r="D156" s="153" t="s">
        <v>25</v>
      </c>
      <c r="E156" s="130" t="s">
        <v>100</v>
      </c>
      <c r="F156" s="154" t="s">
        <v>178</v>
      </c>
      <c r="G156" s="154" t="s">
        <v>178</v>
      </c>
      <c r="H156" s="154" t="s">
        <v>178</v>
      </c>
      <c r="I156" s="154" t="s">
        <v>178</v>
      </c>
      <c r="J156" s="132">
        <v>0.9</v>
      </c>
      <c r="K156" s="133">
        <v>0.983606557377049</v>
      </c>
      <c r="L156" s="133">
        <v>0.981481481481482</v>
      </c>
      <c r="M156" s="134">
        <v>0.979591836734694</v>
      </c>
      <c r="N156" s="133">
        <v>0.970919324577861</v>
      </c>
      <c r="O156" s="135">
        <v>0.9</v>
      </c>
      <c r="P156" s="133">
        <v>0.945845209383907</v>
      </c>
      <c r="Q156" s="133">
        <v>0.966553927095077</v>
      </c>
      <c r="R156" s="133">
        <v>0.961097117268402</v>
      </c>
      <c r="S156" s="133">
        <v>0.941804293971924</v>
      </c>
      <c r="T156" s="135">
        <v>0.9</v>
      </c>
      <c r="U156" s="133">
        <v>0.938829204121903</v>
      </c>
      <c r="V156" s="133">
        <v>0.940248027057497</v>
      </c>
      <c r="W156" s="133">
        <v>0.92191435768262</v>
      </c>
      <c r="X156" s="133">
        <v>0.936571015689513</v>
      </c>
      <c r="Y156" s="135">
        <v>0.92</v>
      </c>
      <c r="Z156" s="135">
        <v>0.948596970449466</v>
      </c>
      <c r="AA156" s="135">
        <v>0.959742351046699</v>
      </c>
      <c r="AB156" s="135">
        <v>0.953990610328639</v>
      </c>
      <c r="AC156" s="135">
        <v>0.967538469903757</v>
      </c>
      <c r="AD156" s="135">
        <v>0.92</v>
      </c>
      <c r="AE156" s="133">
        <v>0.997120433628818</v>
      </c>
      <c r="AF156" s="133">
        <v>0.995972274260022</v>
      </c>
      <c r="AG156" s="133">
        <v>0.990052356020942</v>
      </c>
      <c r="AH156" s="133">
        <v>0.989156857508714</v>
      </c>
      <c r="AI156" s="135">
        <v>0.92</v>
      </c>
      <c r="AJ156" s="133">
        <v>0.963778243652457</v>
      </c>
      <c r="AK156" s="133">
        <v>0.972841404048168</v>
      </c>
      <c r="AL156" s="133">
        <v>0.973485665014012</v>
      </c>
      <c r="AM156" s="133">
        <v>0.97964860137561</v>
      </c>
      <c r="AN156" s="132">
        <v>0.99</v>
      </c>
      <c r="AO156" s="137">
        <v>1</v>
      </c>
      <c r="AP156" s="137">
        <v>1</v>
      </c>
      <c r="AQ156" s="137">
        <v>1</v>
      </c>
      <c r="AR156" s="137">
        <v>1</v>
      </c>
      <c r="AS156" s="139">
        <v>0.105261498981944</v>
      </c>
      <c r="AT156" s="141">
        <v>0.0625</v>
      </c>
      <c r="AU156" s="141">
        <v>0.0909090909090909</v>
      </c>
      <c r="AV156" s="141">
        <v>0</v>
      </c>
      <c r="AW156" s="141">
        <v>0.0598006644518272</v>
      </c>
      <c r="AX156" s="95"/>
      <c r="AY156" s="93"/>
    </row>
    <row r="157" ht="15" spans="1:51">
      <c r="A157" s="91"/>
      <c r="B157" s="95"/>
      <c r="C157" s="152" t="s">
        <v>99</v>
      </c>
      <c r="D157" s="153" t="s">
        <v>25</v>
      </c>
      <c r="E157" s="130" t="s">
        <v>100</v>
      </c>
      <c r="F157" s="154" t="s">
        <v>179</v>
      </c>
      <c r="G157" s="154" t="s">
        <v>179</v>
      </c>
      <c r="H157" s="154" t="s">
        <v>179</v>
      </c>
      <c r="I157" s="154" t="s">
        <v>179</v>
      </c>
      <c r="J157" s="132">
        <v>0.9</v>
      </c>
      <c r="K157" s="133">
        <v>0.944954128440367</v>
      </c>
      <c r="L157" s="133">
        <v>0.979381443298969</v>
      </c>
      <c r="M157" s="134">
        <v>0.955555555555556</v>
      </c>
      <c r="N157" s="133">
        <v>0.961345381526104</v>
      </c>
      <c r="O157" s="135">
        <v>0.9</v>
      </c>
      <c r="P157" s="133">
        <v>0.965225563909774</v>
      </c>
      <c r="Q157" s="133">
        <v>0.963838664812239</v>
      </c>
      <c r="R157" s="133">
        <v>0.946575617593894</v>
      </c>
      <c r="S157" s="133">
        <v>0.95967327155597</v>
      </c>
      <c r="T157" s="135">
        <v>0.9</v>
      </c>
      <c r="U157" s="133">
        <v>0.884633458646617</v>
      </c>
      <c r="V157" s="133">
        <v>0.885952712100139</v>
      </c>
      <c r="W157" s="133">
        <v>0.855392649126331</v>
      </c>
      <c r="X157" s="133">
        <v>0.89102368519697</v>
      </c>
      <c r="Y157" s="135">
        <v>0.92</v>
      </c>
      <c r="Z157" s="135">
        <v>0.932641432641433</v>
      </c>
      <c r="AA157" s="135">
        <v>0.937119675456389</v>
      </c>
      <c r="AB157" s="135">
        <v>0.9</v>
      </c>
      <c r="AC157" s="135">
        <v>0.94787574609801</v>
      </c>
      <c r="AD157" s="135">
        <v>0.92</v>
      </c>
      <c r="AE157" s="133">
        <v>0.991735537190083</v>
      </c>
      <c r="AF157" s="133">
        <v>0.938242280285036</v>
      </c>
      <c r="AG157" s="133">
        <v>0.961382113821138</v>
      </c>
      <c r="AH157" s="133">
        <v>0.976134924338377</v>
      </c>
      <c r="AI157" s="135">
        <v>0.92</v>
      </c>
      <c r="AJ157" s="133">
        <v>0.949967298888162</v>
      </c>
      <c r="AK157" s="133">
        <v>0.960514233241506</v>
      </c>
      <c r="AL157" s="133">
        <v>0.934404082858001</v>
      </c>
      <c r="AM157" s="133">
        <v>0.967626618669067</v>
      </c>
      <c r="AN157" s="132">
        <v>0.99</v>
      </c>
      <c r="AO157" s="137">
        <v>1</v>
      </c>
      <c r="AP157" s="137">
        <v>1</v>
      </c>
      <c r="AQ157" s="137">
        <v>1</v>
      </c>
      <c r="AR157" s="137">
        <v>1</v>
      </c>
      <c r="AS157" s="139">
        <v>0.105261498981944</v>
      </c>
      <c r="AT157" s="141">
        <v>0.0714285714285714</v>
      </c>
      <c r="AU157" s="141">
        <v>0.0769230769230769</v>
      </c>
      <c r="AV157" s="141">
        <v>0.166666666666667</v>
      </c>
      <c r="AW157" s="141">
        <v>0.120805369127517</v>
      </c>
      <c r="AX157" s="95"/>
      <c r="AY157" s="93"/>
    </row>
    <row r="158" ht="15" spans="1:51">
      <c r="A158" s="91"/>
      <c r="B158" s="95"/>
      <c r="C158" s="152" t="s">
        <v>99</v>
      </c>
      <c r="D158" s="153" t="s">
        <v>25</v>
      </c>
      <c r="E158" s="130" t="s">
        <v>100</v>
      </c>
      <c r="F158" s="154" t="s">
        <v>180</v>
      </c>
      <c r="G158" s="154" t="s">
        <v>180</v>
      </c>
      <c r="H158" s="154" t="s">
        <v>180</v>
      </c>
      <c r="I158" s="154" t="s">
        <v>180</v>
      </c>
      <c r="J158" s="132">
        <v>0.9</v>
      </c>
      <c r="K158" s="133">
        <v>0.989690721649485</v>
      </c>
      <c r="L158" s="133">
        <v>0.98780487804878</v>
      </c>
      <c r="M158" s="134">
        <v>0.962025316455696</v>
      </c>
      <c r="N158" s="133">
        <v>0.976392251815981</v>
      </c>
      <c r="O158" s="135">
        <v>0.9</v>
      </c>
      <c r="P158" s="133">
        <v>0.975511174512601</v>
      </c>
      <c r="Q158" s="133">
        <v>0.970456005138086</v>
      </c>
      <c r="R158" s="133">
        <v>0.956431963658889</v>
      </c>
      <c r="S158" s="133">
        <v>0.944231439525967</v>
      </c>
      <c r="T158" s="135">
        <v>0.9</v>
      </c>
      <c r="U158" s="133">
        <v>0.946742748454589</v>
      </c>
      <c r="V158" s="133">
        <v>0.931599229287091</v>
      </c>
      <c r="W158" s="133">
        <v>0.940532727648152</v>
      </c>
      <c r="X158" s="133">
        <v>0.947672288209061</v>
      </c>
      <c r="Y158" s="135">
        <v>0.92</v>
      </c>
      <c r="Z158" s="135">
        <v>0.954444169348849</v>
      </c>
      <c r="AA158" s="135">
        <v>0.938801261829653</v>
      </c>
      <c r="AB158" s="135">
        <v>0.923353293413174</v>
      </c>
      <c r="AC158" s="135">
        <v>0.963242661056006</v>
      </c>
      <c r="AD158" s="135">
        <v>0.92</v>
      </c>
      <c r="AE158" s="133">
        <v>0.99360286591607</v>
      </c>
      <c r="AF158" s="133">
        <v>0.973135093565752</v>
      </c>
      <c r="AG158" s="133">
        <v>0.981731309724564</v>
      </c>
      <c r="AH158" s="133">
        <v>0.875796326796979</v>
      </c>
      <c r="AI158" s="135">
        <v>0.92</v>
      </c>
      <c r="AJ158" s="133">
        <v>0.965333333333333</v>
      </c>
      <c r="AK158" s="133">
        <v>0.959157626037013</v>
      </c>
      <c r="AL158" s="133">
        <v>0.964406259588831</v>
      </c>
      <c r="AM158" s="133">
        <v>0.976967440502263</v>
      </c>
      <c r="AN158" s="132">
        <v>0.99</v>
      </c>
      <c r="AO158" s="137">
        <v>1</v>
      </c>
      <c r="AP158" s="137">
        <v>1</v>
      </c>
      <c r="AQ158" s="137">
        <v>1</v>
      </c>
      <c r="AR158" s="137">
        <v>1</v>
      </c>
      <c r="AS158" s="139">
        <v>0.105261498981944</v>
      </c>
      <c r="AT158" s="141">
        <v>0</v>
      </c>
      <c r="AU158" s="141">
        <v>0</v>
      </c>
      <c r="AV158" s="141">
        <v>0</v>
      </c>
      <c r="AW158" s="141">
        <v>0.0347826086956522</v>
      </c>
      <c r="AX158" s="95"/>
      <c r="AY158" s="93"/>
    </row>
    <row r="159" ht="15" spans="1:51">
      <c r="A159" s="91"/>
      <c r="B159" s="95"/>
      <c r="C159" s="152" t="s">
        <v>99</v>
      </c>
      <c r="D159" s="153" t="s">
        <v>25</v>
      </c>
      <c r="E159" s="130" t="s">
        <v>100</v>
      </c>
      <c r="F159" s="154" t="s">
        <v>181</v>
      </c>
      <c r="G159" s="154" t="s">
        <v>181</v>
      </c>
      <c r="H159" s="154" t="s">
        <v>181</v>
      </c>
      <c r="I159" s="154" t="s">
        <v>181</v>
      </c>
      <c r="J159" s="132">
        <v>0.9</v>
      </c>
      <c r="K159" s="133">
        <v>1</v>
      </c>
      <c r="L159" s="133">
        <v>1</v>
      </c>
      <c r="M159" s="134">
        <v>0.967741935483871</v>
      </c>
      <c r="N159" s="133">
        <v>0.973363774733638</v>
      </c>
      <c r="O159" s="135">
        <v>0.9</v>
      </c>
      <c r="P159" s="133" t="s">
        <v>35</v>
      </c>
      <c r="Q159" s="133" t="s">
        <v>35</v>
      </c>
      <c r="R159" s="133">
        <v>0</v>
      </c>
      <c r="S159" s="133">
        <v>0.0909090909090909</v>
      </c>
      <c r="T159" s="135">
        <v>0.9</v>
      </c>
      <c r="U159" s="133" t="s">
        <v>35</v>
      </c>
      <c r="V159" s="133" t="s">
        <v>35</v>
      </c>
      <c r="W159" s="133">
        <v>0</v>
      </c>
      <c r="X159" s="133">
        <v>0.272727272727273</v>
      </c>
      <c r="Y159" s="135">
        <v>0.92</v>
      </c>
      <c r="Z159" s="135">
        <v>0</v>
      </c>
      <c r="AA159" s="135" t="s">
        <v>35</v>
      </c>
      <c r="AB159" s="135" t="s">
        <v>35</v>
      </c>
      <c r="AC159" s="135">
        <v>0.125</v>
      </c>
      <c r="AD159" s="135">
        <v>0.92</v>
      </c>
      <c r="AE159" s="133">
        <v>0.990082644628099</v>
      </c>
      <c r="AF159" s="133">
        <v>0.983425414364641</v>
      </c>
      <c r="AG159" s="133">
        <v>0.984496124031008</v>
      </c>
      <c r="AH159" s="133">
        <v>0.986749550139048</v>
      </c>
      <c r="AI159" s="135">
        <v>0.92</v>
      </c>
      <c r="AJ159" s="133">
        <v>0.984035919181841</v>
      </c>
      <c r="AK159" s="133">
        <v>0.98904028436019</v>
      </c>
      <c r="AL159" s="133">
        <v>0.983071161048689</v>
      </c>
      <c r="AM159" s="133">
        <v>0.992000392618767</v>
      </c>
      <c r="AN159" s="132">
        <v>0.99</v>
      </c>
      <c r="AO159" s="137">
        <v>1</v>
      </c>
      <c r="AP159" s="137">
        <v>1</v>
      </c>
      <c r="AQ159" s="137">
        <v>1</v>
      </c>
      <c r="AR159" s="137">
        <v>1</v>
      </c>
      <c r="AS159" s="139">
        <v>0.105261498981944</v>
      </c>
      <c r="AT159" s="141">
        <v>0.166666666666667</v>
      </c>
      <c r="AU159" s="141">
        <v>0.125</v>
      </c>
      <c r="AV159" s="141">
        <v>0</v>
      </c>
      <c r="AW159" s="141">
        <v>0.0852272727272727</v>
      </c>
      <c r="AX159" s="95"/>
      <c r="AY159" s="93"/>
    </row>
    <row r="160" ht="15" spans="1:51">
      <c r="A160" s="91"/>
      <c r="B160" s="95"/>
      <c r="C160" s="152" t="s">
        <v>99</v>
      </c>
      <c r="D160" s="153" t="s">
        <v>25</v>
      </c>
      <c r="E160" s="130" t="s">
        <v>100</v>
      </c>
      <c r="F160" s="154" t="s">
        <v>182</v>
      </c>
      <c r="G160" s="154" t="s">
        <v>182</v>
      </c>
      <c r="H160" s="154" t="s">
        <v>182</v>
      </c>
      <c r="I160" s="154" t="s">
        <v>182</v>
      </c>
      <c r="J160" s="132">
        <v>0.9</v>
      </c>
      <c r="K160" s="133">
        <v>0.972222222222222</v>
      </c>
      <c r="L160" s="133">
        <v>0.942857142857143</v>
      </c>
      <c r="M160" s="134">
        <v>0.970588235294118</v>
      </c>
      <c r="N160" s="133">
        <v>0.959814528593508</v>
      </c>
      <c r="O160" s="135">
        <v>0.9</v>
      </c>
      <c r="P160" s="133">
        <v>0.971413986727922</v>
      </c>
      <c r="Q160" s="133">
        <v>0.958181818181818</v>
      </c>
      <c r="R160" s="133">
        <v>0.969678217821782</v>
      </c>
      <c r="S160" s="133">
        <v>0.963741171811401</v>
      </c>
      <c r="T160" s="135">
        <v>0.9</v>
      </c>
      <c r="U160" s="133">
        <v>0.945890760592139</v>
      </c>
      <c r="V160" s="133">
        <v>0.924545454545455</v>
      </c>
      <c r="W160" s="133">
        <v>0.944306930693069</v>
      </c>
      <c r="X160" s="133">
        <v>0.945413742271897</v>
      </c>
      <c r="Y160" s="135">
        <v>0.92</v>
      </c>
      <c r="Z160" s="135">
        <v>0.975457170356112</v>
      </c>
      <c r="AA160" s="135">
        <v>0.963898916967509</v>
      </c>
      <c r="AB160" s="135">
        <v>0.961538461538462</v>
      </c>
      <c r="AC160" s="135">
        <v>0.978257001530195</v>
      </c>
      <c r="AD160" s="135">
        <v>0.92</v>
      </c>
      <c r="AE160" s="133">
        <v>0.994638069705094</v>
      </c>
      <c r="AF160" s="133">
        <v>0.985365853658537</v>
      </c>
      <c r="AG160" s="133">
        <v>0.995098039215686</v>
      </c>
      <c r="AH160" s="133">
        <v>0.987171925685638</v>
      </c>
      <c r="AI160" s="135">
        <v>0.92</v>
      </c>
      <c r="AJ160" s="133">
        <v>0.981917265296012</v>
      </c>
      <c r="AK160" s="133">
        <v>0.976435045317221</v>
      </c>
      <c r="AL160" s="133">
        <v>0.982938388625592</v>
      </c>
      <c r="AM160" s="133">
        <v>0.987166415161032</v>
      </c>
      <c r="AN160" s="132">
        <v>0.99</v>
      </c>
      <c r="AO160" s="137">
        <v>1</v>
      </c>
      <c r="AP160" s="137">
        <v>1</v>
      </c>
      <c r="AQ160" s="137">
        <v>1</v>
      </c>
      <c r="AR160" s="137">
        <v>1</v>
      </c>
      <c r="AS160" s="139">
        <v>0.105261498981944</v>
      </c>
      <c r="AT160" s="141">
        <v>0</v>
      </c>
      <c r="AU160" s="141">
        <v>0.142857142857143</v>
      </c>
      <c r="AV160" s="141">
        <v>0</v>
      </c>
      <c r="AW160" s="141">
        <v>0.0866141732283465</v>
      </c>
      <c r="AX160" s="95"/>
      <c r="AY160" s="93"/>
    </row>
    <row r="161" ht="15" spans="1:51">
      <c r="A161" s="91"/>
      <c r="B161" s="95"/>
      <c r="C161" s="152" t="s">
        <v>99</v>
      </c>
      <c r="D161" s="153" t="s">
        <v>25</v>
      </c>
      <c r="E161" s="130" t="s">
        <v>100</v>
      </c>
      <c r="F161" s="154" t="s">
        <v>183</v>
      </c>
      <c r="G161" s="154" t="s">
        <v>183</v>
      </c>
      <c r="H161" s="154" t="s">
        <v>183</v>
      </c>
      <c r="I161" s="154" t="s">
        <v>183</v>
      </c>
      <c r="J161" s="132">
        <v>0.9</v>
      </c>
      <c r="K161" s="133">
        <v>0.963302752293578</v>
      </c>
      <c r="L161" s="133">
        <v>0.927835051546392</v>
      </c>
      <c r="M161" s="134">
        <v>0.966666666666667</v>
      </c>
      <c r="N161" s="133">
        <v>0.927309439676931</v>
      </c>
      <c r="O161" s="135">
        <v>0.9</v>
      </c>
      <c r="P161" s="133">
        <v>0.8</v>
      </c>
      <c r="Q161" s="133">
        <v>0.333333333333333</v>
      </c>
      <c r="R161" s="133">
        <v>0.5</v>
      </c>
      <c r="S161" s="133">
        <v>0.239130434782609</v>
      </c>
      <c r="T161" s="135">
        <v>0.9</v>
      </c>
      <c r="U161" s="133">
        <v>0.8</v>
      </c>
      <c r="V161" s="133">
        <v>0.333333333333333</v>
      </c>
      <c r="W161" s="133">
        <v>0.5</v>
      </c>
      <c r="X161" s="133">
        <v>0.565217391304348</v>
      </c>
      <c r="Y161" s="135">
        <v>0.92</v>
      </c>
      <c r="Z161" s="135">
        <v>0.5</v>
      </c>
      <c r="AA161" s="135">
        <v>0.4</v>
      </c>
      <c r="AB161" s="135">
        <v>1</v>
      </c>
      <c r="AC161" s="135">
        <v>0.721311475409836</v>
      </c>
      <c r="AD161" s="135">
        <v>0.92</v>
      </c>
      <c r="AE161" s="133">
        <v>0.967860422405877</v>
      </c>
      <c r="AF161" s="133">
        <v>0.987664473684211</v>
      </c>
      <c r="AG161" s="133">
        <v>0.971810089020771</v>
      </c>
      <c r="AH161" s="133">
        <v>0.970460629557833</v>
      </c>
      <c r="AI161" s="135">
        <v>0.92</v>
      </c>
      <c r="AJ161" s="133">
        <v>0.949021820917983</v>
      </c>
      <c r="AK161" s="133">
        <v>0.941220610305153</v>
      </c>
      <c r="AL161" s="133">
        <v>0.959775967413442</v>
      </c>
      <c r="AM161" s="133">
        <v>0.971761204377163</v>
      </c>
      <c r="AN161" s="132">
        <v>0.99</v>
      </c>
      <c r="AO161" s="137">
        <v>1</v>
      </c>
      <c r="AP161" s="137">
        <v>1</v>
      </c>
      <c r="AQ161" s="137">
        <v>1</v>
      </c>
      <c r="AR161" s="137">
        <v>1</v>
      </c>
      <c r="AS161" s="139">
        <v>0.105261498981944</v>
      </c>
      <c r="AT161" s="141">
        <v>0.1</v>
      </c>
      <c r="AU161" s="141">
        <v>0</v>
      </c>
      <c r="AV161" s="141">
        <v>0</v>
      </c>
      <c r="AW161" s="141">
        <v>0.0735930735930736</v>
      </c>
      <c r="AX161" s="95"/>
      <c r="AY161" s="93"/>
    </row>
    <row r="162" ht="15" spans="1:51">
      <c r="A162" s="91"/>
      <c r="B162" s="95"/>
      <c r="C162" s="152" t="s">
        <v>99</v>
      </c>
      <c r="D162" s="153" t="s">
        <v>25</v>
      </c>
      <c r="E162" s="130" t="s">
        <v>100</v>
      </c>
      <c r="F162" s="154" t="s">
        <v>184</v>
      </c>
      <c r="G162" s="154" t="s">
        <v>184</v>
      </c>
      <c r="H162" s="154" t="s">
        <v>184</v>
      </c>
      <c r="I162" s="154" t="s">
        <v>184</v>
      </c>
      <c r="J162" s="132">
        <v>0.9</v>
      </c>
      <c r="K162" s="133">
        <v>0.893939393939394</v>
      </c>
      <c r="L162" s="133">
        <v>0.907407407407407</v>
      </c>
      <c r="M162" s="134">
        <v>0.84</v>
      </c>
      <c r="N162" s="133">
        <v>0.897321428571429</v>
      </c>
      <c r="O162" s="135">
        <v>0.9</v>
      </c>
      <c r="P162" s="133">
        <v>0.987256073277579</v>
      </c>
      <c r="Q162" s="133">
        <v>0.98491879350348</v>
      </c>
      <c r="R162" s="133">
        <v>0.982631930527722</v>
      </c>
      <c r="S162" s="133">
        <v>0.97636781340084</v>
      </c>
      <c r="T162" s="135">
        <v>0.9</v>
      </c>
      <c r="U162" s="133">
        <v>0.908004778972521</v>
      </c>
      <c r="V162" s="133">
        <v>0.9292343387471</v>
      </c>
      <c r="W162" s="133">
        <v>0.851703406813627</v>
      </c>
      <c r="X162" s="133">
        <v>0.898710838613383</v>
      </c>
      <c r="Y162" s="135">
        <v>0.92</v>
      </c>
      <c r="Z162" s="135">
        <v>0.929727595736281</v>
      </c>
      <c r="AA162" s="135">
        <v>0.942414174972314</v>
      </c>
      <c r="AB162" s="135">
        <v>0.89531405782652</v>
      </c>
      <c r="AC162" s="135">
        <v>0.952353352653143</v>
      </c>
      <c r="AD162" s="135">
        <v>0.92</v>
      </c>
      <c r="AE162" s="133">
        <v>0.964488636363636</v>
      </c>
      <c r="AF162" s="133">
        <v>0.963302752293578</v>
      </c>
      <c r="AG162" s="133">
        <v>0.931481481481481</v>
      </c>
      <c r="AH162" s="133">
        <v>0.967029942756495</v>
      </c>
      <c r="AI162" s="135">
        <v>0.92</v>
      </c>
      <c r="AJ162" s="133">
        <v>0.949841395717684</v>
      </c>
      <c r="AK162" s="133">
        <v>0.964979063570613</v>
      </c>
      <c r="AL162" s="133">
        <v>0.95325</v>
      </c>
      <c r="AM162" s="133">
        <v>0.971330343039119</v>
      </c>
      <c r="AN162" s="132">
        <v>0.99</v>
      </c>
      <c r="AO162" s="137">
        <v>1</v>
      </c>
      <c r="AP162" s="137">
        <v>1</v>
      </c>
      <c r="AQ162" s="137">
        <v>1</v>
      </c>
      <c r="AR162" s="137">
        <v>1</v>
      </c>
      <c r="AS162" s="139">
        <v>0.105261498981944</v>
      </c>
      <c r="AT162" s="141">
        <v>0</v>
      </c>
      <c r="AU162" s="141">
        <v>0</v>
      </c>
      <c r="AV162" s="141">
        <v>0</v>
      </c>
      <c r="AW162" s="141">
        <v>0.0795454545454545</v>
      </c>
      <c r="AX162" s="95"/>
      <c r="AY162" s="93"/>
    </row>
    <row r="163" ht="15" spans="1:51">
      <c r="A163" s="91"/>
      <c r="B163" s="95"/>
      <c r="C163" s="152" t="s">
        <v>99</v>
      </c>
      <c r="D163" s="153" t="s">
        <v>25</v>
      </c>
      <c r="E163" s="130" t="s">
        <v>100</v>
      </c>
      <c r="F163" s="154" t="s">
        <v>185</v>
      </c>
      <c r="G163" s="154" t="s">
        <v>185</v>
      </c>
      <c r="H163" s="154" t="s">
        <v>185</v>
      </c>
      <c r="I163" s="154" t="s">
        <v>185</v>
      </c>
      <c r="J163" s="132">
        <v>0.9</v>
      </c>
      <c r="K163" s="133">
        <v>1</v>
      </c>
      <c r="L163" s="133">
        <v>0.978723404255319</v>
      </c>
      <c r="M163" s="134">
        <v>0.904761904761905</v>
      </c>
      <c r="N163" s="133">
        <v>0.971397139713971</v>
      </c>
      <c r="O163" s="135">
        <v>0.9</v>
      </c>
      <c r="P163" s="133">
        <v>0.95880829015544</v>
      </c>
      <c r="Q163" s="133">
        <v>0.966523605150215</v>
      </c>
      <c r="R163" s="133">
        <v>0.944231439525967</v>
      </c>
      <c r="S163" s="133">
        <v>0.931221417193361</v>
      </c>
      <c r="T163" s="135">
        <v>0.9</v>
      </c>
      <c r="U163" s="133">
        <v>0.92279792746114</v>
      </c>
      <c r="V163" s="133">
        <v>0.946351931330472</v>
      </c>
      <c r="W163" s="133">
        <v>0.906239107703032</v>
      </c>
      <c r="X163" s="133">
        <v>0.91091156672319</v>
      </c>
      <c r="Y163" s="135">
        <v>0.92</v>
      </c>
      <c r="Z163" s="135">
        <v>0.947817836812144</v>
      </c>
      <c r="AA163" s="135">
        <v>0.936344969199179</v>
      </c>
      <c r="AB163" s="135">
        <v>0.930151338766007</v>
      </c>
      <c r="AC163" s="135">
        <v>0.961344461785528</v>
      </c>
      <c r="AD163" s="135">
        <v>0.92</v>
      </c>
      <c r="AE163" s="133">
        <v>0.997303499713138</v>
      </c>
      <c r="AF163" s="133">
        <v>0.983624018106777</v>
      </c>
      <c r="AG163" s="133">
        <v>0.994445631275369</v>
      </c>
      <c r="AH163" s="133">
        <v>0.986916519851227</v>
      </c>
      <c r="AI163" s="135">
        <v>0.92</v>
      </c>
      <c r="AJ163" s="133">
        <v>0.96127562642369</v>
      </c>
      <c r="AK163" s="133">
        <v>0.963680387409201</v>
      </c>
      <c r="AL163" s="133">
        <v>0.954423592493298</v>
      </c>
      <c r="AM163" s="133">
        <v>0.974875277502437</v>
      </c>
      <c r="AN163" s="132">
        <v>0.99</v>
      </c>
      <c r="AO163" s="137">
        <v>1</v>
      </c>
      <c r="AP163" s="137">
        <v>1</v>
      </c>
      <c r="AQ163" s="137">
        <v>1</v>
      </c>
      <c r="AR163" s="137">
        <v>1</v>
      </c>
      <c r="AS163" s="139">
        <v>0.105261498981944</v>
      </c>
      <c r="AT163" s="141">
        <v>0</v>
      </c>
      <c r="AU163" s="141">
        <v>0.4</v>
      </c>
      <c r="AV163" s="141">
        <v>0</v>
      </c>
      <c r="AW163" s="141">
        <v>0.0759493670886076</v>
      </c>
      <c r="AX163" s="95"/>
      <c r="AY163" s="93"/>
    </row>
    <row r="164" ht="15" spans="1:51">
      <c r="A164" s="91"/>
      <c r="B164" s="95"/>
      <c r="C164" s="152" t="s">
        <v>99</v>
      </c>
      <c r="D164" s="153" t="s">
        <v>25</v>
      </c>
      <c r="E164" s="130" t="s">
        <v>100</v>
      </c>
      <c r="F164" s="154" t="s">
        <v>186</v>
      </c>
      <c r="G164" s="154" t="s">
        <v>186</v>
      </c>
      <c r="H164" s="154" t="s">
        <v>186</v>
      </c>
      <c r="I164" s="154" t="s">
        <v>186</v>
      </c>
      <c r="J164" s="132">
        <v>0.9</v>
      </c>
      <c r="K164" s="133">
        <v>0.981481481481482</v>
      </c>
      <c r="L164" s="133">
        <v>1</v>
      </c>
      <c r="M164" s="134">
        <v>1</v>
      </c>
      <c r="N164" s="133">
        <v>0.98677517802645</v>
      </c>
      <c r="O164" s="135">
        <v>0.9</v>
      </c>
      <c r="P164" s="133">
        <v>0.961869266055046</v>
      </c>
      <c r="Q164" s="133">
        <v>0.982795698924731</v>
      </c>
      <c r="R164" s="133">
        <v>0.984469696969697</v>
      </c>
      <c r="S164" s="133">
        <v>0.98013388037141</v>
      </c>
      <c r="T164" s="135">
        <v>0.9</v>
      </c>
      <c r="U164" s="133">
        <v>0.948107798165138</v>
      </c>
      <c r="V164" s="133">
        <v>0.963440860215054</v>
      </c>
      <c r="W164" s="133">
        <v>0.962121212121212</v>
      </c>
      <c r="X164" s="133">
        <v>0.956368209127745</v>
      </c>
      <c r="Y164" s="135">
        <v>0.92</v>
      </c>
      <c r="Z164" s="135">
        <v>0.952236081533313</v>
      </c>
      <c r="AA164" s="135">
        <v>0.950517836593786</v>
      </c>
      <c r="AB164" s="135">
        <v>0.964985994397759</v>
      </c>
      <c r="AC164" s="135">
        <v>0.974702649125969</v>
      </c>
      <c r="AD164" s="135">
        <v>0.92</v>
      </c>
      <c r="AE164" s="133">
        <v>0.997267759562842</v>
      </c>
      <c r="AF164" s="133">
        <v>0.996383363471971</v>
      </c>
      <c r="AG164" s="133">
        <v>0.992141453831041</v>
      </c>
      <c r="AH164" s="133">
        <v>0.977590730214254</v>
      </c>
      <c r="AI164" s="135">
        <v>0.92</v>
      </c>
      <c r="AJ164" s="133">
        <v>0.961481700118064</v>
      </c>
      <c r="AK164" s="133">
        <v>0.971418101868816</v>
      </c>
      <c r="AL164" s="133">
        <v>0.975551580202743</v>
      </c>
      <c r="AM164" s="133">
        <v>0.983749411210551</v>
      </c>
      <c r="AN164" s="132">
        <v>0.99</v>
      </c>
      <c r="AO164" s="137">
        <v>1</v>
      </c>
      <c r="AP164" s="137">
        <v>1</v>
      </c>
      <c r="AQ164" s="137">
        <v>1</v>
      </c>
      <c r="AR164" s="137">
        <v>1</v>
      </c>
      <c r="AS164" s="139">
        <v>0.105261498981944</v>
      </c>
      <c r="AT164" s="141">
        <v>0.294117647058824</v>
      </c>
      <c r="AU164" s="141">
        <v>0</v>
      </c>
      <c r="AV164" s="141">
        <v>0</v>
      </c>
      <c r="AW164" s="141">
        <v>0.0603448275862069</v>
      </c>
      <c r="AX164" s="95"/>
      <c r="AY164" s="93"/>
    </row>
    <row r="165" ht="15" spans="1:51">
      <c r="A165" s="91"/>
      <c r="B165" s="95"/>
      <c r="C165" s="152" t="s">
        <v>99</v>
      </c>
      <c r="D165" s="153" t="s">
        <v>25</v>
      </c>
      <c r="E165" s="130" t="s">
        <v>100</v>
      </c>
      <c r="F165" s="154" t="s">
        <v>187</v>
      </c>
      <c r="G165" s="154" t="s">
        <v>187</v>
      </c>
      <c r="H165" s="154" t="s">
        <v>187</v>
      </c>
      <c r="I165" s="154" t="s">
        <v>187</v>
      </c>
      <c r="J165" s="132">
        <v>0.9</v>
      </c>
      <c r="K165" s="133">
        <v>0.981981981981982</v>
      </c>
      <c r="L165" s="133">
        <v>0.945054945054945</v>
      </c>
      <c r="M165" s="134">
        <v>0.973684210526316</v>
      </c>
      <c r="N165" s="133">
        <v>0.967539267015707</v>
      </c>
      <c r="O165" s="135">
        <v>0.9</v>
      </c>
      <c r="P165" s="133">
        <v>0.978870759478812</v>
      </c>
      <c r="Q165" s="133">
        <v>0.976156511106582</v>
      </c>
      <c r="R165" s="133">
        <v>0.973212870502457</v>
      </c>
      <c r="S165" s="133">
        <v>0.972318317336118</v>
      </c>
      <c r="T165" s="135">
        <v>0.9</v>
      </c>
      <c r="U165" s="133">
        <v>0.960323981687992</v>
      </c>
      <c r="V165" s="133">
        <v>0.942734868555125</v>
      </c>
      <c r="W165" s="133">
        <v>0.918053574258995</v>
      </c>
      <c r="X165" s="133">
        <v>0.940837558023977</v>
      </c>
      <c r="Y165" s="135">
        <v>0.92</v>
      </c>
      <c r="Z165" s="135">
        <v>0.946358482337549</v>
      </c>
      <c r="AA165" s="135">
        <v>0.946966292134831</v>
      </c>
      <c r="AB165" s="135">
        <v>0.881054897739505</v>
      </c>
      <c r="AC165" s="135">
        <v>0.95190685116436</v>
      </c>
      <c r="AD165" s="135">
        <v>0.92</v>
      </c>
      <c r="AE165" s="133">
        <v>0.993680387755394</v>
      </c>
      <c r="AF165" s="133">
        <v>0.992140596004803</v>
      </c>
      <c r="AG165" s="133">
        <v>0.991329479768786</v>
      </c>
      <c r="AH165" s="133">
        <v>0.99365089441498</v>
      </c>
      <c r="AI165" s="135">
        <v>0.92</v>
      </c>
      <c r="AJ165" s="133">
        <v>0.967209921433673</v>
      </c>
      <c r="AK165" s="133">
        <v>0.970278984999299</v>
      </c>
      <c r="AL165" s="133">
        <v>0.94506973330071</v>
      </c>
      <c r="AM165" s="133">
        <v>0.97402455991773</v>
      </c>
      <c r="AN165" s="132">
        <v>0.99</v>
      </c>
      <c r="AO165" s="137">
        <v>1</v>
      </c>
      <c r="AP165" s="137">
        <v>1</v>
      </c>
      <c r="AQ165" s="137">
        <v>1</v>
      </c>
      <c r="AR165" s="137">
        <v>1</v>
      </c>
      <c r="AS165" s="139">
        <v>0.105261498981944</v>
      </c>
      <c r="AT165" s="141">
        <v>0.0476190476190476</v>
      </c>
      <c r="AU165" s="141">
        <v>0.0714285714285714</v>
      </c>
      <c r="AV165" s="141">
        <v>0.176470588235294</v>
      </c>
      <c r="AW165" s="141">
        <v>0.0770925110132159</v>
      </c>
      <c r="AX165" s="95"/>
      <c r="AY165" s="93"/>
    </row>
    <row r="166" ht="15" spans="1:51">
      <c r="A166" s="91"/>
      <c r="B166" s="95"/>
      <c r="C166" s="152" t="s">
        <v>99</v>
      </c>
      <c r="D166" s="153" t="s">
        <v>25</v>
      </c>
      <c r="E166" s="130" t="s">
        <v>100</v>
      </c>
      <c r="F166" s="154" t="s">
        <v>188</v>
      </c>
      <c r="G166" s="154" t="s">
        <v>188</v>
      </c>
      <c r="H166" s="154" t="s">
        <v>188</v>
      </c>
      <c r="I166" s="154" t="s">
        <v>188</v>
      </c>
      <c r="J166" s="132">
        <v>0.9</v>
      </c>
      <c r="K166" s="133">
        <v>1</v>
      </c>
      <c r="L166" s="133">
        <v>0.979591836734694</v>
      </c>
      <c r="M166" s="134">
        <v>0.906976744186046</v>
      </c>
      <c r="N166" s="133">
        <v>0.980187695516163</v>
      </c>
      <c r="O166" s="135">
        <v>0.9</v>
      </c>
      <c r="P166" s="133">
        <v>0.333333333333333</v>
      </c>
      <c r="Q166" s="133" t="s">
        <v>35</v>
      </c>
      <c r="R166" s="133" t="s">
        <v>35</v>
      </c>
      <c r="S166" s="133">
        <v>0.6</v>
      </c>
      <c r="T166" s="135">
        <v>0.9</v>
      </c>
      <c r="U166" s="133">
        <v>0</v>
      </c>
      <c r="V166" s="133" t="s">
        <v>35</v>
      </c>
      <c r="W166" s="133" t="s">
        <v>35</v>
      </c>
      <c r="X166" s="133">
        <v>0.2</v>
      </c>
      <c r="Y166" s="135">
        <v>0.92</v>
      </c>
      <c r="Z166" s="135" t="s">
        <v>35</v>
      </c>
      <c r="AA166" s="135">
        <v>0</v>
      </c>
      <c r="AB166" s="135">
        <v>0</v>
      </c>
      <c r="AC166" s="135">
        <v>0.333333333333333</v>
      </c>
      <c r="AD166" s="135">
        <v>0.92</v>
      </c>
      <c r="AE166" s="133">
        <v>0.995863495346432</v>
      </c>
      <c r="AF166" s="133">
        <v>0.988505747126437</v>
      </c>
      <c r="AG166" s="133">
        <v>0.976190476190476</v>
      </c>
      <c r="AH166" s="133">
        <v>0.990668090440596</v>
      </c>
      <c r="AI166" s="135">
        <v>0.92</v>
      </c>
      <c r="AJ166" s="133">
        <v>0.977512297962052</v>
      </c>
      <c r="AK166" s="133">
        <v>0.981985940246046</v>
      </c>
      <c r="AL166" s="133">
        <v>0.985241502683363</v>
      </c>
      <c r="AM166" s="133">
        <v>0.990746307110958</v>
      </c>
      <c r="AN166" s="132">
        <v>0.99</v>
      </c>
      <c r="AO166" s="137">
        <v>1</v>
      </c>
      <c r="AP166" s="137">
        <v>1</v>
      </c>
      <c r="AQ166" s="137">
        <v>1</v>
      </c>
      <c r="AR166" s="137">
        <v>1</v>
      </c>
      <c r="AS166" s="139">
        <v>0.105261498981944</v>
      </c>
      <c r="AT166" s="141">
        <v>0.25</v>
      </c>
      <c r="AU166" s="141">
        <v>0</v>
      </c>
      <c r="AV166" s="141">
        <v>0.125</v>
      </c>
      <c r="AW166" s="141">
        <v>0.126050420168067</v>
      </c>
      <c r="AX166" s="95"/>
      <c r="AY166" s="93"/>
    </row>
    <row r="167" ht="15" spans="1:51">
      <c r="A167" s="91"/>
      <c r="B167" s="95"/>
      <c r="C167" s="152" t="s">
        <v>99</v>
      </c>
      <c r="D167" s="153" t="s">
        <v>25</v>
      </c>
      <c r="E167" s="130" t="s">
        <v>100</v>
      </c>
      <c r="F167" s="154" t="s">
        <v>189</v>
      </c>
      <c r="G167" s="154" t="s">
        <v>189</v>
      </c>
      <c r="H167" s="154" t="s">
        <v>189</v>
      </c>
      <c r="I167" s="154" t="s">
        <v>189</v>
      </c>
      <c r="J167" s="132">
        <v>0.9</v>
      </c>
      <c r="K167" s="133">
        <v>0.963636363636364</v>
      </c>
      <c r="L167" s="133">
        <v>1</v>
      </c>
      <c r="M167" s="134">
        <v>1</v>
      </c>
      <c r="N167" s="133">
        <v>0.9814453125</v>
      </c>
      <c r="O167" s="135">
        <v>0.9</v>
      </c>
      <c r="P167" s="133">
        <v>0.972034956304619</v>
      </c>
      <c r="Q167" s="133">
        <v>0.972056802565277</v>
      </c>
      <c r="R167" s="133">
        <v>0.968280467445743</v>
      </c>
      <c r="S167" s="133">
        <v>0.959493523164897</v>
      </c>
      <c r="T167" s="135">
        <v>0.9</v>
      </c>
      <c r="U167" s="133">
        <v>0.94856429463171</v>
      </c>
      <c r="V167" s="133">
        <v>0.949610627576729</v>
      </c>
      <c r="W167" s="133">
        <v>0.951252086811352</v>
      </c>
      <c r="X167" s="133">
        <v>0.944124168514412</v>
      </c>
      <c r="Y167" s="135">
        <v>0.92</v>
      </c>
      <c r="Z167" s="135">
        <v>0.959322033898305</v>
      </c>
      <c r="AA167" s="135">
        <v>0.968663594470046</v>
      </c>
      <c r="AB167" s="135">
        <v>0.948660714285714</v>
      </c>
      <c r="AC167" s="135">
        <v>0.970177146194277</v>
      </c>
      <c r="AD167" s="135">
        <v>0.92</v>
      </c>
      <c r="AE167" s="133">
        <v>0.998132935026139</v>
      </c>
      <c r="AF167" s="133">
        <v>0.995379537953795</v>
      </c>
      <c r="AG167" s="133">
        <v>0.994612068965517</v>
      </c>
      <c r="AH167" s="133">
        <v>0.988197642915199</v>
      </c>
      <c r="AI167" s="135">
        <v>0.92</v>
      </c>
      <c r="AJ167" s="133">
        <v>0.971769383697813</v>
      </c>
      <c r="AK167" s="133">
        <v>0.980110159118727</v>
      </c>
      <c r="AL167" s="133">
        <v>0.975070675918787</v>
      </c>
      <c r="AM167" s="133">
        <v>0.983380996848372</v>
      </c>
      <c r="AN167" s="132">
        <v>0.99</v>
      </c>
      <c r="AO167" s="137">
        <v>1</v>
      </c>
      <c r="AP167" s="137">
        <v>1</v>
      </c>
      <c r="AQ167" s="137">
        <v>1</v>
      </c>
      <c r="AR167" s="137">
        <v>1</v>
      </c>
      <c r="AS167" s="139">
        <v>0.105261498981944</v>
      </c>
      <c r="AT167" s="141">
        <v>0</v>
      </c>
      <c r="AU167" s="141">
        <v>0.2</v>
      </c>
      <c r="AV167" s="141">
        <v>0.2</v>
      </c>
      <c r="AW167" s="141">
        <v>0.0913978494623656</v>
      </c>
      <c r="AX167" s="95"/>
      <c r="AY167" s="93"/>
    </row>
    <row r="168" ht="15" spans="1:51">
      <c r="A168" s="91"/>
      <c r="B168" s="95"/>
      <c r="C168" s="152" t="s">
        <v>99</v>
      </c>
      <c r="D168" s="153" t="s">
        <v>25</v>
      </c>
      <c r="E168" s="130" t="s">
        <v>100</v>
      </c>
      <c r="F168" s="154" t="s">
        <v>190</v>
      </c>
      <c r="G168" s="154" t="s">
        <v>190</v>
      </c>
      <c r="H168" s="154" t="s">
        <v>190</v>
      </c>
      <c r="I168" s="154" t="s">
        <v>190</v>
      </c>
      <c r="J168" s="132">
        <v>0.9</v>
      </c>
      <c r="K168" s="133">
        <v>0.978723404255319</v>
      </c>
      <c r="L168" s="133">
        <v>0.934782608695652</v>
      </c>
      <c r="M168" s="134">
        <v>0.918918918918919</v>
      </c>
      <c r="N168" s="133">
        <v>0.950859950859951</v>
      </c>
      <c r="O168" s="135">
        <v>0.9</v>
      </c>
      <c r="P168" s="133">
        <v>0.93768352365416</v>
      </c>
      <c r="Q168" s="133">
        <v>0.966687230104874</v>
      </c>
      <c r="R168" s="133">
        <v>0.944868532654792</v>
      </c>
      <c r="S168" s="133">
        <v>0.947944368026899</v>
      </c>
      <c r="T168" s="135">
        <v>0.9</v>
      </c>
      <c r="U168" s="133">
        <v>0.908972267536705</v>
      </c>
      <c r="V168" s="133">
        <v>0.929056138186305</v>
      </c>
      <c r="W168" s="133">
        <v>0.917302798982188</v>
      </c>
      <c r="X168" s="133">
        <v>0.922008253094911</v>
      </c>
      <c r="Y168" s="135">
        <v>0.92</v>
      </c>
      <c r="Z168" s="135">
        <v>0.937674094707521</v>
      </c>
      <c r="AA168" s="135">
        <v>0.926767676767677</v>
      </c>
      <c r="AB168" s="135">
        <v>0.908460471567268</v>
      </c>
      <c r="AC168" s="135">
        <v>0.953115376719359</v>
      </c>
      <c r="AD168" s="135">
        <v>0.92</v>
      </c>
      <c r="AE168" s="133">
        <v>0.991023339317774</v>
      </c>
      <c r="AF168" s="133">
        <v>0.952380952380952</v>
      </c>
      <c r="AG168" s="133">
        <v>0.93127147766323</v>
      </c>
      <c r="AH168" s="133">
        <v>0.951936376210235</v>
      </c>
      <c r="AI168" s="135">
        <v>0.92</v>
      </c>
      <c r="AJ168" s="133">
        <v>0.951474304970514</v>
      </c>
      <c r="AK168" s="133">
        <v>0.95192706174886</v>
      </c>
      <c r="AL168" s="133">
        <v>0.95940240337772</v>
      </c>
      <c r="AM168" s="133">
        <v>0.969838898147616</v>
      </c>
      <c r="AN168" s="132">
        <v>0.99</v>
      </c>
      <c r="AO168" s="137">
        <v>1</v>
      </c>
      <c r="AP168" s="137">
        <v>1</v>
      </c>
      <c r="AQ168" s="137">
        <v>1</v>
      </c>
      <c r="AR168" s="137">
        <v>1</v>
      </c>
      <c r="AS168" s="139">
        <v>0.105261498981944</v>
      </c>
      <c r="AT168" s="141">
        <v>0.25</v>
      </c>
      <c r="AU168" s="141">
        <v>0.166666666666667</v>
      </c>
      <c r="AV168" s="141">
        <v>0</v>
      </c>
      <c r="AW168" s="141">
        <v>0.0696517412935323</v>
      </c>
      <c r="AX168" s="95"/>
      <c r="AY168" s="93"/>
    </row>
    <row r="169" ht="15" spans="1:51">
      <c r="A169" s="91"/>
      <c r="B169" s="95"/>
      <c r="C169" s="152" t="s">
        <v>99</v>
      </c>
      <c r="D169" s="153" t="s">
        <v>25</v>
      </c>
      <c r="E169" s="130" t="s">
        <v>100</v>
      </c>
      <c r="F169" s="154" t="s">
        <v>191</v>
      </c>
      <c r="G169" s="154" t="s">
        <v>191</v>
      </c>
      <c r="H169" s="154" t="s">
        <v>191</v>
      </c>
      <c r="I169" s="154" t="s">
        <v>191</v>
      </c>
      <c r="J169" s="132">
        <v>0.9</v>
      </c>
      <c r="K169" s="133">
        <v>0.973684210526316</v>
      </c>
      <c r="L169" s="133">
        <v>0.955882352941177</v>
      </c>
      <c r="M169" s="134">
        <v>0.96875</v>
      </c>
      <c r="N169" s="133">
        <v>0.962321024868124</v>
      </c>
      <c r="O169" s="135">
        <v>0.9</v>
      </c>
      <c r="P169" s="133">
        <v>0.932540645474399</v>
      </c>
      <c r="Q169" s="133">
        <v>0.931828242585215</v>
      </c>
      <c r="R169" s="133">
        <v>0.952066115702479</v>
      </c>
      <c r="S169" s="133">
        <v>0.936764361340131</v>
      </c>
      <c r="T169" s="135">
        <v>0.9</v>
      </c>
      <c r="U169" s="133">
        <v>0.888861926716816</v>
      </c>
      <c r="V169" s="133">
        <v>0.874280655157149</v>
      </c>
      <c r="W169" s="133">
        <v>0.891900826446281</v>
      </c>
      <c r="X169" s="133">
        <v>0.896879497506499</v>
      </c>
      <c r="Y169" s="135">
        <v>0.92</v>
      </c>
      <c r="Z169" s="135">
        <v>0.957795431976167</v>
      </c>
      <c r="AA169" s="135">
        <v>0.920767306088407</v>
      </c>
      <c r="AB169" s="135">
        <v>0.830339321357285</v>
      </c>
      <c r="AC169" s="135">
        <v>0.934220629639109</v>
      </c>
      <c r="AD169" s="135">
        <v>0.92</v>
      </c>
      <c r="AE169" s="133">
        <v>0.991586538461538</v>
      </c>
      <c r="AF169" s="133">
        <v>0.96304347826087</v>
      </c>
      <c r="AG169" s="133">
        <v>0.986377708978328</v>
      </c>
      <c r="AH169" s="133">
        <v>0.983416033607049</v>
      </c>
      <c r="AI169" s="135">
        <v>0.92</v>
      </c>
      <c r="AJ169" s="133">
        <v>0.9545956559087</v>
      </c>
      <c r="AK169" s="133">
        <v>0.948814343551186</v>
      </c>
      <c r="AL169" s="133">
        <v>0.933714001986097</v>
      </c>
      <c r="AM169" s="133">
        <v>0.962379708598627</v>
      </c>
      <c r="AN169" s="132">
        <v>0.99</v>
      </c>
      <c r="AO169" s="137">
        <v>1</v>
      </c>
      <c r="AP169" s="137">
        <v>1</v>
      </c>
      <c r="AQ169" s="137">
        <v>1</v>
      </c>
      <c r="AR169" s="137">
        <v>1</v>
      </c>
      <c r="AS169" s="139">
        <v>0.105261498981944</v>
      </c>
      <c r="AT169" s="141">
        <v>0.05</v>
      </c>
      <c r="AU169" s="141">
        <v>0.125</v>
      </c>
      <c r="AV169" s="141">
        <v>0.15</v>
      </c>
      <c r="AW169" s="141">
        <v>0.0857988165680473</v>
      </c>
      <c r="AX169" s="95"/>
      <c r="AY169" s="93"/>
    </row>
    <row r="170" ht="15" spans="1:51">
      <c r="A170" s="91"/>
      <c r="B170" s="95"/>
      <c r="C170" s="152" t="s">
        <v>99</v>
      </c>
      <c r="D170" s="153" t="s">
        <v>25</v>
      </c>
      <c r="E170" s="130" t="s">
        <v>100</v>
      </c>
      <c r="F170" s="154" t="s">
        <v>192</v>
      </c>
      <c r="G170" s="154" t="s">
        <v>192</v>
      </c>
      <c r="H170" s="154" t="s">
        <v>192</v>
      </c>
      <c r="I170" s="154" t="s">
        <v>192</v>
      </c>
      <c r="J170" s="132">
        <v>0.9</v>
      </c>
      <c r="K170" s="133">
        <v>0.931818181818182</v>
      </c>
      <c r="L170" s="133">
        <v>0.939024390243902</v>
      </c>
      <c r="M170" s="134">
        <v>0.859154929577465</v>
      </c>
      <c r="N170" s="133">
        <v>0.930946291560102</v>
      </c>
      <c r="O170" s="135">
        <v>0.9</v>
      </c>
      <c r="P170" s="133">
        <v>0.960950764006791</v>
      </c>
      <c r="Q170" s="133">
        <v>0.963250306247448</v>
      </c>
      <c r="R170" s="133">
        <v>0.964774381368268</v>
      </c>
      <c r="S170" s="133">
        <v>0.945431802261583</v>
      </c>
      <c r="T170" s="135">
        <v>0.9</v>
      </c>
      <c r="U170" s="133">
        <v>0.919991511035654</v>
      </c>
      <c r="V170" s="133">
        <v>0.930583911800735</v>
      </c>
      <c r="W170" s="133">
        <v>0.91353711790393</v>
      </c>
      <c r="X170" s="133">
        <v>0.908565996197338</v>
      </c>
      <c r="Y170" s="135">
        <v>0.92</v>
      </c>
      <c r="Z170" s="135">
        <v>0.931750741839763</v>
      </c>
      <c r="AA170" s="135">
        <v>0.920719520319787</v>
      </c>
      <c r="AB170" s="135">
        <v>0.908933217692975</v>
      </c>
      <c r="AC170" s="135">
        <v>0.939738386663864</v>
      </c>
      <c r="AD170" s="135">
        <v>0.92</v>
      </c>
      <c r="AE170" s="133">
        <v>0.996303962152572</v>
      </c>
      <c r="AF170" s="133">
        <v>0.998361252731245</v>
      </c>
      <c r="AG170" s="133">
        <v>0.997048281678263</v>
      </c>
      <c r="AH170" s="133">
        <v>0.96920186617403</v>
      </c>
      <c r="AI170" s="135">
        <v>0.92</v>
      </c>
      <c r="AJ170" s="133">
        <v>0.948997985367405</v>
      </c>
      <c r="AK170" s="133">
        <v>0.958775923115832</v>
      </c>
      <c r="AL170" s="133">
        <v>0.955972101133391</v>
      </c>
      <c r="AM170" s="133">
        <v>0.964062789691614</v>
      </c>
      <c r="AN170" s="132">
        <v>0.99</v>
      </c>
      <c r="AO170" s="137">
        <v>1</v>
      </c>
      <c r="AP170" s="137">
        <v>1</v>
      </c>
      <c r="AQ170" s="137">
        <v>1</v>
      </c>
      <c r="AR170" s="137">
        <v>1</v>
      </c>
      <c r="AS170" s="139">
        <v>0.105261498981944</v>
      </c>
      <c r="AT170" s="141">
        <v>0.0208333333333333</v>
      </c>
      <c r="AU170" s="141">
        <v>0.222222222222222</v>
      </c>
      <c r="AV170" s="141">
        <v>0.0681818181818182</v>
      </c>
      <c r="AW170" s="141">
        <v>0.0532741398446171</v>
      </c>
      <c r="AX170" s="95"/>
      <c r="AY170" s="93"/>
    </row>
    <row r="171" ht="15" spans="1:51">
      <c r="A171" s="91"/>
      <c r="B171" s="95"/>
      <c r="C171" s="152" t="s">
        <v>99</v>
      </c>
      <c r="D171" s="153" t="s">
        <v>25</v>
      </c>
      <c r="E171" s="130" t="s">
        <v>100</v>
      </c>
      <c r="F171" s="154" t="s">
        <v>193</v>
      </c>
      <c r="G171" s="154" t="s">
        <v>193</v>
      </c>
      <c r="H171" s="154" t="s">
        <v>193</v>
      </c>
      <c r="I171" s="154" t="s">
        <v>193</v>
      </c>
      <c r="J171" s="132">
        <v>0.9</v>
      </c>
      <c r="K171" s="133">
        <v>0.939024390243902</v>
      </c>
      <c r="L171" s="133">
        <v>0.96</v>
      </c>
      <c r="M171" s="134">
        <v>1</v>
      </c>
      <c r="N171" s="133">
        <v>0.948042704626335</v>
      </c>
      <c r="O171" s="135">
        <v>0.9</v>
      </c>
      <c r="P171" s="133">
        <v>0.959441860465116</v>
      </c>
      <c r="Q171" s="133">
        <v>0.971648582429121</v>
      </c>
      <c r="R171" s="133">
        <v>0.94222448460168</v>
      </c>
      <c r="S171" s="133">
        <v>0.937871265569201</v>
      </c>
      <c r="T171" s="135">
        <v>0.9</v>
      </c>
      <c r="U171" s="133">
        <v>0.926325581395349</v>
      </c>
      <c r="V171" s="133">
        <v>0.946447322366118</v>
      </c>
      <c r="W171" s="133">
        <v>0.910409773479257</v>
      </c>
      <c r="X171" s="133">
        <v>0.888311122724501</v>
      </c>
      <c r="Y171" s="135">
        <v>0.92</v>
      </c>
      <c r="Z171" s="135">
        <v>0.91773276474769</v>
      </c>
      <c r="AA171" s="135">
        <v>0.933462532299742</v>
      </c>
      <c r="AB171" s="135">
        <v>0.890850722311397</v>
      </c>
      <c r="AC171" s="135">
        <v>0.926251615440805</v>
      </c>
      <c r="AD171" s="135">
        <v>0.92</v>
      </c>
      <c r="AE171" s="133">
        <v>0.992981752556647</v>
      </c>
      <c r="AF171" s="133">
        <v>0.958147094676961</v>
      </c>
      <c r="AG171" s="133">
        <v>0.98828125</v>
      </c>
      <c r="AH171" s="133">
        <v>0.988728434843723</v>
      </c>
      <c r="AI171" s="135">
        <v>0.92</v>
      </c>
      <c r="AJ171" s="133">
        <v>0.942470235390348</v>
      </c>
      <c r="AK171" s="133">
        <v>0.964358683314415</v>
      </c>
      <c r="AL171" s="133">
        <v>0.939903381642512</v>
      </c>
      <c r="AM171" s="133">
        <v>0.953609771570193</v>
      </c>
      <c r="AN171" s="132">
        <v>0.99</v>
      </c>
      <c r="AO171" s="137">
        <v>1</v>
      </c>
      <c r="AP171" s="137">
        <v>1</v>
      </c>
      <c r="AQ171" s="137">
        <v>1</v>
      </c>
      <c r="AR171" s="137">
        <v>1</v>
      </c>
      <c r="AS171" s="139">
        <v>0.105261498981944</v>
      </c>
      <c r="AT171" s="141">
        <v>0.117647058823529</v>
      </c>
      <c r="AU171" s="141">
        <v>0.0666666666666667</v>
      </c>
      <c r="AV171" s="141">
        <v>0.0909090909090909</v>
      </c>
      <c r="AW171" s="141">
        <v>0.0894308943089431</v>
      </c>
      <c r="AX171" s="95"/>
      <c r="AY171" s="93"/>
    </row>
    <row r="172" ht="15" spans="1:51">
      <c r="A172" s="91"/>
      <c r="B172" s="95"/>
      <c r="C172" s="152" t="s">
        <v>99</v>
      </c>
      <c r="D172" s="153" t="s">
        <v>25</v>
      </c>
      <c r="E172" s="130" t="s">
        <v>100</v>
      </c>
      <c r="F172" s="154" t="s">
        <v>194</v>
      </c>
      <c r="G172" s="154" t="s">
        <v>194</v>
      </c>
      <c r="H172" s="154" t="s">
        <v>194</v>
      </c>
      <c r="I172" s="154" t="s">
        <v>194</v>
      </c>
      <c r="J172" s="132">
        <v>0.9</v>
      </c>
      <c r="K172" s="133">
        <v>1</v>
      </c>
      <c r="L172" s="133">
        <v>0.98</v>
      </c>
      <c r="M172" s="134">
        <v>0.926829268292683</v>
      </c>
      <c r="N172" s="133">
        <v>0.9656912209889</v>
      </c>
      <c r="O172" s="135">
        <v>0.9</v>
      </c>
      <c r="P172" s="133">
        <v>0.940958164642375</v>
      </c>
      <c r="Q172" s="133">
        <v>0.976941747572815</v>
      </c>
      <c r="R172" s="133">
        <v>0.935164340387213</v>
      </c>
      <c r="S172" s="133">
        <v>0.955744012563801</v>
      </c>
      <c r="T172" s="135">
        <v>0.9</v>
      </c>
      <c r="U172" s="133">
        <v>0.912280701754386</v>
      </c>
      <c r="V172" s="133">
        <v>0.924150485436893</v>
      </c>
      <c r="W172" s="133">
        <v>0.909049977487618</v>
      </c>
      <c r="X172" s="133">
        <v>0.914754613270514</v>
      </c>
      <c r="Y172" s="135">
        <v>0.92</v>
      </c>
      <c r="Z172" s="135">
        <v>0.950924369747899</v>
      </c>
      <c r="AA172" s="135">
        <v>0.942245989304813</v>
      </c>
      <c r="AB172" s="135">
        <v>0.95014245014245</v>
      </c>
      <c r="AC172" s="135">
        <v>0.958160398030471</v>
      </c>
      <c r="AD172" s="135">
        <v>0.92</v>
      </c>
      <c r="AE172" s="133">
        <v>0.985279685966634</v>
      </c>
      <c r="AF172" s="133">
        <v>0.975524475524476</v>
      </c>
      <c r="AG172" s="133">
        <v>0.961690885072655</v>
      </c>
      <c r="AH172" s="133">
        <v>0.964039433393911</v>
      </c>
      <c r="AI172" s="135">
        <v>0.92</v>
      </c>
      <c r="AJ172" s="133">
        <v>0.960767806027951</v>
      </c>
      <c r="AK172" s="133">
        <v>0.967092528068138</v>
      </c>
      <c r="AL172" s="133">
        <v>0.962709544988026</v>
      </c>
      <c r="AM172" s="133">
        <v>0.974187818992691</v>
      </c>
      <c r="AN172" s="132">
        <v>0.99</v>
      </c>
      <c r="AO172" s="137">
        <v>1</v>
      </c>
      <c r="AP172" s="137">
        <v>1</v>
      </c>
      <c r="AQ172" s="137">
        <v>1</v>
      </c>
      <c r="AR172" s="137">
        <v>1</v>
      </c>
      <c r="AS172" s="139">
        <v>0.105261498981944</v>
      </c>
      <c r="AT172" s="141">
        <v>0.142857142857143</v>
      </c>
      <c r="AU172" s="141">
        <v>0.111111111111111</v>
      </c>
      <c r="AV172" s="141">
        <v>0</v>
      </c>
      <c r="AW172" s="141">
        <v>0.0771028037383178</v>
      </c>
      <c r="AX172" s="95"/>
      <c r="AY172" s="93"/>
    </row>
    <row r="173" ht="15" spans="1:51">
      <c r="A173" s="91"/>
      <c r="B173" s="95"/>
      <c r="C173" s="152" t="s">
        <v>99</v>
      </c>
      <c r="D173" s="153" t="s">
        <v>25</v>
      </c>
      <c r="E173" s="130" t="s">
        <v>100</v>
      </c>
      <c r="F173" s="154" t="s">
        <v>195</v>
      </c>
      <c r="G173" s="154" t="s">
        <v>195</v>
      </c>
      <c r="H173" s="154" t="s">
        <v>195</v>
      </c>
      <c r="I173" s="154" t="s">
        <v>195</v>
      </c>
      <c r="J173" s="132">
        <v>0.9</v>
      </c>
      <c r="K173" s="133">
        <v>0.938271604938272</v>
      </c>
      <c r="L173" s="133">
        <v>0.932432432432432</v>
      </c>
      <c r="M173" s="134">
        <v>0.931034482758621</v>
      </c>
      <c r="N173" s="133">
        <v>0.936575052854123</v>
      </c>
      <c r="O173" s="135">
        <v>0.9</v>
      </c>
      <c r="P173" s="133">
        <v>0.978654417724939</v>
      </c>
      <c r="Q173" s="133">
        <v>0.981633639439343</v>
      </c>
      <c r="R173" s="133">
        <v>0.987870619946092</v>
      </c>
      <c r="S173" s="133">
        <v>0.971725653938752</v>
      </c>
      <c r="T173" s="135">
        <v>0.9</v>
      </c>
      <c r="U173" s="133">
        <v>0.918130235071602</v>
      </c>
      <c r="V173" s="133">
        <v>0.925084581923635</v>
      </c>
      <c r="W173" s="133">
        <v>0.882075471698113</v>
      </c>
      <c r="X173" s="133">
        <v>0.906011933146466</v>
      </c>
      <c r="Y173" s="135">
        <v>0.92</v>
      </c>
      <c r="Z173" s="135">
        <v>0.939393939393939</v>
      </c>
      <c r="AA173" s="135">
        <v>0.936613844870726</v>
      </c>
      <c r="AB173" s="135">
        <v>0.884177869700103</v>
      </c>
      <c r="AC173" s="135">
        <v>0.937032642067394</v>
      </c>
      <c r="AD173" s="135">
        <v>0.92</v>
      </c>
      <c r="AE173" s="133">
        <v>0.989371752479924</v>
      </c>
      <c r="AF173" s="133">
        <v>0.512833675564682</v>
      </c>
      <c r="AG173" s="133">
        <v>0.965435692195743</v>
      </c>
      <c r="AH173" s="133">
        <v>0.766145491995131</v>
      </c>
      <c r="AI173" s="135">
        <v>0.92</v>
      </c>
      <c r="AJ173" s="133">
        <v>0.956909937888199</v>
      </c>
      <c r="AK173" s="133">
        <v>0.963925405074901</v>
      </c>
      <c r="AL173" s="133">
        <v>0.933672172808132</v>
      </c>
      <c r="AM173" s="133">
        <v>0.961531272465852</v>
      </c>
      <c r="AN173" s="132">
        <v>0.99</v>
      </c>
      <c r="AO173" s="137">
        <v>1</v>
      </c>
      <c r="AP173" s="137">
        <v>1</v>
      </c>
      <c r="AQ173" s="137">
        <v>1</v>
      </c>
      <c r="AR173" s="137">
        <v>1</v>
      </c>
      <c r="AS173" s="139">
        <v>0.105261498981944</v>
      </c>
      <c r="AT173" s="141">
        <v>0.08</v>
      </c>
      <c r="AU173" s="141">
        <v>0.272727272727273</v>
      </c>
      <c r="AV173" s="141">
        <v>0.285714285714286</v>
      </c>
      <c r="AW173" s="141">
        <v>0.103383458646617</v>
      </c>
      <c r="AX173" s="95"/>
      <c r="AY173" s="93"/>
    </row>
    <row r="174" ht="15" spans="1:51">
      <c r="A174" s="91"/>
      <c r="B174" s="95"/>
      <c r="C174" s="152" t="s">
        <v>99</v>
      </c>
      <c r="D174" s="153" t="s">
        <v>25</v>
      </c>
      <c r="E174" s="130" t="s">
        <v>100</v>
      </c>
      <c r="F174" s="154" t="s">
        <v>196</v>
      </c>
      <c r="G174" s="154" t="s">
        <v>196</v>
      </c>
      <c r="H174" s="154" t="s">
        <v>196</v>
      </c>
      <c r="I174" s="154" t="s">
        <v>196</v>
      </c>
      <c r="J174" s="132">
        <v>0.9</v>
      </c>
      <c r="K174" s="133">
        <v>0.947368421052632</v>
      </c>
      <c r="L174" s="133">
        <v>0.945945945945946</v>
      </c>
      <c r="M174" s="134">
        <v>0.936507936507937</v>
      </c>
      <c r="N174" s="133">
        <v>0.92378752886836</v>
      </c>
      <c r="O174" s="135">
        <v>0.9</v>
      </c>
      <c r="P174" s="133">
        <v>0.955220842662324</v>
      </c>
      <c r="Q174" s="133">
        <v>0.972928359194454</v>
      </c>
      <c r="R174" s="133">
        <v>0.945023963913166</v>
      </c>
      <c r="S174" s="133">
        <v>0.912864641421014</v>
      </c>
      <c r="T174" s="135">
        <v>0.9</v>
      </c>
      <c r="U174" s="133">
        <v>0.89639731325056</v>
      </c>
      <c r="V174" s="133">
        <v>0.919115219544404</v>
      </c>
      <c r="W174" s="133">
        <v>0.873696081195376</v>
      </c>
      <c r="X174" s="133">
        <v>0.869368585841016</v>
      </c>
      <c r="Y174" s="135">
        <v>0.92</v>
      </c>
      <c r="Z174" s="135">
        <v>0.864958448753463</v>
      </c>
      <c r="AA174" s="135">
        <v>0.864900662251656</v>
      </c>
      <c r="AB174" s="135">
        <v>0.829742876997915</v>
      </c>
      <c r="AC174" s="135">
        <v>0.899396272639776</v>
      </c>
      <c r="AD174" s="135">
        <v>0.92</v>
      </c>
      <c r="AE174" s="133">
        <v>0.758102116377931</v>
      </c>
      <c r="AF174" s="133">
        <v>0.957249437492599</v>
      </c>
      <c r="AG174" s="133">
        <v>0.996775763474875</v>
      </c>
      <c r="AH174" s="133">
        <v>0.966431654817743</v>
      </c>
      <c r="AI174" s="135">
        <v>0.92</v>
      </c>
      <c r="AJ174" s="133">
        <v>0.909248242293131</v>
      </c>
      <c r="AK174" s="133">
        <v>0.931482705441727</v>
      </c>
      <c r="AL174" s="133">
        <v>0.899719213798636</v>
      </c>
      <c r="AM174" s="133">
        <v>0.938041099339544</v>
      </c>
      <c r="AN174" s="132">
        <v>0.99</v>
      </c>
      <c r="AO174" s="137">
        <v>1</v>
      </c>
      <c r="AP174" s="137">
        <v>1</v>
      </c>
      <c r="AQ174" s="137">
        <v>1</v>
      </c>
      <c r="AR174" s="137">
        <v>1</v>
      </c>
      <c r="AS174" s="139">
        <v>0.105261498981944</v>
      </c>
      <c r="AT174" s="141">
        <v>0</v>
      </c>
      <c r="AU174" s="141">
        <v>0.25</v>
      </c>
      <c r="AV174" s="141">
        <v>0.0384615384615385</v>
      </c>
      <c r="AW174" s="141">
        <v>0.0756302521008403</v>
      </c>
      <c r="AX174" s="95"/>
      <c r="AY174" s="93"/>
    </row>
    <row r="175" ht="15" spans="1:51">
      <c r="A175" s="91"/>
      <c r="B175" s="95"/>
      <c r="C175" s="152" t="s">
        <v>99</v>
      </c>
      <c r="D175" s="153" t="s">
        <v>25</v>
      </c>
      <c r="E175" s="130" t="s">
        <v>100</v>
      </c>
      <c r="F175" s="154" t="s">
        <v>197</v>
      </c>
      <c r="G175" s="154" t="s">
        <v>197</v>
      </c>
      <c r="H175" s="154" t="s">
        <v>197</v>
      </c>
      <c r="I175" s="154" t="s">
        <v>197</v>
      </c>
      <c r="J175" s="132">
        <v>0.9</v>
      </c>
      <c r="K175" s="133">
        <v>0.931034482758621</v>
      </c>
      <c r="L175" s="133">
        <v>0.974683544303797</v>
      </c>
      <c r="M175" s="134">
        <v>0.946666666666667</v>
      </c>
      <c r="N175" s="133">
        <v>0.94280205655527</v>
      </c>
      <c r="O175" s="135">
        <v>0.9</v>
      </c>
      <c r="P175" s="133">
        <v>0.941109422492401</v>
      </c>
      <c r="Q175" s="133">
        <v>0.9046875</v>
      </c>
      <c r="R175" s="133">
        <v>0.907646474677259</v>
      </c>
      <c r="S175" s="133">
        <v>0.925610471585506</v>
      </c>
      <c r="T175" s="135">
        <v>0.9</v>
      </c>
      <c r="U175" s="133">
        <v>0.939209726443769</v>
      </c>
      <c r="V175" s="133">
        <v>0.89625</v>
      </c>
      <c r="W175" s="133">
        <v>0.881330685203575</v>
      </c>
      <c r="X175" s="133">
        <v>0.901211839203706</v>
      </c>
      <c r="Y175" s="135">
        <v>0.92</v>
      </c>
      <c r="Z175" s="135">
        <v>0.947882736156352</v>
      </c>
      <c r="AA175" s="135">
        <v>0.972844534962661</v>
      </c>
      <c r="AB175" s="135">
        <v>0.943511450381679</v>
      </c>
      <c r="AC175" s="135">
        <v>0.953248297481353</v>
      </c>
      <c r="AD175" s="135">
        <v>0.92</v>
      </c>
      <c r="AE175" s="133">
        <v>0.981670789497213</v>
      </c>
      <c r="AF175" s="133">
        <v>0.973068801001121</v>
      </c>
      <c r="AG175" s="133">
        <v>0.990762124711316</v>
      </c>
      <c r="AH175" s="133">
        <v>0.960291169816983</v>
      </c>
      <c r="AI175" s="135">
        <v>0.92</v>
      </c>
      <c r="AJ175" s="133">
        <v>0.969746083198271</v>
      </c>
      <c r="AK175" s="133">
        <v>0.986093281985451</v>
      </c>
      <c r="AL175" s="133">
        <v>0.968340202322967</v>
      </c>
      <c r="AM175" s="133">
        <v>0.97342971700252</v>
      </c>
      <c r="AN175" s="132">
        <v>0.99</v>
      </c>
      <c r="AO175" s="137">
        <v>1</v>
      </c>
      <c r="AP175" s="137">
        <v>1</v>
      </c>
      <c r="AQ175" s="137">
        <v>1</v>
      </c>
      <c r="AR175" s="137">
        <v>0.999732905982906</v>
      </c>
      <c r="AS175" s="139">
        <v>0.105261498981944</v>
      </c>
      <c r="AT175" s="141">
        <v>0.12</v>
      </c>
      <c r="AU175" s="141">
        <v>0.2</v>
      </c>
      <c r="AV175" s="141">
        <v>0.0833333333333333</v>
      </c>
      <c r="AW175" s="141">
        <v>0.0981818181818182</v>
      </c>
      <c r="AX175" s="95"/>
      <c r="AY175" s="93"/>
    </row>
    <row r="176" ht="15" spans="1:51">
      <c r="A176" s="91"/>
      <c r="B176" s="95"/>
      <c r="C176" s="152" t="s">
        <v>99</v>
      </c>
      <c r="D176" s="153" t="s">
        <v>25</v>
      </c>
      <c r="E176" s="130" t="s">
        <v>100</v>
      </c>
      <c r="F176" s="154" t="s">
        <v>198</v>
      </c>
      <c r="G176" s="154" t="s">
        <v>198</v>
      </c>
      <c r="H176" s="154" t="s">
        <v>198</v>
      </c>
      <c r="I176" s="154" t="s">
        <v>198</v>
      </c>
      <c r="J176" s="132">
        <v>0.9</v>
      </c>
      <c r="K176" s="133">
        <v>0.980392156862745</v>
      </c>
      <c r="L176" s="133">
        <v>0.91304347826087</v>
      </c>
      <c r="M176" s="134">
        <v>0.861111111111111</v>
      </c>
      <c r="N176" s="133">
        <v>0.944764096662831</v>
      </c>
      <c r="O176" s="135">
        <v>0.9</v>
      </c>
      <c r="P176" s="133">
        <v>0.945968072042571</v>
      </c>
      <c r="Q176" s="133">
        <v>0.971854304635762</v>
      </c>
      <c r="R176" s="133">
        <v>0.960597014925373</v>
      </c>
      <c r="S176" s="133">
        <v>0.959395473783893</v>
      </c>
      <c r="T176" s="135">
        <v>0.9</v>
      </c>
      <c r="U176" s="133">
        <v>0.90421612771183</v>
      </c>
      <c r="V176" s="133">
        <v>0.93046357615894</v>
      </c>
      <c r="W176" s="133">
        <v>0.876417910447761</v>
      </c>
      <c r="X176" s="133">
        <v>0.914539164717933</v>
      </c>
      <c r="Y176" s="135">
        <v>0.92</v>
      </c>
      <c r="Z176" s="135">
        <v>0.952263374485597</v>
      </c>
      <c r="AA176" s="135">
        <v>0.974632843791722</v>
      </c>
      <c r="AB176" s="135">
        <v>0.924342105263158</v>
      </c>
      <c r="AC176" s="135">
        <v>0.961354888375674</v>
      </c>
      <c r="AD176" s="135">
        <v>0.92</v>
      </c>
      <c r="AE176" s="133">
        <v>0.99402390438247</v>
      </c>
      <c r="AF176" s="133">
        <v>0.990882718607543</v>
      </c>
      <c r="AG176" s="133">
        <v>0.990851915380217</v>
      </c>
      <c r="AH176" s="133">
        <v>0.976586756247773</v>
      </c>
      <c r="AI176" s="135">
        <v>0.92</v>
      </c>
      <c r="AJ176" s="133">
        <v>0.954247025030776</v>
      </c>
      <c r="AK176" s="133">
        <v>0.97752808988764</v>
      </c>
      <c r="AL176" s="133">
        <v>0.946123521681997</v>
      </c>
      <c r="AM176" s="133">
        <v>0.975517957850994</v>
      </c>
      <c r="AN176" s="132">
        <v>0.99</v>
      </c>
      <c r="AO176" s="137">
        <v>1</v>
      </c>
      <c r="AP176" s="137">
        <v>1</v>
      </c>
      <c r="AQ176" s="137">
        <v>1</v>
      </c>
      <c r="AR176" s="137">
        <v>1</v>
      </c>
      <c r="AS176" s="139">
        <v>0.105261498981944</v>
      </c>
      <c r="AT176" s="141">
        <v>0.222222222222222</v>
      </c>
      <c r="AU176" s="141">
        <v>0.133333333333333</v>
      </c>
      <c r="AV176" s="141">
        <v>0.230769230769231</v>
      </c>
      <c r="AW176" s="141">
        <v>0.102310231023102</v>
      </c>
      <c r="AX176" s="95"/>
      <c r="AY176" s="93"/>
    </row>
    <row r="177" ht="15" spans="1:51">
      <c r="A177" s="91"/>
      <c r="B177" s="95"/>
      <c r="C177" s="152" t="s">
        <v>99</v>
      </c>
      <c r="D177" s="153" t="s">
        <v>25</v>
      </c>
      <c r="E177" s="130" t="s">
        <v>100</v>
      </c>
      <c r="F177" s="154" t="s">
        <v>199</v>
      </c>
      <c r="G177" s="154" t="s">
        <v>199</v>
      </c>
      <c r="H177" s="154" t="s">
        <v>199</v>
      </c>
      <c r="I177" s="154" t="s">
        <v>199</v>
      </c>
      <c r="J177" s="132">
        <v>0.9</v>
      </c>
      <c r="K177" s="133">
        <v>0.987012987012987</v>
      </c>
      <c r="L177" s="133">
        <v>0.972222222222222</v>
      </c>
      <c r="M177" s="134">
        <v>1</v>
      </c>
      <c r="N177" s="133">
        <v>0.976628895184136</v>
      </c>
      <c r="O177" s="135">
        <v>0.9</v>
      </c>
      <c r="P177" s="133">
        <v>0.887841832963784</v>
      </c>
      <c r="Q177" s="133">
        <v>0.90920245398773</v>
      </c>
      <c r="R177" s="133">
        <v>0.907563025210084</v>
      </c>
      <c r="S177" s="133">
        <v>0.917851895245321</v>
      </c>
      <c r="T177" s="135">
        <v>0.9</v>
      </c>
      <c r="U177" s="133">
        <v>0.930524759793052</v>
      </c>
      <c r="V177" s="133">
        <v>0.957055214723926</v>
      </c>
      <c r="W177" s="133">
        <v>0.939446366782007</v>
      </c>
      <c r="X177" s="133">
        <v>0.928156421361965</v>
      </c>
      <c r="Y177" s="135">
        <v>0.92</v>
      </c>
      <c r="Z177" s="135">
        <v>0.965217391304348</v>
      </c>
      <c r="AA177" s="135">
        <v>0.992376111817027</v>
      </c>
      <c r="AB177" s="135">
        <v>0.976608187134503</v>
      </c>
      <c r="AC177" s="135">
        <v>0.985989322116162</v>
      </c>
      <c r="AD177" s="135">
        <v>0.92</v>
      </c>
      <c r="AE177" s="133">
        <v>0.965037897113369</v>
      </c>
      <c r="AF177" s="133">
        <v>0.953354064860062</v>
      </c>
      <c r="AG177" s="133">
        <v>0.987350159628938</v>
      </c>
      <c r="AH177" s="133">
        <v>0.942696358228153</v>
      </c>
      <c r="AI177" s="135">
        <v>0.92</v>
      </c>
      <c r="AJ177" s="133">
        <v>0.968526742614404</v>
      </c>
      <c r="AK177" s="133">
        <v>0.994002068252327</v>
      </c>
      <c r="AL177" s="133">
        <v>0.991226397100896</v>
      </c>
      <c r="AM177" s="133">
        <v>0.991517305780643</v>
      </c>
      <c r="AN177" s="132">
        <v>0.99</v>
      </c>
      <c r="AO177" s="137">
        <v>1</v>
      </c>
      <c r="AP177" s="137">
        <v>1</v>
      </c>
      <c r="AQ177" s="137">
        <v>1</v>
      </c>
      <c r="AR177" s="137">
        <v>1</v>
      </c>
      <c r="AS177" s="139">
        <v>0.105261498981944</v>
      </c>
      <c r="AT177" s="141">
        <v>0.212121212121212</v>
      </c>
      <c r="AU177" s="141">
        <v>0.307692307692308</v>
      </c>
      <c r="AV177" s="141">
        <v>0.12</v>
      </c>
      <c r="AW177" s="141">
        <v>0.156363636363636</v>
      </c>
      <c r="AX177" s="95"/>
      <c r="AY177" s="93"/>
    </row>
    <row r="178" ht="15" spans="1:51">
      <c r="A178" s="91"/>
      <c r="B178" s="95"/>
      <c r="C178" s="152" t="s">
        <v>99</v>
      </c>
      <c r="D178" s="153" t="s">
        <v>25</v>
      </c>
      <c r="E178" s="130" t="s">
        <v>100</v>
      </c>
      <c r="F178" s="154" t="s">
        <v>200</v>
      </c>
      <c r="G178" s="154" t="s">
        <v>200</v>
      </c>
      <c r="H178" s="154" t="s">
        <v>200</v>
      </c>
      <c r="I178" s="154" t="s">
        <v>200</v>
      </c>
      <c r="J178" s="132">
        <v>0.9</v>
      </c>
      <c r="K178" s="133">
        <v>0.964912280701754</v>
      </c>
      <c r="L178" s="133">
        <v>0.946428571428571</v>
      </c>
      <c r="M178" s="134">
        <v>0.86</v>
      </c>
      <c r="N178" s="133">
        <v>0.944186046511628</v>
      </c>
      <c r="O178" s="135">
        <v>0.9</v>
      </c>
      <c r="P178" s="133">
        <v>0.950837681955507</v>
      </c>
      <c r="Q178" s="133">
        <v>0.961786600496278</v>
      </c>
      <c r="R178" s="133">
        <v>0.952924393723253</v>
      </c>
      <c r="S178" s="133">
        <v>0.948990313156681</v>
      </c>
      <c r="T178" s="135">
        <v>0.9</v>
      </c>
      <c r="U178" s="133">
        <v>0.917330403735238</v>
      </c>
      <c r="V178" s="133">
        <v>0.9424317617866</v>
      </c>
      <c r="W178" s="133">
        <v>0.924750356633381</v>
      </c>
      <c r="X178" s="133">
        <v>0.932243349905182</v>
      </c>
      <c r="Y178" s="135">
        <v>0.92</v>
      </c>
      <c r="Z178" s="135">
        <v>0.933314004059148</v>
      </c>
      <c r="AA178" s="135">
        <v>0.967706013363029</v>
      </c>
      <c r="AB178" s="135">
        <v>0.940954773869347</v>
      </c>
      <c r="AC178" s="135">
        <v>0.95806416051152</v>
      </c>
      <c r="AD178" s="135">
        <v>0.92</v>
      </c>
      <c r="AE178" s="133">
        <v>0.964217738865626</v>
      </c>
      <c r="AF178" s="133">
        <v>0.97265400115141</v>
      </c>
      <c r="AG178" s="133">
        <v>0.991396426207809</v>
      </c>
      <c r="AH178" s="133">
        <v>0.972917908964421</v>
      </c>
      <c r="AI178" s="135">
        <v>0.92</v>
      </c>
      <c r="AJ178" s="133">
        <v>0.949224259520451</v>
      </c>
      <c r="AK178" s="133">
        <v>0.975283213182286</v>
      </c>
      <c r="AL178" s="133">
        <v>0.970833333333333</v>
      </c>
      <c r="AM178" s="133">
        <v>0.975165495839309</v>
      </c>
      <c r="AN178" s="132">
        <v>0.99</v>
      </c>
      <c r="AO178" s="137">
        <v>1</v>
      </c>
      <c r="AP178" s="137">
        <v>1</v>
      </c>
      <c r="AQ178" s="137">
        <v>1</v>
      </c>
      <c r="AR178" s="137">
        <v>1</v>
      </c>
      <c r="AS178" s="139">
        <v>0.105261498981944</v>
      </c>
      <c r="AT178" s="141">
        <v>0.0625</v>
      </c>
      <c r="AU178" s="141">
        <v>0</v>
      </c>
      <c r="AV178" s="141">
        <v>0.166666666666667</v>
      </c>
      <c r="AW178" s="141">
        <v>0.0983606557377049</v>
      </c>
      <c r="AX178" s="95"/>
      <c r="AY178" s="93"/>
    </row>
    <row r="179" ht="15" spans="1:51">
      <c r="A179" s="91"/>
      <c r="B179" s="95"/>
      <c r="C179" s="152" t="s">
        <v>99</v>
      </c>
      <c r="D179" s="153" t="s">
        <v>25</v>
      </c>
      <c r="E179" s="130" t="s">
        <v>100</v>
      </c>
      <c r="F179" s="154" t="s">
        <v>201</v>
      </c>
      <c r="G179" s="154" t="s">
        <v>201</v>
      </c>
      <c r="H179" s="154" t="s">
        <v>201</v>
      </c>
      <c r="I179" s="154" t="s">
        <v>201</v>
      </c>
      <c r="J179" s="132">
        <v>0.9</v>
      </c>
      <c r="K179" s="133">
        <v>0.923076923076923</v>
      </c>
      <c r="L179" s="133">
        <v>0.904109589041096</v>
      </c>
      <c r="M179" s="134">
        <v>0.893939393939394</v>
      </c>
      <c r="N179" s="133">
        <v>0.922096317280453</v>
      </c>
      <c r="O179" s="135">
        <v>0.9</v>
      </c>
      <c r="P179" s="133">
        <v>0.8897014015844</v>
      </c>
      <c r="Q179" s="133">
        <v>0.832492431886983</v>
      </c>
      <c r="R179" s="133">
        <v>0.936238306253077</v>
      </c>
      <c r="S179" s="133">
        <v>0.926946725716988</v>
      </c>
      <c r="T179" s="135">
        <v>0.9</v>
      </c>
      <c r="U179" s="133">
        <v>0.932815356489945</v>
      </c>
      <c r="V179" s="133">
        <v>0.854187689202825</v>
      </c>
      <c r="W179" s="133">
        <v>0.899556868537666</v>
      </c>
      <c r="X179" s="133">
        <v>0.905757406372275</v>
      </c>
      <c r="Y179" s="135">
        <v>0.92</v>
      </c>
      <c r="Z179" s="135">
        <v>0.914084774757651</v>
      </c>
      <c r="AA179" s="135">
        <v>0.91304347826087</v>
      </c>
      <c r="AB179" s="135">
        <v>0.868235294117647</v>
      </c>
      <c r="AC179" s="135">
        <v>0.922530971768955</v>
      </c>
      <c r="AD179" s="135">
        <v>0.92</v>
      </c>
      <c r="AE179" s="133">
        <v>0.994206047437987</v>
      </c>
      <c r="AF179" s="133">
        <v>0.99305724725944</v>
      </c>
      <c r="AG179" s="133">
        <v>0.997684154270954</v>
      </c>
      <c r="AH179" s="133">
        <v>0.983918565258578</v>
      </c>
      <c r="AI179" s="135">
        <v>0.92</v>
      </c>
      <c r="AJ179" s="133">
        <v>0.947070262957639</v>
      </c>
      <c r="AK179" s="133">
        <v>0.963428149242704</v>
      </c>
      <c r="AL179" s="133">
        <v>0.939865118021731</v>
      </c>
      <c r="AM179" s="133">
        <v>0.959550361416239</v>
      </c>
      <c r="AN179" s="132">
        <v>0.99</v>
      </c>
      <c r="AO179" s="137">
        <v>1</v>
      </c>
      <c r="AP179" s="137">
        <v>1</v>
      </c>
      <c r="AQ179" s="137">
        <v>1</v>
      </c>
      <c r="AR179" s="137">
        <v>1</v>
      </c>
      <c r="AS179" s="139">
        <v>0.105261498981944</v>
      </c>
      <c r="AT179" s="141">
        <v>0.0810810810810811</v>
      </c>
      <c r="AU179" s="141">
        <v>0.0588235294117647</v>
      </c>
      <c r="AV179" s="141">
        <v>0</v>
      </c>
      <c r="AW179" s="141">
        <v>0.116104868913858</v>
      </c>
      <c r="AX179" s="95"/>
      <c r="AY179" s="93"/>
    </row>
    <row r="180" ht="15" spans="1:51">
      <c r="A180" s="91"/>
      <c r="B180" s="95"/>
      <c r="C180" s="152" t="s">
        <v>99</v>
      </c>
      <c r="D180" s="153" t="s">
        <v>25</v>
      </c>
      <c r="E180" s="130" t="s">
        <v>100</v>
      </c>
      <c r="F180" s="154" t="s">
        <v>202</v>
      </c>
      <c r="G180" s="154" t="s">
        <v>202</v>
      </c>
      <c r="H180" s="154" t="s">
        <v>202</v>
      </c>
      <c r="I180" s="154" t="s">
        <v>202</v>
      </c>
      <c r="J180" s="132">
        <v>0.9</v>
      </c>
      <c r="K180" s="133" t="s">
        <v>35</v>
      </c>
      <c r="L180" s="133" t="s">
        <v>35</v>
      </c>
      <c r="M180" s="134" t="s">
        <v>35</v>
      </c>
      <c r="N180" s="133">
        <v>0.833040421792619</v>
      </c>
      <c r="O180" s="135">
        <v>0.9</v>
      </c>
      <c r="P180" s="133">
        <v>0.0909090909090909</v>
      </c>
      <c r="Q180" s="133">
        <v>0.0204081632653061</v>
      </c>
      <c r="R180" s="133">
        <v>0.0615384615384615</v>
      </c>
      <c r="S180" s="133">
        <v>0.761486178614824</v>
      </c>
      <c r="T180" s="135">
        <v>0.9</v>
      </c>
      <c r="U180" s="133">
        <v>0.990909090909091</v>
      </c>
      <c r="V180" s="133">
        <v>1</v>
      </c>
      <c r="W180" s="133">
        <v>1</v>
      </c>
      <c r="X180" s="133">
        <v>0.837636695018226</v>
      </c>
      <c r="Y180" s="135">
        <v>0.92</v>
      </c>
      <c r="Z180" s="135">
        <v>1</v>
      </c>
      <c r="AA180" s="135">
        <v>1</v>
      </c>
      <c r="AB180" s="135">
        <v>0.952380952380952</v>
      </c>
      <c r="AC180" s="135">
        <v>0.948653144794932</v>
      </c>
      <c r="AD180" s="135">
        <v>0.92</v>
      </c>
      <c r="AE180" s="133" t="s">
        <v>35</v>
      </c>
      <c r="AF180" s="133" t="s">
        <v>35</v>
      </c>
      <c r="AG180" s="133" t="s">
        <v>35</v>
      </c>
      <c r="AH180" s="133">
        <v>0.913131459131315</v>
      </c>
      <c r="AI180" s="135">
        <v>0.92</v>
      </c>
      <c r="AJ180" s="133">
        <v>0.9921875</v>
      </c>
      <c r="AK180" s="133">
        <v>1</v>
      </c>
      <c r="AL180" s="133">
        <v>0.988372093023256</v>
      </c>
      <c r="AM180" s="133">
        <v>0.964289947140114</v>
      </c>
      <c r="AN180" s="132">
        <v>0.99</v>
      </c>
      <c r="AO180" s="137" t="s">
        <v>35</v>
      </c>
      <c r="AP180" s="137" t="s">
        <v>35</v>
      </c>
      <c r="AQ180" s="137" t="s">
        <v>35</v>
      </c>
      <c r="AR180" s="137">
        <v>1</v>
      </c>
      <c r="AS180" s="139">
        <v>0.105261498981944</v>
      </c>
      <c r="AT180" s="141" t="s">
        <v>35</v>
      </c>
      <c r="AU180" s="141" t="s">
        <v>35</v>
      </c>
      <c r="AV180" s="141">
        <v>0</v>
      </c>
      <c r="AW180" s="141">
        <v>0.0864661654135338</v>
      </c>
      <c r="AX180" s="95"/>
      <c r="AY180" s="93"/>
    </row>
    <row r="181" ht="15" spans="1:51">
      <c r="A181" s="91"/>
      <c r="B181" s="95"/>
      <c r="C181" s="152" t="s">
        <v>99</v>
      </c>
      <c r="D181" s="153" t="s">
        <v>25</v>
      </c>
      <c r="E181" s="130" t="s">
        <v>100</v>
      </c>
      <c r="F181" s="154" t="s">
        <v>203</v>
      </c>
      <c r="G181" s="154" t="s">
        <v>203</v>
      </c>
      <c r="H181" s="154" t="s">
        <v>203</v>
      </c>
      <c r="I181" s="154" t="s">
        <v>203</v>
      </c>
      <c r="J181" s="132">
        <v>0.9</v>
      </c>
      <c r="K181" s="133">
        <v>0.984615384615385</v>
      </c>
      <c r="L181" s="133">
        <v>0.963636363636364</v>
      </c>
      <c r="M181" s="134">
        <v>1</v>
      </c>
      <c r="N181" s="133">
        <v>0.958333333333333</v>
      </c>
      <c r="O181" s="135">
        <v>0.9</v>
      </c>
      <c r="P181" s="133">
        <v>0.931798436142485</v>
      </c>
      <c r="Q181" s="133">
        <v>0.956307084670452</v>
      </c>
      <c r="R181" s="133">
        <v>0.920227320564092</v>
      </c>
      <c r="S181" s="133">
        <v>0.855548113418174</v>
      </c>
      <c r="T181" s="135">
        <v>0.9</v>
      </c>
      <c r="U181" s="133">
        <v>0.942513756154069</v>
      </c>
      <c r="V181" s="133">
        <v>0.956060232041471</v>
      </c>
      <c r="W181" s="133">
        <v>0.926541780677752</v>
      </c>
      <c r="X181" s="133">
        <v>0.907233757535164</v>
      </c>
      <c r="Y181" s="135">
        <v>0.92</v>
      </c>
      <c r="Z181" s="135">
        <v>0.936419630439102</v>
      </c>
      <c r="AA181" s="135">
        <v>0.958026091888826</v>
      </c>
      <c r="AB181" s="135">
        <v>0.90609756097561</v>
      </c>
      <c r="AC181" s="135">
        <v>0.941964848179413</v>
      </c>
      <c r="AD181" s="135">
        <v>0.92</v>
      </c>
      <c r="AE181" s="133">
        <v>0.963316948843983</v>
      </c>
      <c r="AF181" s="133">
        <v>0.971456570647748</v>
      </c>
      <c r="AG181" s="133">
        <v>0.996940869240813</v>
      </c>
      <c r="AH181" s="133">
        <v>0.974995156093805</v>
      </c>
      <c r="AI181" s="135">
        <v>0.92</v>
      </c>
      <c r="AJ181" s="133">
        <v>0.961412907005943</v>
      </c>
      <c r="AK181" s="133">
        <v>0.975592987280853</v>
      </c>
      <c r="AL181" s="133">
        <v>0.945269741985927</v>
      </c>
      <c r="AM181" s="133">
        <v>0.964771092634865</v>
      </c>
      <c r="AN181" s="132">
        <v>0.99</v>
      </c>
      <c r="AO181" s="137">
        <v>1</v>
      </c>
      <c r="AP181" s="137">
        <v>1</v>
      </c>
      <c r="AQ181" s="137">
        <v>1</v>
      </c>
      <c r="AR181" s="137">
        <v>1</v>
      </c>
      <c r="AS181" s="139">
        <v>0.105261498981944</v>
      </c>
      <c r="AT181" s="141">
        <v>0.0512820512820513</v>
      </c>
      <c r="AU181" s="141">
        <v>0</v>
      </c>
      <c r="AV181" s="141">
        <v>0.0555555555555556</v>
      </c>
      <c r="AW181" s="141">
        <v>0.0615615615615616</v>
      </c>
      <c r="AX181" s="95"/>
      <c r="AY181" s="93"/>
    </row>
    <row r="182" ht="15" spans="1:51">
      <c r="A182" s="91"/>
      <c r="B182" s="95"/>
      <c r="C182" s="152" t="s">
        <v>99</v>
      </c>
      <c r="D182" s="153" t="s">
        <v>25</v>
      </c>
      <c r="E182" s="130" t="s">
        <v>100</v>
      </c>
      <c r="F182" s="154" t="s">
        <v>204</v>
      </c>
      <c r="G182" s="154" t="s">
        <v>204</v>
      </c>
      <c r="H182" s="154" t="s">
        <v>204</v>
      </c>
      <c r="I182" s="154" t="s">
        <v>204</v>
      </c>
      <c r="J182" s="132">
        <v>0.9</v>
      </c>
      <c r="K182" s="133">
        <v>0.98</v>
      </c>
      <c r="L182" s="133">
        <v>0.979591836734694</v>
      </c>
      <c r="M182" s="134">
        <v>0.930232558139535</v>
      </c>
      <c r="N182" s="133">
        <v>0.932907348242812</v>
      </c>
      <c r="O182" s="135">
        <v>0.9</v>
      </c>
      <c r="P182" s="133">
        <v>0.949186620361908</v>
      </c>
      <c r="Q182" s="133">
        <v>0.968475073313783</v>
      </c>
      <c r="R182" s="133">
        <v>0.906708004509583</v>
      </c>
      <c r="S182" s="133">
        <v>0.928401360544218</v>
      </c>
      <c r="T182" s="135">
        <v>0.9</v>
      </c>
      <c r="U182" s="133">
        <v>0.920307073661122</v>
      </c>
      <c r="V182" s="133">
        <v>0.940982404692082</v>
      </c>
      <c r="W182" s="133">
        <v>0.88021420518602</v>
      </c>
      <c r="X182" s="133">
        <v>0.921258503401361</v>
      </c>
      <c r="Y182" s="135">
        <v>0.92</v>
      </c>
      <c r="Z182" s="135">
        <v>0.927196652719665</v>
      </c>
      <c r="AA182" s="135">
        <v>0.933858267716535</v>
      </c>
      <c r="AB182" s="135">
        <v>0.814606741573034</v>
      </c>
      <c r="AC182" s="135">
        <v>0.945605816961477</v>
      </c>
      <c r="AD182" s="135">
        <v>0.92</v>
      </c>
      <c r="AE182" s="133">
        <v>0.990567951318458</v>
      </c>
      <c r="AF182" s="133">
        <v>0.873191942497116</v>
      </c>
      <c r="AG182" s="133">
        <v>0.983116883116883</v>
      </c>
      <c r="AH182" s="133">
        <v>0.966878113619417</v>
      </c>
      <c r="AI182" s="135">
        <v>0.92</v>
      </c>
      <c r="AJ182" s="133">
        <v>0.946660165772794</v>
      </c>
      <c r="AK182" s="133">
        <v>0.964241060265066</v>
      </c>
      <c r="AL182" s="133">
        <v>0.913128249566724</v>
      </c>
      <c r="AM182" s="133">
        <v>0.967200600516546</v>
      </c>
      <c r="AN182" s="132">
        <v>0.99</v>
      </c>
      <c r="AO182" s="137">
        <v>1</v>
      </c>
      <c r="AP182" s="137">
        <v>1</v>
      </c>
      <c r="AQ182" s="137">
        <v>1</v>
      </c>
      <c r="AR182" s="137">
        <v>1</v>
      </c>
      <c r="AS182" s="139">
        <v>0.105261498981944</v>
      </c>
      <c r="AT182" s="141">
        <v>0.121212121212121</v>
      </c>
      <c r="AU182" s="141">
        <v>0</v>
      </c>
      <c r="AV182" s="141">
        <v>0.0625</v>
      </c>
      <c r="AW182" s="141">
        <v>0.0710526315789474</v>
      </c>
      <c r="AX182" s="95"/>
      <c r="AY182" s="93"/>
    </row>
    <row r="183" ht="15" spans="1:51">
      <c r="A183" s="91"/>
      <c r="B183" s="95"/>
      <c r="C183" s="152" t="s">
        <v>99</v>
      </c>
      <c r="D183" s="153" t="s">
        <v>25</v>
      </c>
      <c r="E183" s="130" t="s">
        <v>100</v>
      </c>
      <c r="F183" s="154" t="s">
        <v>205</v>
      </c>
      <c r="G183" s="154" t="s">
        <v>205</v>
      </c>
      <c r="H183" s="154" t="s">
        <v>205</v>
      </c>
      <c r="I183" s="154" t="s">
        <v>205</v>
      </c>
      <c r="J183" s="132">
        <v>0.9</v>
      </c>
      <c r="K183" s="133">
        <v>1</v>
      </c>
      <c r="L183" s="133">
        <v>0.977777777777778</v>
      </c>
      <c r="M183" s="134">
        <v>0.921052631578947</v>
      </c>
      <c r="N183" s="133">
        <v>0.975874547647768</v>
      </c>
      <c r="O183" s="135">
        <v>0.9</v>
      </c>
      <c r="P183" s="133">
        <v>0.942600896860987</v>
      </c>
      <c r="Q183" s="133">
        <v>0.941077441077441</v>
      </c>
      <c r="R183" s="133">
        <v>0.910286677908938</v>
      </c>
      <c r="S183" s="133">
        <v>0.914900908779352</v>
      </c>
      <c r="T183" s="135">
        <v>0.9</v>
      </c>
      <c r="U183" s="133">
        <v>0.923991031390134</v>
      </c>
      <c r="V183" s="133">
        <v>0.94023569023569</v>
      </c>
      <c r="W183" s="133">
        <v>0.907925801011804</v>
      </c>
      <c r="X183" s="133">
        <v>0.919450714378568</v>
      </c>
      <c r="Y183" s="135">
        <v>0.92</v>
      </c>
      <c r="Z183" s="135">
        <v>0.933400100150225</v>
      </c>
      <c r="AA183" s="135">
        <v>0.93854748603352</v>
      </c>
      <c r="AB183" s="135">
        <v>0.858201058201058</v>
      </c>
      <c r="AC183" s="135">
        <v>0.953937842318427</v>
      </c>
      <c r="AD183" s="135">
        <v>0.92</v>
      </c>
      <c r="AE183" s="133">
        <v>0.971242954046049</v>
      </c>
      <c r="AF183" s="133">
        <v>0.986546399633084</v>
      </c>
      <c r="AG183" s="133">
        <v>0.983101391650099</v>
      </c>
      <c r="AH183" s="133">
        <v>0.97273910347694</v>
      </c>
      <c r="AI183" s="135">
        <v>0.92</v>
      </c>
      <c r="AJ183" s="133">
        <v>0.955997161107168</v>
      </c>
      <c r="AK183" s="133">
        <v>0.96695652173913</v>
      </c>
      <c r="AL183" s="133">
        <v>0.931748466257669</v>
      </c>
      <c r="AM183" s="133">
        <v>0.970889932043752</v>
      </c>
      <c r="AN183" s="132">
        <v>0.99</v>
      </c>
      <c r="AO183" s="137">
        <v>1</v>
      </c>
      <c r="AP183" s="137">
        <v>1</v>
      </c>
      <c r="AQ183" s="137">
        <v>1</v>
      </c>
      <c r="AR183" s="137">
        <v>1</v>
      </c>
      <c r="AS183" s="139">
        <v>0.105261498981944</v>
      </c>
      <c r="AT183" s="141">
        <v>0.0588235294117647</v>
      </c>
      <c r="AU183" s="141">
        <v>0.125</v>
      </c>
      <c r="AV183" s="141">
        <v>0.0588235294117647</v>
      </c>
      <c r="AW183" s="141">
        <v>0.0803324099722992</v>
      </c>
      <c r="AX183" s="95"/>
      <c r="AY183" s="93"/>
    </row>
    <row r="184" ht="15" spans="1:51">
      <c r="A184" s="91"/>
      <c r="B184" s="95"/>
      <c r="C184" s="152" t="s">
        <v>99</v>
      </c>
      <c r="D184" s="153" t="s">
        <v>25</v>
      </c>
      <c r="E184" s="130" t="s">
        <v>100</v>
      </c>
      <c r="F184" s="154" t="s">
        <v>206</v>
      </c>
      <c r="G184" s="154" t="s">
        <v>206</v>
      </c>
      <c r="H184" s="154" t="s">
        <v>206</v>
      </c>
      <c r="I184" s="154" t="s">
        <v>206</v>
      </c>
      <c r="J184" s="132">
        <v>0.9</v>
      </c>
      <c r="K184" s="133">
        <v>0.933333333333333</v>
      </c>
      <c r="L184" s="133">
        <v>0.940298507462687</v>
      </c>
      <c r="M184" s="134">
        <v>0.898305084745763</v>
      </c>
      <c r="N184" s="133">
        <v>0.935366739288308</v>
      </c>
      <c r="O184" s="135">
        <v>0.9</v>
      </c>
      <c r="P184" s="133">
        <v>0.926001357773252</v>
      </c>
      <c r="Q184" s="133">
        <v>0.931643881293765</v>
      </c>
      <c r="R184" s="133">
        <v>0.89035305818001</v>
      </c>
      <c r="S184" s="133">
        <v>0.901916440513284</v>
      </c>
      <c r="T184" s="135">
        <v>0.9</v>
      </c>
      <c r="U184" s="133">
        <v>0.916157501697217</v>
      </c>
      <c r="V184" s="133">
        <v>0.920640213404468</v>
      </c>
      <c r="W184" s="133">
        <v>0.872451516658379</v>
      </c>
      <c r="X184" s="133">
        <v>0.897234227895601</v>
      </c>
      <c r="Y184" s="135">
        <v>0.92</v>
      </c>
      <c r="Z184" s="135">
        <v>0.914455445544554</v>
      </c>
      <c r="AA184" s="135">
        <v>0.884225759768452</v>
      </c>
      <c r="AB184" s="135">
        <v>0.792979297929793</v>
      </c>
      <c r="AC184" s="135">
        <v>0.924114974585039</v>
      </c>
      <c r="AD184" s="135">
        <v>0.92</v>
      </c>
      <c r="AE184" s="133">
        <v>0.99054441260745</v>
      </c>
      <c r="AF184" s="133">
        <v>0.767790262172285</v>
      </c>
      <c r="AG184" s="133">
        <v>0.979895755770663</v>
      </c>
      <c r="AH184" s="133">
        <v>0.964696074522455</v>
      </c>
      <c r="AI184" s="135">
        <v>0.92</v>
      </c>
      <c r="AJ184" s="133">
        <v>0.940784062871242</v>
      </c>
      <c r="AK184" s="133">
        <v>0.937000684775166</v>
      </c>
      <c r="AL184" s="133">
        <v>0.894234514998052</v>
      </c>
      <c r="AM184" s="133">
        <v>0.952664725037346</v>
      </c>
      <c r="AN184" s="132">
        <v>0.99</v>
      </c>
      <c r="AO184" s="137">
        <v>1</v>
      </c>
      <c r="AP184" s="137">
        <v>1</v>
      </c>
      <c r="AQ184" s="137">
        <v>1</v>
      </c>
      <c r="AR184" s="137">
        <v>1</v>
      </c>
      <c r="AS184" s="139">
        <v>0.105261498981944</v>
      </c>
      <c r="AT184" s="141">
        <v>0</v>
      </c>
      <c r="AU184" s="141">
        <v>0</v>
      </c>
      <c r="AV184" s="141">
        <v>0.0555555555555556</v>
      </c>
      <c r="AW184" s="141">
        <v>0.100858369098712</v>
      </c>
      <c r="AX184" s="95"/>
      <c r="AY184" s="93"/>
    </row>
    <row r="185" ht="15" spans="1:51">
      <c r="A185" s="91"/>
      <c r="B185" s="95"/>
      <c r="C185" s="152" t="s">
        <v>99</v>
      </c>
      <c r="D185" s="153" t="s">
        <v>25</v>
      </c>
      <c r="E185" s="130" t="s">
        <v>100</v>
      </c>
      <c r="F185" s="154" t="s">
        <v>207</v>
      </c>
      <c r="G185" s="154" t="s">
        <v>207</v>
      </c>
      <c r="H185" s="154" t="s">
        <v>207</v>
      </c>
      <c r="I185" s="154" t="s">
        <v>207</v>
      </c>
      <c r="J185" s="132">
        <v>0.9</v>
      </c>
      <c r="K185" s="133">
        <v>0.954954954954955</v>
      </c>
      <c r="L185" s="133">
        <v>0.9375</v>
      </c>
      <c r="M185" s="134">
        <v>0.855421686746988</v>
      </c>
      <c r="N185" s="133">
        <v>0.94701646090535</v>
      </c>
      <c r="O185" s="135">
        <v>0.9</v>
      </c>
      <c r="P185" s="133">
        <v>0.918498579333034</v>
      </c>
      <c r="Q185" s="133">
        <v>0.919169852539596</v>
      </c>
      <c r="R185" s="133">
        <v>0.892207278481013</v>
      </c>
      <c r="S185" s="133">
        <v>0.918945201590006</v>
      </c>
      <c r="T185" s="135">
        <v>0.9</v>
      </c>
      <c r="U185" s="133">
        <v>0.899057873485868</v>
      </c>
      <c r="V185" s="133">
        <v>0.905243036592026</v>
      </c>
      <c r="W185" s="133">
        <v>0.827136075949367</v>
      </c>
      <c r="X185" s="133">
        <v>0.909092844974446</v>
      </c>
      <c r="Y185" s="135">
        <v>0.92</v>
      </c>
      <c r="Z185" s="135">
        <v>0.919116478627046</v>
      </c>
      <c r="AA185" s="135">
        <v>0.925260718424102</v>
      </c>
      <c r="AB185" s="135">
        <v>0.876913265306122</v>
      </c>
      <c r="AC185" s="135">
        <v>0.941863558317816</v>
      </c>
      <c r="AD185" s="135">
        <v>0.92</v>
      </c>
      <c r="AE185" s="133">
        <v>0.998134328358209</v>
      </c>
      <c r="AF185" s="133">
        <v>0.994870651204282</v>
      </c>
      <c r="AG185" s="133">
        <v>0.851184834123223</v>
      </c>
      <c r="AH185" s="133">
        <v>0.986206111792447</v>
      </c>
      <c r="AI185" s="135">
        <v>0.92</v>
      </c>
      <c r="AJ185" s="133">
        <v>0.93507393715342</v>
      </c>
      <c r="AK185" s="133">
        <v>0.951762523191095</v>
      </c>
      <c r="AL185" s="133">
        <v>0.926932367149758</v>
      </c>
      <c r="AM185" s="133">
        <v>0.963654333796953</v>
      </c>
      <c r="AN185" s="132">
        <v>0.99</v>
      </c>
      <c r="AO185" s="137">
        <v>1</v>
      </c>
      <c r="AP185" s="137">
        <v>1</v>
      </c>
      <c r="AQ185" s="137">
        <v>1</v>
      </c>
      <c r="AR185" s="137">
        <v>1</v>
      </c>
      <c r="AS185" s="139">
        <v>0.105261498981944</v>
      </c>
      <c r="AT185" s="141">
        <v>0</v>
      </c>
      <c r="AU185" s="141">
        <v>0</v>
      </c>
      <c r="AV185" s="141">
        <v>0.0769230769230769</v>
      </c>
      <c r="AW185" s="141">
        <v>0.0718954248366013</v>
      </c>
      <c r="AX185" s="95"/>
      <c r="AY185" s="93"/>
    </row>
    <row r="186" ht="15" spans="1:51">
      <c r="A186" s="91"/>
      <c r="B186" s="95"/>
      <c r="C186" s="152" t="s">
        <v>99</v>
      </c>
      <c r="D186" s="153" t="s">
        <v>25</v>
      </c>
      <c r="E186" s="130" t="s">
        <v>100</v>
      </c>
      <c r="F186" s="154" t="s">
        <v>208</v>
      </c>
      <c r="G186" s="154" t="s">
        <v>208</v>
      </c>
      <c r="H186" s="154" t="s">
        <v>208</v>
      </c>
      <c r="I186" s="154" t="s">
        <v>208</v>
      </c>
      <c r="J186" s="132">
        <v>0.9</v>
      </c>
      <c r="K186" s="133" t="s">
        <v>35</v>
      </c>
      <c r="L186" s="133" t="s">
        <v>35</v>
      </c>
      <c r="M186" s="134" t="s">
        <v>35</v>
      </c>
      <c r="N186" s="133">
        <v>0.862745098039216</v>
      </c>
      <c r="O186" s="135">
        <v>0.9</v>
      </c>
      <c r="P186" s="133" t="s">
        <v>35</v>
      </c>
      <c r="Q186" s="133" t="s">
        <v>35</v>
      </c>
      <c r="R186" s="133" t="s">
        <v>35</v>
      </c>
      <c r="S186" s="133">
        <v>0.664389233954451</v>
      </c>
      <c r="T186" s="135">
        <v>0.9</v>
      </c>
      <c r="U186" s="133" t="s">
        <v>35</v>
      </c>
      <c r="V186" s="133" t="s">
        <v>35</v>
      </c>
      <c r="W186" s="133" t="s">
        <v>35</v>
      </c>
      <c r="X186" s="133">
        <v>0.854658385093168</v>
      </c>
      <c r="Y186" s="135">
        <v>0.92</v>
      </c>
      <c r="Z186" s="135">
        <v>1</v>
      </c>
      <c r="AA186" s="135">
        <v>1</v>
      </c>
      <c r="AB186" s="135">
        <v>1</v>
      </c>
      <c r="AC186" s="135">
        <v>0.972182080924855</v>
      </c>
      <c r="AD186" s="135">
        <v>0.92</v>
      </c>
      <c r="AE186" s="133" t="s">
        <v>35</v>
      </c>
      <c r="AF186" s="133" t="s">
        <v>35</v>
      </c>
      <c r="AG186" s="133" t="s">
        <v>35</v>
      </c>
      <c r="AH186" s="133">
        <v>0.960739030023095</v>
      </c>
      <c r="AI186" s="135">
        <v>0.92</v>
      </c>
      <c r="AJ186" s="133">
        <v>1</v>
      </c>
      <c r="AK186" s="133">
        <v>1</v>
      </c>
      <c r="AL186" s="133">
        <v>1</v>
      </c>
      <c r="AM186" s="133">
        <v>0.984246842859003</v>
      </c>
      <c r="AN186" s="132">
        <v>0.99</v>
      </c>
      <c r="AO186" s="137" t="s">
        <v>35</v>
      </c>
      <c r="AP186" s="137" t="s">
        <v>35</v>
      </c>
      <c r="AQ186" s="137" t="s">
        <v>35</v>
      </c>
      <c r="AR186" s="137">
        <v>1</v>
      </c>
      <c r="AS186" s="139">
        <v>0.105261498981944</v>
      </c>
      <c r="AT186" s="141" t="s">
        <v>35</v>
      </c>
      <c r="AU186" s="141" t="s">
        <v>35</v>
      </c>
      <c r="AV186" s="141" t="s">
        <v>35</v>
      </c>
      <c r="AW186" s="141">
        <v>0.391304347826087</v>
      </c>
      <c r="AX186" s="95"/>
      <c r="AY186" s="93"/>
    </row>
    <row r="187" ht="15" spans="1:51">
      <c r="A187" s="91"/>
      <c r="B187" s="95"/>
      <c r="C187" s="152" t="s">
        <v>99</v>
      </c>
      <c r="D187" s="153" t="s">
        <v>25</v>
      </c>
      <c r="E187" s="130" t="s">
        <v>100</v>
      </c>
      <c r="F187" s="154" t="s">
        <v>209</v>
      </c>
      <c r="G187" s="154" t="s">
        <v>209</v>
      </c>
      <c r="H187" s="154" t="s">
        <v>209</v>
      </c>
      <c r="I187" s="154" t="s">
        <v>209</v>
      </c>
      <c r="J187" s="132">
        <v>0.9</v>
      </c>
      <c r="K187" s="133" t="s">
        <v>35</v>
      </c>
      <c r="L187" s="133" t="s">
        <v>35</v>
      </c>
      <c r="M187" s="134" t="s">
        <v>35</v>
      </c>
      <c r="N187" s="133" t="s">
        <v>35</v>
      </c>
      <c r="O187" s="135">
        <v>0.9</v>
      </c>
      <c r="P187" s="133" t="s">
        <v>35</v>
      </c>
      <c r="Q187" s="133" t="s">
        <v>35</v>
      </c>
      <c r="R187" s="133" t="s">
        <v>35</v>
      </c>
      <c r="S187" s="133" t="s">
        <v>35</v>
      </c>
      <c r="T187" s="135">
        <v>0.9</v>
      </c>
      <c r="U187" s="133" t="s">
        <v>35</v>
      </c>
      <c r="V187" s="133" t="s">
        <v>35</v>
      </c>
      <c r="W187" s="133" t="s">
        <v>35</v>
      </c>
      <c r="X187" s="133" t="s">
        <v>35</v>
      </c>
      <c r="Y187" s="135">
        <v>0.92</v>
      </c>
      <c r="Z187" s="135" t="s">
        <v>35</v>
      </c>
      <c r="AA187" s="135" t="s">
        <v>35</v>
      </c>
      <c r="AB187" s="135" t="s">
        <v>35</v>
      </c>
      <c r="AC187" s="135" t="s">
        <v>35</v>
      </c>
      <c r="AD187" s="135">
        <v>0.92</v>
      </c>
      <c r="AE187" s="133">
        <v>0.766666666666667</v>
      </c>
      <c r="AF187" s="133">
        <v>0.828947368421053</v>
      </c>
      <c r="AG187" s="133">
        <v>1</v>
      </c>
      <c r="AH187" s="133">
        <v>0.761316872427984</v>
      </c>
      <c r="AI187" s="135">
        <v>0.92</v>
      </c>
      <c r="AJ187" s="133" t="s">
        <v>35</v>
      </c>
      <c r="AK187" s="133" t="s">
        <v>35</v>
      </c>
      <c r="AL187" s="133" t="s">
        <v>35</v>
      </c>
      <c r="AM187" s="133" t="s">
        <v>35</v>
      </c>
      <c r="AN187" s="132">
        <v>0.99</v>
      </c>
      <c r="AO187" s="137" t="s">
        <v>35</v>
      </c>
      <c r="AP187" s="137" t="s">
        <v>35</v>
      </c>
      <c r="AQ187" s="137" t="s">
        <v>35</v>
      </c>
      <c r="AR187" s="137" t="s">
        <v>35</v>
      </c>
      <c r="AS187" s="139">
        <v>0.105261498981944</v>
      </c>
      <c r="AT187" s="141" t="s">
        <v>35</v>
      </c>
      <c r="AU187" s="141" t="s">
        <v>35</v>
      </c>
      <c r="AV187" s="141" t="s">
        <v>35</v>
      </c>
      <c r="AW187" s="141" t="s">
        <v>35</v>
      </c>
      <c r="AX187" s="95"/>
      <c r="AY187" s="93"/>
    </row>
    <row r="188" ht="15" spans="1:51">
      <c r="A188" s="91"/>
      <c r="B188" s="95"/>
      <c r="C188" s="155"/>
      <c r="D188" s="153"/>
      <c r="E188" s="156"/>
      <c r="F188" s="156"/>
      <c r="G188" s="156"/>
      <c r="H188" s="156"/>
      <c r="I188" s="156"/>
      <c r="J188" s="146"/>
      <c r="K188" s="147"/>
      <c r="L188" s="147"/>
      <c r="M188" s="134"/>
      <c r="N188" s="147"/>
      <c r="O188" s="150"/>
      <c r="P188" s="147"/>
      <c r="Q188" s="147"/>
      <c r="R188" s="133"/>
      <c r="S188" s="147"/>
      <c r="T188" s="150"/>
      <c r="U188" s="147"/>
      <c r="V188" s="147"/>
      <c r="W188" s="133"/>
      <c r="X188" s="147"/>
      <c r="Y188" s="150"/>
      <c r="Z188" s="150"/>
      <c r="AA188" s="150"/>
      <c r="AB188" s="135"/>
      <c r="AC188" s="150"/>
      <c r="AD188" s="150"/>
      <c r="AE188" s="147"/>
      <c r="AF188" s="147"/>
      <c r="AG188" s="133"/>
      <c r="AH188" s="147"/>
      <c r="AI188" s="150"/>
      <c r="AJ188" s="147"/>
      <c r="AK188" s="147"/>
      <c r="AL188" s="133"/>
      <c r="AM188" s="147"/>
      <c r="AN188" s="146"/>
      <c r="AO188" s="146"/>
      <c r="AP188" s="146"/>
      <c r="AQ188" s="137"/>
      <c r="AR188" s="146"/>
      <c r="AS188" s="147"/>
      <c r="AT188" s="146"/>
      <c r="AU188" s="146"/>
      <c r="AV188" s="141"/>
      <c r="AW188" s="146"/>
      <c r="AX188" s="95"/>
      <c r="AY188" s="93"/>
    </row>
    <row r="189" ht="15" spans="1:51">
      <c r="A189" s="91"/>
      <c r="B189" s="95"/>
      <c r="C189" s="152" t="s">
        <v>210</v>
      </c>
      <c r="D189" s="153" t="s">
        <v>125</v>
      </c>
      <c r="E189" s="130" t="s">
        <v>211</v>
      </c>
      <c r="F189" s="157" t="s">
        <v>212</v>
      </c>
      <c r="G189" s="157" t="s">
        <v>212</v>
      </c>
      <c r="H189" s="157" t="s">
        <v>212</v>
      </c>
      <c r="I189" s="157" t="s">
        <v>212</v>
      </c>
      <c r="J189" s="132">
        <v>0.9</v>
      </c>
      <c r="K189" s="133" t="s">
        <v>35</v>
      </c>
      <c r="L189" s="133" t="s">
        <v>35</v>
      </c>
      <c r="M189" s="134" t="s">
        <v>35</v>
      </c>
      <c r="N189" s="133" t="s">
        <v>35</v>
      </c>
      <c r="O189" s="135">
        <v>0.9</v>
      </c>
      <c r="P189" s="133" t="s">
        <v>35</v>
      </c>
      <c r="Q189" s="133" t="s">
        <v>35</v>
      </c>
      <c r="R189" s="133" t="s">
        <v>35</v>
      </c>
      <c r="S189" s="133">
        <v>0</v>
      </c>
      <c r="T189" s="135">
        <v>0.9</v>
      </c>
      <c r="U189" s="133" t="s">
        <v>35</v>
      </c>
      <c r="V189" s="133" t="s">
        <v>35</v>
      </c>
      <c r="W189" s="133" t="s">
        <v>35</v>
      </c>
      <c r="X189" s="133">
        <v>1</v>
      </c>
      <c r="Y189" s="135">
        <v>0.92</v>
      </c>
      <c r="Z189" s="135" t="s">
        <v>35</v>
      </c>
      <c r="AA189" s="135" t="s">
        <v>35</v>
      </c>
      <c r="AB189" s="135" t="s">
        <v>35</v>
      </c>
      <c r="AC189" s="135">
        <v>0.333333333333333</v>
      </c>
      <c r="AD189" s="135">
        <v>0.92</v>
      </c>
      <c r="AE189" s="133">
        <v>0.972322503008424</v>
      </c>
      <c r="AF189" s="133">
        <v>1</v>
      </c>
      <c r="AG189" s="133">
        <v>1</v>
      </c>
      <c r="AH189" s="133">
        <v>0.994552920472639</v>
      </c>
      <c r="AI189" s="135">
        <v>0.92</v>
      </c>
      <c r="AJ189" s="133" t="s">
        <v>35</v>
      </c>
      <c r="AK189" s="133">
        <v>0</v>
      </c>
      <c r="AL189" s="133" t="s">
        <v>35</v>
      </c>
      <c r="AM189" s="133">
        <v>0.625</v>
      </c>
      <c r="AN189" s="132">
        <v>0.99</v>
      </c>
      <c r="AO189" s="137">
        <v>1</v>
      </c>
      <c r="AP189" s="137">
        <v>1</v>
      </c>
      <c r="AQ189" s="137">
        <v>1</v>
      </c>
      <c r="AR189" s="137">
        <v>1</v>
      </c>
      <c r="AS189" s="158">
        <v>0.0719793575775068</v>
      </c>
      <c r="AT189" s="141" t="s">
        <v>35</v>
      </c>
      <c r="AU189" s="141" t="s">
        <v>35</v>
      </c>
      <c r="AV189" s="141" t="s">
        <v>35</v>
      </c>
      <c r="AW189" s="141" t="s">
        <v>35</v>
      </c>
      <c r="AX189" s="95"/>
      <c r="AY189" s="93"/>
    </row>
    <row r="190" ht="15" spans="1:51">
      <c r="A190" s="91"/>
      <c r="B190" s="95"/>
      <c r="C190" s="152" t="s">
        <v>210</v>
      </c>
      <c r="D190" s="153" t="s">
        <v>25</v>
      </c>
      <c r="E190" s="130" t="s">
        <v>211</v>
      </c>
      <c r="F190" s="157" t="s">
        <v>213</v>
      </c>
      <c r="G190" s="157" t="s">
        <v>213</v>
      </c>
      <c r="H190" s="157" t="s">
        <v>213</v>
      </c>
      <c r="I190" s="157" t="s">
        <v>213</v>
      </c>
      <c r="J190" s="132">
        <v>0.9</v>
      </c>
      <c r="K190" s="133">
        <v>0.984848484848485</v>
      </c>
      <c r="L190" s="133">
        <v>1</v>
      </c>
      <c r="M190" s="134">
        <v>1</v>
      </c>
      <c r="N190" s="133">
        <v>0.966754155730534</v>
      </c>
      <c r="O190" s="135">
        <v>0.9</v>
      </c>
      <c r="P190" s="133">
        <v>0.957147229874503</v>
      </c>
      <c r="Q190" s="133">
        <v>0.966791393826006</v>
      </c>
      <c r="R190" s="133">
        <v>0.951444622792937</v>
      </c>
      <c r="S190" s="133">
        <v>0.959512242926542</v>
      </c>
      <c r="T190" s="135">
        <v>0.9</v>
      </c>
      <c r="U190" s="133">
        <v>0.928986838077747</v>
      </c>
      <c r="V190" s="133">
        <v>0.920018709073901</v>
      </c>
      <c r="W190" s="133">
        <v>0.895666131621188</v>
      </c>
      <c r="X190" s="133">
        <v>0.915216508700948</v>
      </c>
      <c r="Y190" s="135">
        <v>0.92</v>
      </c>
      <c r="Z190" s="135">
        <v>0.94107974787613</v>
      </c>
      <c r="AA190" s="135">
        <v>0.933816863100635</v>
      </c>
      <c r="AB190" s="135">
        <v>0.913370998116761</v>
      </c>
      <c r="AC190" s="135">
        <v>0.950090479248147</v>
      </c>
      <c r="AD190" s="135">
        <v>0.92</v>
      </c>
      <c r="AE190" s="133">
        <v>0.994970662196144</v>
      </c>
      <c r="AF190" s="133">
        <v>0.996968778417702</v>
      </c>
      <c r="AG190" s="133">
        <v>0.997552019583843</v>
      </c>
      <c r="AH190" s="133">
        <v>0.99481074130627</v>
      </c>
      <c r="AI190" s="135">
        <v>0.92</v>
      </c>
      <c r="AJ190" s="133">
        <v>0.958357432041643</v>
      </c>
      <c r="AK190" s="133">
        <v>0.958963282937365</v>
      </c>
      <c r="AL190" s="133">
        <v>0.946835443037975</v>
      </c>
      <c r="AM190" s="133">
        <v>0.967679432069819</v>
      </c>
      <c r="AN190" s="132">
        <v>0.99</v>
      </c>
      <c r="AO190" s="137">
        <v>1</v>
      </c>
      <c r="AP190" s="137">
        <v>1</v>
      </c>
      <c r="AQ190" s="137">
        <v>1</v>
      </c>
      <c r="AR190" s="137">
        <v>1</v>
      </c>
      <c r="AS190" s="158">
        <v>0.0719793575775068</v>
      </c>
      <c r="AT190" s="141">
        <v>0.0444444444444444</v>
      </c>
      <c r="AU190" s="141">
        <v>0.147058823529412</v>
      </c>
      <c r="AV190" s="141">
        <v>0.0769230769230769</v>
      </c>
      <c r="AW190" s="141">
        <v>0.0738341968911917</v>
      </c>
      <c r="AX190" s="95"/>
      <c r="AY190" s="93"/>
    </row>
    <row r="191" ht="15" spans="1:51">
      <c r="A191" s="91"/>
      <c r="B191" s="95"/>
      <c r="C191" s="152" t="s">
        <v>210</v>
      </c>
      <c r="D191" s="153" t="s">
        <v>25</v>
      </c>
      <c r="E191" s="130" t="s">
        <v>211</v>
      </c>
      <c r="F191" s="157" t="s">
        <v>214</v>
      </c>
      <c r="G191" s="157" t="s">
        <v>214</v>
      </c>
      <c r="H191" s="157" t="s">
        <v>214</v>
      </c>
      <c r="I191" s="157" t="s">
        <v>214</v>
      </c>
      <c r="J191" s="132">
        <v>0.9</v>
      </c>
      <c r="K191" s="133">
        <v>0.987012987012987</v>
      </c>
      <c r="L191" s="133">
        <v>0.985915492957746</v>
      </c>
      <c r="M191" s="134">
        <v>0.983333333333333</v>
      </c>
      <c r="N191" s="133">
        <v>0.98519615099926</v>
      </c>
      <c r="O191" s="135">
        <v>0.9</v>
      </c>
      <c r="P191" s="133">
        <v>0.933160472486315</v>
      </c>
      <c r="Q191" s="133">
        <v>0.956218905472637</v>
      </c>
      <c r="R191" s="133">
        <v>0.968072976054732</v>
      </c>
      <c r="S191" s="133">
        <v>0.95634644614473</v>
      </c>
      <c r="T191" s="135">
        <v>0.9</v>
      </c>
      <c r="U191" s="133">
        <v>0.913569576490925</v>
      </c>
      <c r="V191" s="133">
        <v>0.932338308457711</v>
      </c>
      <c r="W191" s="133">
        <v>0.926643861649563</v>
      </c>
      <c r="X191" s="133">
        <v>0.932387871293505</v>
      </c>
      <c r="Y191" s="135">
        <v>0.92</v>
      </c>
      <c r="Z191" s="135">
        <v>0.938825448613377</v>
      </c>
      <c r="AA191" s="135">
        <v>0.952259164535379</v>
      </c>
      <c r="AB191" s="135">
        <v>0.92823418319169</v>
      </c>
      <c r="AC191" s="135">
        <v>0.961480498044422</v>
      </c>
      <c r="AD191" s="135">
        <v>0.92</v>
      </c>
      <c r="AE191" s="133">
        <v>0.993366500829187</v>
      </c>
      <c r="AF191" s="133">
        <v>0.997137404580153</v>
      </c>
      <c r="AG191" s="133">
        <v>0.99831223628692</v>
      </c>
      <c r="AH191" s="133">
        <v>0.998035804478366</v>
      </c>
      <c r="AI191" s="135">
        <v>0.92</v>
      </c>
      <c r="AJ191" s="133">
        <v>0.953719239373602</v>
      </c>
      <c r="AK191" s="133">
        <v>0.974238140119384</v>
      </c>
      <c r="AL191" s="133">
        <v>0.963705308775731</v>
      </c>
      <c r="AM191" s="133">
        <v>0.976317742576336</v>
      </c>
      <c r="AN191" s="132">
        <v>0.99</v>
      </c>
      <c r="AO191" s="137">
        <v>1</v>
      </c>
      <c r="AP191" s="137">
        <v>1</v>
      </c>
      <c r="AQ191" s="137">
        <v>1</v>
      </c>
      <c r="AR191" s="137">
        <v>1</v>
      </c>
      <c r="AS191" s="158">
        <v>0.0719793575775068</v>
      </c>
      <c r="AT191" s="141">
        <v>0.037037037037037</v>
      </c>
      <c r="AU191" s="141">
        <v>0.0555555555555556</v>
      </c>
      <c r="AV191" s="141">
        <v>0</v>
      </c>
      <c r="AW191" s="141">
        <v>0.0514440433212996</v>
      </c>
      <c r="AX191" s="95"/>
      <c r="AY191" s="93"/>
    </row>
    <row r="192" ht="15" spans="1:51">
      <c r="A192" s="91"/>
      <c r="B192" s="95"/>
      <c r="C192" s="152" t="s">
        <v>210</v>
      </c>
      <c r="D192" s="153" t="s">
        <v>125</v>
      </c>
      <c r="E192" s="130" t="s">
        <v>211</v>
      </c>
      <c r="F192" s="157" t="s">
        <v>215</v>
      </c>
      <c r="G192" s="157" t="s">
        <v>215</v>
      </c>
      <c r="H192" s="157" t="s">
        <v>215</v>
      </c>
      <c r="I192" s="157" t="s">
        <v>215</v>
      </c>
      <c r="J192" s="132">
        <v>0.9</v>
      </c>
      <c r="K192" s="133" t="s">
        <v>35</v>
      </c>
      <c r="L192" s="133" t="s">
        <v>35</v>
      </c>
      <c r="M192" s="134" t="s">
        <v>35</v>
      </c>
      <c r="N192" s="133" t="s">
        <v>35</v>
      </c>
      <c r="O192" s="135">
        <v>0.9</v>
      </c>
      <c r="P192" s="133">
        <v>0</v>
      </c>
      <c r="Q192" s="133">
        <v>0</v>
      </c>
      <c r="R192" s="133">
        <v>0</v>
      </c>
      <c r="S192" s="133">
        <v>0</v>
      </c>
      <c r="T192" s="135">
        <v>0.9</v>
      </c>
      <c r="U192" s="133">
        <v>0.857142857142857</v>
      </c>
      <c r="V192" s="133">
        <v>0.5</v>
      </c>
      <c r="W192" s="133">
        <v>0.833333333333333</v>
      </c>
      <c r="X192" s="133">
        <v>0.859550561797753</v>
      </c>
      <c r="Y192" s="135">
        <v>0.92</v>
      </c>
      <c r="Z192" s="135">
        <v>0.5</v>
      </c>
      <c r="AA192" s="135">
        <v>0.666666666666667</v>
      </c>
      <c r="AB192" s="135">
        <v>0</v>
      </c>
      <c r="AC192" s="135">
        <v>0.644444444444444</v>
      </c>
      <c r="AD192" s="135">
        <v>0.92</v>
      </c>
      <c r="AE192" s="133">
        <v>0.997743097238896</v>
      </c>
      <c r="AF192" s="133">
        <v>0.99680945256923</v>
      </c>
      <c r="AG192" s="133">
        <v>0.998211511363226</v>
      </c>
      <c r="AH192" s="133">
        <v>0.99586968287604</v>
      </c>
      <c r="AI192" s="135">
        <v>0.92</v>
      </c>
      <c r="AJ192" s="133">
        <v>0.727272727272727</v>
      </c>
      <c r="AK192" s="133">
        <v>0.642857142857143</v>
      </c>
      <c r="AL192" s="133">
        <v>0.555555555555556</v>
      </c>
      <c r="AM192" s="133">
        <v>0.906392694063927</v>
      </c>
      <c r="AN192" s="132">
        <v>0.99</v>
      </c>
      <c r="AO192" s="137">
        <v>1</v>
      </c>
      <c r="AP192" s="137">
        <v>1</v>
      </c>
      <c r="AQ192" s="137">
        <v>1</v>
      </c>
      <c r="AR192" s="137">
        <v>1</v>
      </c>
      <c r="AS192" s="158">
        <v>0.0719793575775068</v>
      </c>
      <c r="AT192" s="141" t="s">
        <v>35</v>
      </c>
      <c r="AU192" s="141" t="s">
        <v>35</v>
      </c>
      <c r="AV192" s="141" t="s">
        <v>35</v>
      </c>
      <c r="AW192" s="141" t="s">
        <v>35</v>
      </c>
      <c r="AX192" s="95"/>
      <c r="AY192" s="93"/>
    </row>
    <row r="193" s="85" customFormat="1" ht="15" spans="1:51">
      <c r="A193" s="91"/>
      <c r="C193" s="152" t="s">
        <v>210</v>
      </c>
      <c r="D193" s="153" t="s">
        <v>25</v>
      </c>
      <c r="E193" s="130" t="s">
        <v>211</v>
      </c>
      <c r="F193" s="157" t="s">
        <v>216</v>
      </c>
      <c r="G193" s="157" t="s">
        <v>216</v>
      </c>
      <c r="H193" s="157" t="s">
        <v>216</v>
      </c>
      <c r="I193" s="157" t="s">
        <v>216</v>
      </c>
      <c r="J193" s="132">
        <v>0.9</v>
      </c>
      <c r="K193" s="133">
        <v>0.961538461538462</v>
      </c>
      <c r="L193" s="133">
        <v>0.972972972972973</v>
      </c>
      <c r="M193" s="134">
        <v>0.944444444444444</v>
      </c>
      <c r="N193" s="133">
        <v>0.941666666666667</v>
      </c>
      <c r="O193" s="135">
        <v>0.9</v>
      </c>
      <c r="P193" s="133">
        <v>0.994115872057936</v>
      </c>
      <c r="Q193" s="133">
        <v>0.987861131342559</v>
      </c>
      <c r="R193" s="133">
        <v>0.991101694915254</v>
      </c>
      <c r="S193" s="133">
        <v>0.98959842296262</v>
      </c>
      <c r="T193" s="135">
        <v>0.9</v>
      </c>
      <c r="U193" s="133">
        <v>0.937537718768859</v>
      </c>
      <c r="V193" s="133">
        <v>0.939791211459092</v>
      </c>
      <c r="W193" s="133">
        <v>0.915254237288136</v>
      </c>
      <c r="X193" s="133">
        <v>0.93013843879273</v>
      </c>
      <c r="Y193" s="135">
        <v>0.92</v>
      </c>
      <c r="Z193" s="135">
        <v>0.961765815620677</v>
      </c>
      <c r="AA193" s="135">
        <v>0.95770539620807</v>
      </c>
      <c r="AB193" s="135">
        <v>0.940282870612886</v>
      </c>
      <c r="AC193" s="135">
        <v>0.967426326129666</v>
      </c>
      <c r="AD193" s="135">
        <v>0.92</v>
      </c>
      <c r="AE193" s="133">
        <v>0.995425957690109</v>
      </c>
      <c r="AF193" s="133">
        <v>0.990848214285714</v>
      </c>
      <c r="AG193" s="133">
        <v>0.993612264452252</v>
      </c>
      <c r="AH193" s="133">
        <v>0.97839365873061</v>
      </c>
      <c r="AI193" s="135">
        <v>0.92</v>
      </c>
      <c r="AJ193" s="133">
        <v>0.971332556066113</v>
      </c>
      <c r="AK193" s="133">
        <v>0.97733527602396</v>
      </c>
      <c r="AL193" s="133">
        <v>0.9650128185794</v>
      </c>
      <c r="AM193" s="133">
        <v>0.979571320101634</v>
      </c>
      <c r="AN193" s="132">
        <v>0.99</v>
      </c>
      <c r="AO193" s="137">
        <v>1</v>
      </c>
      <c r="AP193" s="137">
        <v>1</v>
      </c>
      <c r="AQ193" s="137">
        <v>1</v>
      </c>
      <c r="AR193" s="137">
        <v>1</v>
      </c>
      <c r="AS193" s="158">
        <v>0.0719793575775068</v>
      </c>
      <c r="AT193" s="141">
        <v>0.170212765957447</v>
      </c>
      <c r="AU193" s="141">
        <v>0.0285714285714286</v>
      </c>
      <c r="AV193" s="141">
        <v>0.0294117647058824</v>
      </c>
      <c r="AW193" s="141">
        <v>0.0681818181818182</v>
      </c>
      <c r="AX193" s="88"/>
      <c r="AY193" s="93"/>
    </row>
    <row r="194" ht="15" spans="1:51">
      <c r="A194" s="91"/>
      <c r="B194" s="95"/>
      <c r="C194" s="152" t="s">
        <v>210</v>
      </c>
      <c r="D194" s="153" t="s">
        <v>25</v>
      </c>
      <c r="E194" s="130" t="s">
        <v>211</v>
      </c>
      <c r="F194" s="157" t="s">
        <v>217</v>
      </c>
      <c r="G194" s="157" t="s">
        <v>217</v>
      </c>
      <c r="H194" s="157" t="s">
        <v>217</v>
      </c>
      <c r="I194" s="157" t="s">
        <v>217</v>
      </c>
      <c r="J194" s="132">
        <v>0.9</v>
      </c>
      <c r="K194" s="133">
        <v>0.926829268292683</v>
      </c>
      <c r="L194" s="133">
        <v>0.96</v>
      </c>
      <c r="M194" s="134">
        <v>0.969230769230769</v>
      </c>
      <c r="N194" s="133">
        <v>0.908396946564885</v>
      </c>
      <c r="O194" s="135">
        <v>0.9</v>
      </c>
      <c r="P194" s="133">
        <v>0.942699592423879</v>
      </c>
      <c r="Q194" s="133">
        <v>0.966309948474039</v>
      </c>
      <c r="R194" s="133">
        <v>0.969093406593407</v>
      </c>
      <c r="S194" s="133">
        <v>0.934261952372296</v>
      </c>
      <c r="T194" s="135">
        <v>0.9</v>
      </c>
      <c r="U194" s="133">
        <v>0.930472308798849</v>
      </c>
      <c r="V194" s="133">
        <v>0.928656361474435</v>
      </c>
      <c r="W194" s="133">
        <v>0.871909340659341</v>
      </c>
      <c r="X194" s="133">
        <v>0.91611752408653</v>
      </c>
      <c r="Y194" s="135">
        <v>0.92</v>
      </c>
      <c r="Z194" s="135">
        <v>0.936695278969957</v>
      </c>
      <c r="AA194" s="135">
        <v>0.914264597191426</v>
      </c>
      <c r="AB194" s="135">
        <v>0.862204724409449</v>
      </c>
      <c r="AC194" s="135">
        <v>0.929427057623326</v>
      </c>
      <c r="AD194" s="135">
        <v>0.92</v>
      </c>
      <c r="AE194" s="133">
        <v>0.99552071668533</v>
      </c>
      <c r="AF194" s="133">
        <v>0.994535519125683</v>
      </c>
      <c r="AG194" s="133">
        <v>0.971496437054632</v>
      </c>
      <c r="AH194" s="133">
        <v>0.980862347244639</v>
      </c>
      <c r="AI194" s="135">
        <v>0.92</v>
      </c>
      <c r="AJ194" s="133">
        <v>0.953577898550725</v>
      </c>
      <c r="AK194" s="133">
        <v>0.953560371517028</v>
      </c>
      <c r="AL194" s="133">
        <v>0.917304015296367</v>
      </c>
      <c r="AM194" s="133">
        <v>0.956021800928757</v>
      </c>
      <c r="AN194" s="132">
        <v>0.99</v>
      </c>
      <c r="AO194" s="137">
        <v>1</v>
      </c>
      <c r="AP194" s="137">
        <v>1</v>
      </c>
      <c r="AQ194" s="137">
        <v>1</v>
      </c>
      <c r="AR194" s="137">
        <v>1</v>
      </c>
      <c r="AS194" s="158">
        <v>0.0719793575775068</v>
      </c>
      <c r="AT194" s="141">
        <v>0</v>
      </c>
      <c r="AU194" s="141">
        <v>0.24390243902439</v>
      </c>
      <c r="AV194" s="141">
        <v>0.0833333333333333</v>
      </c>
      <c r="AW194" s="141">
        <v>0.0785714285714286</v>
      </c>
      <c r="AX194" s="95"/>
      <c r="AY194" s="93"/>
    </row>
    <row r="195" ht="15" spans="1:51">
      <c r="A195" s="91"/>
      <c r="B195" s="95"/>
      <c r="C195" s="152" t="s">
        <v>210</v>
      </c>
      <c r="D195" s="153" t="s">
        <v>25</v>
      </c>
      <c r="E195" s="130" t="s">
        <v>211</v>
      </c>
      <c r="F195" s="157" t="s">
        <v>218</v>
      </c>
      <c r="G195" s="157" t="s">
        <v>218</v>
      </c>
      <c r="H195" s="157" t="s">
        <v>218</v>
      </c>
      <c r="I195" s="157" t="s">
        <v>218</v>
      </c>
      <c r="J195" s="132">
        <v>0.9</v>
      </c>
      <c r="K195" s="133">
        <v>0.815789473684211</v>
      </c>
      <c r="L195" s="133">
        <v>0.96969696969697</v>
      </c>
      <c r="M195" s="134">
        <v>0.966666666666667</v>
      </c>
      <c r="N195" s="133">
        <v>0.941678520625889</v>
      </c>
      <c r="O195" s="135">
        <v>0.9</v>
      </c>
      <c r="P195" s="133">
        <v>0.936041486603284</v>
      </c>
      <c r="Q195" s="133">
        <v>0.96</v>
      </c>
      <c r="R195" s="133">
        <v>0.968202465931214</v>
      </c>
      <c r="S195" s="133">
        <v>0.955509611752778</v>
      </c>
      <c r="T195" s="135">
        <v>0.9</v>
      </c>
      <c r="U195" s="133">
        <v>0.922644770959378</v>
      </c>
      <c r="V195" s="133">
        <v>0.940769230769231</v>
      </c>
      <c r="W195" s="133">
        <v>0.881245944192083</v>
      </c>
      <c r="X195" s="133">
        <v>0.925889111981393</v>
      </c>
      <c r="Y195" s="135">
        <v>0.92</v>
      </c>
      <c r="Z195" s="135">
        <v>0.919530934088152</v>
      </c>
      <c r="AA195" s="135">
        <v>0.907780979827089</v>
      </c>
      <c r="AB195" s="135">
        <v>0.880718954248366</v>
      </c>
      <c r="AC195" s="135">
        <v>0.945516043514032</v>
      </c>
      <c r="AD195" s="135">
        <v>0.92</v>
      </c>
      <c r="AE195" s="133">
        <v>0.822625698324022</v>
      </c>
      <c r="AF195" s="133">
        <v>0.811241610738255</v>
      </c>
      <c r="AG195" s="133">
        <v>0.983122362869198</v>
      </c>
      <c r="AH195" s="133">
        <v>0.864375775788855</v>
      </c>
      <c r="AI195" s="135">
        <v>0.92</v>
      </c>
      <c r="AJ195" s="133">
        <v>0.940685045948204</v>
      </c>
      <c r="AK195" s="133">
        <v>0.953360080240722</v>
      </c>
      <c r="AL195" s="133">
        <v>0.935468895078923</v>
      </c>
      <c r="AM195" s="133">
        <v>0.967123386543805</v>
      </c>
      <c r="AN195" s="132">
        <v>0.99</v>
      </c>
      <c r="AO195" s="137">
        <v>1</v>
      </c>
      <c r="AP195" s="137">
        <v>1</v>
      </c>
      <c r="AQ195" s="137">
        <v>1</v>
      </c>
      <c r="AR195" s="137">
        <v>1</v>
      </c>
      <c r="AS195" s="158">
        <v>0.0719793575775068</v>
      </c>
      <c r="AT195" s="141">
        <v>0.125</v>
      </c>
      <c r="AU195" s="141">
        <v>0.1</v>
      </c>
      <c r="AV195" s="141">
        <v>0.214285714285714</v>
      </c>
      <c r="AW195" s="141">
        <v>0.0888429752066116</v>
      </c>
      <c r="AX195" s="95"/>
      <c r="AY195" s="93"/>
    </row>
    <row r="196" ht="15" spans="1:51">
      <c r="A196" s="91"/>
      <c r="B196" s="95"/>
      <c r="C196" s="152" t="s">
        <v>210</v>
      </c>
      <c r="D196" s="153" t="s">
        <v>125</v>
      </c>
      <c r="E196" s="130" t="s">
        <v>211</v>
      </c>
      <c r="F196" s="157" t="s">
        <v>219</v>
      </c>
      <c r="G196" s="157" t="s">
        <v>219</v>
      </c>
      <c r="H196" s="157" t="s">
        <v>219</v>
      </c>
      <c r="I196" s="157" t="s">
        <v>219</v>
      </c>
      <c r="J196" s="132">
        <v>0.9</v>
      </c>
      <c r="K196" s="133" t="s">
        <v>35</v>
      </c>
      <c r="L196" s="133" t="s">
        <v>35</v>
      </c>
      <c r="M196" s="134" t="s">
        <v>35</v>
      </c>
      <c r="N196" s="133" t="s">
        <v>35</v>
      </c>
      <c r="O196" s="135">
        <v>0.9</v>
      </c>
      <c r="P196" s="133">
        <v>0</v>
      </c>
      <c r="Q196" s="133">
        <v>0</v>
      </c>
      <c r="R196" s="133">
        <v>0</v>
      </c>
      <c r="S196" s="133">
        <v>0</v>
      </c>
      <c r="T196" s="135">
        <v>0.9</v>
      </c>
      <c r="U196" s="133">
        <v>0.933333333333333</v>
      </c>
      <c r="V196" s="133">
        <v>1</v>
      </c>
      <c r="W196" s="133">
        <v>1</v>
      </c>
      <c r="X196" s="133">
        <v>0.976635514018692</v>
      </c>
      <c r="Y196" s="135">
        <v>0.92</v>
      </c>
      <c r="Z196" s="135">
        <v>1</v>
      </c>
      <c r="AA196" s="135">
        <v>1</v>
      </c>
      <c r="AB196" s="135">
        <v>0.857142857142857</v>
      </c>
      <c r="AC196" s="135">
        <v>0.954128440366973</v>
      </c>
      <c r="AD196" s="135">
        <v>0.92</v>
      </c>
      <c r="AE196" s="133">
        <v>0.999182844690967</v>
      </c>
      <c r="AF196" s="133">
        <v>0.996587337224966</v>
      </c>
      <c r="AG196" s="133">
        <v>0.998921609290751</v>
      </c>
      <c r="AH196" s="133">
        <v>0.981908132983208</v>
      </c>
      <c r="AI196" s="135">
        <v>0.92</v>
      </c>
      <c r="AJ196" s="133">
        <v>0.842105263157895</v>
      </c>
      <c r="AK196" s="133">
        <v>1</v>
      </c>
      <c r="AL196" s="133">
        <v>0.947368421052632</v>
      </c>
      <c r="AM196" s="133">
        <v>0.955223880597015</v>
      </c>
      <c r="AN196" s="132">
        <v>0.99</v>
      </c>
      <c r="AO196" s="137">
        <v>1</v>
      </c>
      <c r="AP196" s="137">
        <v>1</v>
      </c>
      <c r="AQ196" s="137">
        <v>1</v>
      </c>
      <c r="AR196" s="137">
        <v>1</v>
      </c>
      <c r="AS196" s="158">
        <v>0.0719793575775068</v>
      </c>
      <c r="AT196" s="141" t="s">
        <v>35</v>
      </c>
      <c r="AU196" s="141" t="s">
        <v>35</v>
      </c>
      <c r="AV196" s="141" t="s">
        <v>35</v>
      </c>
      <c r="AW196" s="141" t="s">
        <v>35</v>
      </c>
      <c r="AX196" s="95"/>
      <c r="AY196" s="93"/>
    </row>
    <row r="197" ht="15" spans="1:51">
      <c r="A197" s="91"/>
      <c r="B197" s="95"/>
      <c r="C197" s="152" t="s">
        <v>210</v>
      </c>
      <c r="D197" s="153" t="s">
        <v>25</v>
      </c>
      <c r="E197" s="130" t="s">
        <v>211</v>
      </c>
      <c r="F197" s="157" t="s">
        <v>220</v>
      </c>
      <c r="G197" s="157" t="s">
        <v>220</v>
      </c>
      <c r="H197" s="157" t="s">
        <v>220</v>
      </c>
      <c r="I197" s="157" t="s">
        <v>220</v>
      </c>
      <c r="J197" s="132">
        <v>0.9</v>
      </c>
      <c r="K197" s="133">
        <v>0.948051948051948</v>
      </c>
      <c r="L197" s="133">
        <v>0.945205479452055</v>
      </c>
      <c r="M197" s="134">
        <v>0.844827586206897</v>
      </c>
      <c r="N197" s="133">
        <v>0.925199709513435</v>
      </c>
      <c r="O197" s="135">
        <v>0.9</v>
      </c>
      <c r="P197" s="133">
        <v>0.976762608925271</v>
      </c>
      <c r="Q197" s="133">
        <v>0.961460446247465</v>
      </c>
      <c r="R197" s="133">
        <v>0.933376455368693</v>
      </c>
      <c r="S197" s="133">
        <v>0.944187800509098</v>
      </c>
      <c r="T197" s="135">
        <v>0.9</v>
      </c>
      <c r="U197" s="133">
        <v>0.920517560073937</v>
      </c>
      <c r="V197" s="133">
        <v>0.909939148073022</v>
      </c>
      <c r="W197" s="133">
        <v>0.839586028460543</v>
      </c>
      <c r="X197" s="133">
        <v>0.909529084566795</v>
      </c>
      <c r="Y197" s="135">
        <v>0.92</v>
      </c>
      <c r="Z197" s="135">
        <v>0.927875695732839</v>
      </c>
      <c r="AA197" s="135">
        <v>0.921454545454545</v>
      </c>
      <c r="AB197" s="135">
        <v>0.866004962779156</v>
      </c>
      <c r="AC197" s="135">
        <v>0.936437068122298</v>
      </c>
      <c r="AD197" s="135">
        <v>0.92</v>
      </c>
      <c r="AE197" s="133">
        <v>0.978878177037686</v>
      </c>
      <c r="AF197" s="133">
        <v>0.992811722421897</v>
      </c>
      <c r="AG197" s="133">
        <v>0.99341021416804</v>
      </c>
      <c r="AH197" s="133">
        <v>0.985860448337024</v>
      </c>
      <c r="AI197" s="135">
        <v>0.92</v>
      </c>
      <c r="AJ197" s="133">
        <v>0.943456790123457</v>
      </c>
      <c r="AK197" s="133">
        <v>0.946628482166103</v>
      </c>
      <c r="AL197" s="133">
        <v>0.903278307370379</v>
      </c>
      <c r="AM197" s="133">
        <v>0.955914986611268</v>
      </c>
      <c r="AN197" s="132">
        <v>0.99</v>
      </c>
      <c r="AO197" s="137">
        <v>1</v>
      </c>
      <c r="AP197" s="137">
        <v>1</v>
      </c>
      <c r="AQ197" s="137">
        <v>1</v>
      </c>
      <c r="AR197" s="137">
        <v>1</v>
      </c>
      <c r="AS197" s="158">
        <v>0.0719793575775068</v>
      </c>
      <c r="AT197" s="141">
        <v>0.0377358490566038</v>
      </c>
      <c r="AU197" s="141">
        <v>0.140350877192982</v>
      </c>
      <c r="AV197" s="141">
        <v>0.0333333333333333</v>
      </c>
      <c r="AW197" s="141">
        <v>0.0696250956388676</v>
      </c>
      <c r="AX197" s="95"/>
      <c r="AY197" s="93"/>
    </row>
    <row r="198" s="86" customFormat="1" ht="15" spans="1:51">
      <c r="A198" s="91"/>
      <c r="C198" s="152" t="s">
        <v>210</v>
      </c>
      <c r="D198" s="153" t="s">
        <v>25</v>
      </c>
      <c r="E198" s="130" t="s">
        <v>211</v>
      </c>
      <c r="F198" s="157" t="s">
        <v>221</v>
      </c>
      <c r="G198" s="157" t="s">
        <v>221</v>
      </c>
      <c r="H198" s="157" t="s">
        <v>221</v>
      </c>
      <c r="I198" s="157" t="s">
        <v>221</v>
      </c>
      <c r="J198" s="132">
        <v>0.9</v>
      </c>
      <c r="K198" s="133">
        <v>0.931818181818182</v>
      </c>
      <c r="L198" s="133">
        <v>0.875</v>
      </c>
      <c r="M198" s="134">
        <v>0.888888888888889</v>
      </c>
      <c r="N198" s="133">
        <v>0.949668874172185</v>
      </c>
      <c r="O198" s="135">
        <v>0.9</v>
      </c>
      <c r="P198" s="133">
        <v>0.966268811624286</v>
      </c>
      <c r="Q198" s="133">
        <v>0.972668810289389</v>
      </c>
      <c r="R198" s="133">
        <v>0.975222363405337</v>
      </c>
      <c r="S198" s="133">
        <v>0.974266727772686</v>
      </c>
      <c r="T198" s="135">
        <v>0.9</v>
      </c>
      <c r="U198" s="133">
        <v>0.89724961079398</v>
      </c>
      <c r="V198" s="133">
        <v>0.918006430868167</v>
      </c>
      <c r="W198" s="133">
        <v>0.87420584498094</v>
      </c>
      <c r="X198" s="133">
        <v>0.914046746104491</v>
      </c>
      <c r="Y198" s="135">
        <v>0.92</v>
      </c>
      <c r="Z198" s="135">
        <v>0.925831202046036</v>
      </c>
      <c r="AA198" s="135">
        <v>0.886567164179105</v>
      </c>
      <c r="AB198" s="135">
        <v>0.839863713798978</v>
      </c>
      <c r="AC198" s="135">
        <v>0.930874308590288</v>
      </c>
      <c r="AD198" s="135">
        <v>0.92</v>
      </c>
      <c r="AE198" s="133">
        <v>0.903846153846154</v>
      </c>
      <c r="AF198" s="133">
        <v>0.983050847457627</v>
      </c>
      <c r="AG198" s="133">
        <v>0.95</v>
      </c>
      <c r="AH198" s="133">
        <v>0.85375</v>
      </c>
      <c r="AI198" s="135">
        <v>0.92</v>
      </c>
      <c r="AJ198" s="133">
        <v>0.933317735142723</v>
      </c>
      <c r="AK198" s="133">
        <v>0.936781609195402</v>
      </c>
      <c r="AL198" s="133">
        <v>0.905136510874595</v>
      </c>
      <c r="AM198" s="133">
        <v>0.953749656265141</v>
      </c>
      <c r="AN198" s="132">
        <v>0.99</v>
      </c>
      <c r="AO198" s="137">
        <v>1</v>
      </c>
      <c r="AP198" s="137">
        <v>1</v>
      </c>
      <c r="AQ198" s="137">
        <v>1</v>
      </c>
      <c r="AR198" s="137">
        <v>1</v>
      </c>
      <c r="AS198" s="158">
        <v>0.0719793575775068</v>
      </c>
      <c r="AT198" s="141">
        <v>0.0740740740740741</v>
      </c>
      <c r="AU198" s="141">
        <v>0.04</v>
      </c>
      <c r="AV198" s="141">
        <v>0</v>
      </c>
      <c r="AW198" s="141">
        <v>0.0551724137931034</v>
      </c>
      <c r="AX198" s="88"/>
      <c r="AY198" s="93"/>
    </row>
    <row r="199" ht="15" spans="1:51">
      <c r="A199" s="91"/>
      <c r="B199" s="95"/>
      <c r="C199" s="152" t="s">
        <v>210</v>
      </c>
      <c r="D199" s="153" t="s">
        <v>25</v>
      </c>
      <c r="E199" s="130" t="s">
        <v>211</v>
      </c>
      <c r="F199" s="157" t="s">
        <v>222</v>
      </c>
      <c r="G199" s="157" t="s">
        <v>222</v>
      </c>
      <c r="H199" s="157" t="s">
        <v>222</v>
      </c>
      <c r="I199" s="157" t="s">
        <v>222</v>
      </c>
      <c r="J199" s="132">
        <v>0.9</v>
      </c>
      <c r="K199" s="133">
        <v>0.974025974025974</v>
      </c>
      <c r="L199" s="133">
        <v>0.972972972972973</v>
      </c>
      <c r="M199" s="134">
        <v>0.96969696969697</v>
      </c>
      <c r="N199" s="133">
        <v>0.971850809289233</v>
      </c>
      <c r="O199" s="135">
        <v>0.9</v>
      </c>
      <c r="P199" s="133">
        <v>0.957243669572437</v>
      </c>
      <c r="Q199" s="133">
        <v>0.973885793871866</v>
      </c>
      <c r="R199" s="133">
        <v>0.981255325191707</v>
      </c>
      <c r="S199" s="133">
        <v>0.959644692495898</v>
      </c>
      <c r="T199" s="135">
        <v>0.9</v>
      </c>
      <c r="U199" s="133">
        <v>0.944582814445828</v>
      </c>
      <c r="V199" s="133">
        <v>0.940807799442897</v>
      </c>
      <c r="W199" s="133">
        <v>0.922749218971883</v>
      </c>
      <c r="X199" s="133">
        <v>0.924732978942921</v>
      </c>
      <c r="Y199" s="135">
        <v>0.92</v>
      </c>
      <c r="Z199" s="135">
        <v>0.959695393759287</v>
      </c>
      <c r="AA199" s="135">
        <v>0.954152823920266</v>
      </c>
      <c r="AB199" s="135">
        <v>0.926653569089718</v>
      </c>
      <c r="AC199" s="135">
        <v>0.955242376702306</v>
      </c>
      <c r="AD199" s="135">
        <v>0.92</v>
      </c>
      <c r="AE199" s="133">
        <v>0.997076023391813</v>
      </c>
      <c r="AF199" s="133">
        <v>0.997609085475194</v>
      </c>
      <c r="AG199" s="133">
        <v>0.996876394466756</v>
      </c>
      <c r="AH199" s="133">
        <v>0.992544127946665</v>
      </c>
      <c r="AI199" s="135">
        <v>0.92</v>
      </c>
      <c r="AJ199" s="133">
        <v>0.972162321113507</v>
      </c>
      <c r="AK199" s="133">
        <v>0.973497829563628</v>
      </c>
      <c r="AL199" s="133">
        <v>0.957813428401664</v>
      </c>
      <c r="AM199" s="133">
        <v>0.971639270434587</v>
      </c>
      <c r="AN199" s="132">
        <v>0.99</v>
      </c>
      <c r="AO199" s="137">
        <v>1</v>
      </c>
      <c r="AP199" s="137">
        <v>1</v>
      </c>
      <c r="AQ199" s="137">
        <v>1</v>
      </c>
      <c r="AR199" s="137">
        <v>1</v>
      </c>
      <c r="AS199" s="158">
        <v>0.0719793575775068</v>
      </c>
      <c r="AT199" s="141">
        <v>0.0625</v>
      </c>
      <c r="AU199" s="141">
        <v>0.181818181818182</v>
      </c>
      <c r="AV199" s="141">
        <v>0</v>
      </c>
      <c r="AW199" s="141">
        <v>0.0476190476190476</v>
      </c>
      <c r="AX199" s="95"/>
      <c r="AY199" s="93"/>
    </row>
    <row r="200" ht="15" spans="1:51">
      <c r="A200" s="91"/>
      <c r="B200" s="95"/>
      <c r="C200" s="152" t="s">
        <v>210</v>
      </c>
      <c r="D200" s="153" t="s">
        <v>25</v>
      </c>
      <c r="E200" s="130" t="s">
        <v>211</v>
      </c>
      <c r="F200" s="157" t="s">
        <v>223</v>
      </c>
      <c r="G200" s="157" t="s">
        <v>223</v>
      </c>
      <c r="H200" s="157" t="s">
        <v>223</v>
      </c>
      <c r="I200" s="157" t="s">
        <v>223</v>
      </c>
      <c r="J200" s="132">
        <v>0.9</v>
      </c>
      <c r="K200" s="133">
        <v>0.966666666666667</v>
      </c>
      <c r="L200" s="133">
        <v>0.962962962962963</v>
      </c>
      <c r="M200" s="134">
        <v>0.961038961038961</v>
      </c>
      <c r="N200" s="133">
        <v>0.971326164874552</v>
      </c>
      <c r="O200" s="135">
        <v>0.9</v>
      </c>
      <c r="P200" s="133">
        <v>0.967572960838114</v>
      </c>
      <c r="Q200" s="133">
        <v>0.981797056545314</v>
      </c>
      <c r="R200" s="133">
        <v>0.984267453294002</v>
      </c>
      <c r="S200" s="133">
        <v>0.983110116445781</v>
      </c>
      <c r="T200" s="135">
        <v>0.9</v>
      </c>
      <c r="U200" s="133">
        <v>0.946869543527064</v>
      </c>
      <c r="V200" s="133">
        <v>0.955848179705654</v>
      </c>
      <c r="W200" s="133">
        <v>0.957391019337922</v>
      </c>
      <c r="X200" s="133">
        <v>0.964530078912706</v>
      </c>
      <c r="Y200" s="135">
        <v>0.92</v>
      </c>
      <c r="Z200" s="135">
        <v>0.955091059602649</v>
      </c>
      <c r="AA200" s="135">
        <v>0.962570621468927</v>
      </c>
      <c r="AB200" s="135">
        <v>0.956263899184581</v>
      </c>
      <c r="AC200" s="135">
        <v>0.972582063305979</v>
      </c>
      <c r="AD200" s="135">
        <v>0.92</v>
      </c>
      <c r="AE200" s="133">
        <v>0.989828209764919</v>
      </c>
      <c r="AF200" s="133">
        <v>0.994696210737227</v>
      </c>
      <c r="AG200" s="133">
        <v>0.978806075591664</v>
      </c>
      <c r="AH200" s="133">
        <v>0.993682474626829</v>
      </c>
      <c r="AI200" s="135">
        <v>0.92</v>
      </c>
      <c r="AJ200" s="133">
        <v>0.96301741687401</v>
      </c>
      <c r="AK200" s="133">
        <v>0.976488244122061</v>
      </c>
      <c r="AL200" s="133">
        <v>0.974090909090909</v>
      </c>
      <c r="AM200" s="133">
        <v>0.982778765887286</v>
      </c>
      <c r="AN200" s="132">
        <v>0.99</v>
      </c>
      <c r="AO200" s="137">
        <v>1</v>
      </c>
      <c r="AP200" s="137">
        <v>1</v>
      </c>
      <c r="AQ200" s="137">
        <v>1</v>
      </c>
      <c r="AR200" s="137">
        <v>1</v>
      </c>
      <c r="AS200" s="158">
        <v>0.0719793575775068</v>
      </c>
      <c r="AT200" s="141">
        <v>0</v>
      </c>
      <c r="AU200" s="141">
        <v>0.0967741935483871</v>
      </c>
      <c r="AV200" s="141">
        <v>0.09375</v>
      </c>
      <c r="AW200" s="141">
        <v>0.0565045992115637</v>
      </c>
      <c r="AX200" s="95"/>
      <c r="AY200" s="93"/>
    </row>
    <row r="201" ht="15" spans="1:51">
      <c r="A201" s="91"/>
      <c r="B201" s="95"/>
      <c r="C201" s="152" t="s">
        <v>210</v>
      </c>
      <c r="D201" s="153" t="s">
        <v>125</v>
      </c>
      <c r="E201" s="130" t="s">
        <v>211</v>
      </c>
      <c r="F201" s="157" t="s">
        <v>224</v>
      </c>
      <c r="G201" s="157" t="s">
        <v>224</v>
      </c>
      <c r="H201" s="157" t="s">
        <v>224</v>
      </c>
      <c r="I201" s="157" t="s">
        <v>224</v>
      </c>
      <c r="J201" s="132">
        <v>0.9</v>
      </c>
      <c r="K201" s="133" t="s">
        <v>35</v>
      </c>
      <c r="L201" s="133" t="s">
        <v>35</v>
      </c>
      <c r="M201" s="134" t="s">
        <v>35</v>
      </c>
      <c r="N201" s="133" t="s">
        <v>35</v>
      </c>
      <c r="O201" s="135">
        <v>0.9</v>
      </c>
      <c r="P201" s="133" t="s">
        <v>35</v>
      </c>
      <c r="Q201" s="133" t="s">
        <v>35</v>
      </c>
      <c r="R201" s="133" t="s">
        <v>35</v>
      </c>
      <c r="S201" s="133" t="s">
        <v>35</v>
      </c>
      <c r="T201" s="135">
        <v>0.9</v>
      </c>
      <c r="U201" s="133" t="s">
        <v>35</v>
      </c>
      <c r="V201" s="133" t="s">
        <v>35</v>
      </c>
      <c r="W201" s="133" t="s">
        <v>35</v>
      </c>
      <c r="X201" s="133" t="s">
        <v>35</v>
      </c>
      <c r="Y201" s="135">
        <v>0.92</v>
      </c>
      <c r="Z201" s="135" t="s">
        <v>35</v>
      </c>
      <c r="AA201" s="135" t="s">
        <v>35</v>
      </c>
      <c r="AB201" s="135" t="s">
        <v>35</v>
      </c>
      <c r="AC201" s="135" t="s">
        <v>35</v>
      </c>
      <c r="AD201" s="135">
        <v>0.92</v>
      </c>
      <c r="AE201" s="133">
        <v>1</v>
      </c>
      <c r="AF201" s="133">
        <v>1</v>
      </c>
      <c r="AG201" s="133">
        <v>1</v>
      </c>
      <c r="AH201" s="133">
        <v>0.998671194448546</v>
      </c>
      <c r="AI201" s="135">
        <v>0.92</v>
      </c>
      <c r="AJ201" s="133" t="s">
        <v>35</v>
      </c>
      <c r="AK201" s="133" t="s">
        <v>35</v>
      </c>
      <c r="AL201" s="133" t="s">
        <v>35</v>
      </c>
      <c r="AM201" s="133" t="s">
        <v>35</v>
      </c>
      <c r="AN201" s="132">
        <v>0.99</v>
      </c>
      <c r="AO201" s="137">
        <v>1</v>
      </c>
      <c r="AP201" s="137">
        <v>1</v>
      </c>
      <c r="AQ201" s="137">
        <v>1</v>
      </c>
      <c r="AR201" s="137">
        <v>1</v>
      </c>
      <c r="AS201" s="158">
        <v>0.0719793575775068</v>
      </c>
      <c r="AT201" s="141" t="s">
        <v>35</v>
      </c>
      <c r="AU201" s="141" t="s">
        <v>35</v>
      </c>
      <c r="AV201" s="141" t="s">
        <v>35</v>
      </c>
      <c r="AW201" s="141" t="s">
        <v>35</v>
      </c>
      <c r="AX201" s="95"/>
      <c r="AY201" s="93"/>
    </row>
    <row r="202" ht="15" spans="1:51">
      <c r="A202" s="91"/>
      <c r="B202" s="95"/>
      <c r="C202" s="152" t="s">
        <v>210</v>
      </c>
      <c r="D202" s="153" t="s">
        <v>25</v>
      </c>
      <c r="E202" s="130" t="s">
        <v>211</v>
      </c>
      <c r="F202" s="157" t="s">
        <v>225</v>
      </c>
      <c r="G202" s="157" t="s">
        <v>225</v>
      </c>
      <c r="H202" s="157" t="s">
        <v>225</v>
      </c>
      <c r="I202" s="157" t="s">
        <v>225</v>
      </c>
      <c r="J202" s="132">
        <v>0.9</v>
      </c>
      <c r="K202" s="133">
        <v>0.992592592592593</v>
      </c>
      <c r="L202" s="133">
        <v>0.983193277310924</v>
      </c>
      <c r="M202" s="134">
        <v>0.988636363636364</v>
      </c>
      <c r="N202" s="133">
        <v>0.977962577962578</v>
      </c>
      <c r="O202" s="135">
        <v>0.9</v>
      </c>
      <c r="P202" s="133">
        <v>0.961380676191823</v>
      </c>
      <c r="Q202" s="133">
        <v>0.973496197280479</v>
      </c>
      <c r="R202" s="133">
        <v>0.899368733754177</v>
      </c>
      <c r="S202" s="133">
        <v>0.953844628754585</v>
      </c>
      <c r="T202" s="135">
        <v>0.9</v>
      </c>
      <c r="U202" s="133">
        <v>0.869288442495402</v>
      </c>
      <c r="V202" s="133">
        <v>0.861949758008758</v>
      </c>
      <c r="W202" s="133">
        <v>0.803007797994801</v>
      </c>
      <c r="X202" s="133">
        <v>0.857390212470674</v>
      </c>
      <c r="Y202" s="135">
        <v>0.92</v>
      </c>
      <c r="Z202" s="135">
        <v>0.92208250088142</v>
      </c>
      <c r="AA202" s="135">
        <v>0.919535283993115</v>
      </c>
      <c r="AB202" s="135">
        <v>0.830818472793781</v>
      </c>
      <c r="AC202" s="135">
        <v>0.934826624017423</v>
      </c>
      <c r="AD202" s="135">
        <v>0.92</v>
      </c>
      <c r="AE202" s="133">
        <v>0.993091386095321</v>
      </c>
      <c r="AF202" s="133">
        <v>0.993754803996925</v>
      </c>
      <c r="AG202" s="133">
        <v>0.990713871154962</v>
      </c>
      <c r="AH202" s="133">
        <v>0.990032635163125</v>
      </c>
      <c r="AI202" s="135">
        <v>0.92</v>
      </c>
      <c r="AJ202" s="133">
        <v>0.935935293362434</v>
      </c>
      <c r="AK202" s="133">
        <v>0.946270448746811</v>
      </c>
      <c r="AL202" s="133">
        <v>0.884341167150779</v>
      </c>
      <c r="AM202" s="133">
        <v>0.954689812645499</v>
      </c>
      <c r="AN202" s="132">
        <v>0.99</v>
      </c>
      <c r="AO202" s="137">
        <v>1</v>
      </c>
      <c r="AP202" s="137">
        <v>1</v>
      </c>
      <c r="AQ202" s="137">
        <v>1</v>
      </c>
      <c r="AR202" s="137">
        <v>1</v>
      </c>
      <c r="AS202" s="158">
        <v>0.0719793575775068</v>
      </c>
      <c r="AT202" s="141">
        <v>0.0263157894736842</v>
      </c>
      <c r="AU202" s="141">
        <v>0.108108108108108</v>
      </c>
      <c r="AV202" s="141">
        <v>0.0277777777777778</v>
      </c>
      <c r="AW202" s="141">
        <v>0.0531914893617021</v>
      </c>
      <c r="AX202" s="95"/>
      <c r="AY202" s="93"/>
    </row>
    <row r="203" ht="15" spans="1:51">
      <c r="A203" s="91"/>
      <c r="B203" s="95"/>
      <c r="C203" s="152" t="s">
        <v>210</v>
      </c>
      <c r="D203" s="153" t="s">
        <v>125</v>
      </c>
      <c r="E203" s="130" t="s">
        <v>211</v>
      </c>
      <c r="F203" s="157" t="s">
        <v>226</v>
      </c>
      <c r="G203" s="157" t="s">
        <v>226</v>
      </c>
      <c r="H203" s="157" t="s">
        <v>226</v>
      </c>
      <c r="I203" s="157" t="s">
        <v>226</v>
      </c>
      <c r="J203" s="132">
        <v>0.9</v>
      </c>
      <c r="K203" s="133" t="s">
        <v>35</v>
      </c>
      <c r="L203" s="133" t="s">
        <v>35</v>
      </c>
      <c r="M203" s="134" t="s">
        <v>35</v>
      </c>
      <c r="N203" s="133" t="s">
        <v>35</v>
      </c>
      <c r="O203" s="135">
        <v>0.9</v>
      </c>
      <c r="P203" s="133">
        <v>0</v>
      </c>
      <c r="Q203" s="133">
        <v>0</v>
      </c>
      <c r="R203" s="133" t="s">
        <v>35</v>
      </c>
      <c r="S203" s="133">
        <v>0</v>
      </c>
      <c r="T203" s="135">
        <v>0.9</v>
      </c>
      <c r="U203" s="133">
        <v>0</v>
      </c>
      <c r="V203" s="133">
        <v>0</v>
      </c>
      <c r="W203" s="133" t="s">
        <v>35</v>
      </c>
      <c r="X203" s="133">
        <v>0.7</v>
      </c>
      <c r="Y203" s="135">
        <v>0.92</v>
      </c>
      <c r="Z203" s="135" t="s">
        <v>35</v>
      </c>
      <c r="AA203" s="135" t="s">
        <v>35</v>
      </c>
      <c r="AB203" s="135" t="s">
        <v>35</v>
      </c>
      <c r="AC203" s="135">
        <v>0</v>
      </c>
      <c r="AD203" s="135">
        <v>0.92</v>
      </c>
      <c r="AE203" s="133">
        <v>0.990900575404791</v>
      </c>
      <c r="AF203" s="133">
        <v>0.942035080774845</v>
      </c>
      <c r="AG203" s="133">
        <v>0.999077490774908</v>
      </c>
      <c r="AH203" s="133">
        <v>0.992835432045158</v>
      </c>
      <c r="AI203" s="135">
        <v>0.92</v>
      </c>
      <c r="AJ203" s="133">
        <v>0</v>
      </c>
      <c r="AK203" s="133">
        <v>0</v>
      </c>
      <c r="AL203" s="133">
        <v>0</v>
      </c>
      <c r="AM203" s="133">
        <v>0.571428571428571</v>
      </c>
      <c r="AN203" s="132">
        <v>0.99</v>
      </c>
      <c r="AO203" s="137">
        <v>1</v>
      </c>
      <c r="AP203" s="137">
        <v>1</v>
      </c>
      <c r="AQ203" s="137">
        <v>1</v>
      </c>
      <c r="AR203" s="137">
        <v>1</v>
      </c>
      <c r="AS203" s="158">
        <v>0.0719793575775068</v>
      </c>
      <c r="AT203" s="141" t="s">
        <v>35</v>
      </c>
      <c r="AU203" s="141" t="s">
        <v>35</v>
      </c>
      <c r="AV203" s="141" t="s">
        <v>35</v>
      </c>
      <c r="AW203" s="141" t="s">
        <v>35</v>
      </c>
      <c r="AX203" s="95"/>
      <c r="AY203" s="93"/>
    </row>
    <row r="204" ht="15" spans="1:51">
      <c r="A204" s="91"/>
      <c r="B204" s="95"/>
      <c r="C204" s="152" t="s">
        <v>210</v>
      </c>
      <c r="D204" s="153" t="s">
        <v>25</v>
      </c>
      <c r="E204" s="130" t="s">
        <v>211</v>
      </c>
      <c r="F204" s="157" t="s">
        <v>227</v>
      </c>
      <c r="G204" s="157" t="s">
        <v>227</v>
      </c>
      <c r="H204" s="157" t="s">
        <v>227</v>
      </c>
      <c r="I204" s="157" t="s">
        <v>227</v>
      </c>
      <c r="J204" s="132">
        <v>0.9</v>
      </c>
      <c r="K204" s="133">
        <v>0.95</v>
      </c>
      <c r="L204" s="133">
        <v>0.91044776119403</v>
      </c>
      <c r="M204" s="134">
        <v>0.888888888888889</v>
      </c>
      <c r="N204" s="133">
        <v>0.907341411261582</v>
      </c>
      <c r="O204" s="135">
        <v>0.9</v>
      </c>
      <c r="P204" s="133">
        <v>0.949660928534168</v>
      </c>
      <c r="Q204" s="133">
        <v>0.96031379787725</v>
      </c>
      <c r="R204" s="133">
        <v>0.950931232091691</v>
      </c>
      <c r="S204" s="133">
        <v>0.952106755546712</v>
      </c>
      <c r="T204" s="135">
        <v>0.9</v>
      </c>
      <c r="U204" s="133">
        <v>0.924621804903495</v>
      </c>
      <c r="V204" s="133">
        <v>0.909552376557453</v>
      </c>
      <c r="W204" s="133">
        <v>0.908667621776504</v>
      </c>
      <c r="X204" s="133">
        <v>0.918142473385733</v>
      </c>
      <c r="Y204" s="135">
        <v>0.92</v>
      </c>
      <c r="Z204" s="135">
        <v>0.94921875</v>
      </c>
      <c r="AA204" s="135">
        <v>0.942760942760943</v>
      </c>
      <c r="AB204" s="135">
        <v>0.924495171202809</v>
      </c>
      <c r="AC204" s="135">
        <v>0.951171381662036</v>
      </c>
      <c r="AD204" s="135">
        <v>0.92</v>
      </c>
      <c r="AE204" s="133">
        <v>0.991431291653443</v>
      </c>
      <c r="AF204" s="133">
        <v>0.996887966804979</v>
      </c>
      <c r="AG204" s="133">
        <v>0.997145187601958</v>
      </c>
      <c r="AH204" s="133">
        <v>0.997075936147993</v>
      </c>
      <c r="AI204" s="135">
        <v>0.92</v>
      </c>
      <c r="AJ204" s="133">
        <v>0.963609720356576</v>
      </c>
      <c r="AK204" s="133">
        <v>0.970193740685544</v>
      </c>
      <c r="AL204" s="133">
        <v>0.963405336721728</v>
      </c>
      <c r="AM204" s="133">
        <v>0.969861584475203</v>
      </c>
      <c r="AN204" s="132">
        <v>0.99</v>
      </c>
      <c r="AO204" s="137">
        <v>1</v>
      </c>
      <c r="AP204" s="137">
        <v>1</v>
      </c>
      <c r="AQ204" s="137">
        <v>1</v>
      </c>
      <c r="AR204" s="137">
        <v>1</v>
      </c>
      <c r="AS204" s="158">
        <v>0.0719793575775068</v>
      </c>
      <c r="AT204" s="141">
        <v>0</v>
      </c>
      <c r="AU204" s="141">
        <v>0.0588235294117647</v>
      </c>
      <c r="AV204" s="141">
        <v>0</v>
      </c>
      <c r="AW204" s="141">
        <v>0.0569948186528497</v>
      </c>
      <c r="AX204" s="95"/>
      <c r="AY204" s="93"/>
    </row>
    <row r="205" ht="15" spans="1:51">
      <c r="A205" s="91"/>
      <c r="B205" s="95"/>
      <c r="C205" s="152" t="s">
        <v>210</v>
      </c>
      <c r="D205" s="153" t="s">
        <v>125</v>
      </c>
      <c r="E205" s="130" t="s">
        <v>211</v>
      </c>
      <c r="F205" s="157" t="s">
        <v>228</v>
      </c>
      <c r="G205" s="157" t="s">
        <v>228</v>
      </c>
      <c r="H205" s="157" t="s">
        <v>228</v>
      </c>
      <c r="I205" s="157" t="s">
        <v>228</v>
      </c>
      <c r="J205" s="132">
        <v>0.9</v>
      </c>
      <c r="K205" s="133" t="s">
        <v>35</v>
      </c>
      <c r="L205" s="133" t="s">
        <v>35</v>
      </c>
      <c r="M205" s="134" t="s">
        <v>35</v>
      </c>
      <c r="N205" s="133" t="s">
        <v>35</v>
      </c>
      <c r="O205" s="135">
        <v>0.9</v>
      </c>
      <c r="P205" s="133">
        <v>0</v>
      </c>
      <c r="Q205" s="133">
        <v>0</v>
      </c>
      <c r="R205" s="133">
        <v>0</v>
      </c>
      <c r="S205" s="133">
        <v>0</v>
      </c>
      <c r="T205" s="135">
        <v>0.9</v>
      </c>
      <c r="U205" s="133">
        <v>1</v>
      </c>
      <c r="V205" s="133">
        <v>1</v>
      </c>
      <c r="W205" s="133">
        <v>0.5</v>
      </c>
      <c r="X205" s="133">
        <v>0.90625</v>
      </c>
      <c r="Y205" s="135">
        <v>0.92</v>
      </c>
      <c r="Z205" s="135">
        <v>0</v>
      </c>
      <c r="AA205" s="135" t="s">
        <v>35</v>
      </c>
      <c r="AB205" s="135">
        <v>1</v>
      </c>
      <c r="AC205" s="135">
        <v>0.318181818181818</v>
      </c>
      <c r="AD205" s="135">
        <v>0.92</v>
      </c>
      <c r="AE205" s="133">
        <v>0.999321976438681</v>
      </c>
      <c r="AF205" s="133">
        <v>0.9883541295306</v>
      </c>
      <c r="AG205" s="133">
        <v>0.996941603746535</v>
      </c>
      <c r="AH205" s="133">
        <v>0.961886623824318</v>
      </c>
      <c r="AI205" s="135">
        <v>0.92</v>
      </c>
      <c r="AJ205" s="133">
        <v>0.4</v>
      </c>
      <c r="AK205" s="133">
        <v>1</v>
      </c>
      <c r="AL205" s="133">
        <v>0.666666666666667</v>
      </c>
      <c r="AM205" s="133">
        <v>0.893258426966292</v>
      </c>
      <c r="AN205" s="132">
        <v>0.99</v>
      </c>
      <c r="AO205" s="137">
        <v>1</v>
      </c>
      <c r="AP205" s="137">
        <v>1</v>
      </c>
      <c r="AQ205" s="137">
        <v>1</v>
      </c>
      <c r="AR205" s="137">
        <v>1</v>
      </c>
      <c r="AS205" s="158">
        <v>0.0719793575775068</v>
      </c>
      <c r="AT205" s="141" t="s">
        <v>35</v>
      </c>
      <c r="AU205" s="141" t="s">
        <v>35</v>
      </c>
      <c r="AV205" s="141" t="s">
        <v>35</v>
      </c>
      <c r="AW205" s="141" t="s">
        <v>35</v>
      </c>
      <c r="AX205" s="95"/>
      <c r="AY205" s="93"/>
    </row>
    <row r="206" ht="15" spans="1:51">
      <c r="A206" s="91"/>
      <c r="B206" s="95"/>
      <c r="C206" s="152" t="s">
        <v>210</v>
      </c>
      <c r="D206" s="153" t="s">
        <v>25</v>
      </c>
      <c r="E206" s="130" t="s">
        <v>211</v>
      </c>
      <c r="F206" s="157" t="s">
        <v>229</v>
      </c>
      <c r="G206" s="157" t="s">
        <v>229</v>
      </c>
      <c r="H206" s="157" t="s">
        <v>229</v>
      </c>
      <c r="I206" s="157" t="s">
        <v>229</v>
      </c>
      <c r="J206" s="132">
        <v>0.9</v>
      </c>
      <c r="K206" s="133">
        <v>0.966101694915254</v>
      </c>
      <c r="L206" s="133">
        <v>0.982142857142857</v>
      </c>
      <c r="M206" s="134">
        <v>0.976744186046512</v>
      </c>
      <c r="N206" s="133">
        <v>0.9287109375</v>
      </c>
      <c r="O206" s="135">
        <v>0.9</v>
      </c>
      <c r="P206" s="133">
        <v>0.986025903203817</v>
      </c>
      <c r="Q206" s="133">
        <v>0.996681415929204</v>
      </c>
      <c r="R206" s="133">
        <v>0.994676494676495</v>
      </c>
      <c r="S206" s="133">
        <v>0.991886079249218</v>
      </c>
      <c r="T206" s="135">
        <v>0.9</v>
      </c>
      <c r="U206" s="133">
        <v>0.869461486025903</v>
      </c>
      <c r="V206" s="133">
        <v>0.904867256637168</v>
      </c>
      <c r="W206" s="133">
        <v>0.886977886977887</v>
      </c>
      <c r="X206" s="133">
        <v>0.912571689259645</v>
      </c>
      <c r="Y206" s="135">
        <v>0.92</v>
      </c>
      <c r="Z206" s="135">
        <v>0.923830250272035</v>
      </c>
      <c r="AA206" s="135">
        <v>0.923076923076923</v>
      </c>
      <c r="AB206" s="135">
        <v>0.923970432946146</v>
      </c>
      <c r="AC206" s="135">
        <v>0.950278593860804</v>
      </c>
      <c r="AD206" s="135">
        <v>0.92</v>
      </c>
      <c r="AE206" s="133">
        <v>0.999712973593571</v>
      </c>
      <c r="AF206" s="133">
        <v>1</v>
      </c>
      <c r="AG206" s="133">
        <v>0.999317406143345</v>
      </c>
      <c r="AH206" s="133">
        <v>0.998567770496072</v>
      </c>
      <c r="AI206" s="135">
        <v>0.92</v>
      </c>
      <c r="AJ206" s="133">
        <v>0.937235329703569</v>
      </c>
      <c r="AK206" s="133">
        <v>0.95322466335932</v>
      </c>
      <c r="AL206" s="133">
        <v>0.957522123893805</v>
      </c>
      <c r="AM206" s="133">
        <v>0.96848530819382</v>
      </c>
      <c r="AN206" s="132">
        <v>0.99</v>
      </c>
      <c r="AO206" s="137">
        <v>1</v>
      </c>
      <c r="AP206" s="137">
        <v>1</v>
      </c>
      <c r="AQ206" s="137">
        <v>1</v>
      </c>
      <c r="AR206" s="137">
        <v>1</v>
      </c>
      <c r="AS206" s="158">
        <v>0.0719793575775068</v>
      </c>
      <c r="AT206" s="141">
        <v>0</v>
      </c>
      <c r="AU206" s="141">
        <v>0</v>
      </c>
      <c r="AV206" s="141">
        <v>0</v>
      </c>
      <c r="AW206" s="141">
        <v>0.0723860589812333</v>
      </c>
      <c r="AX206" s="95"/>
      <c r="AY206" s="93"/>
    </row>
    <row r="207" ht="15" spans="1:51">
      <c r="A207" s="91"/>
      <c r="B207" s="95"/>
      <c r="C207" s="152" t="s">
        <v>210</v>
      </c>
      <c r="D207" s="153" t="s">
        <v>25</v>
      </c>
      <c r="E207" s="130" t="s">
        <v>211</v>
      </c>
      <c r="F207" s="157" t="s">
        <v>230</v>
      </c>
      <c r="G207" s="157" t="s">
        <v>230</v>
      </c>
      <c r="H207" s="157" t="s">
        <v>230</v>
      </c>
      <c r="I207" s="157" t="s">
        <v>230</v>
      </c>
      <c r="J207" s="132">
        <v>0.9</v>
      </c>
      <c r="K207" s="133">
        <v>0.963963963963964</v>
      </c>
      <c r="L207" s="133">
        <v>0.96039603960396</v>
      </c>
      <c r="M207" s="134">
        <v>0.91358024691358</v>
      </c>
      <c r="N207" s="133">
        <v>0.935315597287428</v>
      </c>
      <c r="O207" s="135">
        <v>0.9</v>
      </c>
      <c r="P207" s="133">
        <v>0.960392629584984</v>
      </c>
      <c r="Q207" s="133">
        <v>0.966675923354624</v>
      </c>
      <c r="R207" s="133">
        <v>0.970601140851251</v>
      </c>
      <c r="S207" s="133">
        <v>0.952937750023557</v>
      </c>
      <c r="T207" s="135">
        <v>0.9</v>
      </c>
      <c r="U207" s="133">
        <v>0.915791286378509</v>
      </c>
      <c r="V207" s="133">
        <v>0.926409330741461</v>
      </c>
      <c r="W207" s="133">
        <v>0.89293549802545</v>
      </c>
      <c r="X207" s="133">
        <v>0.907751479796812</v>
      </c>
      <c r="Y207" s="135">
        <v>0.92</v>
      </c>
      <c r="Z207" s="135">
        <v>0.92459748126893</v>
      </c>
      <c r="AA207" s="135">
        <v>0.932860262008734</v>
      </c>
      <c r="AB207" s="135">
        <v>0.847438752783964</v>
      </c>
      <c r="AC207" s="135">
        <v>0.925619005130493</v>
      </c>
      <c r="AD207" s="135">
        <v>0.92</v>
      </c>
      <c r="AE207" s="133">
        <v>0.991852191875143</v>
      </c>
      <c r="AF207" s="133">
        <v>0.972347266881029</v>
      </c>
      <c r="AG207" s="133">
        <v>0.965116279069767</v>
      </c>
      <c r="AH207" s="133">
        <v>0.95133789128223</v>
      </c>
      <c r="AI207" s="135">
        <v>0.92</v>
      </c>
      <c r="AJ207" s="133">
        <v>0.948200248241622</v>
      </c>
      <c r="AK207" s="133">
        <v>0.96117040853883</v>
      </c>
      <c r="AL207" s="133">
        <v>0.918633931381807</v>
      </c>
      <c r="AM207" s="133">
        <v>0.953393402121785</v>
      </c>
      <c r="AN207" s="132">
        <v>0.99</v>
      </c>
      <c r="AO207" s="137">
        <v>1</v>
      </c>
      <c r="AP207" s="137">
        <v>1</v>
      </c>
      <c r="AQ207" s="137">
        <v>1</v>
      </c>
      <c r="AR207" s="137">
        <v>1</v>
      </c>
      <c r="AS207" s="158">
        <v>0.0719793575775068</v>
      </c>
      <c r="AT207" s="141">
        <v>0.135135135135135</v>
      </c>
      <c r="AU207" s="141">
        <v>0.0357142857142857</v>
      </c>
      <c r="AV207" s="141">
        <v>0</v>
      </c>
      <c r="AW207" s="141">
        <v>0.0531208499335989</v>
      </c>
      <c r="AX207" s="95"/>
      <c r="AY207" s="93"/>
    </row>
    <row r="208" ht="15" spans="1:51">
      <c r="A208" s="91"/>
      <c r="B208" s="95"/>
      <c r="C208" s="152" t="s">
        <v>210</v>
      </c>
      <c r="D208" s="153" t="s">
        <v>125</v>
      </c>
      <c r="E208" s="130" t="s">
        <v>211</v>
      </c>
      <c r="F208" s="157" t="s">
        <v>231</v>
      </c>
      <c r="G208" s="157" t="s">
        <v>231</v>
      </c>
      <c r="H208" s="157" t="s">
        <v>231</v>
      </c>
      <c r="I208" s="157" t="s">
        <v>231</v>
      </c>
      <c r="J208" s="132">
        <v>0.9</v>
      </c>
      <c r="K208" s="133" t="s">
        <v>35</v>
      </c>
      <c r="L208" s="133" t="s">
        <v>35</v>
      </c>
      <c r="M208" s="134" t="s">
        <v>35</v>
      </c>
      <c r="N208" s="133" t="s">
        <v>35</v>
      </c>
      <c r="O208" s="135">
        <v>0.9</v>
      </c>
      <c r="P208" s="133">
        <v>0</v>
      </c>
      <c r="Q208" s="133">
        <v>0</v>
      </c>
      <c r="R208" s="133">
        <v>0</v>
      </c>
      <c r="S208" s="133">
        <v>0</v>
      </c>
      <c r="T208" s="135">
        <v>0.9</v>
      </c>
      <c r="U208" s="133">
        <v>0.6</v>
      </c>
      <c r="V208" s="133">
        <v>0.625</v>
      </c>
      <c r="W208" s="133">
        <v>0.833333333333333</v>
      </c>
      <c r="X208" s="133">
        <v>0.844559585492228</v>
      </c>
      <c r="Y208" s="135">
        <v>0.92</v>
      </c>
      <c r="Z208" s="135">
        <v>0</v>
      </c>
      <c r="AA208" s="135">
        <v>0.5</v>
      </c>
      <c r="AB208" s="135" t="s">
        <v>35</v>
      </c>
      <c r="AC208" s="135">
        <v>0.481481481481481</v>
      </c>
      <c r="AD208" s="135">
        <v>0.92</v>
      </c>
      <c r="AE208" s="133">
        <v>0.766230912885862</v>
      </c>
      <c r="AF208" s="133">
        <v>0.964621858044513</v>
      </c>
      <c r="AG208" s="133">
        <v>0.980085348506401</v>
      </c>
      <c r="AH208" s="133">
        <v>0.919361223247993</v>
      </c>
      <c r="AI208" s="135">
        <v>0.92</v>
      </c>
      <c r="AJ208" s="133">
        <v>0.555555555555556</v>
      </c>
      <c r="AK208" s="133">
        <v>0.733333333333333</v>
      </c>
      <c r="AL208" s="133">
        <v>0.666666666666667</v>
      </c>
      <c r="AM208" s="133">
        <v>0.772727272727273</v>
      </c>
      <c r="AN208" s="132">
        <v>0.99</v>
      </c>
      <c r="AO208" s="137">
        <v>1</v>
      </c>
      <c r="AP208" s="137">
        <v>1</v>
      </c>
      <c r="AQ208" s="137">
        <v>1</v>
      </c>
      <c r="AR208" s="137">
        <v>1</v>
      </c>
      <c r="AS208" s="158">
        <v>0.0719793575775068</v>
      </c>
      <c r="AT208" s="141" t="s">
        <v>35</v>
      </c>
      <c r="AU208" s="141" t="s">
        <v>35</v>
      </c>
      <c r="AV208" s="141" t="s">
        <v>35</v>
      </c>
      <c r="AW208" s="141" t="s">
        <v>35</v>
      </c>
      <c r="AX208" s="95"/>
      <c r="AY208" s="93"/>
    </row>
    <row r="209" ht="15" spans="1:51">
      <c r="A209" s="91"/>
      <c r="C209" s="152" t="s">
        <v>210</v>
      </c>
      <c r="D209" s="153" t="s">
        <v>25</v>
      </c>
      <c r="E209" s="130" t="s">
        <v>211</v>
      </c>
      <c r="F209" s="157" t="s">
        <v>232</v>
      </c>
      <c r="G209" s="157" t="s">
        <v>232</v>
      </c>
      <c r="H209" s="157" t="s">
        <v>232</v>
      </c>
      <c r="I209" s="157" t="s">
        <v>232</v>
      </c>
      <c r="J209" s="132">
        <v>0.9</v>
      </c>
      <c r="K209" s="133">
        <v>0.961325966850829</v>
      </c>
      <c r="L209" s="133">
        <v>0.975609756097561</v>
      </c>
      <c r="M209" s="134">
        <v>0.952054794520548</v>
      </c>
      <c r="N209" s="133">
        <v>0.9449027695934</v>
      </c>
      <c r="O209" s="135">
        <v>0.9</v>
      </c>
      <c r="P209" s="133">
        <v>0.963496009420385</v>
      </c>
      <c r="Q209" s="133">
        <v>0.963419563459984</v>
      </c>
      <c r="R209" s="133">
        <v>0.954924306854907</v>
      </c>
      <c r="S209" s="133">
        <v>0.952236565241034</v>
      </c>
      <c r="T209" s="135">
        <v>0.9</v>
      </c>
      <c r="U209" s="133">
        <v>0.916001570064111</v>
      </c>
      <c r="V209" s="133">
        <v>0.916329830234438</v>
      </c>
      <c r="W209" s="133">
        <v>0.891308045585984</v>
      </c>
      <c r="X209" s="133">
        <v>0.921371492067995</v>
      </c>
      <c r="Y209" s="135">
        <v>0.92</v>
      </c>
      <c r="Z209" s="135">
        <v>0.926429386738612</v>
      </c>
      <c r="AA209" s="135">
        <v>0.939291101055807</v>
      </c>
      <c r="AB209" s="135">
        <v>0.878069432684166</v>
      </c>
      <c r="AC209" s="135">
        <v>0.941558872305141</v>
      </c>
      <c r="AD209" s="135">
        <v>0.92</v>
      </c>
      <c r="AE209" s="133">
        <v>0.997248280175109</v>
      </c>
      <c r="AF209" s="133">
        <v>0.993811881188119</v>
      </c>
      <c r="AG209" s="133">
        <v>0.993855606758833</v>
      </c>
      <c r="AH209" s="133">
        <v>0.996479792655919</v>
      </c>
      <c r="AI209" s="135">
        <v>0.92</v>
      </c>
      <c r="AJ209" s="133">
        <v>0.944235552727483</v>
      </c>
      <c r="AK209" s="133">
        <v>0.957242468096303</v>
      </c>
      <c r="AL209" s="133">
        <v>0.926249393498302</v>
      </c>
      <c r="AM209" s="133">
        <v>0.96154855298717</v>
      </c>
      <c r="AN209" s="132">
        <v>0.99</v>
      </c>
      <c r="AO209" s="137">
        <v>1</v>
      </c>
      <c r="AP209" s="137">
        <v>1</v>
      </c>
      <c r="AQ209" s="137">
        <v>1</v>
      </c>
      <c r="AR209" s="137">
        <v>1</v>
      </c>
      <c r="AS209" s="158">
        <v>0.0719793575775068</v>
      </c>
      <c r="AT209" s="141">
        <v>0.0136986301369863</v>
      </c>
      <c r="AU209" s="141">
        <v>0.0588235294117647</v>
      </c>
      <c r="AV209" s="141">
        <v>0.072463768115942</v>
      </c>
      <c r="AW209" s="141">
        <v>0.056407447973713</v>
      </c>
      <c r="AX209" s="95"/>
      <c r="AY209" s="93"/>
    </row>
    <row r="210" ht="15" spans="1:51">
      <c r="A210" s="91"/>
      <c r="C210" s="152" t="s">
        <v>210</v>
      </c>
      <c r="D210" s="153" t="s">
        <v>25</v>
      </c>
      <c r="E210" s="130" t="s">
        <v>211</v>
      </c>
      <c r="F210" s="157" t="s">
        <v>233</v>
      </c>
      <c r="G210" s="157" t="s">
        <v>233</v>
      </c>
      <c r="H210" s="157" t="s">
        <v>233</v>
      </c>
      <c r="I210" s="157" t="s">
        <v>233</v>
      </c>
      <c r="J210" s="132">
        <v>0.9</v>
      </c>
      <c r="K210" s="133">
        <v>0.923611111111111</v>
      </c>
      <c r="L210" s="133">
        <v>0.96031746031746</v>
      </c>
      <c r="M210" s="134">
        <v>0.934579439252336</v>
      </c>
      <c r="N210" s="133">
        <v>0.931855500821018</v>
      </c>
      <c r="O210" s="135">
        <v>0.9</v>
      </c>
      <c r="P210" s="133">
        <v>0.965121834687052</v>
      </c>
      <c r="Q210" s="133">
        <v>0.960352422907489</v>
      </c>
      <c r="R210" s="133">
        <v>0.962381771281169</v>
      </c>
      <c r="S210" s="133">
        <v>0.953812677115262</v>
      </c>
      <c r="T210" s="135">
        <v>0.9</v>
      </c>
      <c r="U210" s="133">
        <v>0.912087912087912</v>
      </c>
      <c r="V210" s="133">
        <v>0.906112334801762</v>
      </c>
      <c r="W210" s="133">
        <v>0.896173688736028</v>
      </c>
      <c r="X210" s="133">
        <v>0.901227517205483</v>
      </c>
      <c r="Y210" s="135">
        <v>0.92</v>
      </c>
      <c r="Z210" s="135">
        <v>0.935234699940582</v>
      </c>
      <c r="AA210" s="135">
        <v>0.907326540514313</v>
      </c>
      <c r="AB210" s="135">
        <v>0.889484978540773</v>
      </c>
      <c r="AC210" s="135">
        <v>0.930623494387814</v>
      </c>
      <c r="AD210" s="135">
        <v>0.92</v>
      </c>
      <c r="AE210" s="133">
        <v>0.995354239256678</v>
      </c>
      <c r="AF210" s="133">
        <v>0.858227498619547</v>
      </c>
      <c r="AG210" s="133">
        <v>0.998477929984779</v>
      </c>
      <c r="AH210" s="133">
        <v>0.981250950661661</v>
      </c>
      <c r="AI210" s="135">
        <v>0.92</v>
      </c>
      <c r="AJ210" s="133">
        <v>0.950046111281894</v>
      </c>
      <c r="AK210" s="133">
        <v>0.943097997892518</v>
      </c>
      <c r="AL210" s="133">
        <v>0.930500153421295</v>
      </c>
      <c r="AM210" s="133">
        <v>0.955054880086369</v>
      </c>
      <c r="AN210" s="132">
        <v>0.99</v>
      </c>
      <c r="AO210" s="137">
        <v>1</v>
      </c>
      <c r="AP210" s="137">
        <v>1</v>
      </c>
      <c r="AQ210" s="137">
        <v>1</v>
      </c>
      <c r="AR210" s="137">
        <v>1</v>
      </c>
      <c r="AS210" s="158">
        <v>0.0719793575775068</v>
      </c>
      <c r="AT210" s="141">
        <v>0.0208333333333333</v>
      </c>
      <c r="AU210" s="141">
        <v>0.0606060606060606</v>
      </c>
      <c r="AV210" s="141">
        <v>0.0289855072463768</v>
      </c>
      <c r="AW210" s="141">
        <v>0.0524130773222626</v>
      </c>
      <c r="AX210" s="95"/>
      <c r="AY210" s="93"/>
    </row>
    <row r="211" ht="15" spans="1:51">
      <c r="A211" s="91"/>
      <c r="C211" s="152" t="s">
        <v>210</v>
      </c>
      <c r="D211" s="153" t="s">
        <v>25</v>
      </c>
      <c r="E211" s="130" t="s">
        <v>211</v>
      </c>
      <c r="F211" s="157" t="s">
        <v>234</v>
      </c>
      <c r="G211" s="157" t="s">
        <v>234</v>
      </c>
      <c r="H211" s="157" t="s">
        <v>234</v>
      </c>
      <c r="I211" s="157" t="s">
        <v>234</v>
      </c>
      <c r="J211" s="132">
        <v>0.9</v>
      </c>
      <c r="K211" s="133">
        <v>0.923076923076923</v>
      </c>
      <c r="L211" s="133">
        <v>0.93984962406015</v>
      </c>
      <c r="M211" s="134">
        <v>0.911504424778761</v>
      </c>
      <c r="N211" s="133">
        <v>0.924124513618677</v>
      </c>
      <c r="O211" s="135">
        <v>0.9</v>
      </c>
      <c r="P211" s="133">
        <v>0.949557181363111</v>
      </c>
      <c r="Q211" s="133">
        <v>0.943782654127482</v>
      </c>
      <c r="R211" s="133">
        <v>0.953210010881393</v>
      </c>
      <c r="S211" s="133">
        <v>0.943050161968611</v>
      </c>
      <c r="T211" s="135">
        <v>0.9</v>
      </c>
      <c r="U211" s="133">
        <v>0.923116416377872</v>
      </c>
      <c r="V211" s="133">
        <v>0.919958202716823</v>
      </c>
      <c r="W211" s="133">
        <v>0.920565832426551</v>
      </c>
      <c r="X211" s="133">
        <v>0.92007187155857</v>
      </c>
      <c r="Y211" s="135">
        <v>0.92</v>
      </c>
      <c r="Z211" s="135">
        <v>0.959300369996636</v>
      </c>
      <c r="AA211" s="135">
        <v>0.918887147335423</v>
      </c>
      <c r="AB211" s="135">
        <v>0.873438129786376</v>
      </c>
      <c r="AC211" s="135">
        <v>0.94645461135036</v>
      </c>
      <c r="AD211" s="135">
        <v>0.92</v>
      </c>
      <c r="AE211" s="133">
        <v>0.988845386717884</v>
      </c>
      <c r="AF211" s="133">
        <v>0.993223965763195</v>
      </c>
      <c r="AG211" s="133">
        <v>0.983778014941302</v>
      </c>
      <c r="AH211" s="133">
        <v>0.987689915122015</v>
      </c>
      <c r="AI211" s="135">
        <v>0.92</v>
      </c>
      <c r="AJ211" s="133">
        <v>0.967265110712148</v>
      </c>
      <c r="AK211" s="133">
        <v>0.956527664213682</v>
      </c>
      <c r="AL211" s="133">
        <v>0.942853570088783</v>
      </c>
      <c r="AM211" s="133">
        <v>0.966134215778352</v>
      </c>
      <c r="AN211" s="132">
        <v>0.99</v>
      </c>
      <c r="AO211" s="137">
        <v>1</v>
      </c>
      <c r="AP211" s="137">
        <v>1</v>
      </c>
      <c r="AQ211" s="137">
        <v>1</v>
      </c>
      <c r="AR211" s="137">
        <v>1</v>
      </c>
      <c r="AS211" s="158">
        <v>0.0719793575775068</v>
      </c>
      <c r="AT211" s="141">
        <v>0.06</v>
      </c>
      <c r="AU211" s="141">
        <v>0.181818181818182</v>
      </c>
      <c r="AV211" s="141">
        <v>0.107142857142857</v>
      </c>
      <c r="AW211" s="141">
        <v>0.0697674418604651</v>
      </c>
      <c r="AX211" s="95"/>
      <c r="AY211" s="93"/>
    </row>
    <row r="212" ht="15" spans="1:51">
      <c r="A212" s="91"/>
      <c r="C212" s="152" t="s">
        <v>210</v>
      </c>
      <c r="D212" s="153" t="s">
        <v>25</v>
      </c>
      <c r="E212" s="130" t="s">
        <v>211</v>
      </c>
      <c r="F212" s="157" t="s">
        <v>235</v>
      </c>
      <c r="G212" s="157" t="s">
        <v>235</v>
      </c>
      <c r="H212" s="157" t="s">
        <v>235</v>
      </c>
      <c r="I212" s="157" t="s">
        <v>235</v>
      </c>
      <c r="J212" s="132">
        <v>0.9</v>
      </c>
      <c r="K212" s="133">
        <v>0.932432432432432</v>
      </c>
      <c r="L212" s="133">
        <v>0.938461538461538</v>
      </c>
      <c r="M212" s="134">
        <v>0.962264150943396</v>
      </c>
      <c r="N212" s="133">
        <v>0.946428571428571</v>
      </c>
      <c r="O212" s="135">
        <v>0.9</v>
      </c>
      <c r="P212" s="133">
        <v>0.983742331288344</v>
      </c>
      <c r="Q212" s="133">
        <v>0.981240229286086</v>
      </c>
      <c r="R212" s="133">
        <v>0.986879868798688</v>
      </c>
      <c r="S212" s="133">
        <v>0.969238797760257</v>
      </c>
      <c r="T212" s="135">
        <v>0.9</v>
      </c>
      <c r="U212" s="133">
        <v>0.922085889570552</v>
      </c>
      <c r="V212" s="133">
        <v>0.929129755080771</v>
      </c>
      <c r="W212" s="133">
        <v>0.916359163591636</v>
      </c>
      <c r="X212" s="133">
        <v>0.929620174609667</v>
      </c>
      <c r="Y212" s="135">
        <v>0.92</v>
      </c>
      <c r="Z212" s="135">
        <v>0.939090649127824</v>
      </c>
      <c r="AA212" s="135">
        <v>0.946680080482897</v>
      </c>
      <c r="AB212" s="135">
        <v>0.943298969072165</v>
      </c>
      <c r="AC212" s="135">
        <v>0.964055092365539</v>
      </c>
      <c r="AD212" s="135">
        <v>0.92</v>
      </c>
      <c r="AE212" s="133">
        <v>0.990344566452101</v>
      </c>
      <c r="AF212" s="133">
        <v>0.966199903428296</v>
      </c>
      <c r="AG212" s="133">
        <v>0.977871939736347</v>
      </c>
      <c r="AH212" s="133">
        <v>0.992337164750958</v>
      </c>
      <c r="AI212" s="135">
        <v>0.92</v>
      </c>
      <c r="AJ212" s="133">
        <v>0.957087895827168</v>
      </c>
      <c r="AK212" s="133">
        <v>0.965671129419842</v>
      </c>
      <c r="AL212" s="133">
        <v>0.968924069187921</v>
      </c>
      <c r="AM212" s="133">
        <v>0.97812228823176</v>
      </c>
      <c r="AN212" s="132">
        <v>0.99</v>
      </c>
      <c r="AO212" s="137">
        <v>1</v>
      </c>
      <c r="AP212" s="137">
        <v>1</v>
      </c>
      <c r="AQ212" s="137">
        <v>1</v>
      </c>
      <c r="AR212" s="137">
        <v>1</v>
      </c>
      <c r="AS212" s="158">
        <v>0.0719793575775068</v>
      </c>
      <c r="AT212" s="141">
        <v>0.0526315789473684</v>
      </c>
      <c r="AU212" s="141">
        <v>0.114285714285714</v>
      </c>
      <c r="AV212" s="141">
        <v>0.0476190476190476</v>
      </c>
      <c r="AW212" s="141">
        <v>0.0544959128065395</v>
      </c>
      <c r="AX212" s="95"/>
      <c r="AY212" s="93"/>
    </row>
    <row r="213" ht="15" spans="1:51">
      <c r="A213" s="91"/>
      <c r="C213" s="152" t="s">
        <v>210</v>
      </c>
      <c r="D213" s="153" t="s">
        <v>25</v>
      </c>
      <c r="E213" s="130" t="s">
        <v>211</v>
      </c>
      <c r="F213" s="157" t="s">
        <v>236</v>
      </c>
      <c r="G213" s="157" t="s">
        <v>236</v>
      </c>
      <c r="H213" s="157" t="s">
        <v>236</v>
      </c>
      <c r="I213" s="157" t="s">
        <v>236</v>
      </c>
      <c r="J213" s="132">
        <v>0.9</v>
      </c>
      <c r="K213" s="133">
        <v>0.933884297520661</v>
      </c>
      <c r="L213" s="133">
        <v>0.943396226415094</v>
      </c>
      <c r="M213" s="134">
        <v>0.959183673469388</v>
      </c>
      <c r="N213" s="133">
        <v>0.958112662493982</v>
      </c>
      <c r="O213" s="135">
        <v>0.9</v>
      </c>
      <c r="P213" s="133">
        <v>0.98200620475698</v>
      </c>
      <c r="Q213" s="133">
        <v>0.979865771812081</v>
      </c>
      <c r="R213" s="133">
        <v>0.980150214592275</v>
      </c>
      <c r="S213" s="133">
        <v>0.97099884100727</v>
      </c>
      <c r="T213" s="135">
        <v>0.9</v>
      </c>
      <c r="U213" s="133">
        <v>0.936091003102378</v>
      </c>
      <c r="V213" s="133">
        <v>0.942281879194631</v>
      </c>
      <c r="W213" s="133">
        <v>0.907188841201717</v>
      </c>
      <c r="X213" s="133">
        <v>0.926658588838549</v>
      </c>
      <c r="Y213" s="135">
        <v>0.92</v>
      </c>
      <c r="Z213" s="135">
        <v>0.952487008166296</v>
      </c>
      <c r="AA213" s="135">
        <v>0.944150499706055</v>
      </c>
      <c r="AB213" s="135">
        <v>0.928325292901447</v>
      </c>
      <c r="AC213" s="135">
        <v>0.954124541181016</v>
      </c>
      <c r="AD213" s="135">
        <v>0.92</v>
      </c>
      <c r="AE213" s="133">
        <v>0.997624350408315</v>
      </c>
      <c r="AF213" s="133">
        <v>0.997568254670056</v>
      </c>
      <c r="AG213" s="133">
        <v>0.996173469387755</v>
      </c>
      <c r="AH213" s="133">
        <v>0.994144216809163</v>
      </c>
      <c r="AI213" s="135">
        <v>0.92</v>
      </c>
      <c r="AJ213" s="133">
        <v>0.966252567739411</v>
      </c>
      <c r="AK213" s="133">
        <v>0.969450972014527</v>
      </c>
      <c r="AL213" s="133">
        <v>0.95387881126978</v>
      </c>
      <c r="AM213" s="133">
        <v>0.971422605063952</v>
      </c>
      <c r="AN213" s="132">
        <v>0.99</v>
      </c>
      <c r="AO213" s="137">
        <v>1</v>
      </c>
      <c r="AP213" s="137">
        <v>1</v>
      </c>
      <c r="AQ213" s="137">
        <v>1</v>
      </c>
      <c r="AR213" s="137">
        <v>1</v>
      </c>
      <c r="AS213" s="158">
        <v>0.0719793575775068</v>
      </c>
      <c r="AT213" s="141">
        <v>0.224489795918367</v>
      </c>
      <c r="AU213" s="141">
        <v>0.0196078431372549</v>
      </c>
      <c r="AV213" s="141">
        <v>0.0769230769230769</v>
      </c>
      <c r="AW213" s="141">
        <v>0.104532839962997</v>
      </c>
      <c r="AX213" s="95"/>
      <c r="AY213" s="93"/>
    </row>
    <row r="214" ht="15" spans="1:51">
      <c r="A214" s="91"/>
      <c r="C214" s="152" t="s">
        <v>210</v>
      </c>
      <c r="D214" s="153" t="s">
        <v>25</v>
      </c>
      <c r="E214" s="130" t="s">
        <v>211</v>
      </c>
      <c r="F214" s="157" t="s">
        <v>237</v>
      </c>
      <c r="G214" s="157" t="s">
        <v>237</v>
      </c>
      <c r="H214" s="157" t="s">
        <v>237</v>
      </c>
      <c r="I214" s="157" t="s">
        <v>237</v>
      </c>
      <c r="J214" s="132">
        <v>0.9</v>
      </c>
      <c r="K214" s="133">
        <v>0.94047619047619</v>
      </c>
      <c r="L214" s="133">
        <v>0.958904109589041</v>
      </c>
      <c r="M214" s="134">
        <v>0.898305084745763</v>
      </c>
      <c r="N214" s="133">
        <v>0.953815261044177</v>
      </c>
      <c r="O214" s="135">
        <v>0.9</v>
      </c>
      <c r="P214" s="133">
        <v>0.95046439628483</v>
      </c>
      <c r="Q214" s="133">
        <v>0.940139674093781</v>
      </c>
      <c r="R214" s="133">
        <v>0.938034188034188</v>
      </c>
      <c r="S214" s="133">
        <v>0.890525056862473</v>
      </c>
      <c r="T214" s="135">
        <v>0.9</v>
      </c>
      <c r="U214" s="133">
        <v>0.921775025799794</v>
      </c>
      <c r="V214" s="133">
        <v>0.926504822081809</v>
      </c>
      <c r="W214" s="133">
        <v>0.884004884004884</v>
      </c>
      <c r="X214" s="133">
        <v>0.931070936602347</v>
      </c>
      <c r="Y214" s="135">
        <v>0.92</v>
      </c>
      <c r="Z214" s="135">
        <v>0.935873605947955</v>
      </c>
      <c r="AA214" s="135">
        <v>0.965466568699486</v>
      </c>
      <c r="AB214" s="135">
        <v>0.923426838514026</v>
      </c>
      <c r="AC214" s="135">
        <v>0.967227403469014</v>
      </c>
      <c r="AD214" s="135">
        <v>0.92</v>
      </c>
      <c r="AE214" s="133">
        <v>0.999788895925691</v>
      </c>
      <c r="AF214" s="133">
        <v>0.996321597477667</v>
      </c>
      <c r="AG214" s="133">
        <v>0.992757996378998</v>
      </c>
      <c r="AH214" s="133">
        <v>0.996315366809958</v>
      </c>
      <c r="AI214" s="135">
        <v>0.92</v>
      </c>
      <c r="AJ214" s="133">
        <v>0.94640586797066</v>
      </c>
      <c r="AK214" s="133">
        <v>0.967269398031586</v>
      </c>
      <c r="AL214" s="133">
        <v>0.935146898803047</v>
      </c>
      <c r="AM214" s="133">
        <v>0.977096512171708</v>
      </c>
      <c r="AN214" s="132">
        <v>0.99</v>
      </c>
      <c r="AO214" s="137">
        <v>1</v>
      </c>
      <c r="AP214" s="137">
        <v>1</v>
      </c>
      <c r="AQ214" s="137">
        <v>1</v>
      </c>
      <c r="AR214" s="137">
        <v>1</v>
      </c>
      <c r="AS214" s="158">
        <v>0.0719793575775068</v>
      </c>
      <c r="AT214" s="141">
        <v>0.0256410256410256</v>
      </c>
      <c r="AU214" s="141">
        <v>0.032258064516129</v>
      </c>
      <c r="AV214" s="141">
        <v>0.173913043478261</v>
      </c>
      <c r="AW214" s="141">
        <v>0.0753341433778858</v>
      </c>
      <c r="AX214" s="95"/>
      <c r="AY214" s="93"/>
    </row>
    <row r="215" s="86" customFormat="1" ht="15" spans="1:51">
      <c r="A215" s="91"/>
      <c r="B215" s="88"/>
      <c r="C215" s="152" t="s">
        <v>210</v>
      </c>
      <c r="D215" s="153" t="s">
        <v>25</v>
      </c>
      <c r="E215" s="130" t="s">
        <v>211</v>
      </c>
      <c r="F215" s="157" t="s">
        <v>238</v>
      </c>
      <c r="G215" s="157" t="s">
        <v>238</v>
      </c>
      <c r="H215" s="157" t="s">
        <v>238</v>
      </c>
      <c r="I215" s="157" t="s">
        <v>238</v>
      </c>
      <c r="J215" s="132">
        <v>0.9</v>
      </c>
      <c r="K215" s="133">
        <v>0.96078431372549</v>
      </c>
      <c r="L215" s="133">
        <v>0.959183673469388</v>
      </c>
      <c r="M215" s="134">
        <v>0.962025316455696</v>
      </c>
      <c r="N215" s="133">
        <v>0.955567451820128</v>
      </c>
      <c r="O215" s="135">
        <v>0.9</v>
      </c>
      <c r="P215" s="133">
        <v>0.951894791486416</v>
      </c>
      <c r="Q215" s="133">
        <v>0.957636887608069</v>
      </c>
      <c r="R215" s="133">
        <v>0.937662953306471</v>
      </c>
      <c r="S215" s="133">
        <v>0.937642747991258</v>
      </c>
      <c r="T215" s="135">
        <v>0.9</v>
      </c>
      <c r="U215" s="133">
        <v>0.908115590932687</v>
      </c>
      <c r="V215" s="133">
        <v>0.90806916426513</v>
      </c>
      <c r="W215" s="133">
        <v>0.859208343209291</v>
      </c>
      <c r="X215" s="133">
        <v>0.895537225389835</v>
      </c>
      <c r="Y215" s="135">
        <v>0.92</v>
      </c>
      <c r="Z215" s="135">
        <v>0.928185833469655</v>
      </c>
      <c r="AA215" s="135">
        <v>0.934511434511434</v>
      </c>
      <c r="AB215" s="135">
        <v>0.863037249283668</v>
      </c>
      <c r="AC215" s="135">
        <v>0.94294935687503</v>
      </c>
      <c r="AD215" s="135">
        <v>0.92</v>
      </c>
      <c r="AE215" s="133">
        <v>0.992454807440398</v>
      </c>
      <c r="AF215" s="133">
        <v>0.944291551997331</v>
      </c>
      <c r="AG215" s="133">
        <v>0.989829537315571</v>
      </c>
      <c r="AH215" s="133">
        <v>0.976385469018788</v>
      </c>
      <c r="AI215" s="135">
        <v>0.92</v>
      </c>
      <c r="AJ215" s="133">
        <v>0.946032279757902</v>
      </c>
      <c r="AK215" s="133">
        <v>0.956263899184581</v>
      </c>
      <c r="AL215" s="133">
        <v>0.906166219839142</v>
      </c>
      <c r="AM215" s="133">
        <v>0.959837310774278</v>
      </c>
      <c r="AN215" s="132">
        <v>0.99</v>
      </c>
      <c r="AO215" s="137">
        <v>1</v>
      </c>
      <c r="AP215" s="137">
        <v>1</v>
      </c>
      <c r="AQ215" s="137">
        <v>1</v>
      </c>
      <c r="AR215" s="137">
        <v>1</v>
      </c>
      <c r="AS215" s="158">
        <v>0.0719793575775068</v>
      </c>
      <c r="AT215" s="141">
        <v>0.0394736842105263</v>
      </c>
      <c r="AU215" s="141">
        <v>0.0833333333333333</v>
      </c>
      <c r="AV215" s="141">
        <v>0.0784313725490196</v>
      </c>
      <c r="AW215" s="141">
        <v>0.0519399249061327</v>
      </c>
      <c r="AX215" s="88"/>
      <c r="AY215" s="93"/>
    </row>
    <row r="216" s="86" customFormat="1" ht="15" spans="1:51">
      <c r="A216" s="91"/>
      <c r="B216" s="88"/>
      <c r="C216" s="152" t="s">
        <v>210</v>
      </c>
      <c r="D216" s="153" t="s">
        <v>25</v>
      </c>
      <c r="E216" s="130" t="s">
        <v>211</v>
      </c>
      <c r="F216" s="157" t="s">
        <v>239</v>
      </c>
      <c r="G216" s="157" t="s">
        <v>239</v>
      </c>
      <c r="H216" s="157" t="s">
        <v>239</v>
      </c>
      <c r="I216" s="157" t="s">
        <v>239</v>
      </c>
      <c r="J216" s="132">
        <v>0.9</v>
      </c>
      <c r="K216" s="133">
        <v>0.973684210526316</v>
      </c>
      <c r="L216" s="133">
        <v>0.914285714285714</v>
      </c>
      <c r="M216" s="134">
        <v>0.966101694915254</v>
      </c>
      <c r="N216" s="133">
        <v>0.954510993176649</v>
      </c>
      <c r="O216" s="135">
        <v>0.9</v>
      </c>
      <c r="P216" s="133">
        <v>0.960149195131527</v>
      </c>
      <c r="Q216" s="133">
        <v>0.948560336460692</v>
      </c>
      <c r="R216" s="133">
        <v>0.952872650251522</v>
      </c>
      <c r="S216" s="133">
        <v>0.948330994721419</v>
      </c>
      <c r="T216" s="135">
        <v>0.9</v>
      </c>
      <c r="U216" s="133">
        <v>0.919120533961523</v>
      </c>
      <c r="V216" s="133">
        <v>0.90650274991912</v>
      </c>
      <c r="W216" s="133">
        <v>0.903891977760127</v>
      </c>
      <c r="X216" s="133">
        <v>0.907486421732864</v>
      </c>
      <c r="Y216" s="135">
        <v>0.92</v>
      </c>
      <c r="Z216" s="135">
        <v>0.937335958005249</v>
      </c>
      <c r="AA216" s="135">
        <v>0.908874329958309</v>
      </c>
      <c r="AB216" s="135">
        <v>0.897597977243995</v>
      </c>
      <c r="AC216" s="135">
        <v>0.941692478946859</v>
      </c>
      <c r="AD216" s="135">
        <v>0.92</v>
      </c>
      <c r="AE216" s="133">
        <v>0.996908809891808</v>
      </c>
      <c r="AF216" s="133">
        <v>0.99673735725938</v>
      </c>
      <c r="AG216" s="133">
        <v>0.985663082437276</v>
      </c>
      <c r="AH216" s="133">
        <v>0.996998042201436</v>
      </c>
      <c r="AI216" s="135">
        <v>0.92</v>
      </c>
      <c r="AJ216" s="133">
        <v>0.953891519971406</v>
      </c>
      <c r="AK216" s="133">
        <v>0.949685534591195</v>
      </c>
      <c r="AL216" s="133">
        <v>0.947603953011374</v>
      </c>
      <c r="AM216" s="133">
        <v>0.961154948062549</v>
      </c>
      <c r="AN216" s="132">
        <v>0.99</v>
      </c>
      <c r="AO216" s="137">
        <v>1</v>
      </c>
      <c r="AP216" s="137">
        <v>1</v>
      </c>
      <c r="AQ216" s="137">
        <v>1</v>
      </c>
      <c r="AR216" s="137">
        <v>1</v>
      </c>
      <c r="AS216" s="158">
        <v>0.0719793575775068</v>
      </c>
      <c r="AT216" s="141">
        <v>0.0344827586206897</v>
      </c>
      <c r="AU216" s="141">
        <v>0.105263157894737</v>
      </c>
      <c r="AV216" s="141">
        <v>0</v>
      </c>
      <c r="AW216" s="141">
        <v>0.0343283582089552</v>
      </c>
      <c r="AX216" s="88"/>
      <c r="AY216" s="93"/>
    </row>
    <row r="217" s="86" customFormat="1" ht="15" spans="1:51">
      <c r="A217" s="91"/>
      <c r="B217" s="88"/>
      <c r="C217" s="152" t="s">
        <v>210</v>
      </c>
      <c r="D217" s="153" t="s">
        <v>25</v>
      </c>
      <c r="E217" s="130" t="s">
        <v>211</v>
      </c>
      <c r="F217" s="157" t="s">
        <v>240</v>
      </c>
      <c r="G217" s="157" t="s">
        <v>240</v>
      </c>
      <c r="H217" s="157" t="s">
        <v>240</v>
      </c>
      <c r="I217" s="157" t="s">
        <v>240</v>
      </c>
      <c r="J217" s="132">
        <v>0.9</v>
      </c>
      <c r="K217" s="133">
        <v>0.94488188976378</v>
      </c>
      <c r="L217" s="133">
        <v>0.956521739130435</v>
      </c>
      <c r="M217" s="134">
        <v>0.934065934065934</v>
      </c>
      <c r="N217" s="133">
        <v>0.942009132420091</v>
      </c>
      <c r="O217" s="135">
        <v>0.9</v>
      </c>
      <c r="P217" s="133">
        <v>0.958528428093645</v>
      </c>
      <c r="Q217" s="133">
        <v>0.947299934938191</v>
      </c>
      <c r="R217" s="133">
        <v>0.908121128699243</v>
      </c>
      <c r="S217" s="133">
        <v>0.930265610746063</v>
      </c>
      <c r="T217" s="135">
        <v>0.9</v>
      </c>
      <c r="U217" s="133">
        <v>0.899933110367893</v>
      </c>
      <c r="V217" s="133">
        <v>0.88939492517892</v>
      </c>
      <c r="W217" s="133">
        <v>0.810908465244322</v>
      </c>
      <c r="X217" s="133">
        <v>0.877626029588693</v>
      </c>
      <c r="Y217" s="135">
        <v>0.92</v>
      </c>
      <c r="Z217" s="135">
        <v>0.92742027660304</v>
      </c>
      <c r="AA217" s="135">
        <v>0.9128</v>
      </c>
      <c r="AB217" s="135">
        <v>0.814991334488735</v>
      </c>
      <c r="AC217" s="135">
        <v>0.919620556334896</v>
      </c>
      <c r="AD217" s="135">
        <v>0.92</v>
      </c>
      <c r="AE217" s="133">
        <v>0.986453201970443</v>
      </c>
      <c r="AF217" s="133">
        <v>0.991142432275167</v>
      </c>
      <c r="AG217" s="133">
        <v>0.997434701492537</v>
      </c>
      <c r="AH217" s="133">
        <v>0.985054339093941</v>
      </c>
      <c r="AI217" s="135">
        <v>0.92</v>
      </c>
      <c r="AJ217" s="133">
        <v>0.942307692307692</v>
      </c>
      <c r="AK217" s="133">
        <v>0.944889638689723</v>
      </c>
      <c r="AL217" s="133">
        <v>0.895358857564939</v>
      </c>
      <c r="AM217" s="133">
        <v>0.945545920231447</v>
      </c>
      <c r="AN217" s="132">
        <v>0.99</v>
      </c>
      <c r="AO217" s="137">
        <v>1</v>
      </c>
      <c r="AP217" s="137">
        <v>1</v>
      </c>
      <c r="AQ217" s="137">
        <v>1</v>
      </c>
      <c r="AR217" s="137">
        <v>1</v>
      </c>
      <c r="AS217" s="158">
        <v>0.0719793575775068</v>
      </c>
      <c r="AT217" s="141">
        <v>0.0638297872340425</v>
      </c>
      <c r="AU217" s="141">
        <v>0.0517241379310345</v>
      </c>
      <c r="AV217" s="141">
        <v>0</v>
      </c>
      <c r="AW217" s="141">
        <v>0.0378787878787879</v>
      </c>
      <c r="AX217" s="88"/>
      <c r="AY217" s="93"/>
    </row>
    <row r="218" s="86" customFormat="1" ht="15" spans="1:51">
      <c r="A218" s="91"/>
      <c r="B218" s="88"/>
      <c r="C218" s="152" t="s">
        <v>210</v>
      </c>
      <c r="D218" s="153" t="s">
        <v>25</v>
      </c>
      <c r="E218" s="130" t="s">
        <v>211</v>
      </c>
      <c r="F218" s="157" t="s">
        <v>241</v>
      </c>
      <c r="G218" s="157" t="s">
        <v>241</v>
      </c>
      <c r="H218" s="157" t="s">
        <v>241</v>
      </c>
      <c r="I218" s="157" t="s">
        <v>241</v>
      </c>
      <c r="J218" s="132">
        <v>0.9</v>
      </c>
      <c r="K218" s="133">
        <v>0.961538461538462</v>
      </c>
      <c r="L218" s="133">
        <v>0.967741935483871</v>
      </c>
      <c r="M218" s="134">
        <v>0.972222222222222</v>
      </c>
      <c r="N218" s="133">
        <v>0.962095875139353</v>
      </c>
      <c r="O218" s="135">
        <v>0.9</v>
      </c>
      <c r="P218" s="133">
        <v>0.954076850984067</v>
      </c>
      <c r="Q218" s="133">
        <v>0.95427435387674</v>
      </c>
      <c r="R218" s="133">
        <v>0.962308347529813</v>
      </c>
      <c r="S218" s="133">
        <v>0.95732834175398</v>
      </c>
      <c r="T218" s="135">
        <v>0.9</v>
      </c>
      <c r="U218" s="133">
        <v>0.927991252733521</v>
      </c>
      <c r="V218" s="133">
        <v>0.935884691848907</v>
      </c>
      <c r="W218" s="133">
        <v>0.875212947189097</v>
      </c>
      <c r="X218" s="133">
        <v>0.921755407323979</v>
      </c>
      <c r="Y218" s="135">
        <v>0.92</v>
      </c>
      <c r="Z218" s="135">
        <v>0.942579862515164</v>
      </c>
      <c r="AA218" s="135">
        <v>0.946024096385542</v>
      </c>
      <c r="AB218" s="135">
        <v>0.918865107018417</v>
      </c>
      <c r="AC218" s="135">
        <v>0.952648140039307</v>
      </c>
      <c r="AD218" s="135">
        <v>0.92</v>
      </c>
      <c r="AE218" s="133">
        <v>0.996517262265294</v>
      </c>
      <c r="AF218" s="133">
        <v>0.991881175656114</v>
      </c>
      <c r="AG218" s="133">
        <v>0.986884197056942</v>
      </c>
      <c r="AH218" s="133">
        <v>0.989858946341816</v>
      </c>
      <c r="AI218" s="135">
        <v>0.92</v>
      </c>
      <c r="AJ218" s="133">
        <v>0.957600752478113</v>
      </c>
      <c r="AK218" s="133">
        <v>0.966715855058206</v>
      </c>
      <c r="AL218" s="133">
        <v>0.945313664133512</v>
      </c>
      <c r="AM218" s="133">
        <v>0.968557328375975</v>
      </c>
      <c r="AN218" s="132">
        <v>0.99</v>
      </c>
      <c r="AO218" s="137">
        <v>1</v>
      </c>
      <c r="AP218" s="137">
        <v>1</v>
      </c>
      <c r="AQ218" s="137">
        <v>1</v>
      </c>
      <c r="AR218" s="137">
        <v>1</v>
      </c>
      <c r="AS218" s="158">
        <v>0.0719793575775068</v>
      </c>
      <c r="AT218" s="141">
        <v>0.128205128205128</v>
      </c>
      <c r="AU218" s="141">
        <v>0.0689655172413793</v>
      </c>
      <c r="AV218" s="141">
        <v>0</v>
      </c>
      <c r="AW218" s="141">
        <v>0.0735873850197109</v>
      </c>
      <c r="AX218" s="88"/>
      <c r="AY218" s="93"/>
    </row>
    <row r="219" s="86" customFormat="1" ht="15" spans="1:51">
      <c r="A219" s="91"/>
      <c r="B219" s="88"/>
      <c r="C219" s="152" t="s">
        <v>210</v>
      </c>
      <c r="D219" s="153" t="s">
        <v>25</v>
      </c>
      <c r="E219" s="130" t="s">
        <v>211</v>
      </c>
      <c r="F219" s="157" t="s">
        <v>242</v>
      </c>
      <c r="G219" s="157" t="s">
        <v>242</v>
      </c>
      <c r="H219" s="157" t="s">
        <v>242</v>
      </c>
      <c r="I219" s="157" t="s">
        <v>242</v>
      </c>
      <c r="J219" s="132">
        <v>0.9</v>
      </c>
      <c r="K219" s="133">
        <v>0.92485549132948</v>
      </c>
      <c r="L219" s="133">
        <v>0.947712418300654</v>
      </c>
      <c r="M219" s="134">
        <v>0.879699248120301</v>
      </c>
      <c r="N219" s="133">
        <v>0.935690235690236</v>
      </c>
      <c r="O219" s="135">
        <v>0.9</v>
      </c>
      <c r="P219" s="133">
        <v>0.950317871438663</v>
      </c>
      <c r="Q219" s="133">
        <v>0.948796331677493</v>
      </c>
      <c r="R219" s="133">
        <v>0.915419937786994</v>
      </c>
      <c r="S219" s="133">
        <v>0.922273844429114</v>
      </c>
      <c r="T219" s="135">
        <v>0.9</v>
      </c>
      <c r="U219" s="133">
        <v>0.919119378384742</v>
      </c>
      <c r="V219" s="133">
        <v>0.917462743599541</v>
      </c>
      <c r="W219" s="133">
        <v>0.864020145163679</v>
      </c>
      <c r="X219" s="133">
        <v>0.89685020696792</v>
      </c>
      <c r="Y219" s="135">
        <v>0.92</v>
      </c>
      <c r="Z219" s="135">
        <v>0.93267776096823</v>
      </c>
      <c r="AA219" s="135">
        <v>0.90989010989011</v>
      </c>
      <c r="AB219" s="135">
        <v>0.78733357322778</v>
      </c>
      <c r="AC219" s="135">
        <v>0.924790396079133</v>
      </c>
      <c r="AD219" s="135">
        <v>0.92</v>
      </c>
      <c r="AE219" s="133">
        <v>0.994018296973962</v>
      </c>
      <c r="AF219" s="133">
        <v>0.812936344969199</v>
      </c>
      <c r="AG219" s="133">
        <v>0.987018255578093</v>
      </c>
      <c r="AH219" s="133">
        <v>0.943783146729523</v>
      </c>
      <c r="AI219" s="135">
        <v>0.92</v>
      </c>
      <c r="AJ219" s="133">
        <v>0.948877936241611</v>
      </c>
      <c r="AK219" s="133">
        <v>0.951531893520844</v>
      </c>
      <c r="AL219" s="133">
        <v>0.89595133207468</v>
      </c>
      <c r="AM219" s="133">
        <v>0.952881543432463</v>
      </c>
      <c r="AN219" s="132">
        <v>0.99</v>
      </c>
      <c r="AO219" s="137">
        <v>1</v>
      </c>
      <c r="AP219" s="137">
        <v>1</v>
      </c>
      <c r="AQ219" s="137">
        <v>1</v>
      </c>
      <c r="AR219" s="137">
        <v>1</v>
      </c>
      <c r="AS219" s="158">
        <v>0.0719793575775068</v>
      </c>
      <c r="AT219" s="141">
        <v>0.0232558139534884</v>
      </c>
      <c r="AU219" s="141">
        <v>0.0196078431372549</v>
      </c>
      <c r="AV219" s="141">
        <v>0</v>
      </c>
      <c r="AW219" s="141">
        <v>0.0386521308225966</v>
      </c>
      <c r="AX219" s="88"/>
      <c r="AY219" s="93"/>
    </row>
    <row r="220" s="86" customFormat="1" ht="15" spans="1:51">
      <c r="A220" s="91"/>
      <c r="B220" s="88"/>
      <c r="C220" s="152" t="s">
        <v>210</v>
      </c>
      <c r="D220" s="153" t="s">
        <v>25</v>
      </c>
      <c r="E220" s="130" t="s">
        <v>211</v>
      </c>
      <c r="F220" s="157" t="s">
        <v>243</v>
      </c>
      <c r="G220" s="157" t="s">
        <v>243</v>
      </c>
      <c r="H220" s="157" t="s">
        <v>243</v>
      </c>
      <c r="I220" s="157" t="s">
        <v>243</v>
      </c>
      <c r="J220" s="132">
        <v>0.9</v>
      </c>
      <c r="K220" s="133">
        <v>0.9375</v>
      </c>
      <c r="L220" s="133">
        <v>0.940594059405941</v>
      </c>
      <c r="M220" s="134">
        <v>0.875</v>
      </c>
      <c r="N220" s="133">
        <v>0.922965816080886</v>
      </c>
      <c r="O220" s="135">
        <v>0.9</v>
      </c>
      <c r="P220" s="133">
        <v>0.974801869538712</v>
      </c>
      <c r="Q220" s="133">
        <v>0.977117486338798</v>
      </c>
      <c r="R220" s="133">
        <v>0.955092221331195</v>
      </c>
      <c r="S220" s="133">
        <v>0.954754775787502</v>
      </c>
      <c r="T220" s="135">
        <v>0.9</v>
      </c>
      <c r="U220" s="133">
        <v>0.911806543385491</v>
      </c>
      <c r="V220" s="133">
        <v>0.907786885245902</v>
      </c>
      <c r="W220" s="133">
        <v>0.866880513231756</v>
      </c>
      <c r="X220" s="133">
        <v>0.896832484109891</v>
      </c>
      <c r="Y220" s="135">
        <v>0.92</v>
      </c>
      <c r="Z220" s="135">
        <v>0.933039984694854</v>
      </c>
      <c r="AA220" s="135">
        <v>0.913345983554712</v>
      </c>
      <c r="AB220" s="135">
        <v>0.865346534653465</v>
      </c>
      <c r="AC220" s="135">
        <v>0.935311833354248</v>
      </c>
      <c r="AD220" s="135">
        <v>0.92</v>
      </c>
      <c r="AE220" s="133">
        <v>0.993325917686318</v>
      </c>
      <c r="AF220" s="133">
        <v>0.9833103008398</v>
      </c>
      <c r="AG220" s="133">
        <v>0.996394447449072</v>
      </c>
      <c r="AH220" s="133">
        <v>0.975383515206524</v>
      </c>
      <c r="AI220" s="135">
        <v>0.92</v>
      </c>
      <c r="AJ220" s="133">
        <v>0.952216748768473</v>
      </c>
      <c r="AK220" s="133">
        <v>0.951008645533141</v>
      </c>
      <c r="AL220" s="133">
        <v>0.913894696825699</v>
      </c>
      <c r="AM220" s="133">
        <v>0.955755953946181</v>
      </c>
      <c r="AN220" s="132">
        <v>0.99</v>
      </c>
      <c r="AO220" s="137">
        <v>1</v>
      </c>
      <c r="AP220" s="137">
        <v>1</v>
      </c>
      <c r="AQ220" s="137">
        <v>1</v>
      </c>
      <c r="AR220" s="137">
        <v>1</v>
      </c>
      <c r="AS220" s="158">
        <v>0.0719793575775068</v>
      </c>
      <c r="AT220" s="141">
        <v>0.075</v>
      </c>
      <c r="AU220" s="141">
        <v>0.0851063829787234</v>
      </c>
      <c r="AV220" s="141">
        <v>0.0454545454545455</v>
      </c>
      <c r="AW220" s="141">
        <v>0.0491958372753075</v>
      </c>
      <c r="AX220" s="88"/>
      <c r="AY220" s="93"/>
    </row>
    <row r="221" s="86" customFormat="1" ht="15" spans="1:51">
      <c r="A221" s="91"/>
      <c r="B221" s="88"/>
      <c r="C221" s="152" t="s">
        <v>210</v>
      </c>
      <c r="D221" s="153" t="s">
        <v>25</v>
      </c>
      <c r="E221" s="130" t="s">
        <v>211</v>
      </c>
      <c r="F221" s="157" t="s">
        <v>244</v>
      </c>
      <c r="G221" s="157" t="s">
        <v>244</v>
      </c>
      <c r="H221" s="157" t="s">
        <v>244</v>
      </c>
      <c r="I221" s="157" t="s">
        <v>244</v>
      </c>
      <c r="J221" s="132">
        <v>0.9</v>
      </c>
      <c r="K221" s="133">
        <v>0.986842105263158</v>
      </c>
      <c r="L221" s="133">
        <v>0.985714285714286</v>
      </c>
      <c r="M221" s="134">
        <v>1</v>
      </c>
      <c r="N221" s="133">
        <v>0.975169300225734</v>
      </c>
      <c r="O221" s="135">
        <v>0.9</v>
      </c>
      <c r="P221" s="133">
        <v>0.974417025130179</v>
      </c>
      <c r="Q221" s="133">
        <v>0.98613713001124</v>
      </c>
      <c r="R221" s="133">
        <v>0.970672617150143</v>
      </c>
      <c r="S221" s="133">
        <v>0.963928822338964</v>
      </c>
      <c r="T221" s="135">
        <v>0.9</v>
      </c>
      <c r="U221" s="133">
        <v>0.928005433552185</v>
      </c>
      <c r="V221" s="133">
        <v>0.932184338703634</v>
      </c>
      <c r="W221" s="133">
        <v>0.897991711826586</v>
      </c>
      <c r="X221" s="133">
        <v>0.926075057409796</v>
      </c>
      <c r="Y221" s="135">
        <v>0.92</v>
      </c>
      <c r="Z221" s="135">
        <v>0.933960415441897</v>
      </c>
      <c r="AA221" s="135">
        <v>0.896600566572238</v>
      </c>
      <c r="AB221" s="135">
        <v>0.865671641791045</v>
      </c>
      <c r="AC221" s="135">
        <v>0.938786496479621</v>
      </c>
      <c r="AD221" s="135">
        <v>0.92</v>
      </c>
      <c r="AE221" s="133">
        <v>0.994991652754591</v>
      </c>
      <c r="AF221" s="133">
        <v>0.970556161395856</v>
      </c>
      <c r="AG221" s="133">
        <v>0.9872</v>
      </c>
      <c r="AH221" s="133">
        <v>0.986328938237335</v>
      </c>
      <c r="AI221" s="135">
        <v>0.92</v>
      </c>
      <c r="AJ221" s="133">
        <v>0.950530406469909</v>
      </c>
      <c r="AK221" s="133">
        <v>0.946091644204852</v>
      </c>
      <c r="AL221" s="133">
        <v>0.921822649095376</v>
      </c>
      <c r="AM221" s="133">
        <v>0.960118337490811</v>
      </c>
      <c r="AN221" s="132">
        <v>0.99</v>
      </c>
      <c r="AO221" s="137">
        <v>1</v>
      </c>
      <c r="AP221" s="137">
        <v>1</v>
      </c>
      <c r="AQ221" s="137">
        <v>1</v>
      </c>
      <c r="AR221" s="137">
        <v>1</v>
      </c>
      <c r="AS221" s="158">
        <v>0.0719793575775068</v>
      </c>
      <c r="AT221" s="141">
        <v>0</v>
      </c>
      <c r="AU221" s="141">
        <v>0.148148148148148</v>
      </c>
      <c r="AV221" s="141">
        <v>0.0526315789473684</v>
      </c>
      <c r="AW221" s="141">
        <v>0.0569105691056911</v>
      </c>
      <c r="AX221" s="88"/>
      <c r="AY221" s="93"/>
    </row>
    <row r="222" s="86" customFormat="1" ht="15" spans="1:51">
      <c r="A222" s="91"/>
      <c r="B222" s="88"/>
      <c r="C222" s="152" t="s">
        <v>210</v>
      </c>
      <c r="D222" s="153" t="s">
        <v>25</v>
      </c>
      <c r="E222" s="130" t="s">
        <v>211</v>
      </c>
      <c r="F222" s="157" t="s">
        <v>245</v>
      </c>
      <c r="G222" s="157" t="s">
        <v>245</v>
      </c>
      <c r="H222" s="157" t="s">
        <v>245</v>
      </c>
      <c r="I222" s="157" t="s">
        <v>245</v>
      </c>
      <c r="J222" s="132">
        <v>0.9</v>
      </c>
      <c r="K222" s="133">
        <v>0.958762886597938</v>
      </c>
      <c r="L222" s="133">
        <v>0.989247311827957</v>
      </c>
      <c r="M222" s="134">
        <v>1</v>
      </c>
      <c r="N222" s="133">
        <v>0.968235961429382</v>
      </c>
      <c r="O222" s="135">
        <v>0.9</v>
      </c>
      <c r="P222" s="133">
        <v>0.95128617363344</v>
      </c>
      <c r="Q222" s="133">
        <v>0.870417931356526</v>
      </c>
      <c r="R222" s="133">
        <v>0.937924572499414</v>
      </c>
      <c r="S222" s="133">
        <v>0.890958133880404</v>
      </c>
      <c r="T222" s="135">
        <v>0.9</v>
      </c>
      <c r="U222" s="133">
        <v>0.889871382636656</v>
      </c>
      <c r="V222" s="133">
        <v>0.915479803875788</v>
      </c>
      <c r="W222" s="133">
        <v>0.852424455375966</v>
      </c>
      <c r="X222" s="133">
        <v>0.862867563255072</v>
      </c>
      <c r="Y222" s="135">
        <v>0.92</v>
      </c>
      <c r="Z222" s="135">
        <v>0.894927536231884</v>
      </c>
      <c r="AA222" s="135">
        <v>0.91304347826087</v>
      </c>
      <c r="AB222" s="135">
        <v>0.916499665998664</v>
      </c>
      <c r="AC222" s="135">
        <v>0.931444339460574</v>
      </c>
      <c r="AD222" s="135">
        <v>0.92</v>
      </c>
      <c r="AE222" s="133">
        <v>0.961496149614962</v>
      </c>
      <c r="AF222" s="133">
        <v>0.977505112474438</v>
      </c>
      <c r="AG222" s="133">
        <v>0.976772616136919</v>
      </c>
      <c r="AH222" s="133">
        <v>0.974628385257585</v>
      </c>
      <c r="AI222" s="135">
        <v>0.92</v>
      </c>
      <c r="AJ222" s="133">
        <v>0.919330066554524</v>
      </c>
      <c r="AK222" s="133">
        <v>0.951583485325817</v>
      </c>
      <c r="AL222" s="133">
        <v>0.932027050459511</v>
      </c>
      <c r="AM222" s="133">
        <v>0.952275659563109</v>
      </c>
      <c r="AN222" s="132">
        <v>0.99</v>
      </c>
      <c r="AO222" s="137">
        <v>1</v>
      </c>
      <c r="AP222" s="137">
        <v>1</v>
      </c>
      <c r="AQ222" s="137">
        <v>1</v>
      </c>
      <c r="AR222" s="137">
        <v>1</v>
      </c>
      <c r="AS222" s="158">
        <v>0.0719793575775068</v>
      </c>
      <c r="AT222" s="141">
        <v>0</v>
      </c>
      <c r="AU222" s="141">
        <v>0.027027027027027</v>
      </c>
      <c r="AV222" s="141">
        <v>0.0833333333333333</v>
      </c>
      <c r="AW222" s="141">
        <v>0.0417246175243394</v>
      </c>
      <c r="AX222" s="88"/>
      <c r="AY222" s="93"/>
    </row>
    <row r="223" ht="15" spans="1:51">
      <c r="A223" s="91"/>
      <c r="C223" s="152" t="s">
        <v>210</v>
      </c>
      <c r="D223" s="153" t="s">
        <v>25</v>
      </c>
      <c r="E223" s="130" t="s">
        <v>211</v>
      </c>
      <c r="F223" s="157" t="s">
        <v>246</v>
      </c>
      <c r="G223" s="157" t="s">
        <v>246</v>
      </c>
      <c r="H223" s="157" t="s">
        <v>246</v>
      </c>
      <c r="I223" s="157" t="s">
        <v>246</v>
      </c>
      <c r="J223" s="132">
        <v>0.9</v>
      </c>
      <c r="K223" s="133">
        <v>0.945652173913043</v>
      </c>
      <c r="L223" s="133">
        <v>0.951807228915663</v>
      </c>
      <c r="M223" s="134">
        <v>0.924731182795699</v>
      </c>
      <c r="N223" s="133">
        <v>0.918531267928858</v>
      </c>
      <c r="O223" s="135">
        <v>0.9</v>
      </c>
      <c r="P223" s="133">
        <v>0.964</v>
      </c>
      <c r="Q223" s="133">
        <v>0.959304476507584</v>
      </c>
      <c r="R223" s="133">
        <v>0.971910112359551</v>
      </c>
      <c r="S223" s="133">
        <v>0.967997179271796</v>
      </c>
      <c r="T223" s="135">
        <v>0.9</v>
      </c>
      <c r="U223" s="133">
        <v>0.930526315789474</v>
      </c>
      <c r="V223" s="133">
        <v>0.935997040325564</v>
      </c>
      <c r="W223" s="133">
        <v>0.942415730337079</v>
      </c>
      <c r="X223" s="133">
        <v>0.943740990780782</v>
      </c>
      <c r="Y223" s="135">
        <v>0.92</v>
      </c>
      <c r="Z223" s="135">
        <v>0.930598791430141</v>
      </c>
      <c r="AA223" s="135">
        <v>0.936197916666667</v>
      </c>
      <c r="AB223" s="135">
        <v>0.922857142857143</v>
      </c>
      <c r="AC223" s="135">
        <v>0.949957953652518</v>
      </c>
      <c r="AD223" s="135">
        <v>0.92</v>
      </c>
      <c r="AE223" s="133">
        <v>0.997226074895978</v>
      </c>
      <c r="AF223" s="133">
        <v>0.997934595524957</v>
      </c>
      <c r="AG223" s="133">
        <v>0.899470899470899</v>
      </c>
      <c r="AH223" s="133">
        <v>0.987355387704369</v>
      </c>
      <c r="AI223" s="135">
        <v>0.92</v>
      </c>
      <c r="AJ223" s="133">
        <v>0.950151797081579</v>
      </c>
      <c r="AK223" s="133">
        <v>0.964614295824487</v>
      </c>
      <c r="AL223" s="133">
        <v>0.966955470481564</v>
      </c>
      <c r="AM223" s="133">
        <v>0.970413325838043</v>
      </c>
      <c r="AN223" s="132">
        <v>0.99</v>
      </c>
      <c r="AO223" s="137">
        <v>1</v>
      </c>
      <c r="AP223" s="137">
        <v>1</v>
      </c>
      <c r="AQ223" s="137">
        <v>1</v>
      </c>
      <c r="AR223" s="137">
        <v>1</v>
      </c>
      <c r="AS223" s="158">
        <v>0.0719793575775068</v>
      </c>
      <c r="AT223" s="141">
        <v>0.12</v>
      </c>
      <c r="AU223" s="141">
        <v>0.117647058823529</v>
      </c>
      <c r="AV223" s="141">
        <v>0</v>
      </c>
      <c r="AW223" s="141">
        <v>0.0708154506437768</v>
      </c>
      <c r="AX223" s="95"/>
      <c r="AY223" s="93"/>
    </row>
    <row r="224" ht="15" spans="1:51">
      <c r="A224" s="91"/>
      <c r="C224" s="152" t="s">
        <v>210</v>
      </c>
      <c r="D224" s="153" t="s">
        <v>25</v>
      </c>
      <c r="E224" s="130" t="s">
        <v>211</v>
      </c>
      <c r="F224" s="157" t="s">
        <v>247</v>
      </c>
      <c r="G224" s="157" t="s">
        <v>247</v>
      </c>
      <c r="H224" s="157" t="s">
        <v>247</v>
      </c>
      <c r="I224" s="157" t="s">
        <v>247</v>
      </c>
      <c r="J224" s="132">
        <v>0.9</v>
      </c>
      <c r="K224" s="133">
        <v>0.924528301886792</v>
      </c>
      <c r="L224" s="133">
        <v>0.882978723404255</v>
      </c>
      <c r="M224" s="134">
        <v>0.873417721518987</v>
      </c>
      <c r="N224" s="133">
        <v>0.922033898305085</v>
      </c>
      <c r="O224" s="135">
        <v>0.9</v>
      </c>
      <c r="P224" s="133">
        <v>0.949339207048458</v>
      </c>
      <c r="Q224" s="133">
        <v>0.958578143360752</v>
      </c>
      <c r="R224" s="133">
        <v>0.96901211556384</v>
      </c>
      <c r="S224" s="133">
        <v>0.950308667380031</v>
      </c>
      <c r="T224" s="135">
        <v>0.9</v>
      </c>
      <c r="U224" s="133">
        <v>0.916299559471366</v>
      </c>
      <c r="V224" s="133">
        <v>0.913924794359577</v>
      </c>
      <c r="W224" s="133">
        <v>0.899580615097856</v>
      </c>
      <c r="X224" s="133">
        <v>0.908107663182155</v>
      </c>
      <c r="Y224" s="135">
        <v>0.92</v>
      </c>
      <c r="Z224" s="135">
        <v>0.939601399665297</v>
      </c>
      <c r="AA224" s="135">
        <v>0.932650862068966</v>
      </c>
      <c r="AB224" s="135">
        <v>0.902522935779816</v>
      </c>
      <c r="AC224" s="135">
        <v>0.939188739886956</v>
      </c>
      <c r="AD224" s="135">
        <v>0.92</v>
      </c>
      <c r="AE224" s="133">
        <v>0.995321637426901</v>
      </c>
      <c r="AF224" s="133">
        <v>0.994011976047904</v>
      </c>
      <c r="AG224" s="133">
        <v>0.989130434782609</v>
      </c>
      <c r="AH224" s="133">
        <v>0.986731001206273</v>
      </c>
      <c r="AI224" s="135">
        <v>0.92</v>
      </c>
      <c r="AJ224" s="133">
        <v>0.955751503006012</v>
      </c>
      <c r="AK224" s="133">
        <v>0.959703478426155</v>
      </c>
      <c r="AL224" s="133">
        <v>0.950322901142573</v>
      </c>
      <c r="AM224" s="133">
        <v>0.9627278738075</v>
      </c>
      <c r="AN224" s="132">
        <v>0.99</v>
      </c>
      <c r="AO224" s="137">
        <v>1</v>
      </c>
      <c r="AP224" s="137">
        <v>1</v>
      </c>
      <c r="AQ224" s="137">
        <v>1</v>
      </c>
      <c r="AR224" s="137">
        <v>1</v>
      </c>
      <c r="AS224" s="158">
        <v>0.0719793575775068</v>
      </c>
      <c r="AT224" s="141">
        <v>0.0833333333333333</v>
      </c>
      <c r="AU224" s="141">
        <v>0.0526315789473684</v>
      </c>
      <c r="AV224" s="141">
        <v>0.142857142857143</v>
      </c>
      <c r="AW224" s="141">
        <v>0.0477064220183486</v>
      </c>
      <c r="AX224" s="95"/>
      <c r="AY224" s="93"/>
    </row>
    <row r="225" ht="15" spans="1:51">
      <c r="A225" s="91"/>
      <c r="C225" s="152" t="s">
        <v>210</v>
      </c>
      <c r="D225" s="153" t="s">
        <v>25</v>
      </c>
      <c r="E225" s="130" t="s">
        <v>211</v>
      </c>
      <c r="F225" s="157" t="s">
        <v>248</v>
      </c>
      <c r="G225" s="157" t="s">
        <v>248</v>
      </c>
      <c r="H225" s="157" t="s">
        <v>248</v>
      </c>
      <c r="I225" s="157" t="s">
        <v>248</v>
      </c>
      <c r="J225" s="132">
        <v>0.9</v>
      </c>
      <c r="K225" s="133">
        <v>0.951388888888889</v>
      </c>
      <c r="L225" s="133">
        <v>0.931818181818182</v>
      </c>
      <c r="M225" s="134">
        <v>0.920792079207921</v>
      </c>
      <c r="N225" s="133">
        <v>0.95301487862177</v>
      </c>
      <c r="O225" s="135">
        <v>0.9</v>
      </c>
      <c r="P225" s="133">
        <v>0.954295632050911</v>
      </c>
      <c r="Q225" s="133">
        <v>0.949760765550239</v>
      </c>
      <c r="R225" s="133">
        <v>0.945202985618059</v>
      </c>
      <c r="S225" s="133">
        <v>0.928510129248693</v>
      </c>
      <c r="T225" s="135">
        <v>0.9</v>
      </c>
      <c r="U225" s="133">
        <v>0.891669077234596</v>
      </c>
      <c r="V225" s="133">
        <v>0.894019138755981</v>
      </c>
      <c r="W225" s="133">
        <v>0.854178044784271</v>
      </c>
      <c r="X225" s="133">
        <v>0.898980573687359</v>
      </c>
      <c r="Y225" s="135">
        <v>0.92</v>
      </c>
      <c r="Z225" s="135">
        <v>0.923021496337216</v>
      </c>
      <c r="AA225" s="135">
        <v>0.908227848101266</v>
      </c>
      <c r="AB225" s="135">
        <v>0.88821892393321</v>
      </c>
      <c r="AC225" s="135">
        <v>0.934598371160445</v>
      </c>
      <c r="AD225" s="135">
        <v>0.92</v>
      </c>
      <c r="AE225" s="133">
        <v>0.998062015503876</v>
      </c>
      <c r="AF225" s="133">
        <v>0.994638069705094</v>
      </c>
      <c r="AG225" s="133">
        <v>1</v>
      </c>
      <c r="AH225" s="133">
        <v>0.996311066799601</v>
      </c>
      <c r="AI225" s="135">
        <v>0.92</v>
      </c>
      <c r="AJ225" s="133">
        <v>0.938324256938521</v>
      </c>
      <c r="AK225" s="133">
        <v>0.93976846057572</v>
      </c>
      <c r="AL225" s="133">
        <v>0.930858711279571</v>
      </c>
      <c r="AM225" s="133">
        <v>0.954727253538298</v>
      </c>
      <c r="AN225" s="132">
        <v>0.99</v>
      </c>
      <c r="AO225" s="137">
        <v>1</v>
      </c>
      <c r="AP225" s="137">
        <v>1</v>
      </c>
      <c r="AQ225" s="137">
        <v>1</v>
      </c>
      <c r="AR225" s="137">
        <v>1</v>
      </c>
      <c r="AS225" s="158">
        <v>0.0719793575775068</v>
      </c>
      <c r="AT225" s="141">
        <v>0.173913043478261</v>
      </c>
      <c r="AU225" s="141">
        <v>0.05</v>
      </c>
      <c r="AV225" s="141">
        <v>0</v>
      </c>
      <c r="AW225" s="141">
        <v>0.0464807436918991</v>
      </c>
      <c r="AX225" s="95"/>
      <c r="AY225" s="93"/>
    </row>
    <row r="226" ht="15" spans="1:51">
      <c r="A226" s="91"/>
      <c r="C226" s="152" t="s">
        <v>210</v>
      </c>
      <c r="D226" s="153" t="s">
        <v>25</v>
      </c>
      <c r="E226" s="130" t="s">
        <v>211</v>
      </c>
      <c r="F226" s="157" t="s">
        <v>249</v>
      </c>
      <c r="G226" s="157" t="s">
        <v>249</v>
      </c>
      <c r="H226" s="157" t="s">
        <v>249</v>
      </c>
      <c r="I226" s="157" t="s">
        <v>249</v>
      </c>
      <c r="J226" s="132">
        <v>0.9</v>
      </c>
      <c r="K226" s="133">
        <v>1</v>
      </c>
      <c r="L226" s="133">
        <v>0.947368421052632</v>
      </c>
      <c r="M226" s="134">
        <v>1</v>
      </c>
      <c r="N226" s="133">
        <v>0.985549132947977</v>
      </c>
      <c r="O226" s="135">
        <v>0.9</v>
      </c>
      <c r="P226" s="133">
        <v>0.990539262062441</v>
      </c>
      <c r="Q226" s="133">
        <v>0.995568685376662</v>
      </c>
      <c r="R226" s="133">
        <v>0.981481481481482</v>
      </c>
      <c r="S226" s="133">
        <v>0.986702707415965</v>
      </c>
      <c r="T226" s="135">
        <v>0.9</v>
      </c>
      <c r="U226" s="133">
        <v>0.960264900662252</v>
      </c>
      <c r="V226" s="133">
        <v>0.946824224519941</v>
      </c>
      <c r="W226" s="133">
        <v>0.876906318082789</v>
      </c>
      <c r="X226" s="133">
        <v>0.938963247155251</v>
      </c>
      <c r="Y226" s="135">
        <v>0.92</v>
      </c>
      <c r="Z226" s="135">
        <v>0.963970588235294</v>
      </c>
      <c r="AA226" s="135">
        <v>0.95</v>
      </c>
      <c r="AB226" s="135">
        <v>0.973134328358209</v>
      </c>
      <c r="AC226" s="135">
        <v>0.957996951391633</v>
      </c>
      <c r="AD226" s="135">
        <v>0.92</v>
      </c>
      <c r="AE226" s="133">
        <v>1</v>
      </c>
      <c r="AF226" s="133">
        <v>1</v>
      </c>
      <c r="AG226" s="133">
        <v>0.5</v>
      </c>
      <c r="AH226" s="133">
        <v>0.986473429951691</v>
      </c>
      <c r="AI226" s="135">
        <v>0.92</v>
      </c>
      <c r="AJ226" s="133">
        <v>0.974348365742656</v>
      </c>
      <c r="AK226" s="133">
        <v>0.973509933774834</v>
      </c>
      <c r="AL226" s="133">
        <v>0.981644054269753</v>
      </c>
      <c r="AM226" s="133">
        <v>0.974835186460691</v>
      </c>
      <c r="AN226" s="132">
        <v>0.99</v>
      </c>
      <c r="AO226" s="137">
        <v>1</v>
      </c>
      <c r="AP226" s="137">
        <v>1</v>
      </c>
      <c r="AQ226" s="137">
        <v>1</v>
      </c>
      <c r="AR226" s="137">
        <v>1</v>
      </c>
      <c r="AS226" s="158">
        <v>0.0719793575775068</v>
      </c>
      <c r="AT226" s="141">
        <v>0</v>
      </c>
      <c r="AU226" s="141">
        <v>0</v>
      </c>
      <c r="AV226" s="141">
        <v>0</v>
      </c>
      <c r="AW226" s="141">
        <v>0.1125</v>
      </c>
      <c r="AX226" s="95"/>
      <c r="AY226" s="93"/>
    </row>
    <row r="227" ht="15" spans="1:51">
      <c r="A227" s="91"/>
      <c r="C227" s="152" t="s">
        <v>210</v>
      </c>
      <c r="D227" s="153" t="s">
        <v>25</v>
      </c>
      <c r="E227" s="130" t="s">
        <v>211</v>
      </c>
      <c r="F227" s="157" t="s">
        <v>250</v>
      </c>
      <c r="G227" s="157" t="s">
        <v>250</v>
      </c>
      <c r="H227" s="157" t="s">
        <v>250</v>
      </c>
      <c r="I227" s="157" t="s">
        <v>250</v>
      </c>
      <c r="J227" s="132">
        <v>0.9</v>
      </c>
      <c r="K227" s="133">
        <v>0.964285714285714</v>
      </c>
      <c r="L227" s="133">
        <v>0.926829268292683</v>
      </c>
      <c r="M227" s="134">
        <v>0.938461538461538</v>
      </c>
      <c r="N227" s="133">
        <v>0.95074812967581</v>
      </c>
      <c r="O227" s="135">
        <v>0.9</v>
      </c>
      <c r="P227" s="133">
        <v>0.928450465707028</v>
      </c>
      <c r="Q227" s="133">
        <v>0.85025706940874</v>
      </c>
      <c r="R227" s="133">
        <v>0.918222222222222</v>
      </c>
      <c r="S227" s="133">
        <v>0.906493871058295</v>
      </c>
      <c r="T227" s="135">
        <v>0.9</v>
      </c>
      <c r="U227" s="133">
        <v>0.899872988992379</v>
      </c>
      <c r="V227" s="133">
        <v>0.909704370179949</v>
      </c>
      <c r="W227" s="133">
        <v>0.841185185185185</v>
      </c>
      <c r="X227" s="133">
        <v>0.86160756058763</v>
      </c>
      <c r="Y227" s="135">
        <v>0.92</v>
      </c>
      <c r="Z227" s="135">
        <v>0.92475136048039</v>
      </c>
      <c r="AA227" s="135">
        <v>0.948644793152639</v>
      </c>
      <c r="AB227" s="135">
        <v>0.929910350448248</v>
      </c>
      <c r="AC227" s="135">
        <v>0.949392377855549</v>
      </c>
      <c r="AD227" s="135">
        <v>0.92</v>
      </c>
      <c r="AE227" s="133">
        <v>0.998503833925566</v>
      </c>
      <c r="AF227" s="133">
        <v>0.996423462088698</v>
      </c>
      <c r="AG227" s="133">
        <v>0.999148573861218</v>
      </c>
      <c r="AH227" s="133">
        <v>0.995502236055649</v>
      </c>
      <c r="AI227" s="135">
        <v>0.92</v>
      </c>
      <c r="AJ227" s="133">
        <v>0.940521185597772</v>
      </c>
      <c r="AK227" s="133">
        <v>0.969428444838281</v>
      </c>
      <c r="AL227" s="133">
        <v>0.954160330219422</v>
      </c>
      <c r="AM227" s="133">
        <v>0.96655708474954</v>
      </c>
      <c r="AN227" s="132">
        <v>0.99</v>
      </c>
      <c r="AO227" s="137">
        <v>1</v>
      </c>
      <c r="AP227" s="137">
        <v>1</v>
      </c>
      <c r="AQ227" s="137">
        <v>1</v>
      </c>
      <c r="AR227" s="137">
        <v>1</v>
      </c>
      <c r="AS227" s="158">
        <v>0.0719793575775068</v>
      </c>
      <c r="AT227" s="141">
        <v>0.105263157894737</v>
      </c>
      <c r="AU227" s="141">
        <v>0.0476190476190476</v>
      </c>
      <c r="AV227" s="141">
        <v>0</v>
      </c>
      <c r="AW227" s="141">
        <v>0.0500963391136802</v>
      </c>
      <c r="AX227" s="95"/>
      <c r="AY227" s="93"/>
    </row>
    <row r="228" ht="15" spans="1:51">
      <c r="A228" s="91"/>
      <c r="C228" s="152" t="s">
        <v>210</v>
      </c>
      <c r="D228" s="153" t="s">
        <v>125</v>
      </c>
      <c r="E228" s="130" t="s">
        <v>211</v>
      </c>
      <c r="F228" s="157" t="s">
        <v>251</v>
      </c>
      <c r="G228" s="157" t="s">
        <v>251</v>
      </c>
      <c r="H228" s="157" t="s">
        <v>251</v>
      </c>
      <c r="I228" s="157" t="s">
        <v>251</v>
      </c>
      <c r="J228" s="132">
        <v>0.9</v>
      </c>
      <c r="K228" s="133" t="s">
        <v>35</v>
      </c>
      <c r="L228" s="133" t="s">
        <v>35</v>
      </c>
      <c r="M228" s="134" t="s">
        <v>35</v>
      </c>
      <c r="N228" s="133" t="s">
        <v>35</v>
      </c>
      <c r="O228" s="135">
        <v>0.9</v>
      </c>
      <c r="P228" s="133" t="s">
        <v>35</v>
      </c>
      <c r="Q228" s="133" t="s">
        <v>35</v>
      </c>
      <c r="R228" s="133" t="s">
        <v>35</v>
      </c>
      <c r="S228" s="133" t="s">
        <v>35</v>
      </c>
      <c r="T228" s="135">
        <v>0.9</v>
      </c>
      <c r="U228" s="133" t="s">
        <v>35</v>
      </c>
      <c r="V228" s="133" t="s">
        <v>35</v>
      </c>
      <c r="W228" s="133" t="s">
        <v>35</v>
      </c>
      <c r="X228" s="133" t="s">
        <v>35</v>
      </c>
      <c r="Y228" s="135">
        <v>0.92</v>
      </c>
      <c r="Z228" s="135" t="s">
        <v>35</v>
      </c>
      <c r="AA228" s="135" t="s">
        <v>35</v>
      </c>
      <c r="AB228" s="135" t="s">
        <v>35</v>
      </c>
      <c r="AC228" s="135" t="s">
        <v>35</v>
      </c>
      <c r="AD228" s="135">
        <v>0.92</v>
      </c>
      <c r="AE228" s="133">
        <v>1</v>
      </c>
      <c r="AF228" s="133">
        <v>0.897058823529412</v>
      </c>
      <c r="AG228" s="133">
        <v>0</v>
      </c>
      <c r="AH228" s="133">
        <v>0.990732524894016</v>
      </c>
      <c r="AI228" s="135">
        <v>0.92</v>
      </c>
      <c r="AJ228" s="133" t="s">
        <v>35</v>
      </c>
      <c r="AK228" s="133" t="s">
        <v>35</v>
      </c>
      <c r="AL228" s="133" t="s">
        <v>35</v>
      </c>
      <c r="AM228" s="133" t="s">
        <v>35</v>
      </c>
      <c r="AN228" s="132">
        <v>0.99</v>
      </c>
      <c r="AO228" s="137" t="s">
        <v>35</v>
      </c>
      <c r="AP228" s="137" t="s">
        <v>35</v>
      </c>
      <c r="AQ228" s="137" t="s">
        <v>35</v>
      </c>
      <c r="AR228" s="137">
        <v>1</v>
      </c>
      <c r="AS228" s="158">
        <v>0.0719793575775068</v>
      </c>
      <c r="AT228" s="141" t="s">
        <v>35</v>
      </c>
      <c r="AU228" s="141" t="s">
        <v>35</v>
      </c>
      <c r="AV228" s="141" t="s">
        <v>35</v>
      </c>
      <c r="AW228" s="141" t="s">
        <v>35</v>
      </c>
      <c r="AX228" s="95"/>
      <c r="AY228" s="93"/>
    </row>
    <row r="229" ht="15" spans="1:51">
      <c r="A229" s="91"/>
      <c r="C229" s="152" t="s">
        <v>210</v>
      </c>
      <c r="D229" s="153" t="s">
        <v>25</v>
      </c>
      <c r="E229" s="130" t="s">
        <v>211</v>
      </c>
      <c r="F229" s="157" t="s">
        <v>252</v>
      </c>
      <c r="G229" s="157" t="s">
        <v>252</v>
      </c>
      <c r="H229" s="157" t="s">
        <v>252</v>
      </c>
      <c r="I229" s="157" t="s">
        <v>252</v>
      </c>
      <c r="J229" s="132">
        <v>0.9</v>
      </c>
      <c r="K229" s="133">
        <v>0.963768115942029</v>
      </c>
      <c r="L229" s="133">
        <v>0.984126984126984</v>
      </c>
      <c r="M229" s="134">
        <v>0.97196261682243</v>
      </c>
      <c r="N229" s="133">
        <v>0.961647153815099</v>
      </c>
      <c r="O229" s="135">
        <v>0.9</v>
      </c>
      <c r="P229" s="133">
        <v>0.966178397046564</v>
      </c>
      <c r="Q229" s="133">
        <v>0.974595408355288</v>
      </c>
      <c r="R229" s="133">
        <v>0.976197604790419</v>
      </c>
      <c r="S229" s="133">
        <v>0.93741452819564</v>
      </c>
      <c r="T229" s="135">
        <v>0.9</v>
      </c>
      <c r="U229" s="133">
        <v>0.933428605454329</v>
      </c>
      <c r="V229" s="133">
        <v>0.932254422280768</v>
      </c>
      <c r="W229" s="133">
        <v>0.913473053892216</v>
      </c>
      <c r="X229" s="133">
        <v>0.914832733833619</v>
      </c>
      <c r="Y229" s="135">
        <v>0.92</v>
      </c>
      <c r="Z229" s="135">
        <v>0.94052838673412</v>
      </c>
      <c r="AA229" s="135">
        <v>0.945987067325979</v>
      </c>
      <c r="AB229" s="135">
        <v>0.920608802961744</v>
      </c>
      <c r="AC229" s="135">
        <v>0.948118843855966</v>
      </c>
      <c r="AD229" s="135">
        <v>0.92</v>
      </c>
      <c r="AE229" s="133">
        <v>0.994099989649105</v>
      </c>
      <c r="AF229" s="133">
        <v>0.995465010814205</v>
      </c>
      <c r="AG229" s="133">
        <v>0.987057220708447</v>
      </c>
      <c r="AH229" s="133">
        <v>0.991628542212881</v>
      </c>
      <c r="AI229" s="135">
        <v>0.92</v>
      </c>
      <c r="AJ229" s="133">
        <v>0.95852534562212</v>
      </c>
      <c r="AK229" s="133">
        <v>0.968411779511704</v>
      </c>
      <c r="AL229" s="133">
        <v>0.956655327554044</v>
      </c>
      <c r="AM229" s="133">
        <v>0.967698420155434</v>
      </c>
      <c r="AN229" s="132">
        <v>0.99</v>
      </c>
      <c r="AO229" s="137">
        <v>1</v>
      </c>
      <c r="AP229" s="137">
        <v>1</v>
      </c>
      <c r="AQ229" s="137">
        <v>1</v>
      </c>
      <c r="AR229" s="137">
        <v>1</v>
      </c>
      <c r="AS229" s="158">
        <v>0.0719793575775068</v>
      </c>
      <c r="AT229" s="141">
        <v>0.05</v>
      </c>
      <c r="AU229" s="141">
        <v>0.032258064516129</v>
      </c>
      <c r="AV229" s="141">
        <v>0</v>
      </c>
      <c r="AW229" s="141">
        <v>0.0548961424332344</v>
      </c>
      <c r="AX229" s="95"/>
      <c r="AY229" s="93"/>
    </row>
    <row r="230" ht="15" spans="1:51">
      <c r="A230" s="91"/>
      <c r="C230" s="152" t="s">
        <v>210</v>
      </c>
      <c r="D230" s="153" t="s">
        <v>25</v>
      </c>
      <c r="E230" s="130" t="s">
        <v>211</v>
      </c>
      <c r="F230" s="157" t="s">
        <v>253</v>
      </c>
      <c r="G230" s="157" t="s">
        <v>253</v>
      </c>
      <c r="H230" s="157" t="s">
        <v>253</v>
      </c>
      <c r="I230" s="157" t="s">
        <v>253</v>
      </c>
      <c r="J230" s="132">
        <v>0.9</v>
      </c>
      <c r="K230" s="133">
        <v>0.932203389830508</v>
      </c>
      <c r="L230" s="133">
        <v>0.903508771929825</v>
      </c>
      <c r="M230" s="134">
        <v>0.936708860759494</v>
      </c>
      <c r="N230" s="133">
        <v>0.922409638554217</v>
      </c>
      <c r="O230" s="135">
        <v>0.9</v>
      </c>
      <c r="P230" s="133">
        <v>0.962201591511936</v>
      </c>
      <c r="Q230" s="133">
        <v>0.958419421487603</v>
      </c>
      <c r="R230" s="133">
        <v>0.971049723756906</v>
      </c>
      <c r="S230" s="133">
        <v>0.957203528258739</v>
      </c>
      <c r="T230" s="135">
        <v>0.9</v>
      </c>
      <c r="U230" s="133">
        <v>0.932692307692308</v>
      </c>
      <c r="V230" s="133">
        <v>0.925878099173554</v>
      </c>
      <c r="W230" s="133">
        <v>0.913812154696133</v>
      </c>
      <c r="X230" s="133">
        <v>0.921768485244474</v>
      </c>
      <c r="Y230" s="135">
        <v>0.92</v>
      </c>
      <c r="Z230" s="135">
        <v>0.928754208754209</v>
      </c>
      <c r="AA230" s="135">
        <v>0.915435557819664</v>
      </c>
      <c r="AB230" s="135">
        <v>0.909610983981693</v>
      </c>
      <c r="AC230" s="135">
        <v>0.940266605597382</v>
      </c>
      <c r="AD230" s="135">
        <v>0.92</v>
      </c>
      <c r="AE230" s="133">
        <v>0.985083392060136</v>
      </c>
      <c r="AF230" s="133">
        <v>0.986783546864464</v>
      </c>
      <c r="AG230" s="133">
        <v>0.996918335901387</v>
      </c>
      <c r="AH230" s="133">
        <v>0.988127485447525</v>
      </c>
      <c r="AI230" s="135">
        <v>0.92</v>
      </c>
      <c r="AJ230" s="133">
        <v>0.949925705794948</v>
      </c>
      <c r="AK230" s="133">
        <v>0.956663240835903</v>
      </c>
      <c r="AL230" s="133">
        <v>0.949012109623964</v>
      </c>
      <c r="AM230" s="133">
        <v>0.962738705170005</v>
      </c>
      <c r="AN230" s="132">
        <v>0.99</v>
      </c>
      <c r="AO230" s="137">
        <v>1</v>
      </c>
      <c r="AP230" s="137">
        <v>1</v>
      </c>
      <c r="AQ230" s="137">
        <v>1</v>
      </c>
      <c r="AR230" s="137">
        <v>1</v>
      </c>
      <c r="AS230" s="158">
        <v>0.0719793575775068</v>
      </c>
      <c r="AT230" s="141">
        <v>0.0740740740740741</v>
      </c>
      <c r="AU230" s="141">
        <v>0.0384615384615385</v>
      </c>
      <c r="AV230" s="141">
        <v>0</v>
      </c>
      <c r="AW230" s="141">
        <v>0.0568990042674253</v>
      </c>
      <c r="AX230" s="95"/>
      <c r="AY230" s="93"/>
    </row>
    <row r="231" s="86" customFormat="1" ht="15" spans="1:51">
      <c r="A231" s="91"/>
      <c r="B231" s="88"/>
      <c r="C231" s="152" t="s">
        <v>210</v>
      </c>
      <c r="D231" s="153" t="s">
        <v>25</v>
      </c>
      <c r="E231" s="130" t="s">
        <v>211</v>
      </c>
      <c r="F231" s="157" t="s">
        <v>254</v>
      </c>
      <c r="G231" s="157" t="s">
        <v>254</v>
      </c>
      <c r="H231" s="157" t="s">
        <v>254</v>
      </c>
      <c r="I231" s="157" t="s">
        <v>254</v>
      </c>
      <c r="J231" s="132">
        <v>0.9</v>
      </c>
      <c r="K231" s="133">
        <v>0.971153846153846</v>
      </c>
      <c r="L231" s="133">
        <v>0.989010989010989</v>
      </c>
      <c r="M231" s="134">
        <v>1</v>
      </c>
      <c r="N231" s="133">
        <v>0.987885462555066</v>
      </c>
      <c r="O231" s="135">
        <v>0.9</v>
      </c>
      <c r="P231" s="133">
        <v>0.939740820734341</v>
      </c>
      <c r="Q231" s="133">
        <v>0.90633959859828</v>
      </c>
      <c r="R231" s="133">
        <v>0.936460321788928</v>
      </c>
      <c r="S231" s="133">
        <v>0.936005013071191</v>
      </c>
      <c r="T231" s="135">
        <v>0.9</v>
      </c>
      <c r="U231" s="133">
        <v>0.90755939524838</v>
      </c>
      <c r="V231" s="133">
        <v>0.900605288308378</v>
      </c>
      <c r="W231" s="133">
        <v>0.888464685028634</v>
      </c>
      <c r="X231" s="133">
        <v>0.90752254413363</v>
      </c>
      <c r="Y231" s="135">
        <v>0.92</v>
      </c>
      <c r="Z231" s="135">
        <v>0.934639389736477</v>
      </c>
      <c r="AA231" s="135">
        <v>0.948371235402581</v>
      </c>
      <c r="AB231" s="135">
        <v>0.908263305322129</v>
      </c>
      <c r="AC231" s="135">
        <v>0.948475697620509</v>
      </c>
      <c r="AD231" s="135">
        <v>0.92</v>
      </c>
      <c r="AE231" s="133">
        <v>0.994443862040046</v>
      </c>
      <c r="AF231" s="133">
        <v>0.982572486119679</v>
      </c>
      <c r="AG231" s="133">
        <v>0.988312134754211</v>
      </c>
      <c r="AH231" s="133">
        <v>0.990643729260479</v>
      </c>
      <c r="AI231" s="135">
        <v>0.92</v>
      </c>
      <c r="AJ231" s="133">
        <v>0.950278899788421</v>
      </c>
      <c r="AK231" s="133">
        <v>0.960553923625682</v>
      </c>
      <c r="AL231" s="133">
        <v>0.945479505785448</v>
      </c>
      <c r="AM231" s="133">
        <v>0.965367917788647</v>
      </c>
      <c r="AN231" s="132">
        <v>0.99</v>
      </c>
      <c r="AO231" s="137">
        <v>1</v>
      </c>
      <c r="AP231" s="137">
        <v>1</v>
      </c>
      <c r="AQ231" s="137">
        <v>1</v>
      </c>
      <c r="AR231" s="137">
        <v>1</v>
      </c>
      <c r="AS231" s="158">
        <v>0.0719793575775068</v>
      </c>
      <c r="AT231" s="141">
        <v>0.0833333333333333</v>
      </c>
      <c r="AU231" s="141">
        <v>0</v>
      </c>
      <c r="AV231" s="141">
        <v>0.0294117647058824</v>
      </c>
      <c r="AW231" s="141">
        <v>0.0383522727272727</v>
      </c>
      <c r="AX231" s="88"/>
      <c r="AY231" s="93"/>
    </row>
    <row r="232" ht="15" spans="1:51">
      <c r="A232" s="91"/>
      <c r="C232" s="152" t="s">
        <v>210</v>
      </c>
      <c r="D232" s="153" t="s">
        <v>25</v>
      </c>
      <c r="E232" s="130" t="s">
        <v>211</v>
      </c>
      <c r="F232" s="157" t="s">
        <v>255</v>
      </c>
      <c r="G232" s="157" t="s">
        <v>255</v>
      </c>
      <c r="H232" s="157" t="s">
        <v>255</v>
      </c>
      <c r="I232" s="157" t="s">
        <v>255</v>
      </c>
      <c r="J232" s="132">
        <v>0.9</v>
      </c>
      <c r="K232" s="133">
        <v>0.9</v>
      </c>
      <c r="L232" s="133">
        <v>0.92</v>
      </c>
      <c r="M232" s="134">
        <v>0.938144329896907</v>
      </c>
      <c r="N232" s="133">
        <v>0.936989498249708</v>
      </c>
      <c r="O232" s="135">
        <v>0.9</v>
      </c>
      <c r="P232" s="133">
        <v>0.942637822749477</v>
      </c>
      <c r="Q232" s="133">
        <v>0.920317820658343</v>
      </c>
      <c r="R232" s="133">
        <v>0.924168845722824</v>
      </c>
      <c r="S232" s="133">
        <v>0.900047852613949</v>
      </c>
      <c r="T232" s="135">
        <v>0.9</v>
      </c>
      <c r="U232" s="133">
        <v>0.890020935101186</v>
      </c>
      <c r="V232" s="133">
        <v>0.895346197502838</v>
      </c>
      <c r="W232" s="133">
        <v>0.839372431826672</v>
      </c>
      <c r="X232" s="133">
        <v>0.887825497467799</v>
      </c>
      <c r="Y232" s="135">
        <v>0.92</v>
      </c>
      <c r="Z232" s="135">
        <v>0.903484549638396</v>
      </c>
      <c r="AA232" s="135">
        <v>0.883480825958702</v>
      </c>
      <c r="AB232" s="135">
        <v>0.824181919023849</v>
      </c>
      <c r="AC232" s="135">
        <v>0.915479969325451</v>
      </c>
      <c r="AD232" s="135">
        <v>0.92</v>
      </c>
      <c r="AE232" s="133">
        <v>0.996865749608219</v>
      </c>
      <c r="AF232" s="133">
        <v>0.966618609293557</v>
      </c>
      <c r="AG232" s="133">
        <v>0.993703864524533</v>
      </c>
      <c r="AH232" s="133">
        <v>0.956281514531064</v>
      </c>
      <c r="AI232" s="135">
        <v>0.92</v>
      </c>
      <c r="AJ232" s="133">
        <v>0.927696161397333</v>
      </c>
      <c r="AK232" s="133">
        <v>0.938975155279503</v>
      </c>
      <c r="AL232" s="133">
        <v>0.890083798882682</v>
      </c>
      <c r="AM232" s="133">
        <v>0.947540944807346</v>
      </c>
      <c r="AN232" s="132">
        <v>0.99</v>
      </c>
      <c r="AO232" s="137">
        <v>1</v>
      </c>
      <c r="AP232" s="137">
        <v>1</v>
      </c>
      <c r="AQ232" s="137">
        <v>1</v>
      </c>
      <c r="AR232" s="137">
        <v>1</v>
      </c>
      <c r="AS232" s="158">
        <v>0.0719793575775068</v>
      </c>
      <c r="AT232" s="141">
        <v>0.0172413793103448</v>
      </c>
      <c r="AU232" s="141">
        <v>0.0444444444444444</v>
      </c>
      <c r="AV232" s="141">
        <v>0</v>
      </c>
      <c r="AW232" s="141">
        <v>0.0593311758360302</v>
      </c>
      <c r="AX232" s="95"/>
      <c r="AY232" s="93"/>
    </row>
    <row r="233" ht="15" spans="1:51">
      <c r="A233" s="91"/>
      <c r="C233" s="152" t="s">
        <v>210</v>
      </c>
      <c r="D233" s="153" t="s">
        <v>25</v>
      </c>
      <c r="E233" s="130" t="s">
        <v>211</v>
      </c>
      <c r="F233" s="157" t="s">
        <v>256</v>
      </c>
      <c r="G233" s="157" t="s">
        <v>256</v>
      </c>
      <c r="H233" s="157" t="s">
        <v>256</v>
      </c>
      <c r="I233" s="157" t="s">
        <v>256</v>
      </c>
      <c r="J233" s="132">
        <v>0.9</v>
      </c>
      <c r="K233" s="133">
        <v>0.983870967741935</v>
      </c>
      <c r="L233" s="133">
        <v>0.912280701754386</v>
      </c>
      <c r="M233" s="134">
        <v>0.837209302325581</v>
      </c>
      <c r="N233" s="133">
        <v>0.966292134831461</v>
      </c>
      <c r="O233" s="135">
        <v>0.9</v>
      </c>
      <c r="P233" s="133">
        <v>0.931432038834951</v>
      </c>
      <c r="Q233" s="133">
        <v>0.902015939990624</v>
      </c>
      <c r="R233" s="133">
        <v>0.922448979591837</v>
      </c>
      <c r="S233" s="133">
        <v>0.9427410678897</v>
      </c>
      <c r="T233" s="135">
        <v>0.9</v>
      </c>
      <c r="U233" s="133">
        <v>0.902002427184466</v>
      </c>
      <c r="V233" s="133">
        <v>0.90436005625879</v>
      </c>
      <c r="W233" s="133">
        <v>0.791836734693877</v>
      </c>
      <c r="X233" s="133">
        <v>0.903218957023951</v>
      </c>
      <c r="Y233" s="135">
        <v>0.92</v>
      </c>
      <c r="Z233" s="135">
        <v>0.924168171266443</v>
      </c>
      <c r="AA233" s="135">
        <v>0.937735849056604</v>
      </c>
      <c r="AB233" s="135">
        <v>0.857588357588358</v>
      </c>
      <c r="AC233" s="135">
        <v>0.932749833813428</v>
      </c>
      <c r="AD233" s="135">
        <v>0.92</v>
      </c>
      <c r="AE233" s="133">
        <v>0.996462264150943</v>
      </c>
      <c r="AF233" s="133">
        <v>0.991013071895425</v>
      </c>
      <c r="AG233" s="133">
        <v>0.999158012910469</v>
      </c>
      <c r="AH233" s="133">
        <v>0.996468997986225</v>
      </c>
      <c r="AI233" s="135">
        <v>0.92</v>
      </c>
      <c r="AJ233" s="133">
        <v>0.941865328314513</v>
      </c>
      <c r="AK233" s="133">
        <v>0.959599123081741</v>
      </c>
      <c r="AL233" s="133">
        <v>0.930855424979503</v>
      </c>
      <c r="AM233" s="133">
        <v>0.956737009085228</v>
      </c>
      <c r="AN233" s="132">
        <v>0.99</v>
      </c>
      <c r="AO233" s="137">
        <v>1</v>
      </c>
      <c r="AP233" s="137">
        <v>1</v>
      </c>
      <c r="AQ233" s="137">
        <v>1</v>
      </c>
      <c r="AR233" s="137">
        <v>1</v>
      </c>
      <c r="AS233" s="158">
        <v>0.0719793575775068</v>
      </c>
      <c r="AT233" s="141">
        <v>0</v>
      </c>
      <c r="AU233" s="141">
        <v>0</v>
      </c>
      <c r="AV233" s="141">
        <v>0</v>
      </c>
      <c r="AW233" s="141">
        <v>0.067524115755627</v>
      </c>
      <c r="AX233" s="95"/>
      <c r="AY233" s="93"/>
    </row>
    <row r="234" s="86" customFormat="1" ht="15" spans="1:51">
      <c r="A234" s="91"/>
      <c r="B234" s="88"/>
      <c r="C234" s="152" t="s">
        <v>210</v>
      </c>
      <c r="D234" s="153" t="s">
        <v>25</v>
      </c>
      <c r="E234" s="130" t="s">
        <v>211</v>
      </c>
      <c r="F234" s="157" t="s">
        <v>257</v>
      </c>
      <c r="G234" s="157" t="s">
        <v>257</v>
      </c>
      <c r="H234" s="157" t="s">
        <v>257</v>
      </c>
      <c r="I234" s="157" t="s">
        <v>257</v>
      </c>
      <c r="J234" s="132">
        <v>0.9</v>
      </c>
      <c r="K234" s="133">
        <v>0.968421052631579</v>
      </c>
      <c r="L234" s="133">
        <v>0.96551724137931</v>
      </c>
      <c r="M234" s="134">
        <v>0.926470588235294</v>
      </c>
      <c r="N234" s="133">
        <v>0.947487295313382</v>
      </c>
      <c r="O234" s="135">
        <v>0.9</v>
      </c>
      <c r="P234" s="133">
        <v>0.959063214013709</v>
      </c>
      <c r="Q234" s="133">
        <v>0.899514701684271</v>
      </c>
      <c r="R234" s="133">
        <v>0.916060291060291</v>
      </c>
      <c r="S234" s="133">
        <v>0.936228260671205</v>
      </c>
      <c r="T234" s="135">
        <v>0.9</v>
      </c>
      <c r="U234" s="133">
        <v>0.928027418126428</v>
      </c>
      <c r="V234" s="133">
        <v>0.928918070225521</v>
      </c>
      <c r="W234" s="133">
        <v>0.883056133056133</v>
      </c>
      <c r="X234" s="133">
        <v>0.921528550833075</v>
      </c>
      <c r="Y234" s="135">
        <v>0.92</v>
      </c>
      <c r="Z234" s="135">
        <v>0.911644051751341</v>
      </c>
      <c r="AA234" s="135">
        <v>0.938461538461538</v>
      </c>
      <c r="AB234" s="135">
        <v>0.873239436619718</v>
      </c>
      <c r="AC234" s="135">
        <v>0.931324670263424</v>
      </c>
      <c r="AD234" s="135">
        <v>0.92</v>
      </c>
      <c r="AE234" s="133">
        <v>0.993723076923077</v>
      </c>
      <c r="AF234" s="133">
        <v>0.952681388012618</v>
      </c>
      <c r="AG234" s="133">
        <v>0.988893296310988</v>
      </c>
      <c r="AH234" s="133">
        <v>0.982681455536097</v>
      </c>
      <c r="AI234" s="135">
        <v>0.92</v>
      </c>
      <c r="AJ234" s="133">
        <v>0.936755823986195</v>
      </c>
      <c r="AK234" s="133">
        <v>0.961485285403911</v>
      </c>
      <c r="AL234" s="133">
        <v>0.923609774870117</v>
      </c>
      <c r="AM234" s="133">
        <v>0.956838547480206</v>
      </c>
      <c r="AN234" s="132">
        <v>0.99</v>
      </c>
      <c r="AO234" s="137">
        <v>1</v>
      </c>
      <c r="AP234" s="137">
        <v>1</v>
      </c>
      <c r="AQ234" s="137">
        <v>1</v>
      </c>
      <c r="AR234" s="137">
        <v>1</v>
      </c>
      <c r="AS234" s="158">
        <v>0.0719793575775068</v>
      </c>
      <c r="AT234" s="141">
        <v>0.0681818181818182</v>
      </c>
      <c r="AU234" s="141">
        <v>0</v>
      </c>
      <c r="AV234" s="141">
        <v>0</v>
      </c>
      <c r="AW234" s="141">
        <v>0.0597826086956522</v>
      </c>
      <c r="AX234" s="88"/>
      <c r="AY234" s="93"/>
    </row>
    <row r="235" s="86" customFormat="1" ht="15" spans="1:51">
      <c r="A235" s="91"/>
      <c r="B235" s="88"/>
      <c r="C235" s="152" t="s">
        <v>210</v>
      </c>
      <c r="D235" s="153" t="s">
        <v>25</v>
      </c>
      <c r="E235" s="130" t="s">
        <v>211</v>
      </c>
      <c r="F235" s="157" t="s">
        <v>258</v>
      </c>
      <c r="G235" s="157" t="s">
        <v>258</v>
      </c>
      <c r="H235" s="157" t="s">
        <v>258</v>
      </c>
      <c r="I235" s="157" t="s">
        <v>258</v>
      </c>
      <c r="J235" s="132">
        <v>0.9</v>
      </c>
      <c r="K235" s="133">
        <v>0.954545454545455</v>
      </c>
      <c r="L235" s="133">
        <v>0.912280701754386</v>
      </c>
      <c r="M235" s="134">
        <v>0.936170212765957</v>
      </c>
      <c r="N235" s="133">
        <v>0.948482060717571</v>
      </c>
      <c r="O235" s="135">
        <v>0.9</v>
      </c>
      <c r="P235" s="133">
        <v>0.945667316801337</v>
      </c>
      <c r="Q235" s="133">
        <v>0.926253687315634</v>
      </c>
      <c r="R235" s="133">
        <v>0.895516992046276</v>
      </c>
      <c r="S235" s="133">
        <v>0.921078279886847</v>
      </c>
      <c r="T235" s="135">
        <v>0.9</v>
      </c>
      <c r="U235" s="133">
        <v>0.909445528002229</v>
      </c>
      <c r="V235" s="133">
        <v>0.928782132321955</v>
      </c>
      <c r="W235" s="133">
        <v>0.875632682574114</v>
      </c>
      <c r="X235" s="133">
        <v>0.874046164451946</v>
      </c>
      <c r="Y235" s="135">
        <v>0.92</v>
      </c>
      <c r="Z235" s="135">
        <v>0.938662533215235</v>
      </c>
      <c r="AA235" s="135">
        <v>0.946397188049209</v>
      </c>
      <c r="AB235" s="135">
        <v>0.929332042594385</v>
      </c>
      <c r="AC235" s="135">
        <v>0.926334850330107</v>
      </c>
      <c r="AD235" s="135">
        <v>0.92</v>
      </c>
      <c r="AE235" s="133">
        <v>1</v>
      </c>
      <c r="AF235" s="133">
        <v>0.993006993006993</v>
      </c>
      <c r="AG235" s="133">
        <v>0.934426229508197</v>
      </c>
      <c r="AH235" s="133">
        <v>0.96095264469676</v>
      </c>
      <c r="AI235" s="135">
        <v>0.92</v>
      </c>
      <c r="AJ235" s="133">
        <v>0.949173451764125</v>
      </c>
      <c r="AK235" s="133">
        <v>0.968385075477072</v>
      </c>
      <c r="AL235" s="133">
        <v>0.954497632824829</v>
      </c>
      <c r="AM235" s="133">
        <v>0.952434564262125</v>
      </c>
      <c r="AN235" s="132">
        <v>0.99</v>
      </c>
      <c r="AO235" s="137">
        <v>1</v>
      </c>
      <c r="AP235" s="137">
        <v>1</v>
      </c>
      <c r="AQ235" s="137">
        <v>1</v>
      </c>
      <c r="AR235" s="137">
        <v>1</v>
      </c>
      <c r="AS235" s="158">
        <v>0.0719793575775068</v>
      </c>
      <c r="AT235" s="141">
        <v>0</v>
      </c>
      <c r="AU235" s="141">
        <v>0</v>
      </c>
      <c r="AV235" s="141">
        <v>0</v>
      </c>
      <c r="AW235" s="141">
        <v>0.0389294403892944</v>
      </c>
      <c r="AX235" s="88"/>
      <c r="AY235" s="93"/>
    </row>
    <row r="236" s="86" customFormat="1" ht="15" spans="1:51">
      <c r="A236" s="91"/>
      <c r="B236" s="88"/>
      <c r="C236" s="152" t="s">
        <v>210</v>
      </c>
      <c r="D236" s="153" t="s">
        <v>25</v>
      </c>
      <c r="E236" s="130" t="s">
        <v>211</v>
      </c>
      <c r="F236" s="157" t="s">
        <v>259</v>
      </c>
      <c r="G236" s="157" t="s">
        <v>259</v>
      </c>
      <c r="H236" s="157" t="s">
        <v>259</v>
      </c>
      <c r="I236" s="157" t="s">
        <v>259</v>
      </c>
      <c r="J236" s="132">
        <v>0.9</v>
      </c>
      <c r="K236" s="133">
        <v>0.962962962962963</v>
      </c>
      <c r="L236" s="133">
        <v>0.977777777777778</v>
      </c>
      <c r="M236" s="134">
        <v>0.891304347826087</v>
      </c>
      <c r="N236" s="133">
        <v>0.953713670613563</v>
      </c>
      <c r="O236" s="135">
        <v>0.9</v>
      </c>
      <c r="P236" s="133">
        <v>0.998298906439854</v>
      </c>
      <c r="Q236" s="133">
        <v>0.984276729559748</v>
      </c>
      <c r="R236" s="133">
        <v>0.998401096391046</v>
      </c>
      <c r="S236" s="133">
        <v>0.969892385205776</v>
      </c>
      <c r="T236" s="135">
        <v>0.9</v>
      </c>
      <c r="U236" s="133">
        <v>0.950425273390036</v>
      </c>
      <c r="V236" s="133">
        <v>0.942216981132076</v>
      </c>
      <c r="W236" s="133">
        <v>0.945865692096848</v>
      </c>
      <c r="X236" s="133">
        <v>0.954286707069055</v>
      </c>
      <c r="Y236" s="135">
        <v>0.92</v>
      </c>
      <c r="Z236" s="135">
        <v>0.0833333333333333</v>
      </c>
      <c r="AA236" s="135">
        <v>0.333333333333333</v>
      </c>
      <c r="AB236" s="135">
        <v>1</v>
      </c>
      <c r="AC236" s="135">
        <v>0.571428571428571</v>
      </c>
      <c r="AD236" s="135">
        <v>0.92</v>
      </c>
      <c r="AE236" s="133">
        <v>0.979310344827586</v>
      </c>
      <c r="AF236" s="133">
        <v>0.995633187772926</v>
      </c>
      <c r="AG236" s="133">
        <v>0.976878612716763</v>
      </c>
      <c r="AH236" s="133">
        <v>0.986810551558753</v>
      </c>
      <c r="AI236" s="135">
        <v>0.92</v>
      </c>
      <c r="AJ236" s="133">
        <v>0.978919311848801</v>
      </c>
      <c r="AK236" s="133">
        <v>0.973694542599136</v>
      </c>
      <c r="AL236" s="133">
        <v>0.982652362474321</v>
      </c>
      <c r="AM236" s="133">
        <v>0.987812104123248</v>
      </c>
      <c r="AN236" s="132">
        <v>0.99</v>
      </c>
      <c r="AO236" s="137">
        <v>1</v>
      </c>
      <c r="AP236" s="137">
        <v>1</v>
      </c>
      <c r="AQ236" s="137">
        <v>1</v>
      </c>
      <c r="AR236" s="137">
        <v>1</v>
      </c>
      <c r="AS236" s="158">
        <v>0.0719793575775068</v>
      </c>
      <c r="AT236" s="141">
        <v>0.0588235294117647</v>
      </c>
      <c r="AU236" s="141">
        <v>0.0588235294117647</v>
      </c>
      <c r="AV236" s="141">
        <v>0.0625</v>
      </c>
      <c r="AW236" s="141">
        <v>0.0659340659340659</v>
      </c>
      <c r="AX236" s="88"/>
      <c r="AY236" s="93"/>
    </row>
    <row r="237" s="87" customFormat="1" ht="15" spans="1:51">
      <c r="A237" s="91"/>
      <c r="C237" s="159"/>
      <c r="D237" s="160"/>
      <c r="E237" s="161"/>
      <c r="F237" s="161"/>
      <c r="G237" s="161"/>
      <c r="H237" s="161"/>
      <c r="I237" s="161"/>
      <c r="J237" s="162"/>
      <c r="K237" s="147"/>
      <c r="L237" s="147"/>
      <c r="M237" s="134"/>
      <c r="N237" s="147"/>
      <c r="O237" s="150"/>
      <c r="P237" s="147"/>
      <c r="Q237" s="147"/>
      <c r="R237" s="133"/>
      <c r="S237" s="147"/>
      <c r="T237" s="150"/>
      <c r="U237" s="147"/>
      <c r="V237" s="147"/>
      <c r="W237" s="133"/>
      <c r="X237" s="147"/>
      <c r="Y237" s="150"/>
      <c r="Z237" s="150"/>
      <c r="AA237" s="150"/>
      <c r="AB237" s="135"/>
      <c r="AC237" s="150"/>
      <c r="AD237" s="150"/>
      <c r="AE237" s="147"/>
      <c r="AF237" s="147"/>
      <c r="AG237" s="133"/>
      <c r="AH237" s="147"/>
      <c r="AI237" s="150"/>
      <c r="AJ237" s="147"/>
      <c r="AK237" s="147"/>
      <c r="AL237" s="133"/>
      <c r="AM237" s="147"/>
      <c r="AN237" s="146"/>
      <c r="AO237" s="146"/>
      <c r="AP237" s="146"/>
      <c r="AQ237" s="137"/>
      <c r="AR237" s="146"/>
      <c r="AS237" s="147"/>
      <c r="AT237" s="146"/>
      <c r="AU237" s="146"/>
      <c r="AV237" s="141"/>
      <c r="AW237" s="146"/>
      <c r="AX237" s="88"/>
      <c r="AY237" s="93"/>
    </row>
    <row r="238" ht="15" spans="1:51">
      <c r="A238" s="91"/>
      <c r="B238" s="95"/>
      <c r="C238" s="163" t="s">
        <v>260</v>
      </c>
      <c r="D238" s="153" t="s">
        <v>25</v>
      </c>
      <c r="E238" s="130" t="s">
        <v>261</v>
      </c>
      <c r="F238" s="164" t="s">
        <v>262</v>
      </c>
      <c r="G238" s="164" t="s">
        <v>262</v>
      </c>
      <c r="H238" s="164" t="s">
        <v>262</v>
      </c>
      <c r="I238" s="164" t="s">
        <v>262</v>
      </c>
      <c r="J238" s="132">
        <v>0.9</v>
      </c>
      <c r="K238" s="133">
        <v>0.967391304347826</v>
      </c>
      <c r="L238" s="133">
        <v>0.988636363636364</v>
      </c>
      <c r="M238" s="134">
        <v>0.984126984126984</v>
      </c>
      <c r="N238" s="133">
        <v>0.971709717097171</v>
      </c>
      <c r="O238" s="135">
        <v>0.9</v>
      </c>
      <c r="P238" s="133">
        <v>0.968133174791914</v>
      </c>
      <c r="Q238" s="133">
        <v>0.983982683982684</v>
      </c>
      <c r="R238" s="133">
        <v>0.970562518216263</v>
      </c>
      <c r="S238" s="133">
        <v>0.924501814288264</v>
      </c>
      <c r="T238" s="135">
        <v>0.9</v>
      </c>
      <c r="U238" s="133">
        <v>0.88038049940547</v>
      </c>
      <c r="V238" s="133">
        <v>0.880952380952381</v>
      </c>
      <c r="W238" s="133">
        <v>0.846400466336345</v>
      </c>
      <c r="X238" s="133">
        <v>0.880518707988817</v>
      </c>
      <c r="Y238" s="135">
        <v>0.92</v>
      </c>
      <c r="Z238" s="135">
        <v>0.951949860724234</v>
      </c>
      <c r="AA238" s="135">
        <v>0.895280235988201</v>
      </c>
      <c r="AB238" s="135">
        <v>0.911269760326364</v>
      </c>
      <c r="AC238" s="135">
        <v>0.945876213521472</v>
      </c>
      <c r="AD238" s="135">
        <v>0.92</v>
      </c>
      <c r="AE238" s="133">
        <v>0.922169396020426</v>
      </c>
      <c r="AF238" s="133">
        <v>0.954252577319588</v>
      </c>
      <c r="AG238" s="133">
        <v>0.519612837493632</v>
      </c>
      <c r="AH238" s="133">
        <v>0.934504009695469</v>
      </c>
      <c r="AI238" s="135">
        <v>0.92</v>
      </c>
      <c r="AJ238" s="133">
        <v>0.962649753347428</v>
      </c>
      <c r="AK238" s="133">
        <v>0.944899072558647</v>
      </c>
      <c r="AL238" s="133">
        <v>0.944547477744807</v>
      </c>
      <c r="AM238" s="133">
        <v>0.965350555439111</v>
      </c>
      <c r="AN238" s="132">
        <v>0.99</v>
      </c>
      <c r="AO238" s="137">
        <v>1</v>
      </c>
      <c r="AP238" s="137">
        <v>1</v>
      </c>
      <c r="AQ238" s="137">
        <v>1</v>
      </c>
      <c r="AR238" s="137">
        <v>1</v>
      </c>
      <c r="AS238" s="158">
        <v>0.0922287257019438</v>
      </c>
      <c r="AT238" s="141">
        <v>0</v>
      </c>
      <c r="AU238" s="141">
        <v>0.0555555555555556</v>
      </c>
      <c r="AV238" s="141">
        <v>0</v>
      </c>
      <c r="AW238" s="141">
        <v>0.0733333333333333</v>
      </c>
      <c r="AX238" s="95"/>
      <c r="AY238" s="93"/>
    </row>
    <row r="239" ht="15" spans="1:51">
      <c r="A239" s="91"/>
      <c r="B239" s="95"/>
      <c r="C239" s="163" t="s">
        <v>260</v>
      </c>
      <c r="D239" s="153" t="s">
        <v>25</v>
      </c>
      <c r="E239" s="130" t="s">
        <v>261</v>
      </c>
      <c r="F239" s="164" t="s">
        <v>263</v>
      </c>
      <c r="G239" s="164" t="s">
        <v>263</v>
      </c>
      <c r="H239" s="164" t="s">
        <v>263</v>
      </c>
      <c r="I239" s="164" t="s">
        <v>263</v>
      </c>
      <c r="J239" s="132">
        <v>0.9</v>
      </c>
      <c r="K239" s="133">
        <v>0.828125</v>
      </c>
      <c r="L239" s="133">
        <v>0.774193548387097</v>
      </c>
      <c r="M239" s="134">
        <v>0.916666666666667</v>
      </c>
      <c r="N239" s="133">
        <v>0.806818181818182</v>
      </c>
      <c r="O239" s="135">
        <v>0.9</v>
      </c>
      <c r="P239" s="133">
        <v>0.971418964357767</v>
      </c>
      <c r="Q239" s="133">
        <v>0.969834945930563</v>
      </c>
      <c r="R239" s="133">
        <v>0.934955752212389</v>
      </c>
      <c r="S239" s="133">
        <v>0.936825655433825</v>
      </c>
      <c r="T239" s="135">
        <v>0.9</v>
      </c>
      <c r="U239" s="133">
        <v>0.929388029589778</v>
      </c>
      <c r="V239" s="133">
        <v>0.940808195788275</v>
      </c>
      <c r="W239" s="133">
        <v>0.911061946902655</v>
      </c>
      <c r="X239" s="133">
        <v>0.934365180961248</v>
      </c>
      <c r="Y239" s="135">
        <v>0.92</v>
      </c>
      <c r="Z239" s="135">
        <v>0.968200836820084</v>
      </c>
      <c r="AA239" s="135">
        <v>0.974753018660812</v>
      </c>
      <c r="AB239" s="135">
        <v>0.945759368836292</v>
      </c>
      <c r="AC239" s="135">
        <v>0.97807836778259</v>
      </c>
      <c r="AD239" s="135">
        <v>0.92</v>
      </c>
      <c r="AE239" s="133">
        <v>0.997414350355527</v>
      </c>
      <c r="AF239" s="133">
        <v>0.98627316403569</v>
      </c>
      <c r="AG239" s="133">
        <v>0.870892018779343</v>
      </c>
      <c r="AH239" s="133">
        <v>0.982801988885639</v>
      </c>
      <c r="AI239" s="135">
        <v>0.92</v>
      </c>
      <c r="AJ239" s="133">
        <v>0.975453575240128</v>
      </c>
      <c r="AK239" s="133">
        <v>0.987631184407796</v>
      </c>
      <c r="AL239" s="133">
        <v>0.975572519083969</v>
      </c>
      <c r="AM239" s="133">
        <v>0.987023005923681</v>
      </c>
      <c r="AN239" s="132">
        <v>0.99</v>
      </c>
      <c r="AO239" s="137">
        <v>1</v>
      </c>
      <c r="AP239" s="137">
        <v>1</v>
      </c>
      <c r="AQ239" s="137">
        <v>1</v>
      </c>
      <c r="AR239" s="137">
        <v>1</v>
      </c>
      <c r="AS239" s="158">
        <v>0.0922287257019438</v>
      </c>
      <c r="AT239" s="141">
        <v>0</v>
      </c>
      <c r="AU239" s="141">
        <v>0.2</v>
      </c>
      <c r="AV239" s="141">
        <v>0</v>
      </c>
      <c r="AW239" s="141">
        <v>0.0733333333333333</v>
      </c>
      <c r="AX239" s="95"/>
      <c r="AY239" s="93"/>
    </row>
    <row r="240" ht="15" spans="1:51">
      <c r="A240" s="91"/>
      <c r="B240" s="95"/>
      <c r="C240" s="163" t="s">
        <v>260</v>
      </c>
      <c r="D240" s="153" t="s">
        <v>25</v>
      </c>
      <c r="E240" s="130" t="s">
        <v>261</v>
      </c>
      <c r="F240" s="164" t="s">
        <v>264</v>
      </c>
      <c r="G240" s="164" t="s">
        <v>264</v>
      </c>
      <c r="H240" s="164" t="s">
        <v>264</v>
      </c>
      <c r="I240" s="164" t="s">
        <v>264</v>
      </c>
      <c r="J240" s="132">
        <v>0.9</v>
      </c>
      <c r="K240" s="133">
        <v>0.963855421686747</v>
      </c>
      <c r="L240" s="133">
        <v>0.932432432432432</v>
      </c>
      <c r="M240" s="134">
        <v>0.960526315789474</v>
      </c>
      <c r="N240" s="133">
        <v>0.969271877087508</v>
      </c>
      <c r="O240" s="135">
        <v>0.9</v>
      </c>
      <c r="P240" s="133">
        <v>0.970402611534276</v>
      </c>
      <c r="Q240" s="133">
        <v>0.983497302443669</v>
      </c>
      <c r="R240" s="133">
        <v>0.983128514892731</v>
      </c>
      <c r="S240" s="133">
        <v>0.95947997387513</v>
      </c>
      <c r="T240" s="135">
        <v>0.9</v>
      </c>
      <c r="U240" s="133">
        <v>0.950163220892274</v>
      </c>
      <c r="V240" s="133">
        <v>0.961916851793082</v>
      </c>
      <c r="W240" s="133">
        <v>0.964174130389502</v>
      </c>
      <c r="X240" s="133">
        <v>0.958367901714003</v>
      </c>
      <c r="Y240" s="135">
        <v>0.92</v>
      </c>
      <c r="Z240" s="135">
        <v>0.942835931700074</v>
      </c>
      <c r="AA240" s="135">
        <v>0.946308724832215</v>
      </c>
      <c r="AB240" s="135">
        <v>0.936591809775429</v>
      </c>
      <c r="AC240" s="135">
        <v>0.959042448451433</v>
      </c>
      <c r="AD240" s="135">
        <v>0.92</v>
      </c>
      <c r="AE240" s="133">
        <v>0.992268907563025</v>
      </c>
      <c r="AF240" s="133">
        <v>0.929645219482862</v>
      </c>
      <c r="AG240" s="133">
        <v>0.96927374301676</v>
      </c>
      <c r="AH240" s="133">
        <v>0.953793969849246</v>
      </c>
      <c r="AI240" s="135">
        <v>0.92</v>
      </c>
      <c r="AJ240" s="133">
        <v>0.968175582990398</v>
      </c>
      <c r="AK240" s="133">
        <v>0.97849196538937</v>
      </c>
      <c r="AL240" s="133">
        <v>0.983087441525729</v>
      </c>
      <c r="AM240" s="133">
        <v>0.983246002955797</v>
      </c>
      <c r="AN240" s="132">
        <v>0.99</v>
      </c>
      <c r="AO240" s="137">
        <v>1</v>
      </c>
      <c r="AP240" s="137">
        <v>1</v>
      </c>
      <c r="AQ240" s="137">
        <v>1</v>
      </c>
      <c r="AR240" s="137">
        <v>1</v>
      </c>
      <c r="AS240" s="158">
        <v>0.0922287257019438</v>
      </c>
      <c r="AT240" s="141">
        <v>0</v>
      </c>
      <c r="AU240" s="141">
        <v>0</v>
      </c>
      <c r="AV240" s="141">
        <v>0</v>
      </c>
      <c r="AW240" s="141">
        <v>0.12568306010929</v>
      </c>
      <c r="AX240" s="95"/>
      <c r="AY240" s="93"/>
    </row>
    <row r="241" ht="15" spans="1:51">
      <c r="A241" s="91"/>
      <c r="B241" s="95"/>
      <c r="C241" s="163" t="s">
        <v>260</v>
      </c>
      <c r="D241" s="153" t="s">
        <v>25</v>
      </c>
      <c r="E241" s="130" t="s">
        <v>261</v>
      </c>
      <c r="F241" s="164" t="s">
        <v>265</v>
      </c>
      <c r="G241" s="164" t="s">
        <v>265</v>
      </c>
      <c r="H241" s="164" t="s">
        <v>265</v>
      </c>
      <c r="I241" s="164" t="s">
        <v>265</v>
      </c>
      <c r="J241" s="132">
        <v>0.9</v>
      </c>
      <c r="K241" s="133">
        <v>0.993197278911565</v>
      </c>
      <c r="L241" s="133">
        <v>0.984962406015038</v>
      </c>
      <c r="M241" s="134">
        <v>0.989583333333333</v>
      </c>
      <c r="N241" s="133">
        <v>0.996268656716418</v>
      </c>
      <c r="O241" s="135">
        <v>0.9</v>
      </c>
      <c r="P241" s="133">
        <v>0.950633536284351</v>
      </c>
      <c r="Q241" s="133">
        <v>0.963805867836578</v>
      </c>
      <c r="R241" s="133">
        <v>0.966018379995726</v>
      </c>
      <c r="S241" s="133">
        <v>0.914329221373551</v>
      </c>
      <c r="T241" s="135">
        <v>0.9</v>
      </c>
      <c r="U241" s="133">
        <v>0.935988152048708</v>
      </c>
      <c r="V241" s="133">
        <v>0.939676446394297</v>
      </c>
      <c r="W241" s="133">
        <v>0.932250480871981</v>
      </c>
      <c r="X241" s="133">
        <v>0.936198475631981</v>
      </c>
      <c r="Y241" s="135">
        <v>0.92</v>
      </c>
      <c r="Z241" s="135">
        <v>0.971494502511199</v>
      </c>
      <c r="AA241" s="135">
        <v>0.964621337755666</v>
      </c>
      <c r="AB241" s="135">
        <v>0.933528836754643</v>
      </c>
      <c r="AC241" s="135">
        <v>0.967532792881264</v>
      </c>
      <c r="AD241" s="135">
        <v>0.92</v>
      </c>
      <c r="AE241" s="133">
        <v>0.959228695154833</v>
      </c>
      <c r="AF241" s="133">
        <v>0.952678431985007</v>
      </c>
      <c r="AG241" s="133">
        <v>0.991239892183288</v>
      </c>
      <c r="AH241" s="133">
        <v>0.964927959961442</v>
      </c>
      <c r="AI241" s="135">
        <v>0.92</v>
      </c>
      <c r="AJ241" s="133">
        <v>0.978375566619603</v>
      </c>
      <c r="AK241" s="133">
        <v>0.979288856304985</v>
      </c>
      <c r="AL241" s="133">
        <v>0.969980680636053</v>
      </c>
      <c r="AM241" s="133">
        <v>0.980376087667209</v>
      </c>
      <c r="AN241" s="132">
        <v>0.99</v>
      </c>
      <c r="AO241" s="137">
        <v>1</v>
      </c>
      <c r="AP241" s="137">
        <v>1</v>
      </c>
      <c r="AQ241" s="137">
        <v>1</v>
      </c>
      <c r="AR241" s="137">
        <v>1</v>
      </c>
      <c r="AS241" s="158">
        <v>0.0922287257019438</v>
      </c>
      <c r="AT241" s="141">
        <v>0.0833333333333333</v>
      </c>
      <c r="AU241" s="141">
        <v>0.272727272727273</v>
      </c>
      <c r="AV241" s="141">
        <v>0.222222222222222</v>
      </c>
      <c r="AW241" s="141">
        <v>0.0626506024096386</v>
      </c>
      <c r="AX241" s="95"/>
      <c r="AY241" s="93"/>
    </row>
    <row r="242" ht="15" spans="1:51">
      <c r="A242" s="91"/>
      <c r="B242" s="95"/>
      <c r="C242" s="163" t="s">
        <v>260</v>
      </c>
      <c r="D242" s="153" t="s">
        <v>25</v>
      </c>
      <c r="E242" s="130" t="s">
        <v>261</v>
      </c>
      <c r="F242" s="164" t="s">
        <v>266</v>
      </c>
      <c r="G242" s="164" t="s">
        <v>266</v>
      </c>
      <c r="H242" s="164" t="s">
        <v>266</v>
      </c>
      <c r="I242" s="164" t="s">
        <v>266</v>
      </c>
      <c r="J242" s="132">
        <v>0.9</v>
      </c>
      <c r="K242" s="133">
        <v>0.981481481481482</v>
      </c>
      <c r="L242" s="133">
        <v>0.98989898989899</v>
      </c>
      <c r="M242" s="134">
        <v>1</v>
      </c>
      <c r="N242" s="133">
        <v>0.984276729559748</v>
      </c>
      <c r="O242" s="135">
        <v>0.9</v>
      </c>
      <c r="P242" s="133">
        <v>0.963492597577389</v>
      </c>
      <c r="Q242" s="133">
        <v>0.969841668760995</v>
      </c>
      <c r="R242" s="133">
        <v>0.980668136340512</v>
      </c>
      <c r="S242" s="133">
        <v>0.976783237701574</v>
      </c>
      <c r="T242" s="135">
        <v>0.9</v>
      </c>
      <c r="U242" s="133">
        <v>0.938761776581427</v>
      </c>
      <c r="V242" s="133">
        <v>0.939432018094999</v>
      </c>
      <c r="W242" s="133">
        <v>0.953705273868068</v>
      </c>
      <c r="X242" s="133">
        <v>0.957767927555544</v>
      </c>
      <c r="Y242" s="135">
        <v>0.92</v>
      </c>
      <c r="Z242" s="135">
        <v>0.976511028358636</v>
      </c>
      <c r="AA242" s="135">
        <v>0.974063400576369</v>
      </c>
      <c r="AB242" s="135">
        <v>0.894013738959764</v>
      </c>
      <c r="AC242" s="135">
        <v>0.975495612609685</v>
      </c>
      <c r="AD242" s="135">
        <v>0.92</v>
      </c>
      <c r="AE242" s="133">
        <v>0.994751853964632</v>
      </c>
      <c r="AF242" s="133">
        <v>0.950818363273453</v>
      </c>
      <c r="AG242" s="133">
        <v>0.528490028490028</v>
      </c>
      <c r="AH242" s="133">
        <v>0.951851873063508</v>
      </c>
      <c r="AI242" s="135">
        <v>0.92</v>
      </c>
      <c r="AJ242" s="133">
        <v>0.975529661016949</v>
      </c>
      <c r="AK242" s="133">
        <v>0.983266932270916</v>
      </c>
      <c r="AL242" s="133">
        <v>0.971085730808154</v>
      </c>
      <c r="AM242" s="133">
        <v>0.986650177738913</v>
      </c>
      <c r="AN242" s="132">
        <v>0.99</v>
      </c>
      <c r="AO242" s="137">
        <v>1</v>
      </c>
      <c r="AP242" s="137">
        <v>1</v>
      </c>
      <c r="AQ242" s="137">
        <v>1</v>
      </c>
      <c r="AR242" s="137">
        <v>1</v>
      </c>
      <c r="AS242" s="158">
        <v>0.0922287257019438</v>
      </c>
      <c r="AT242" s="141">
        <v>0.153846153846154</v>
      </c>
      <c r="AU242" s="141">
        <v>0.111111111111111</v>
      </c>
      <c r="AV242" s="141">
        <v>0.111111111111111</v>
      </c>
      <c r="AW242" s="141">
        <v>0.107266435986159</v>
      </c>
      <c r="AX242" s="95"/>
      <c r="AY242" s="93"/>
    </row>
    <row r="243" ht="15" spans="1:51">
      <c r="A243" s="91"/>
      <c r="B243" s="95"/>
      <c r="C243" s="163" t="s">
        <v>260</v>
      </c>
      <c r="D243" s="153" t="s">
        <v>25</v>
      </c>
      <c r="E243" s="130" t="s">
        <v>261</v>
      </c>
      <c r="F243" s="164" t="s">
        <v>267</v>
      </c>
      <c r="G243" s="164" t="s">
        <v>267</v>
      </c>
      <c r="H243" s="164" t="s">
        <v>267</v>
      </c>
      <c r="I243" s="164" t="s">
        <v>267</v>
      </c>
      <c r="J243" s="132">
        <v>0.9</v>
      </c>
      <c r="K243" s="133">
        <v>0.884955752212389</v>
      </c>
      <c r="L243" s="133">
        <v>0.839622641509434</v>
      </c>
      <c r="M243" s="134">
        <v>0.734939759036145</v>
      </c>
      <c r="N243" s="133">
        <v>0.757804090419806</v>
      </c>
      <c r="O243" s="135">
        <v>0.9</v>
      </c>
      <c r="P243" s="133">
        <v>0.953195948305973</v>
      </c>
      <c r="Q243" s="133">
        <v>0.959942363112392</v>
      </c>
      <c r="R243" s="133">
        <v>0.951334750767777</v>
      </c>
      <c r="S243" s="133">
        <v>0.932778378574869</v>
      </c>
      <c r="T243" s="135">
        <v>0.9</v>
      </c>
      <c r="U243" s="133">
        <v>0.918791477471184</v>
      </c>
      <c r="V243" s="133">
        <v>0.929106628242075</v>
      </c>
      <c r="W243" s="133">
        <v>0.918025041341838</v>
      </c>
      <c r="X243" s="133">
        <v>0.926280682303547</v>
      </c>
      <c r="Y243" s="135">
        <v>0.92</v>
      </c>
      <c r="Z243" s="135">
        <v>0.949077603293185</v>
      </c>
      <c r="AA243" s="135">
        <v>0.952991452991453</v>
      </c>
      <c r="AB243" s="135">
        <v>0.924082453494218</v>
      </c>
      <c r="AC243" s="135">
        <v>0.956005444028581</v>
      </c>
      <c r="AD243" s="135">
        <v>0.92</v>
      </c>
      <c r="AE243" s="133">
        <v>0.996442280685329</v>
      </c>
      <c r="AF243" s="133">
        <v>0.99660152931181</v>
      </c>
      <c r="AG243" s="133">
        <v>0.998085391537431</v>
      </c>
      <c r="AH243" s="133">
        <v>0.951157422798902</v>
      </c>
      <c r="AI243" s="135">
        <v>0.92</v>
      </c>
      <c r="AJ243" s="133">
        <v>0.961109755105362</v>
      </c>
      <c r="AK243" s="133">
        <v>0.973581213307241</v>
      </c>
      <c r="AL243" s="133">
        <v>0.955005624296963</v>
      </c>
      <c r="AM243" s="133">
        <v>0.971597471968203</v>
      </c>
      <c r="AN243" s="132">
        <v>0.99</v>
      </c>
      <c r="AO243" s="137">
        <v>1</v>
      </c>
      <c r="AP243" s="137">
        <v>1</v>
      </c>
      <c r="AQ243" s="137">
        <v>1</v>
      </c>
      <c r="AR243" s="137">
        <v>1</v>
      </c>
      <c r="AS243" s="158">
        <v>0.0922287257019438</v>
      </c>
      <c r="AT243" s="141">
        <v>0.0555555555555556</v>
      </c>
      <c r="AU243" s="141">
        <v>0.2</v>
      </c>
      <c r="AV243" s="141">
        <v>0</v>
      </c>
      <c r="AW243" s="141">
        <v>0.076555023923445</v>
      </c>
      <c r="AX243" s="95"/>
      <c r="AY243" s="93"/>
    </row>
    <row r="244" ht="15" spans="1:51">
      <c r="A244" s="91"/>
      <c r="B244" s="95"/>
      <c r="C244" s="163" t="s">
        <v>260</v>
      </c>
      <c r="D244" s="153" t="s">
        <v>25</v>
      </c>
      <c r="E244" s="130" t="s">
        <v>261</v>
      </c>
      <c r="F244" s="164" t="s">
        <v>268</v>
      </c>
      <c r="G244" s="164" t="s">
        <v>268</v>
      </c>
      <c r="H244" s="164" t="s">
        <v>268</v>
      </c>
      <c r="I244" s="164" t="s">
        <v>268</v>
      </c>
      <c r="J244" s="132">
        <v>0.9</v>
      </c>
      <c r="K244" s="133">
        <v>0.955752212389381</v>
      </c>
      <c r="L244" s="133">
        <v>0.902912621359223</v>
      </c>
      <c r="M244" s="134">
        <v>0.965909090909091</v>
      </c>
      <c r="N244" s="133">
        <v>0.936225823314166</v>
      </c>
      <c r="O244" s="135">
        <v>0.9</v>
      </c>
      <c r="P244" s="133">
        <v>0.901619913077835</v>
      </c>
      <c r="Q244" s="133">
        <v>0.978213072156706</v>
      </c>
      <c r="R244" s="133">
        <v>0.92775019597596</v>
      </c>
      <c r="S244" s="133">
        <v>0.943427873493671</v>
      </c>
      <c r="T244" s="135">
        <v>0.9</v>
      </c>
      <c r="U244" s="133">
        <v>0.931779270380614</v>
      </c>
      <c r="V244" s="133">
        <v>0.944833100139916</v>
      </c>
      <c r="W244" s="133">
        <v>0.945257381761171</v>
      </c>
      <c r="X244" s="133">
        <v>0.930713075585224</v>
      </c>
      <c r="Y244" s="135">
        <v>0.92</v>
      </c>
      <c r="Z244" s="135">
        <v>0.964621096309238</v>
      </c>
      <c r="AA244" s="135">
        <v>0.9663928304705</v>
      </c>
      <c r="AB244" s="135">
        <v>0.962307692307692</v>
      </c>
      <c r="AC244" s="135">
        <v>0.973636204174706</v>
      </c>
      <c r="AD244" s="135">
        <v>0.92</v>
      </c>
      <c r="AE244" s="133">
        <v>0.994029850746269</v>
      </c>
      <c r="AF244" s="133">
        <v>0.985132158590308</v>
      </c>
      <c r="AG244" s="133">
        <v>0.91044776119403</v>
      </c>
      <c r="AH244" s="133">
        <v>0.955911240451073</v>
      </c>
      <c r="AI244" s="135">
        <v>0.92</v>
      </c>
      <c r="AJ244" s="133">
        <v>0.975275176605881</v>
      </c>
      <c r="AK244" s="133">
        <v>0.98155156102176</v>
      </c>
      <c r="AL244" s="133">
        <v>0.982354255081528</v>
      </c>
      <c r="AM244" s="133">
        <v>0.98405170944541</v>
      </c>
      <c r="AN244" s="132">
        <v>0.99</v>
      </c>
      <c r="AO244" s="137">
        <v>1</v>
      </c>
      <c r="AP244" s="137">
        <v>1</v>
      </c>
      <c r="AQ244" s="137">
        <v>1</v>
      </c>
      <c r="AR244" s="137">
        <v>1</v>
      </c>
      <c r="AS244" s="158">
        <v>0.0922287257019438</v>
      </c>
      <c r="AT244" s="141">
        <v>0</v>
      </c>
      <c r="AU244" s="141">
        <v>0.111111111111111</v>
      </c>
      <c r="AV244" s="141">
        <v>0</v>
      </c>
      <c r="AW244" s="141">
        <v>0.100323624595469</v>
      </c>
      <c r="AX244" s="95"/>
      <c r="AY244" s="93"/>
    </row>
    <row r="245" ht="15" spans="1:51">
      <c r="A245" s="91"/>
      <c r="B245" s="95"/>
      <c r="C245" s="163" t="s">
        <v>260</v>
      </c>
      <c r="D245" s="153" t="s">
        <v>25</v>
      </c>
      <c r="E245" s="130" t="s">
        <v>261</v>
      </c>
      <c r="F245" s="164" t="s">
        <v>269</v>
      </c>
      <c r="G245" s="164" t="s">
        <v>269</v>
      </c>
      <c r="H245" s="164" t="s">
        <v>269</v>
      </c>
      <c r="I245" s="164" t="s">
        <v>269</v>
      </c>
      <c r="J245" s="132">
        <v>0.9</v>
      </c>
      <c r="K245" s="133">
        <v>0.881188118811881</v>
      </c>
      <c r="L245" s="133">
        <v>0.967391304347826</v>
      </c>
      <c r="M245" s="134">
        <v>1</v>
      </c>
      <c r="N245" s="133">
        <v>0.915641476274165</v>
      </c>
      <c r="O245" s="135">
        <v>0.9</v>
      </c>
      <c r="P245" s="133">
        <v>0.967924528301887</v>
      </c>
      <c r="Q245" s="133">
        <v>0.973086333449843</v>
      </c>
      <c r="R245" s="133">
        <v>0.979510529311326</v>
      </c>
      <c r="S245" s="133">
        <v>0.964653614129843</v>
      </c>
      <c r="T245" s="135">
        <v>0.9</v>
      </c>
      <c r="U245" s="133">
        <v>0.911111111111111</v>
      </c>
      <c r="V245" s="133">
        <v>0.926599091226844</v>
      </c>
      <c r="W245" s="133">
        <v>0.928571428571429</v>
      </c>
      <c r="X245" s="133">
        <v>0.920345405840974</v>
      </c>
      <c r="Y245" s="135">
        <v>0.92</v>
      </c>
      <c r="Z245" s="135">
        <v>0.965886618325643</v>
      </c>
      <c r="AA245" s="135">
        <v>0.968135593220339</v>
      </c>
      <c r="AB245" s="135">
        <v>0.949904882688649</v>
      </c>
      <c r="AC245" s="135">
        <v>0.972601469906641</v>
      </c>
      <c r="AD245" s="135">
        <v>0.92</v>
      </c>
      <c r="AE245" s="133">
        <v>0.996205872649291</v>
      </c>
      <c r="AF245" s="133">
        <v>0.885174990169092</v>
      </c>
      <c r="AG245" s="133">
        <v>0.940340909090909</v>
      </c>
      <c r="AH245" s="133">
        <v>0.96927484297781</v>
      </c>
      <c r="AI245" s="135">
        <v>0.92</v>
      </c>
      <c r="AJ245" s="133">
        <v>0.97241188411146</v>
      </c>
      <c r="AK245" s="133">
        <v>0.979704797047971</v>
      </c>
      <c r="AL245" s="133">
        <v>0.97606435157936</v>
      </c>
      <c r="AM245" s="133">
        <v>0.982990494512388</v>
      </c>
      <c r="AN245" s="132">
        <v>0.99</v>
      </c>
      <c r="AO245" s="137">
        <v>1</v>
      </c>
      <c r="AP245" s="137">
        <v>1</v>
      </c>
      <c r="AQ245" s="137">
        <v>1</v>
      </c>
      <c r="AR245" s="137">
        <v>1</v>
      </c>
      <c r="AS245" s="158">
        <v>0.0922287257019438</v>
      </c>
      <c r="AT245" s="141">
        <v>0</v>
      </c>
      <c r="AU245" s="141">
        <v>0.142857142857143</v>
      </c>
      <c r="AV245" s="141">
        <v>0.0833333333333333</v>
      </c>
      <c r="AW245" s="141">
        <v>0.0841423948220065</v>
      </c>
      <c r="AX245" s="95"/>
      <c r="AY245" s="93"/>
    </row>
    <row r="246" ht="15" spans="1:51">
      <c r="A246" s="91"/>
      <c r="B246" s="95"/>
      <c r="C246" s="163" t="s">
        <v>260</v>
      </c>
      <c r="D246" s="153" t="s">
        <v>125</v>
      </c>
      <c r="E246" s="130" t="s">
        <v>261</v>
      </c>
      <c r="F246" s="164" t="s">
        <v>270</v>
      </c>
      <c r="G246" s="164" t="s">
        <v>270</v>
      </c>
      <c r="H246" s="164" t="s">
        <v>270</v>
      </c>
      <c r="I246" s="164" t="s">
        <v>270</v>
      </c>
      <c r="J246" s="132">
        <v>0.9</v>
      </c>
      <c r="K246" s="133" t="s">
        <v>35</v>
      </c>
      <c r="L246" s="133" t="s">
        <v>35</v>
      </c>
      <c r="M246" s="134" t="s">
        <v>35</v>
      </c>
      <c r="N246" s="133" t="s">
        <v>35</v>
      </c>
      <c r="O246" s="135">
        <v>0.9</v>
      </c>
      <c r="P246" s="133" t="s">
        <v>35</v>
      </c>
      <c r="Q246" s="133" t="s">
        <v>35</v>
      </c>
      <c r="R246" s="133" t="s">
        <v>35</v>
      </c>
      <c r="S246" s="133">
        <v>0</v>
      </c>
      <c r="T246" s="135">
        <v>0.9</v>
      </c>
      <c r="U246" s="133" t="s">
        <v>35</v>
      </c>
      <c r="V246" s="133" t="s">
        <v>35</v>
      </c>
      <c r="W246" s="133" t="s">
        <v>35</v>
      </c>
      <c r="X246" s="133">
        <v>1</v>
      </c>
      <c r="Y246" s="135">
        <v>0.92</v>
      </c>
      <c r="Z246" s="135" t="s">
        <v>35</v>
      </c>
      <c r="AA246" s="135" t="s">
        <v>35</v>
      </c>
      <c r="AB246" s="135" t="s">
        <v>35</v>
      </c>
      <c r="AC246" s="135">
        <v>0</v>
      </c>
      <c r="AD246" s="135">
        <v>0.92</v>
      </c>
      <c r="AE246" s="133">
        <v>1</v>
      </c>
      <c r="AF246" s="133">
        <v>1</v>
      </c>
      <c r="AG246" s="133">
        <v>0.996742671009772</v>
      </c>
      <c r="AH246" s="133">
        <v>0.987328588786669</v>
      </c>
      <c r="AI246" s="135">
        <v>0.92</v>
      </c>
      <c r="AJ246" s="133" t="s">
        <v>35</v>
      </c>
      <c r="AK246" s="133" t="s">
        <v>35</v>
      </c>
      <c r="AL246" s="133" t="s">
        <v>35</v>
      </c>
      <c r="AM246" s="133">
        <v>0.5</v>
      </c>
      <c r="AN246" s="132">
        <v>0.99</v>
      </c>
      <c r="AO246" s="137">
        <v>1</v>
      </c>
      <c r="AP246" s="137">
        <v>1</v>
      </c>
      <c r="AQ246" s="137">
        <v>1</v>
      </c>
      <c r="AR246" s="137">
        <v>1</v>
      </c>
      <c r="AS246" s="158">
        <v>0.0922287257019438</v>
      </c>
      <c r="AT246" s="141" t="s">
        <v>35</v>
      </c>
      <c r="AU246" s="141" t="s">
        <v>35</v>
      </c>
      <c r="AV246" s="141" t="s">
        <v>35</v>
      </c>
      <c r="AW246" s="141" t="s">
        <v>35</v>
      </c>
      <c r="AX246" s="95"/>
      <c r="AY246" s="93"/>
    </row>
    <row r="247" ht="15" spans="1:51">
      <c r="A247" s="91"/>
      <c r="B247" s="95"/>
      <c r="C247" s="163" t="s">
        <v>260</v>
      </c>
      <c r="D247" s="153" t="s">
        <v>25</v>
      </c>
      <c r="E247" s="130" t="s">
        <v>261</v>
      </c>
      <c r="F247" s="164" t="s">
        <v>271</v>
      </c>
      <c r="G247" s="164" t="s">
        <v>271</v>
      </c>
      <c r="H247" s="164" t="s">
        <v>271</v>
      </c>
      <c r="I247" s="164" t="s">
        <v>271</v>
      </c>
      <c r="J247" s="132">
        <v>0.9</v>
      </c>
      <c r="K247" s="133">
        <v>0.9375</v>
      </c>
      <c r="L247" s="133">
        <v>0.857142857142857</v>
      </c>
      <c r="M247" s="134">
        <v>0.769230769230769</v>
      </c>
      <c r="N247" s="133">
        <v>0.843283582089552</v>
      </c>
      <c r="O247" s="135">
        <v>0.9</v>
      </c>
      <c r="P247" s="133">
        <v>0.952502120441052</v>
      </c>
      <c r="Q247" s="133">
        <v>0.986994219653179</v>
      </c>
      <c r="R247" s="133">
        <v>0.977900552486188</v>
      </c>
      <c r="S247" s="133">
        <v>0.962872185911402</v>
      </c>
      <c r="T247" s="135">
        <v>0.9</v>
      </c>
      <c r="U247" s="133">
        <v>0.902459711620017</v>
      </c>
      <c r="V247" s="133">
        <v>0.946531791907514</v>
      </c>
      <c r="W247" s="133">
        <v>0.917127071823204</v>
      </c>
      <c r="X247" s="133">
        <v>0.92483660130719</v>
      </c>
      <c r="Y247" s="135">
        <v>0.92</v>
      </c>
      <c r="Z247" s="135">
        <v>0.934865900383142</v>
      </c>
      <c r="AA247" s="135">
        <v>0.954545454545455</v>
      </c>
      <c r="AB247" s="135">
        <v>0.925754060324826</v>
      </c>
      <c r="AC247" s="135">
        <v>0.952686308492201</v>
      </c>
      <c r="AD247" s="135">
        <v>0.92</v>
      </c>
      <c r="AE247" s="133">
        <v>0.996515450361604</v>
      </c>
      <c r="AF247" s="133">
        <v>0.994976021922813</v>
      </c>
      <c r="AG247" s="133">
        <v>0.26089552238806</v>
      </c>
      <c r="AH247" s="133">
        <v>0.985124412805769</v>
      </c>
      <c r="AI247" s="135">
        <v>0.92</v>
      </c>
      <c r="AJ247" s="133">
        <v>0.940821256038647</v>
      </c>
      <c r="AK247" s="133">
        <v>0.97511961722488</v>
      </c>
      <c r="AL247" s="133">
        <v>0.93937125748503</v>
      </c>
      <c r="AM247" s="133">
        <v>0.968339474018549</v>
      </c>
      <c r="AN247" s="132">
        <v>0.99</v>
      </c>
      <c r="AO247" s="137">
        <v>1</v>
      </c>
      <c r="AP247" s="137">
        <v>1</v>
      </c>
      <c r="AQ247" s="137">
        <v>1</v>
      </c>
      <c r="AR247" s="137">
        <v>1</v>
      </c>
      <c r="AS247" s="158">
        <v>0.0922287257019438</v>
      </c>
      <c r="AT247" s="141">
        <v>0.285714285714286</v>
      </c>
      <c r="AU247" s="141">
        <v>0</v>
      </c>
      <c r="AV247" s="141">
        <v>0</v>
      </c>
      <c r="AW247" s="141">
        <v>0.079646017699115</v>
      </c>
      <c r="AX247" s="95"/>
      <c r="AY247" s="93"/>
    </row>
    <row r="248" ht="15" spans="1:51">
      <c r="A248" s="91"/>
      <c r="B248" s="95"/>
      <c r="C248" s="163" t="s">
        <v>260</v>
      </c>
      <c r="D248" s="153" t="s">
        <v>125</v>
      </c>
      <c r="E248" s="130" t="s">
        <v>261</v>
      </c>
      <c r="F248" s="164" t="s">
        <v>272</v>
      </c>
      <c r="G248" s="164" t="s">
        <v>272</v>
      </c>
      <c r="H248" s="164" t="s">
        <v>272</v>
      </c>
      <c r="I248" s="164" t="s">
        <v>272</v>
      </c>
      <c r="J248" s="132">
        <v>0.9</v>
      </c>
      <c r="K248" s="133" t="s">
        <v>35</v>
      </c>
      <c r="L248" s="133" t="s">
        <v>35</v>
      </c>
      <c r="M248" s="134" t="s">
        <v>35</v>
      </c>
      <c r="N248" s="133" t="s">
        <v>35</v>
      </c>
      <c r="O248" s="135">
        <v>0.9</v>
      </c>
      <c r="P248" s="133">
        <v>0</v>
      </c>
      <c r="Q248" s="133">
        <v>1</v>
      </c>
      <c r="R248" s="133">
        <v>0.333333333333333</v>
      </c>
      <c r="S248" s="133">
        <v>0.454545454545455</v>
      </c>
      <c r="T248" s="135">
        <v>0.9</v>
      </c>
      <c r="U248" s="133">
        <v>0</v>
      </c>
      <c r="V248" s="133">
        <v>1</v>
      </c>
      <c r="W248" s="133">
        <v>0</v>
      </c>
      <c r="X248" s="133">
        <v>0.363636363636364</v>
      </c>
      <c r="Y248" s="135">
        <v>0.92</v>
      </c>
      <c r="Z248" s="135" t="s">
        <v>35</v>
      </c>
      <c r="AA248" s="135">
        <v>0</v>
      </c>
      <c r="AB248" s="135" t="s">
        <v>35</v>
      </c>
      <c r="AC248" s="135">
        <v>0.5</v>
      </c>
      <c r="AD248" s="135">
        <v>0.92</v>
      </c>
      <c r="AE248" s="133">
        <v>0.996557136347527</v>
      </c>
      <c r="AF248" s="133">
        <v>0.968978295394389</v>
      </c>
      <c r="AG248" s="133">
        <v>0.982423681776133</v>
      </c>
      <c r="AH248" s="133">
        <v>0.969283863878089</v>
      </c>
      <c r="AI248" s="135">
        <v>0.92</v>
      </c>
      <c r="AJ248" s="133">
        <v>0</v>
      </c>
      <c r="AK248" s="133">
        <v>0.5</v>
      </c>
      <c r="AL248" s="133">
        <v>0</v>
      </c>
      <c r="AM248" s="133">
        <v>0.466666666666667</v>
      </c>
      <c r="AN248" s="132">
        <v>0.99</v>
      </c>
      <c r="AO248" s="137">
        <v>1</v>
      </c>
      <c r="AP248" s="137" t="s">
        <v>35</v>
      </c>
      <c r="AQ248" s="137" t="s">
        <v>35</v>
      </c>
      <c r="AR248" s="137">
        <v>1</v>
      </c>
      <c r="AS248" s="158">
        <v>0.0922287257019438</v>
      </c>
      <c r="AT248" s="141" t="s">
        <v>35</v>
      </c>
      <c r="AU248" s="141" t="s">
        <v>35</v>
      </c>
      <c r="AV248" s="141" t="s">
        <v>35</v>
      </c>
      <c r="AW248" s="141" t="s">
        <v>35</v>
      </c>
      <c r="AX248" s="95"/>
      <c r="AY248" s="93"/>
    </row>
    <row r="249" ht="15" spans="1:51">
      <c r="A249" s="91"/>
      <c r="B249" s="95"/>
      <c r="C249" s="163" t="s">
        <v>260</v>
      </c>
      <c r="D249" s="153" t="s">
        <v>125</v>
      </c>
      <c r="E249" s="130" t="s">
        <v>261</v>
      </c>
      <c r="F249" s="164" t="s">
        <v>273</v>
      </c>
      <c r="G249" s="164" t="s">
        <v>273</v>
      </c>
      <c r="H249" s="164" t="s">
        <v>273</v>
      </c>
      <c r="I249" s="164" t="s">
        <v>273</v>
      </c>
      <c r="J249" s="132">
        <v>0.9</v>
      </c>
      <c r="K249" s="133" t="s">
        <v>35</v>
      </c>
      <c r="L249" s="133" t="s">
        <v>35</v>
      </c>
      <c r="M249" s="134" t="s">
        <v>35</v>
      </c>
      <c r="N249" s="133" t="s">
        <v>35</v>
      </c>
      <c r="O249" s="135">
        <v>0.9</v>
      </c>
      <c r="P249" s="133" t="s">
        <v>35</v>
      </c>
      <c r="Q249" s="133" t="s">
        <v>35</v>
      </c>
      <c r="R249" s="133" t="s">
        <v>35</v>
      </c>
      <c r="S249" s="133">
        <v>1</v>
      </c>
      <c r="T249" s="135">
        <v>0.9</v>
      </c>
      <c r="U249" s="133" t="s">
        <v>35</v>
      </c>
      <c r="V249" s="133" t="s">
        <v>35</v>
      </c>
      <c r="W249" s="133" t="s">
        <v>35</v>
      </c>
      <c r="X249" s="133">
        <v>1</v>
      </c>
      <c r="Y249" s="135">
        <v>0.92</v>
      </c>
      <c r="Z249" s="135" t="s">
        <v>35</v>
      </c>
      <c r="AA249" s="135" t="s">
        <v>35</v>
      </c>
      <c r="AB249" s="135" t="s">
        <v>35</v>
      </c>
      <c r="AC249" s="135" t="s">
        <v>35</v>
      </c>
      <c r="AD249" s="135">
        <v>0.92</v>
      </c>
      <c r="AE249" s="133">
        <v>1</v>
      </c>
      <c r="AF249" s="133">
        <v>0.837923728813559</v>
      </c>
      <c r="AG249" s="133">
        <v>1</v>
      </c>
      <c r="AH249" s="133">
        <v>0.990492753623188</v>
      </c>
      <c r="AI249" s="135">
        <v>0.92</v>
      </c>
      <c r="AJ249" s="133" t="s">
        <v>35</v>
      </c>
      <c r="AK249" s="133" t="s">
        <v>35</v>
      </c>
      <c r="AL249" s="133" t="s">
        <v>35</v>
      </c>
      <c r="AM249" s="133">
        <v>0.666666666666667</v>
      </c>
      <c r="AN249" s="132">
        <v>0.99</v>
      </c>
      <c r="AO249" s="137">
        <v>1</v>
      </c>
      <c r="AP249" s="137">
        <v>1</v>
      </c>
      <c r="AQ249" s="137">
        <v>1</v>
      </c>
      <c r="AR249" s="137">
        <v>1</v>
      </c>
      <c r="AS249" s="158">
        <v>0.0922287257019438</v>
      </c>
      <c r="AT249" s="141" t="s">
        <v>35</v>
      </c>
      <c r="AU249" s="141" t="s">
        <v>35</v>
      </c>
      <c r="AV249" s="141" t="s">
        <v>35</v>
      </c>
      <c r="AW249" s="141">
        <v>1</v>
      </c>
      <c r="AX249" s="95"/>
      <c r="AY249" s="93"/>
    </row>
    <row r="250" ht="15" spans="1:51">
      <c r="A250" s="91"/>
      <c r="B250" s="95"/>
      <c r="C250" s="163" t="s">
        <v>260</v>
      </c>
      <c r="D250" s="153" t="s">
        <v>125</v>
      </c>
      <c r="E250" s="130" t="s">
        <v>261</v>
      </c>
      <c r="F250" s="164" t="s">
        <v>274</v>
      </c>
      <c r="G250" s="164" t="s">
        <v>274</v>
      </c>
      <c r="H250" s="164" t="s">
        <v>274</v>
      </c>
      <c r="I250" s="164" t="s">
        <v>274</v>
      </c>
      <c r="J250" s="132">
        <v>0.9</v>
      </c>
      <c r="K250" s="133" t="s">
        <v>35</v>
      </c>
      <c r="L250" s="133" t="s">
        <v>35</v>
      </c>
      <c r="M250" s="134" t="s">
        <v>35</v>
      </c>
      <c r="N250" s="133" t="s">
        <v>35</v>
      </c>
      <c r="O250" s="135">
        <v>0.9</v>
      </c>
      <c r="P250" s="133">
        <v>0.6</v>
      </c>
      <c r="Q250" s="133">
        <v>0.545454545454545</v>
      </c>
      <c r="R250" s="133">
        <v>0.466666666666667</v>
      </c>
      <c r="S250" s="133">
        <v>0.642156862745098</v>
      </c>
      <c r="T250" s="135">
        <v>0.9</v>
      </c>
      <c r="U250" s="133">
        <v>0.6</v>
      </c>
      <c r="V250" s="133">
        <v>0.909090909090909</v>
      </c>
      <c r="W250" s="133">
        <v>0.533333333333333</v>
      </c>
      <c r="X250" s="133">
        <v>0.754901960784314</v>
      </c>
      <c r="Y250" s="135">
        <v>0.92</v>
      </c>
      <c r="Z250" s="135">
        <v>0.666666666666667</v>
      </c>
      <c r="AA250" s="135">
        <v>0</v>
      </c>
      <c r="AB250" s="135">
        <v>0.5</v>
      </c>
      <c r="AC250" s="135">
        <v>0.62962962962963</v>
      </c>
      <c r="AD250" s="135">
        <v>0.92</v>
      </c>
      <c r="AE250" s="133">
        <v>0.998384016453651</v>
      </c>
      <c r="AF250" s="133">
        <v>0.87890625</v>
      </c>
      <c r="AG250" s="133">
        <v>0.979551122194514</v>
      </c>
      <c r="AH250" s="133">
        <v>0.819019256605463</v>
      </c>
      <c r="AI250" s="135">
        <v>0.92</v>
      </c>
      <c r="AJ250" s="133">
        <v>0.666666666666667</v>
      </c>
      <c r="AK250" s="133">
        <v>0.75</v>
      </c>
      <c r="AL250" s="133">
        <v>0.529411764705882</v>
      </c>
      <c r="AM250" s="133">
        <v>0.784860557768924</v>
      </c>
      <c r="AN250" s="132">
        <v>0.99</v>
      </c>
      <c r="AO250" s="137">
        <v>1</v>
      </c>
      <c r="AP250" s="137">
        <v>1</v>
      </c>
      <c r="AQ250" s="137">
        <v>1</v>
      </c>
      <c r="AR250" s="137">
        <v>1</v>
      </c>
      <c r="AS250" s="158">
        <v>0.0922287257019438</v>
      </c>
      <c r="AT250" s="141" t="s">
        <v>35</v>
      </c>
      <c r="AU250" s="141" t="s">
        <v>35</v>
      </c>
      <c r="AV250" s="141" t="s">
        <v>35</v>
      </c>
      <c r="AW250" s="141" t="s">
        <v>35</v>
      </c>
      <c r="AX250" s="95"/>
      <c r="AY250" s="93"/>
    </row>
    <row r="251" ht="15" spans="1:51">
      <c r="A251" s="91"/>
      <c r="B251" s="95"/>
      <c r="C251" s="163" t="s">
        <v>260</v>
      </c>
      <c r="D251" s="153" t="s">
        <v>125</v>
      </c>
      <c r="E251" s="130" t="s">
        <v>261</v>
      </c>
      <c r="F251" s="164" t="s">
        <v>275</v>
      </c>
      <c r="G251" s="164" t="s">
        <v>275</v>
      </c>
      <c r="H251" s="164" t="s">
        <v>275</v>
      </c>
      <c r="I251" s="164" t="s">
        <v>275</v>
      </c>
      <c r="J251" s="132">
        <v>0.9</v>
      </c>
      <c r="K251" s="133" t="s">
        <v>35</v>
      </c>
      <c r="L251" s="133" t="s">
        <v>35</v>
      </c>
      <c r="M251" s="134" t="s">
        <v>35</v>
      </c>
      <c r="N251" s="133" t="s">
        <v>35</v>
      </c>
      <c r="O251" s="135">
        <v>0.9</v>
      </c>
      <c r="P251" s="133" t="s">
        <v>35</v>
      </c>
      <c r="Q251" s="133" t="s">
        <v>35</v>
      </c>
      <c r="R251" s="133">
        <v>1</v>
      </c>
      <c r="S251" s="133">
        <v>1</v>
      </c>
      <c r="T251" s="135">
        <v>0.9</v>
      </c>
      <c r="U251" s="133" t="s">
        <v>35</v>
      </c>
      <c r="V251" s="133" t="s">
        <v>35</v>
      </c>
      <c r="W251" s="133">
        <v>1</v>
      </c>
      <c r="X251" s="133">
        <v>0.8</v>
      </c>
      <c r="Y251" s="135">
        <v>0.92</v>
      </c>
      <c r="Z251" s="135" t="s">
        <v>35</v>
      </c>
      <c r="AA251" s="135" t="s">
        <v>35</v>
      </c>
      <c r="AB251" s="135" t="s">
        <v>35</v>
      </c>
      <c r="AC251" s="135">
        <v>0.5</v>
      </c>
      <c r="AD251" s="135">
        <v>0.92</v>
      </c>
      <c r="AE251" s="133">
        <v>0.99943741209564</v>
      </c>
      <c r="AF251" s="133">
        <v>1</v>
      </c>
      <c r="AG251" s="133">
        <v>0.999335106382979</v>
      </c>
      <c r="AH251" s="133">
        <v>0.969046848807458</v>
      </c>
      <c r="AI251" s="135">
        <v>0.92</v>
      </c>
      <c r="AJ251" s="133">
        <v>1</v>
      </c>
      <c r="AK251" s="133" t="s">
        <v>35</v>
      </c>
      <c r="AL251" s="133">
        <v>1</v>
      </c>
      <c r="AM251" s="133">
        <v>0.777777777777778</v>
      </c>
      <c r="AN251" s="132">
        <v>0.99</v>
      </c>
      <c r="AO251" s="137">
        <v>1</v>
      </c>
      <c r="AP251" s="137">
        <v>1</v>
      </c>
      <c r="AQ251" s="137" t="s">
        <v>35</v>
      </c>
      <c r="AR251" s="137">
        <v>1</v>
      </c>
      <c r="AS251" s="158">
        <v>0.0922287257019438</v>
      </c>
      <c r="AT251" s="141" t="s">
        <v>35</v>
      </c>
      <c r="AU251" s="141" t="s">
        <v>35</v>
      </c>
      <c r="AV251" s="141" t="s">
        <v>35</v>
      </c>
      <c r="AW251" s="141">
        <v>0</v>
      </c>
      <c r="AX251" s="95"/>
      <c r="AY251" s="93"/>
    </row>
    <row r="252" ht="15" spans="1:51">
      <c r="A252" s="91"/>
      <c r="B252" s="95"/>
      <c r="C252" s="163" t="s">
        <v>260</v>
      </c>
      <c r="D252" s="153" t="s">
        <v>25</v>
      </c>
      <c r="E252" s="130" t="s">
        <v>261</v>
      </c>
      <c r="F252" s="164" t="s">
        <v>276</v>
      </c>
      <c r="G252" s="164" t="s">
        <v>276</v>
      </c>
      <c r="H252" s="164" t="s">
        <v>276</v>
      </c>
      <c r="I252" s="164" t="s">
        <v>276</v>
      </c>
      <c r="J252" s="132">
        <v>0.9</v>
      </c>
      <c r="K252" s="133">
        <v>0.977011494252874</v>
      </c>
      <c r="L252" s="133">
        <v>0.98780487804878</v>
      </c>
      <c r="M252" s="134">
        <v>0.932203389830508</v>
      </c>
      <c r="N252" s="133">
        <v>0.946091644204852</v>
      </c>
      <c r="O252" s="135">
        <v>0.9</v>
      </c>
      <c r="P252" s="133">
        <v>0.937309941520468</v>
      </c>
      <c r="Q252" s="133">
        <v>0.932954545454545</v>
      </c>
      <c r="R252" s="133">
        <v>0.934272300469484</v>
      </c>
      <c r="S252" s="133">
        <v>0.906018860946746</v>
      </c>
      <c r="T252" s="135">
        <v>0.9</v>
      </c>
      <c r="U252" s="133">
        <v>0.927953216374269</v>
      </c>
      <c r="V252" s="133">
        <v>0.945075757575758</v>
      </c>
      <c r="W252" s="133">
        <v>0.937402190923318</v>
      </c>
      <c r="X252" s="133">
        <v>0.93202200443787</v>
      </c>
      <c r="Y252" s="135">
        <v>0.92</v>
      </c>
      <c r="Z252" s="135">
        <v>0.965918970613806</v>
      </c>
      <c r="AA252" s="135">
        <v>0.988226059654631</v>
      </c>
      <c r="AB252" s="135">
        <v>0.977303070761015</v>
      </c>
      <c r="AC252" s="135">
        <v>0.983594639452423</v>
      </c>
      <c r="AD252" s="135">
        <v>0.92</v>
      </c>
      <c r="AE252" s="133">
        <v>0.99732063114022</v>
      </c>
      <c r="AF252" s="133">
        <v>0.767918088737201</v>
      </c>
      <c r="AG252" s="133">
        <v>0.939962476547842</v>
      </c>
      <c r="AH252" s="133">
        <v>0.980396661306379</v>
      </c>
      <c r="AI252" s="135">
        <v>0.92</v>
      </c>
      <c r="AJ252" s="133">
        <v>0.975373878364905</v>
      </c>
      <c r="AK252" s="133">
        <v>0.993103448275862</v>
      </c>
      <c r="AL252" s="133">
        <v>0.987225888865233</v>
      </c>
      <c r="AM252" s="133">
        <v>0.989953278354395</v>
      </c>
      <c r="AN252" s="132">
        <v>0.99</v>
      </c>
      <c r="AO252" s="137">
        <v>1</v>
      </c>
      <c r="AP252" s="137">
        <v>1</v>
      </c>
      <c r="AQ252" s="137">
        <v>1</v>
      </c>
      <c r="AR252" s="137">
        <v>1</v>
      </c>
      <c r="AS252" s="158">
        <v>0.0922287257019438</v>
      </c>
      <c r="AT252" s="141">
        <v>0.0434782608695652</v>
      </c>
      <c r="AU252" s="141">
        <v>0</v>
      </c>
      <c r="AV252" s="141">
        <v>0.157894736842105</v>
      </c>
      <c r="AW252" s="141">
        <v>0.0780141843971631</v>
      </c>
      <c r="AX252" s="95"/>
      <c r="AY252" s="93"/>
    </row>
    <row r="253" ht="15" spans="1:51">
      <c r="A253" s="91"/>
      <c r="B253" s="95"/>
      <c r="C253" s="163" t="s">
        <v>260</v>
      </c>
      <c r="D253" s="153" t="s">
        <v>25</v>
      </c>
      <c r="E253" s="130" t="s">
        <v>261</v>
      </c>
      <c r="F253" s="164" t="s">
        <v>277</v>
      </c>
      <c r="G253" s="164" t="s">
        <v>277</v>
      </c>
      <c r="H253" s="164" t="s">
        <v>277</v>
      </c>
      <c r="I253" s="164" t="s">
        <v>277</v>
      </c>
      <c r="J253" s="132">
        <v>0.9</v>
      </c>
      <c r="K253" s="133">
        <v>0.956204379562044</v>
      </c>
      <c r="L253" s="133">
        <v>0.892561983471074</v>
      </c>
      <c r="M253" s="134">
        <v>0.923809523809524</v>
      </c>
      <c r="N253" s="133">
        <v>0.94884127678181</v>
      </c>
      <c r="O253" s="135">
        <v>0.9</v>
      </c>
      <c r="P253" s="133">
        <v>0.952734778121775</v>
      </c>
      <c r="Q253" s="133">
        <v>0.961462450592885</v>
      </c>
      <c r="R253" s="133">
        <v>0.956209987195903</v>
      </c>
      <c r="S253" s="133">
        <v>0.93776923972523</v>
      </c>
      <c r="T253" s="135">
        <v>0.9</v>
      </c>
      <c r="U253" s="133">
        <v>0.907533539731682</v>
      </c>
      <c r="V253" s="133">
        <v>0.928194993412385</v>
      </c>
      <c r="W253" s="133">
        <v>0.886299615877081</v>
      </c>
      <c r="X253" s="133">
        <v>0.91563821942795</v>
      </c>
      <c r="Y253" s="135">
        <v>0.92</v>
      </c>
      <c r="Z253" s="135">
        <v>0.936790923824959</v>
      </c>
      <c r="AA253" s="135">
        <v>0.963777490297542</v>
      </c>
      <c r="AB253" s="135">
        <v>0.902582159624413</v>
      </c>
      <c r="AC253" s="135">
        <v>0.954090240137837</v>
      </c>
      <c r="AD253" s="135">
        <v>0.92</v>
      </c>
      <c r="AE253" s="133">
        <v>0.986438679245283</v>
      </c>
      <c r="AF253" s="133">
        <v>0.653212742980562</v>
      </c>
      <c r="AG253" s="133">
        <v>0.94397432156405</v>
      </c>
      <c r="AH253" s="133">
        <v>0.92508321445554</v>
      </c>
      <c r="AI253" s="135">
        <v>0.92</v>
      </c>
      <c r="AJ253" s="133">
        <v>0.951533853693955</v>
      </c>
      <c r="AK253" s="133">
        <v>0.971846355303361</v>
      </c>
      <c r="AL253" s="133">
        <v>0.938324420677362</v>
      </c>
      <c r="AM253" s="133">
        <v>0.969137720444854</v>
      </c>
      <c r="AN253" s="132">
        <v>0.99</v>
      </c>
      <c r="AO253" s="137">
        <v>1</v>
      </c>
      <c r="AP253" s="137">
        <v>1</v>
      </c>
      <c r="AQ253" s="137">
        <v>1</v>
      </c>
      <c r="AR253" s="137">
        <v>1</v>
      </c>
      <c r="AS253" s="158">
        <v>0.0922287257019438</v>
      </c>
      <c r="AT253" s="141">
        <v>0.0208333333333333</v>
      </c>
      <c r="AU253" s="141">
        <v>0.172413793103448</v>
      </c>
      <c r="AV253" s="141">
        <v>0.135135135135135</v>
      </c>
      <c r="AW253" s="141">
        <v>0.0609896432681243</v>
      </c>
      <c r="AX253" s="95"/>
      <c r="AY253" s="93"/>
    </row>
    <row r="254" ht="15" spans="1:51">
      <c r="A254" s="91"/>
      <c r="B254" s="95"/>
      <c r="C254" s="163" t="s">
        <v>260</v>
      </c>
      <c r="D254" s="153" t="s">
        <v>25</v>
      </c>
      <c r="E254" s="130" t="s">
        <v>261</v>
      </c>
      <c r="F254" s="164" t="s">
        <v>278</v>
      </c>
      <c r="G254" s="164" t="s">
        <v>278</v>
      </c>
      <c r="H254" s="164" t="s">
        <v>278</v>
      </c>
      <c r="I254" s="164" t="s">
        <v>278</v>
      </c>
      <c r="J254" s="132">
        <v>0.9</v>
      </c>
      <c r="K254" s="133">
        <v>0.93859649122807</v>
      </c>
      <c r="L254" s="133">
        <v>0.971428571428571</v>
      </c>
      <c r="M254" s="134">
        <v>0.975308641975309</v>
      </c>
      <c r="N254" s="133">
        <v>0.949064449064449</v>
      </c>
      <c r="O254" s="135">
        <v>0.9</v>
      </c>
      <c r="P254" s="133">
        <v>0.976921246728527</v>
      </c>
      <c r="Q254" s="133">
        <v>0.974438419829589</v>
      </c>
      <c r="R254" s="133">
        <v>0.966609294320138</v>
      </c>
      <c r="S254" s="133">
        <v>0.953997953997954</v>
      </c>
      <c r="T254" s="135">
        <v>0.9</v>
      </c>
      <c r="U254" s="133">
        <v>0.947180585296217</v>
      </c>
      <c r="V254" s="133">
        <v>0.943454686289698</v>
      </c>
      <c r="W254" s="133">
        <v>0.938382099827883</v>
      </c>
      <c r="X254" s="133">
        <v>0.945527945527946</v>
      </c>
      <c r="Y254" s="135">
        <v>0.92</v>
      </c>
      <c r="Z254" s="135">
        <v>0.975104560844453</v>
      </c>
      <c r="AA254" s="135">
        <v>0.985012489592007</v>
      </c>
      <c r="AB254" s="135">
        <v>0.970397111913357</v>
      </c>
      <c r="AC254" s="135">
        <v>0.983614787131681</v>
      </c>
      <c r="AD254" s="135">
        <v>0.92</v>
      </c>
      <c r="AE254" s="133">
        <v>0.98444666001994</v>
      </c>
      <c r="AF254" s="133">
        <v>0.904643449419569</v>
      </c>
      <c r="AG254" s="133">
        <v>0.963226571767497</v>
      </c>
      <c r="AH254" s="133">
        <v>0.981163739863595</v>
      </c>
      <c r="AI254" s="135">
        <v>0.92</v>
      </c>
      <c r="AJ254" s="133">
        <v>0.983738074588031</v>
      </c>
      <c r="AK254" s="133">
        <v>0.990483743061063</v>
      </c>
      <c r="AL254" s="133">
        <v>0.981589373106502</v>
      </c>
      <c r="AM254" s="133">
        <v>0.989620675025057</v>
      </c>
      <c r="AN254" s="132">
        <v>0.99</v>
      </c>
      <c r="AO254" s="137">
        <v>1</v>
      </c>
      <c r="AP254" s="137">
        <v>1</v>
      </c>
      <c r="AQ254" s="137">
        <v>1</v>
      </c>
      <c r="AR254" s="137">
        <v>1</v>
      </c>
      <c r="AS254" s="158">
        <v>0.0922287257019438</v>
      </c>
      <c r="AT254" s="141">
        <v>0.111111111111111</v>
      </c>
      <c r="AU254" s="141">
        <v>0.321428571428571</v>
      </c>
      <c r="AV254" s="141">
        <v>0.2</v>
      </c>
      <c r="AW254" s="141">
        <v>0.130590339892665</v>
      </c>
      <c r="AX254" s="95"/>
      <c r="AY254" s="93"/>
    </row>
    <row r="255" ht="15" spans="1:51">
      <c r="A255" s="91"/>
      <c r="B255" s="95"/>
      <c r="C255" s="163" t="s">
        <v>260</v>
      </c>
      <c r="D255" s="153" t="s">
        <v>125</v>
      </c>
      <c r="E255" s="130" t="s">
        <v>261</v>
      </c>
      <c r="F255" s="164" t="s">
        <v>279</v>
      </c>
      <c r="G255" s="164" t="s">
        <v>279</v>
      </c>
      <c r="H255" s="164" t="s">
        <v>279</v>
      </c>
      <c r="I255" s="164" t="s">
        <v>279</v>
      </c>
      <c r="J255" s="132">
        <v>0.9</v>
      </c>
      <c r="K255" s="133" t="s">
        <v>35</v>
      </c>
      <c r="L255" s="133" t="s">
        <v>35</v>
      </c>
      <c r="M255" s="134" t="s">
        <v>35</v>
      </c>
      <c r="N255" s="133" t="s">
        <v>35</v>
      </c>
      <c r="O255" s="135">
        <v>0.9</v>
      </c>
      <c r="P255" s="133" t="s">
        <v>35</v>
      </c>
      <c r="Q255" s="133" t="s">
        <v>35</v>
      </c>
      <c r="R255" s="133" t="s">
        <v>35</v>
      </c>
      <c r="S255" s="133" t="s">
        <v>35</v>
      </c>
      <c r="T255" s="135">
        <v>0.9</v>
      </c>
      <c r="U255" s="133" t="s">
        <v>35</v>
      </c>
      <c r="V255" s="133" t="s">
        <v>35</v>
      </c>
      <c r="W255" s="133" t="s">
        <v>35</v>
      </c>
      <c r="X255" s="133" t="s">
        <v>35</v>
      </c>
      <c r="Y255" s="135">
        <v>0.92</v>
      </c>
      <c r="Z255" s="135" t="s">
        <v>35</v>
      </c>
      <c r="AA255" s="135" t="s">
        <v>35</v>
      </c>
      <c r="AB255" s="135" t="s">
        <v>35</v>
      </c>
      <c r="AC255" s="135" t="s">
        <v>35</v>
      </c>
      <c r="AD255" s="135">
        <v>0.92</v>
      </c>
      <c r="AE255" s="133">
        <v>1</v>
      </c>
      <c r="AF255" s="133">
        <v>1</v>
      </c>
      <c r="AG255" s="133">
        <v>1</v>
      </c>
      <c r="AH255" s="133">
        <v>0.999789355427608</v>
      </c>
      <c r="AI255" s="135">
        <v>0.92</v>
      </c>
      <c r="AJ255" s="133" t="s">
        <v>35</v>
      </c>
      <c r="AK255" s="133" t="s">
        <v>35</v>
      </c>
      <c r="AL255" s="133" t="s">
        <v>35</v>
      </c>
      <c r="AM255" s="133">
        <v>1</v>
      </c>
      <c r="AN255" s="132">
        <v>0.99</v>
      </c>
      <c r="AO255" s="137" t="s">
        <v>35</v>
      </c>
      <c r="AP255" s="137">
        <v>1</v>
      </c>
      <c r="AQ255" s="137">
        <v>1</v>
      </c>
      <c r="AR255" s="137">
        <v>1</v>
      </c>
      <c r="AS255" s="158">
        <v>0.0922287257019438</v>
      </c>
      <c r="AT255" s="141" t="s">
        <v>35</v>
      </c>
      <c r="AU255" s="141" t="s">
        <v>35</v>
      </c>
      <c r="AV255" s="141" t="s">
        <v>35</v>
      </c>
      <c r="AW255" s="141" t="s">
        <v>35</v>
      </c>
      <c r="AX255" s="95"/>
      <c r="AY255" s="93"/>
    </row>
    <row r="256" ht="15" spans="1:51">
      <c r="A256" s="91"/>
      <c r="B256" s="95"/>
      <c r="C256" s="163" t="s">
        <v>260</v>
      </c>
      <c r="D256" s="153" t="s">
        <v>125</v>
      </c>
      <c r="E256" s="130" t="s">
        <v>261</v>
      </c>
      <c r="F256" s="164" t="s">
        <v>280</v>
      </c>
      <c r="G256" s="164" t="s">
        <v>280</v>
      </c>
      <c r="H256" s="164" t="s">
        <v>280</v>
      </c>
      <c r="I256" s="164" t="s">
        <v>280</v>
      </c>
      <c r="J256" s="132">
        <v>0.9</v>
      </c>
      <c r="K256" s="133" t="s">
        <v>35</v>
      </c>
      <c r="L256" s="133" t="s">
        <v>35</v>
      </c>
      <c r="M256" s="134" t="s">
        <v>35</v>
      </c>
      <c r="N256" s="133" t="s">
        <v>35</v>
      </c>
      <c r="O256" s="135">
        <v>0.9</v>
      </c>
      <c r="P256" s="133" t="s">
        <v>35</v>
      </c>
      <c r="Q256" s="133" t="s">
        <v>35</v>
      </c>
      <c r="R256" s="133" t="s">
        <v>35</v>
      </c>
      <c r="S256" s="133">
        <v>0</v>
      </c>
      <c r="T256" s="135">
        <v>0.9</v>
      </c>
      <c r="U256" s="133" t="s">
        <v>35</v>
      </c>
      <c r="V256" s="133" t="s">
        <v>35</v>
      </c>
      <c r="W256" s="133" t="s">
        <v>35</v>
      </c>
      <c r="X256" s="133">
        <v>1</v>
      </c>
      <c r="Y256" s="135">
        <v>0.92</v>
      </c>
      <c r="Z256" s="135" t="s">
        <v>35</v>
      </c>
      <c r="AA256" s="135" t="s">
        <v>35</v>
      </c>
      <c r="AB256" s="135" t="s">
        <v>35</v>
      </c>
      <c r="AC256" s="135" t="s">
        <v>35</v>
      </c>
      <c r="AD256" s="135">
        <v>0.92</v>
      </c>
      <c r="AE256" s="133">
        <v>1</v>
      </c>
      <c r="AF256" s="133">
        <v>0.952</v>
      </c>
      <c r="AG256" s="133">
        <v>1</v>
      </c>
      <c r="AH256" s="133">
        <v>0.986335064225198</v>
      </c>
      <c r="AI256" s="135">
        <v>0.92</v>
      </c>
      <c r="AJ256" s="133" t="s">
        <v>35</v>
      </c>
      <c r="AK256" s="133" t="s">
        <v>35</v>
      </c>
      <c r="AL256" s="133" t="s">
        <v>35</v>
      </c>
      <c r="AM256" s="133">
        <v>1</v>
      </c>
      <c r="AN256" s="132">
        <v>0.99</v>
      </c>
      <c r="AO256" s="137" t="s">
        <v>35</v>
      </c>
      <c r="AP256" s="137" t="s">
        <v>35</v>
      </c>
      <c r="AQ256" s="137" t="s">
        <v>35</v>
      </c>
      <c r="AR256" s="137">
        <v>1</v>
      </c>
      <c r="AS256" s="158">
        <v>0.0922287257019438</v>
      </c>
      <c r="AT256" s="141" t="s">
        <v>35</v>
      </c>
      <c r="AU256" s="141" t="s">
        <v>35</v>
      </c>
      <c r="AV256" s="141" t="s">
        <v>35</v>
      </c>
      <c r="AW256" s="141" t="s">
        <v>35</v>
      </c>
      <c r="AX256" s="95"/>
      <c r="AY256" s="93"/>
    </row>
    <row r="257" ht="15" spans="1:51">
      <c r="A257" s="91"/>
      <c r="B257" s="95"/>
      <c r="C257" s="163" t="s">
        <v>260</v>
      </c>
      <c r="D257" s="153" t="s">
        <v>25</v>
      </c>
      <c r="E257" s="130" t="s">
        <v>261</v>
      </c>
      <c r="F257" s="164" t="s">
        <v>281</v>
      </c>
      <c r="G257" s="164" t="s">
        <v>281</v>
      </c>
      <c r="H257" s="164" t="s">
        <v>281</v>
      </c>
      <c r="I257" s="164" t="s">
        <v>281</v>
      </c>
      <c r="J257" s="132">
        <v>0.9</v>
      </c>
      <c r="K257" s="133">
        <v>0.65</v>
      </c>
      <c r="L257" s="133">
        <v>0.636363636363636</v>
      </c>
      <c r="M257" s="134">
        <v>0.740740740740741</v>
      </c>
      <c r="N257" s="133">
        <v>0.7484375</v>
      </c>
      <c r="O257" s="135">
        <v>0.9</v>
      </c>
      <c r="P257" s="133">
        <v>0.939720129171152</v>
      </c>
      <c r="Q257" s="133">
        <v>0.935258092738408</v>
      </c>
      <c r="R257" s="133">
        <v>0.951551854655564</v>
      </c>
      <c r="S257" s="133">
        <v>0.931814926228334</v>
      </c>
      <c r="T257" s="135">
        <v>0.9</v>
      </c>
      <c r="U257" s="133">
        <v>0.928955866523143</v>
      </c>
      <c r="V257" s="133">
        <v>0.930883639545057</v>
      </c>
      <c r="W257" s="133">
        <v>0.900832702498108</v>
      </c>
      <c r="X257" s="133">
        <v>0.919151983956453</v>
      </c>
      <c r="Y257" s="135">
        <v>0.92</v>
      </c>
      <c r="Z257" s="135">
        <v>0.950746268656716</v>
      </c>
      <c r="AA257" s="135">
        <v>0.947635135135135</v>
      </c>
      <c r="AB257" s="135">
        <v>0.856707317073171</v>
      </c>
      <c r="AC257" s="135">
        <v>0.940024928513821</v>
      </c>
      <c r="AD257" s="135">
        <v>0.92</v>
      </c>
      <c r="AE257" s="133">
        <v>0.998953686877031</v>
      </c>
      <c r="AF257" s="133">
        <v>0.988345742958886</v>
      </c>
      <c r="AG257" s="133">
        <v>0.989542665923034</v>
      </c>
      <c r="AH257" s="133">
        <v>0.996052837378606</v>
      </c>
      <c r="AI257" s="135">
        <v>0.92</v>
      </c>
      <c r="AJ257" s="133">
        <v>0.959162574308607</v>
      </c>
      <c r="AK257" s="133">
        <v>0.970622119815668</v>
      </c>
      <c r="AL257" s="133">
        <v>0.921638018200202</v>
      </c>
      <c r="AM257" s="133">
        <v>0.959652140365542</v>
      </c>
      <c r="AN257" s="132">
        <v>0.99</v>
      </c>
      <c r="AO257" s="137">
        <v>1</v>
      </c>
      <c r="AP257" s="137">
        <v>1</v>
      </c>
      <c r="AQ257" s="137">
        <v>1</v>
      </c>
      <c r="AR257" s="137">
        <v>1</v>
      </c>
      <c r="AS257" s="158">
        <v>0.0922287257019438</v>
      </c>
      <c r="AT257" s="141">
        <v>0</v>
      </c>
      <c r="AU257" s="141">
        <v>0.166666666666667</v>
      </c>
      <c r="AV257" s="141">
        <v>0.181818181818182</v>
      </c>
      <c r="AW257" s="141">
        <v>0.0945454545454545</v>
      </c>
      <c r="AX257" s="95"/>
      <c r="AY257" s="93"/>
    </row>
    <row r="258" ht="15" spans="1:51">
      <c r="A258" s="91"/>
      <c r="B258" s="95"/>
      <c r="C258" s="163" t="s">
        <v>260</v>
      </c>
      <c r="D258" s="153" t="s">
        <v>25</v>
      </c>
      <c r="E258" s="130" t="s">
        <v>261</v>
      </c>
      <c r="F258" s="164" t="s">
        <v>282</v>
      </c>
      <c r="G258" s="164" t="s">
        <v>282</v>
      </c>
      <c r="H258" s="164" t="s">
        <v>282</v>
      </c>
      <c r="I258" s="164" t="s">
        <v>282</v>
      </c>
      <c r="J258" s="132">
        <v>0.9</v>
      </c>
      <c r="K258" s="133">
        <v>1</v>
      </c>
      <c r="L258" s="133">
        <v>0.978723404255319</v>
      </c>
      <c r="M258" s="134">
        <v>1</v>
      </c>
      <c r="N258" s="133">
        <v>0.982419855222337</v>
      </c>
      <c r="O258" s="135">
        <v>0.9</v>
      </c>
      <c r="P258" s="133">
        <v>0.928717738631708</v>
      </c>
      <c r="Q258" s="133">
        <v>0.976478494623656</v>
      </c>
      <c r="R258" s="133">
        <v>0.960476448294532</v>
      </c>
      <c r="S258" s="133">
        <v>0.954402413351564</v>
      </c>
      <c r="T258" s="135">
        <v>0.9</v>
      </c>
      <c r="U258" s="133">
        <v>0.88775092175338</v>
      </c>
      <c r="V258" s="133">
        <v>0.925403225806452</v>
      </c>
      <c r="W258" s="133">
        <v>0.907958852192745</v>
      </c>
      <c r="X258" s="133">
        <v>0.923150378713892</v>
      </c>
      <c r="Y258" s="135">
        <v>0.92</v>
      </c>
      <c r="Z258" s="135">
        <v>0.924806982208795</v>
      </c>
      <c r="AA258" s="135">
        <v>0.93218085106383</v>
      </c>
      <c r="AB258" s="135">
        <v>0.929716399506782</v>
      </c>
      <c r="AC258" s="135">
        <v>0.952513595967635</v>
      </c>
      <c r="AD258" s="135">
        <v>0.92</v>
      </c>
      <c r="AE258" s="133">
        <v>0.890801506186122</v>
      </c>
      <c r="AF258" s="133">
        <v>0.971852300242131</v>
      </c>
      <c r="AG258" s="133">
        <v>0.998204667863555</v>
      </c>
      <c r="AH258" s="133">
        <v>0.978192316233622</v>
      </c>
      <c r="AI258" s="135">
        <v>0.92</v>
      </c>
      <c r="AJ258" s="133">
        <v>0.930811808118081</v>
      </c>
      <c r="AK258" s="133">
        <v>0.958091841283995</v>
      </c>
      <c r="AL258" s="133">
        <v>0.960526315789474</v>
      </c>
      <c r="AM258" s="133">
        <v>0.968562391836248</v>
      </c>
      <c r="AN258" s="132">
        <v>0.99</v>
      </c>
      <c r="AO258" s="137">
        <v>1</v>
      </c>
      <c r="AP258" s="137">
        <v>1</v>
      </c>
      <c r="AQ258" s="137">
        <v>1</v>
      </c>
      <c r="AR258" s="137">
        <v>1</v>
      </c>
      <c r="AS258" s="158">
        <v>0.0922287257019438</v>
      </c>
      <c r="AT258" s="141">
        <v>0.0833333333333333</v>
      </c>
      <c r="AU258" s="141">
        <v>0.4</v>
      </c>
      <c r="AV258" s="141">
        <v>0.25</v>
      </c>
      <c r="AW258" s="141">
        <v>0.0901639344262295</v>
      </c>
      <c r="AX258" s="95"/>
      <c r="AY258" s="93"/>
    </row>
    <row r="259" ht="15" spans="1:51">
      <c r="A259" s="91"/>
      <c r="B259" s="95"/>
      <c r="C259" s="163" t="s">
        <v>260</v>
      </c>
      <c r="D259" s="153" t="s">
        <v>125</v>
      </c>
      <c r="E259" s="130" t="s">
        <v>261</v>
      </c>
      <c r="F259" s="164" t="s">
        <v>283</v>
      </c>
      <c r="G259" s="164" t="s">
        <v>283</v>
      </c>
      <c r="H259" s="164" t="s">
        <v>283</v>
      </c>
      <c r="I259" s="164" t="s">
        <v>283</v>
      </c>
      <c r="J259" s="132">
        <v>0.9</v>
      </c>
      <c r="K259" s="133" t="s">
        <v>35</v>
      </c>
      <c r="L259" s="133" t="s">
        <v>35</v>
      </c>
      <c r="M259" s="134" t="s">
        <v>35</v>
      </c>
      <c r="N259" s="133" t="s">
        <v>35</v>
      </c>
      <c r="O259" s="135">
        <v>0.9</v>
      </c>
      <c r="P259" s="133">
        <v>0.981012658227848</v>
      </c>
      <c r="Q259" s="133">
        <v>0.929203539823009</v>
      </c>
      <c r="R259" s="133">
        <v>0.977941176470588</v>
      </c>
      <c r="S259" s="133">
        <v>0.977433004231312</v>
      </c>
      <c r="T259" s="135">
        <v>0.9</v>
      </c>
      <c r="U259" s="133">
        <v>0.981012658227848</v>
      </c>
      <c r="V259" s="133">
        <v>0.787610619469027</v>
      </c>
      <c r="W259" s="133">
        <v>0.977941176470588</v>
      </c>
      <c r="X259" s="133">
        <v>0.960037611659614</v>
      </c>
      <c r="Y259" s="135">
        <v>0.92</v>
      </c>
      <c r="Z259" s="135">
        <v>0.990990990990991</v>
      </c>
      <c r="AA259" s="135">
        <v>1</v>
      </c>
      <c r="AB259" s="135">
        <v>1</v>
      </c>
      <c r="AC259" s="135">
        <v>0.971399387129724</v>
      </c>
      <c r="AD259" s="135">
        <v>0.92</v>
      </c>
      <c r="AE259" s="133">
        <v>0.999849011022195</v>
      </c>
      <c r="AF259" s="133">
        <v>0.994941885492897</v>
      </c>
      <c r="AG259" s="133">
        <v>0.999566818280269</v>
      </c>
      <c r="AH259" s="133">
        <v>0.99878832446164</v>
      </c>
      <c r="AI259" s="135">
        <v>0.92</v>
      </c>
      <c r="AJ259" s="133">
        <v>0.988847583643123</v>
      </c>
      <c r="AK259" s="133">
        <v>0.993827160493827</v>
      </c>
      <c r="AL259" s="133">
        <v>0.994764397905759</v>
      </c>
      <c r="AM259" s="133">
        <v>0.976519781280154</v>
      </c>
      <c r="AN259" s="132">
        <v>0.99</v>
      </c>
      <c r="AO259" s="137">
        <v>1</v>
      </c>
      <c r="AP259" s="137">
        <v>1</v>
      </c>
      <c r="AQ259" s="137">
        <v>1</v>
      </c>
      <c r="AR259" s="137">
        <v>1</v>
      </c>
      <c r="AS259" s="158">
        <v>0.0922287257019438</v>
      </c>
      <c r="AT259" s="141" t="s">
        <v>35</v>
      </c>
      <c r="AU259" s="141" t="s">
        <v>35</v>
      </c>
      <c r="AV259" s="141" t="s">
        <v>35</v>
      </c>
      <c r="AW259" s="141" t="s">
        <v>35</v>
      </c>
      <c r="AX259" s="95"/>
      <c r="AY259" s="93"/>
    </row>
    <row r="260" ht="15" spans="1:51">
      <c r="A260" s="91"/>
      <c r="B260" s="95"/>
      <c r="C260" s="163" t="s">
        <v>260</v>
      </c>
      <c r="D260" s="153" t="s">
        <v>125</v>
      </c>
      <c r="E260" s="130" t="s">
        <v>261</v>
      </c>
      <c r="F260" s="164" t="s">
        <v>284</v>
      </c>
      <c r="G260" s="164" t="s">
        <v>284</v>
      </c>
      <c r="H260" s="164" t="s">
        <v>284</v>
      </c>
      <c r="I260" s="164" t="s">
        <v>284</v>
      </c>
      <c r="J260" s="132">
        <v>0.9</v>
      </c>
      <c r="K260" s="133" t="s">
        <v>35</v>
      </c>
      <c r="L260" s="133" t="s">
        <v>35</v>
      </c>
      <c r="M260" s="134" t="s">
        <v>35</v>
      </c>
      <c r="N260" s="133" t="s">
        <v>35</v>
      </c>
      <c r="O260" s="135">
        <v>0.9</v>
      </c>
      <c r="P260" s="133" t="s">
        <v>35</v>
      </c>
      <c r="Q260" s="133" t="s">
        <v>35</v>
      </c>
      <c r="R260" s="133" t="s">
        <v>35</v>
      </c>
      <c r="S260" s="133" t="s">
        <v>35</v>
      </c>
      <c r="T260" s="135">
        <v>0.9</v>
      </c>
      <c r="U260" s="133" t="s">
        <v>35</v>
      </c>
      <c r="V260" s="133" t="s">
        <v>35</v>
      </c>
      <c r="W260" s="133" t="s">
        <v>35</v>
      </c>
      <c r="X260" s="133" t="s">
        <v>35</v>
      </c>
      <c r="Y260" s="135">
        <v>0.92</v>
      </c>
      <c r="Z260" s="135" t="s">
        <v>35</v>
      </c>
      <c r="AA260" s="135" t="s">
        <v>35</v>
      </c>
      <c r="AB260" s="135" t="s">
        <v>35</v>
      </c>
      <c r="AC260" s="135" t="s">
        <v>35</v>
      </c>
      <c r="AD260" s="135">
        <v>0.92</v>
      </c>
      <c r="AE260" s="133">
        <v>1</v>
      </c>
      <c r="AF260" s="133">
        <v>1</v>
      </c>
      <c r="AG260" s="133">
        <v>1</v>
      </c>
      <c r="AH260" s="133">
        <v>0.999926054645617</v>
      </c>
      <c r="AI260" s="135">
        <v>0.92</v>
      </c>
      <c r="AJ260" s="133" t="s">
        <v>35</v>
      </c>
      <c r="AK260" s="133" t="s">
        <v>35</v>
      </c>
      <c r="AL260" s="133" t="s">
        <v>35</v>
      </c>
      <c r="AM260" s="133" t="s">
        <v>35</v>
      </c>
      <c r="AN260" s="132">
        <v>0.99</v>
      </c>
      <c r="AO260" s="137">
        <v>1</v>
      </c>
      <c r="AP260" s="137">
        <v>1</v>
      </c>
      <c r="AQ260" s="137">
        <v>1</v>
      </c>
      <c r="AR260" s="137">
        <v>1</v>
      </c>
      <c r="AS260" s="158">
        <v>0.0922287257019438</v>
      </c>
      <c r="AT260" s="141" t="s">
        <v>35</v>
      </c>
      <c r="AU260" s="141">
        <v>0</v>
      </c>
      <c r="AV260" s="141" t="s">
        <v>35</v>
      </c>
      <c r="AW260" s="141">
        <v>0</v>
      </c>
      <c r="AX260" s="95"/>
      <c r="AY260" s="93"/>
    </row>
    <row r="261" ht="15" spans="1:51">
      <c r="A261" s="91"/>
      <c r="B261" s="95"/>
      <c r="C261" s="163" t="s">
        <v>260</v>
      </c>
      <c r="D261" s="153" t="s">
        <v>125</v>
      </c>
      <c r="E261" s="130" t="s">
        <v>261</v>
      </c>
      <c r="F261" s="164" t="s">
        <v>285</v>
      </c>
      <c r="G261" s="164" t="s">
        <v>285</v>
      </c>
      <c r="H261" s="164" t="s">
        <v>285</v>
      </c>
      <c r="I261" s="164" t="s">
        <v>285</v>
      </c>
      <c r="J261" s="132">
        <v>0.9</v>
      </c>
      <c r="K261" s="133" t="s">
        <v>35</v>
      </c>
      <c r="L261" s="133" t="s">
        <v>35</v>
      </c>
      <c r="M261" s="134" t="s">
        <v>35</v>
      </c>
      <c r="N261" s="133" t="s">
        <v>35</v>
      </c>
      <c r="O261" s="135">
        <v>0.9</v>
      </c>
      <c r="P261" s="133">
        <v>1</v>
      </c>
      <c r="Q261" s="133">
        <v>1</v>
      </c>
      <c r="R261" s="133">
        <v>0.857142857142857</v>
      </c>
      <c r="S261" s="133">
        <v>0.7</v>
      </c>
      <c r="T261" s="135">
        <v>0.9</v>
      </c>
      <c r="U261" s="133">
        <v>1</v>
      </c>
      <c r="V261" s="133">
        <v>0.8</v>
      </c>
      <c r="W261" s="133">
        <v>0.857142857142857</v>
      </c>
      <c r="X261" s="133">
        <v>0.922222222222222</v>
      </c>
      <c r="Y261" s="135">
        <v>0.92</v>
      </c>
      <c r="Z261" s="135" t="s">
        <v>35</v>
      </c>
      <c r="AA261" s="135" t="s">
        <v>35</v>
      </c>
      <c r="AB261" s="135" t="s">
        <v>35</v>
      </c>
      <c r="AC261" s="135">
        <v>0.571428571428571</v>
      </c>
      <c r="AD261" s="135">
        <v>0.92</v>
      </c>
      <c r="AE261" s="133">
        <v>0.746572342934142</v>
      </c>
      <c r="AF261" s="133">
        <v>0.99976198976556</v>
      </c>
      <c r="AG261" s="133">
        <v>0.997682344921609</v>
      </c>
      <c r="AH261" s="133">
        <v>0.92818625139389</v>
      </c>
      <c r="AI261" s="135">
        <v>0.92</v>
      </c>
      <c r="AJ261" s="133">
        <v>1</v>
      </c>
      <c r="AK261" s="133">
        <v>0.833333333333333</v>
      </c>
      <c r="AL261" s="133">
        <v>0.888888888888889</v>
      </c>
      <c r="AM261" s="133">
        <v>0.874074074074074</v>
      </c>
      <c r="AN261" s="132">
        <v>0.99</v>
      </c>
      <c r="AO261" s="137">
        <v>1</v>
      </c>
      <c r="AP261" s="137">
        <v>1</v>
      </c>
      <c r="AQ261" s="137">
        <v>1</v>
      </c>
      <c r="AR261" s="137">
        <v>1</v>
      </c>
      <c r="AS261" s="158">
        <v>0.0922287257019438</v>
      </c>
      <c r="AT261" s="141" t="s">
        <v>35</v>
      </c>
      <c r="AU261" s="141" t="s">
        <v>35</v>
      </c>
      <c r="AV261" s="141">
        <v>0</v>
      </c>
      <c r="AW261" s="141">
        <v>0</v>
      </c>
      <c r="AX261" s="95"/>
      <c r="AY261" s="93"/>
    </row>
    <row r="262" ht="15" spans="1:51">
      <c r="A262" s="91"/>
      <c r="B262" s="95"/>
      <c r="C262" s="163" t="s">
        <v>260</v>
      </c>
      <c r="D262" s="153" t="s">
        <v>125</v>
      </c>
      <c r="E262" s="130" t="s">
        <v>261</v>
      </c>
      <c r="F262" s="164" t="s">
        <v>286</v>
      </c>
      <c r="G262" s="164" t="s">
        <v>286</v>
      </c>
      <c r="H262" s="164" t="s">
        <v>286</v>
      </c>
      <c r="I262" s="164" t="s">
        <v>286</v>
      </c>
      <c r="J262" s="132">
        <v>0.9</v>
      </c>
      <c r="K262" s="133" t="s">
        <v>35</v>
      </c>
      <c r="L262" s="133" t="s">
        <v>35</v>
      </c>
      <c r="M262" s="134" t="s">
        <v>35</v>
      </c>
      <c r="N262" s="133" t="s">
        <v>35</v>
      </c>
      <c r="O262" s="135">
        <v>0.9</v>
      </c>
      <c r="P262" s="133" t="s">
        <v>35</v>
      </c>
      <c r="Q262" s="133" t="s">
        <v>35</v>
      </c>
      <c r="R262" s="133" t="s">
        <v>35</v>
      </c>
      <c r="S262" s="133">
        <v>0</v>
      </c>
      <c r="T262" s="135">
        <v>0.9</v>
      </c>
      <c r="U262" s="133" t="s">
        <v>35</v>
      </c>
      <c r="V262" s="133" t="s">
        <v>35</v>
      </c>
      <c r="W262" s="133" t="s">
        <v>35</v>
      </c>
      <c r="X262" s="133">
        <v>0.666666666666667</v>
      </c>
      <c r="Y262" s="135">
        <v>0.92</v>
      </c>
      <c r="Z262" s="135" t="s">
        <v>35</v>
      </c>
      <c r="AA262" s="135" t="s">
        <v>35</v>
      </c>
      <c r="AB262" s="135" t="s">
        <v>35</v>
      </c>
      <c r="AC262" s="135" t="s">
        <v>35</v>
      </c>
      <c r="AD262" s="135">
        <v>0.92</v>
      </c>
      <c r="AE262" s="133">
        <v>0.986363636363636</v>
      </c>
      <c r="AF262" s="133">
        <v>0.984924623115578</v>
      </c>
      <c r="AG262" s="133">
        <v>0.959677419354839</v>
      </c>
      <c r="AH262" s="133">
        <v>0.972003086949065</v>
      </c>
      <c r="AI262" s="135">
        <v>0.92</v>
      </c>
      <c r="AJ262" s="133" t="s">
        <v>35</v>
      </c>
      <c r="AK262" s="133" t="s">
        <v>35</v>
      </c>
      <c r="AL262" s="133" t="s">
        <v>35</v>
      </c>
      <c r="AM262" s="133">
        <v>0.666666666666667</v>
      </c>
      <c r="AN262" s="132">
        <v>0.99</v>
      </c>
      <c r="AO262" s="137">
        <v>1</v>
      </c>
      <c r="AP262" s="137">
        <v>1</v>
      </c>
      <c r="AQ262" s="137" t="s">
        <v>35</v>
      </c>
      <c r="AR262" s="137">
        <v>1</v>
      </c>
      <c r="AS262" s="158">
        <v>0.0922287257019438</v>
      </c>
      <c r="AT262" s="141" t="s">
        <v>35</v>
      </c>
      <c r="AU262" s="141" t="s">
        <v>35</v>
      </c>
      <c r="AV262" s="141" t="s">
        <v>35</v>
      </c>
      <c r="AW262" s="141" t="s">
        <v>35</v>
      </c>
      <c r="AX262" s="95"/>
      <c r="AY262" s="93"/>
    </row>
    <row r="263" ht="15" spans="1:51">
      <c r="A263" s="91"/>
      <c r="B263" s="95"/>
      <c r="C263" s="163" t="s">
        <v>260</v>
      </c>
      <c r="D263" s="153" t="s">
        <v>125</v>
      </c>
      <c r="E263" s="130" t="s">
        <v>261</v>
      </c>
      <c r="F263" s="164" t="s">
        <v>287</v>
      </c>
      <c r="G263" s="164" t="s">
        <v>287</v>
      </c>
      <c r="H263" s="164" t="s">
        <v>287</v>
      </c>
      <c r="I263" s="164" t="s">
        <v>287</v>
      </c>
      <c r="J263" s="132">
        <v>0.9</v>
      </c>
      <c r="K263" s="133" t="s">
        <v>35</v>
      </c>
      <c r="L263" s="133" t="s">
        <v>35</v>
      </c>
      <c r="M263" s="134" t="s">
        <v>35</v>
      </c>
      <c r="N263" s="133" t="s">
        <v>35</v>
      </c>
      <c r="O263" s="135">
        <v>0.9</v>
      </c>
      <c r="P263" s="133" t="s">
        <v>35</v>
      </c>
      <c r="Q263" s="133" t="s">
        <v>35</v>
      </c>
      <c r="R263" s="133">
        <v>0</v>
      </c>
      <c r="S263" s="133">
        <v>0</v>
      </c>
      <c r="T263" s="135">
        <v>0.9</v>
      </c>
      <c r="U263" s="133" t="s">
        <v>35</v>
      </c>
      <c r="V263" s="133" t="s">
        <v>35</v>
      </c>
      <c r="W263" s="133">
        <v>1</v>
      </c>
      <c r="X263" s="133">
        <v>0.5</v>
      </c>
      <c r="Y263" s="135">
        <v>0.92</v>
      </c>
      <c r="Z263" s="135" t="s">
        <v>35</v>
      </c>
      <c r="AA263" s="135" t="s">
        <v>35</v>
      </c>
      <c r="AB263" s="135" t="s">
        <v>35</v>
      </c>
      <c r="AC263" s="135" t="s">
        <v>35</v>
      </c>
      <c r="AD263" s="135">
        <v>0.92</v>
      </c>
      <c r="AE263" s="133">
        <v>0.997670355270821</v>
      </c>
      <c r="AF263" s="133">
        <v>1</v>
      </c>
      <c r="AG263" s="133">
        <v>0.995589856670342</v>
      </c>
      <c r="AH263" s="133">
        <v>0.966621234458012</v>
      </c>
      <c r="AI263" s="135">
        <v>0.92</v>
      </c>
      <c r="AJ263" s="133" t="s">
        <v>35</v>
      </c>
      <c r="AK263" s="133" t="s">
        <v>35</v>
      </c>
      <c r="AL263" s="133">
        <v>1</v>
      </c>
      <c r="AM263" s="133">
        <v>0.625</v>
      </c>
      <c r="AN263" s="132">
        <v>0.99</v>
      </c>
      <c r="AO263" s="137">
        <v>1</v>
      </c>
      <c r="AP263" s="137" t="s">
        <v>35</v>
      </c>
      <c r="AQ263" s="137">
        <v>1</v>
      </c>
      <c r="AR263" s="137">
        <v>1</v>
      </c>
      <c r="AS263" s="158">
        <v>0.0922287257019438</v>
      </c>
      <c r="AT263" s="141" t="s">
        <v>35</v>
      </c>
      <c r="AU263" s="141" t="s">
        <v>35</v>
      </c>
      <c r="AV263" s="141" t="s">
        <v>35</v>
      </c>
      <c r="AW263" s="141" t="s">
        <v>35</v>
      </c>
      <c r="AX263" s="95"/>
      <c r="AY263" s="93"/>
    </row>
    <row r="264" ht="15" spans="1:51">
      <c r="A264" s="91"/>
      <c r="B264" s="95"/>
      <c r="C264" s="163" t="s">
        <v>260</v>
      </c>
      <c r="D264" s="153" t="s">
        <v>125</v>
      </c>
      <c r="E264" s="130" t="s">
        <v>261</v>
      </c>
      <c r="F264" s="164" t="s">
        <v>288</v>
      </c>
      <c r="G264" s="164" t="s">
        <v>288</v>
      </c>
      <c r="H264" s="164" t="s">
        <v>288</v>
      </c>
      <c r="I264" s="164" t="s">
        <v>288</v>
      </c>
      <c r="J264" s="132">
        <v>0.9</v>
      </c>
      <c r="K264" s="133" t="s">
        <v>35</v>
      </c>
      <c r="L264" s="133" t="s">
        <v>35</v>
      </c>
      <c r="M264" s="134" t="s">
        <v>35</v>
      </c>
      <c r="N264" s="133" t="s">
        <v>35</v>
      </c>
      <c r="O264" s="135">
        <v>0.9</v>
      </c>
      <c r="P264" s="133" t="s">
        <v>35</v>
      </c>
      <c r="Q264" s="133">
        <v>0</v>
      </c>
      <c r="R264" s="133">
        <v>0</v>
      </c>
      <c r="S264" s="133">
        <v>0</v>
      </c>
      <c r="T264" s="135">
        <v>0.9</v>
      </c>
      <c r="U264" s="133" t="s">
        <v>35</v>
      </c>
      <c r="V264" s="133">
        <v>1</v>
      </c>
      <c r="W264" s="133">
        <v>1</v>
      </c>
      <c r="X264" s="133">
        <v>0.8</v>
      </c>
      <c r="Y264" s="135">
        <v>0.92</v>
      </c>
      <c r="Z264" s="135" t="s">
        <v>35</v>
      </c>
      <c r="AA264" s="135" t="s">
        <v>35</v>
      </c>
      <c r="AB264" s="135" t="s">
        <v>35</v>
      </c>
      <c r="AC264" s="135">
        <v>0.5</v>
      </c>
      <c r="AD264" s="135">
        <v>0.92</v>
      </c>
      <c r="AE264" s="133">
        <v>0.998430141287284</v>
      </c>
      <c r="AF264" s="133">
        <v>0.998868351565447</v>
      </c>
      <c r="AG264" s="133">
        <v>0.902865329512894</v>
      </c>
      <c r="AH264" s="133">
        <v>0.949133837687136</v>
      </c>
      <c r="AI264" s="135">
        <v>0.92</v>
      </c>
      <c r="AJ264" s="133">
        <v>0</v>
      </c>
      <c r="AK264" s="133">
        <v>1</v>
      </c>
      <c r="AL264" s="133">
        <v>1</v>
      </c>
      <c r="AM264" s="133">
        <v>0.75</v>
      </c>
      <c r="AN264" s="132">
        <v>0.99</v>
      </c>
      <c r="AO264" s="137">
        <v>1</v>
      </c>
      <c r="AP264" s="137">
        <v>1</v>
      </c>
      <c r="AQ264" s="137" t="s">
        <v>35</v>
      </c>
      <c r="AR264" s="137">
        <v>1</v>
      </c>
      <c r="AS264" s="158">
        <v>0.0922287257019438</v>
      </c>
      <c r="AT264" s="141" t="s">
        <v>35</v>
      </c>
      <c r="AU264" s="141" t="s">
        <v>35</v>
      </c>
      <c r="AV264" s="141" t="s">
        <v>35</v>
      </c>
      <c r="AW264" s="141" t="s">
        <v>35</v>
      </c>
      <c r="AX264" s="95"/>
      <c r="AY264" s="93"/>
    </row>
    <row r="265" ht="15" spans="1:51">
      <c r="A265" s="91"/>
      <c r="B265" s="95"/>
      <c r="C265" s="163" t="s">
        <v>260</v>
      </c>
      <c r="D265" s="153" t="s">
        <v>125</v>
      </c>
      <c r="E265" s="130" t="s">
        <v>261</v>
      </c>
      <c r="F265" s="164" t="s">
        <v>289</v>
      </c>
      <c r="G265" s="164" t="s">
        <v>289</v>
      </c>
      <c r="H265" s="164" t="s">
        <v>289</v>
      </c>
      <c r="I265" s="164" t="s">
        <v>289</v>
      </c>
      <c r="J265" s="132">
        <v>0.9</v>
      </c>
      <c r="K265" s="133" t="s">
        <v>35</v>
      </c>
      <c r="L265" s="133" t="s">
        <v>35</v>
      </c>
      <c r="M265" s="134" t="s">
        <v>35</v>
      </c>
      <c r="N265" s="133" t="s">
        <v>35</v>
      </c>
      <c r="O265" s="135">
        <v>0.9</v>
      </c>
      <c r="P265" s="133">
        <v>0.333333333333333</v>
      </c>
      <c r="Q265" s="133">
        <v>0.333333333333333</v>
      </c>
      <c r="R265" s="133">
        <v>0</v>
      </c>
      <c r="S265" s="133">
        <v>0.410714285714286</v>
      </c>
      <c r="T265" s="135">
        <v>0.9</v>
      </c>
      <c r="U265" s="133">
        <v>0.111111111111111</v>
      </c>
      <c r="V265" s="133">
        <v>0</v>
      </c>
      <c r="W265" s="133">
        <v>0.5</v>
      </c>
      <c r="X265" s="133">
        <v>0.392857142857143</v>
      </c>
      <c r="Y265" s="135">
        <v>0.92</v>
      </c>
      <c r="Z265" s="135">
        <v>0.333333333333333</v>
      </c>
      <c r="AA265" s="135" t="s">
        <v>35</v>
      </c>
      <c r="AB265" s="135" t="s">
        <v>35</v>
      </c>
      <c r="AC265" s="135">
        <v>0.4</v>
      </c>
      <c r="AD265" s="135">
        <v>0.92</v>
      </c>
      <c r="AE265" s="133">
        <v>0.99526277657025</v>
      </c>
      <c r="AF265" s="133">
        <v>0.984377474006439</v>
      </c>
      <c r="AG265" s="133">
        <v>0.999846649286919</v>
      </c>
      <c r="AH265" s="133">
        <v>0.987220202526709</v>
      </c>
      <c r="AI265" s="135">
        <v>0.92</v>
      </c>
      <c r="AJ265" s="133">
        <v>0.166666666666667</v>
      </c>
      <c r="AK265" s="133">
        <v>0.25</v>
      </c>
      <c r="AL265" s="133">
        <v>0.5</v>
      </c>
      <c r="AM265" s="133">
        <v>0.441176470588235</v>
      </c>
      <c r="AN265" s="132">
        <v>0.99</v>
      </c>
      <c r="AO265" s="137">
        <v>1</v>
      </c>
      <c r="AP265" s="137">
        <v>1</v>
      </c>
      <c r="AQ265" s="137" t="s">
        <v>35</v>
      </c>
      <c r="AR265" s="137">
        <v>1</v>
      </c>
      <c r="AS265" s="158">
        <v>0.0922287257019438</v>
      </c>
      <c r="AT265" s="141" t="s">
        <v>35</v>
      </c>
      <c r="AU265" s="141" t="s">
        <v>35</v>
      </c>
      <c r="AV265" s="141" t="s">
        <v>35</v>
      </c>
      <c r="AW265" s="141" t="s">
        <v>35</v>
      </c>
      <c r="AX265" s="95"/>
      <c r="AY265" s="93"/>
    </row>
    <row r="266" ht="15" spans="1:51">
      <c r="A266" s="91"/>
      <c r="B266" s="95"/>
      <c r="C266" s="163" t="s">
        <v>260</v>
      </c>
      <c r="D266" s="153" t="s">
        <v>125</v>
      </c>
      <c r="E266" s="130" t="s">
        <v>261</v>
      </c>
      <c r="F266" s="164" t="s">
        <v>290</v>
      </c>
      <c r="G266" s="164" t="s">
        <v>290</v>
      </c>
      <c r="H266" s="164" t="s">
        <v>290</v>
      </c>
      <c r="I266" s="164" t="s">
        <v>290</v>
      </c>
      <c r="J266" s="132">
        <v>0.9</v>
      </c>
      <c r="K266" s="133" t="s">
        <v>35</v>
      </c>
      <c r="L266" s="133" t="s">
        <v>35</v>
      </c>
      <c r="M266" s="134" t="s">
        <v>35</v>
      </c>
      <c r="N266" s="133" t="s">
        <v>35</v>
      </c>
      <c r="O266" s="135">
        <v>0.9</v>
      </c>
      <c r="P266" s="133" t="s">
        <v>35</v>
      </c>
      <c r="Q266" s="133">
        <v>0</v>
      </c>
      <c r="R266" s="133">
        <v>0</v>
      </c>
      <c r="S266" s="133">
        <v>0</v>
      </c>
      <c r="T266" s="135">
        <v>0.9</v>
      </c>
      <c r="U266" s="133" t="s">
        <v>35</v>
      </c>
      <c r="V266" s="133">
        <v>1</v>
      </c>
      <c r="W266" s="133">
        <v>0.5</v>
      </c>
      <c r="X266" s="133">
        <v>0.666666666666667</v>
      </c>
      <c r="Y266" s="135">
        <v>0.92</v>
      </c>
      <c r="Z266" s="135" t="s">
        <v>35</v>
      </c>
      <c r="AA266" s="135" t="s">
        <v>35</v>
      </c>
      <c r="AB266" s="135" t="s">
        <v>35</v>
      </c>
      <c r="AC266" s="135" t="s">
        <v>35</v>
      </c>
      <c r="AD266" s="135">
        <v>0.92</v>
      </c>
      <c r="AE266" s="133">
        <v>1</v>
      </c>
      <c r="AF266" s="133">
        <v>1</v>
      </c>
      <c r="AG266" s="133">
        <v>1</v>
      </c>
      <c r="AH266" s="133">
        <v>0.983382936507937</v>
      </c>
      <c r="AI266" s="135">
        <v>0.92</v>
      </c>
      <c r="AJ266" s="133" t="s">
        <v>35</v>
      </c>
      <c r="AK266" s="133">
        <v>1</v>
      </c>
      <c r="AL266" s="133">
        <v>0.5</v>
      </c>
      <c r="AM266" s="133">
        <v>0.666666666666667</v>
      </c>
      <c r="AN266" s="132">
        <v>0.99</v>
      </c>
      <c r="AO266" s="137" t="s">
        <v>35</v>
      </c>
      <c r="AP266" s="137" t="s">
        <v>35</v>
      </c>
      <c r="AQ266" s="137">
        <v>1</v>
      </c>
      <c r="AR266" s="137">
        <v>1</v>
      </c>
      <c r="AS266" s="158">
        <v>0.0922287257019438</v>
      </c>
      <c r="AT266" s="141" t="s">
        <v>35</v>
      </c>
      <c r="AU266" s="141" t="s">
        <v>35</v>
      </c>
      <c r="AV266" s="141" t="s">
        <v>35</v>
      </c>
      <c r="AW266" s="141" t="s">
        <v>35</v>
      </c>
      <c r="AX266" s="95"/>
      <c r="AY266" s="93"/>
    </row>
    <row r="267" ht="15" spans="1:51">
      <c r="A267" s="91"/>
      <c r="B267" s="95"/>
      <c r="C267" s="163" t="s">
        <v>260</v>
      </c>
      <c r="D267" s="153" t="s">
        <v>25</v>
      </c>
      <c r="E267" s="130" t="s">
        <v>261</v>
      </c>
      <c r="F267" s="164" t="s">
        <v>291</v>
      </c>
      <c r="G267" s="164" t="s">
        <v>291</v>
      </c>
      <c r="H267" s="164" t="s">
        <v>291</v>
      </c>
      <c r="I267" s="164" t="s">
        <v>291</v>
      </c>
      <c r="J267" s="132">
        <v>0.9</v>
      </c>
      <c r="K267" s="133">
        <v>0.973913043478261</v>
      </c>
      <c r="L267" s="133">
        <v>0.972477064220184</v>
      </c>
      <c r="M267" s="134">
        <v>0.947368421052632</v>
      </c>
      <c r="N267" s="133">
        <v>0.962580009847366</v>
      </c>
      <c r="O267" s="135">
        <v>0.9</v>
      </c>
      <c r="P267" s="133">
        <v>0.95818540433925</v>
      </c>
      <c r="Q267" s="133">
        <v>0.971683594952293</v>
      </c>
      <c r="R267" s="133">
        <v>0.966375770020534</v>
      </c>
      <c r="S267" s="133">
        <v>0.966328521662734</v>
      </c>
      <c r="T267" s="135">
        <v>0.9</v>
      </c>
      <c r="U267" s="133">
        <v>0.93491124260355</v>
      </c>
      <c r="V267" s="133">
        <v>0.93290243151739</v>
      </c>
      <c r="W267" s="133">
        <v>0.937628336755647</v>
      </c>
      <c r="X267" s="133">
        <v>0.938112313177439</v>
      </c>
      <c r="Y267" s="135">
        <v>0.92</v>
      </c>
      <c r="Z267" s="135">
        <v>0.965703086722195</v>
      </c>
      <c r="AA267" s="135">
        <v>0.971652593486128</v>
      </c>
      <c r="AB267" s="135">
        <v>0.955995599559956</v>
      </c>
      <c r="AC267" s="135">
        <v>0.973313023987319</v>
      </c>
      <c r="AD267" s="135">
        <v>0.92</v>
      </c>
      <c r="AE267" s="133">
        <v>0.991693650570182</v>
      </c>
      <c r="AF267" s="133">
        <v>0.987189859762675</v>
      </c>
      <c r="AG267" s="133">
        <v>0.908738123912753</v>
      </c>
      <c r="AH267" s="133">
        <v>0.965379240774275</v>
      </c>
      <c r="AI267" s="135">
        <v>0.92</v>
      </c>
      <c r="AJ267" s="133">
        <v>0.975614113443502</v>
      </c>
      <c r="AK267" s="133">
        <v>0.979009578153658</v>
      </c>
      <c r="AL267" s="133">
        <v>0.976377952755906</v>
      </c>
      <c r="AM267" s="133">
        <v>0.982933873658051</v>
      </c>
      <c r="AN267" s="132">
        <v>0.99</v>
      </c>
      <c r="AO267" s="137">
        <v>1</v>
      </c>
      <c r="AP267" s="137">
        <v>1</v>
      </c>
      <c r="AQ267" s="137">
        <v>1</v>
      </c>
      <c r="AR267" s="137">
        <v>1</v>
      </c>
      <c r="AS267" s="158">
        <v>0.0922287257019438</v>
      </c>
      <c r="AT267" s="141">
        <v>0.0434782608695652</v>
      </c>
      <c r="AU267" s="141">
        <v>0.1875</v>
      </c>
      <c r="AV267" s="141">
        <v>0.210526315789474</v>
      </c>
      <c r="AW267" s="141">
        <v>0.0924024640657084</v>
      </c>
      <c r="AX267" s="95"/>
      <c r="AY267" s="93"/>
    </row>
    <row r="268" ht="15" spans="1:51">
      <c r="A268" s="91"/>
      <c r="B268" s="95"/>
      <c r="C268" s="163" t="s">
        <v>260</v>
      </c>
      <c r="D268" s="153" t="s">
        <v>25</v>
      </c>
      <c r="E268" s="130" t="s">
        <v>261</v>
      </c>
      <c r="F268" s="164" t="s">
        <v>292</v>
      </c>
      <c r="G268" s="164" t="s">
        <v>292</v>
      </c>
      <c r="H268" s="164" t="s">
        <v>292</v>
      </c>
      <c r="I268" s="164" t="s">
        <v>292</v>
      </c>
      <c r="J268" s="132">
        <v>0.9</v>
      </c>
      <c r="K268" s="133">
        <v>0.981651376146789</v>
      </c>
      <c r="L268" s="133">
        <v>0.933333333333333</v>
      </c>
      <c r="M268" s="134">
        <v>0.965116279069767</v>
      </c>
      <c r="N268" s="133">
        <v>0.923702950152594</v>
      </c>
      <c r="O268" s="135">
        <v>0.9</v>
      </c>
      <c r="P268" s="133">
        <v>0.987745615888443</v>
      </c>
      <c r="Q268" s="133">
        <v>0.986752595775152</v>
      </c>
      <c r="R268" s="133">
        <v>0.924969623329283</v>
      </c>
      <c r="S268" s="133">
        <v>0.986637114130609</v>
      </c>
      <c r="T268" s="135">
        <v>0.9</v>
      </c>
      <c r="U268" s="133">
        <v>0.9623917177266</v>
      </c>
      <c r="V268" s="133">
        <v>0.958825635517365</v>
      </c>
      <c r="W268" s="133">
        <v>0.907654921020656</v>
      </c>
      <c r="X268" s="133">
        <v>0.958733523925776</v>
      </c>
      <c r="Y268" s="135">
        <v>0.92</v>
      </c>
      <c r="Z268" s="135">
        <v>0.956870290203624</v>
      </c>
      <c r="AA268" s="135">
        <v>0.962131837307153</v>
      </c>
      <c r="AB268" s="135">
        <v>0.937075879086983</v>
      </c>
      <c r="AC268" s="135">
        <v>0.968741196055833</v>
      </c>
      <c r="AD268" s="135">
        <v>0.92</v>
      </c>
      <c r="AE268" s="133">
        <v>0.969099627064465</v>
      </c>
      <c r="AF268" s="133">
        <v>0.967832604622111</v>
      </c>
      <c r="AG268" s="133">
        <v>0.749097472924188</v>
      </c>
      <c r="AH268" s="133">
        <v>0.95434391851408</v>
      </c>
      <c r="AI268" s="135">
        <v>0.92</v>
      </c>
      <c r="AJ268" s="133">
        <v>0.970373746581586</v>
      </c>
      <c r="AK268" s="133">
        <v>0.979616022754207</v>
      </c>
      <c r="AL268" s="133">
        <v>0.967439967439967</v>
      </c>
      <c r="AM268" s="133">
        <v>0.980629624662534</v>
      </c>
      <c r="AN268" s="132">
        <v>0.99</v>
      </c>
      <c r="AO268" s="137">
        <v>1</v>
      </c>
      <c r="AP268" s="137">
        <v>1</v>
      </c>
      <c r="AQ268" s="137">
        <v>1</v>
      </c>
      <c r="AR268" s="137">
        <v>0.999654218533887</v>
      </c>
      <c r="AS268" s="158">
        <v>0.0922287257019438</v>
      </c>
      <c r="AT268" s="141">
        <v>0.0666666666666667</v>
      </c>
      <c r="AU268" s="141">
        <v>0.0384615384615385</v>
      </c>
      <c r="AV268" s="141">
        <v>0.12</v>
      </c>
      <c r="AW268" s="141">
        <v>0.0622710622710623</v>
      </c>
      <c r="AX268" s="95"/>
      <c r="AY268" s="93"/>
    </row>
    <row r="269" ht="15" spans="1:51">
      <c r="A269" s="91"/>
      <c r="B269" s="95"/>
      <c r="C269" s="163" t="s">
        <v>260</v>
      </c>
      <c r="D269" s="153" t="s">
        <v>125</v>
      </c>
      <c r="E269" s="130" t="s">
        <v>261</v>
      </c>
      <c r="F269" s="164" t="s">
        <v>293</v>
      </c>
      <c r="G269" s="164" t="s">
        <v>293</v>
      </c>
      <c r="H269" s="164" t="s">
        <v>293</v>
      </c>
      <c r="I269" s="164" t="s">
        <v>293</v>
      </c>
      <c r="J269" s="132">
        <v>0.9</v>
      </c>
      <c r="K269" s="133" t="s">
        <v>35</v>
      </c>
      <c r="L269" s="133" t="s">
        <v>35</v>
      </c>
      <c r="M269" s="134" t="s">
        <v>35</v>
      </c>
      <c r="N269" s="133" t="s">
        <v>35</v>
      </c>
      <c r="O269" s="135">
        <v>0.9</v>
      </c>
      <c r="P269" s="133">
        <v>0.666666666666667</v>
      </c>
      <c r="Q269" s="133">
        <v>1</v>
      </c>
      <c r="R269" s="133">
        <v>0.333333333333333</v>
      </c>
      <c r="S269" s="133">
        <v>0.257142857142857</v>
      </c>
      <c r="T269" s="135">
        <v>0.9</v>
      </c>
      <c r="U269" s="133">
        <v>0.333333333333333</v>
      </c>
      <c r="V269" s="133">
        <v>1</v>
      </c>
      <c r="W269" s="133">
        <v>1</v>
      </c>
      <c r="X269" s="133">
        <v>0.657142857142857</v>
      </c>
      <c r="Y269" s="135">
        <v>0.92</v>
      </c>
      <c r="Z269" s="135" t="s">
        <v>35</v>
      </c>
      <c r="AA269" s="135">
        <v>0.5</v>
      </c>
      <c r="AB269" s="135" t="s">
        <v>35</v>
      </c>
      <c r="AC269" s="135">
        <v>0.692307692307692</v>
      </c>
      <c r="AD269" s="135">
        <v>0.92</v>
      </c>
      <c r="AE269" s="133">
        <v>0.985603622929329</v>
      </c>
      <c r="AF269" s="133">
        <v>0.99822729958637</v>
      </c>
      <c r="AG269" s="133">
        <v>0.996793064561601</v>
      </c>
      <c r="AH269" s="133">
        <v>0.995757705070006</v>
      </c>
      <c r="AI269" s="135">
        <v>0.92</v>
      </c>
      <c r="AJ269" s="133">
        <v>0.25</v>
      </c>
      <c r="AK269" s="133">
        <v>0.666666666666667</v>
      </c>
      <c r="AL269" s="133">
        <v>1</v>
      </c>
      <c r="AM269" s="133">
        <v>0.673076923076923</v>
      </c>
      <c r="AN269" s="132">
        <v>0.99</v>
      </c>
      <c r="AO269" s="137">
        <v>1</v>
      </c>
      <c r="AP269" s="137">
        <v>1</v>
      </c>
      <c r="AQ269" s="137">
        <v>1</v>
      </c>
      <c r="AR269" s="137">
        <v>1</v>
      </c>
      <c r="AS269" s="158">
        <v>0.0922287257019438</v>
      </c>
      <c r="AT269" s="141" t="s">
        <v>35</v>
      </c>
      <c r="AU269" s="141" t="s">
        <v>35</v>
      </c>
      <c r="AV269" s="141">
        <v>0</v>
      </c>
      <c r="AW269" s="141">
        <v>0</v>
      </c>
      <c r="AX269" s="95"/>
      <c r="AY269" s="93"/>
    </row>
    <row r="270" ht="15" spans="1:51">
      <c r="A270" s="91"/>
      <c r="B270" s="95"/>
      <c r="C270" s="163" t="s">
        <v>260</v>
      </c>
      <c r="D270" s="153" t="s">
        <v>25</v>
      </c>
      <c r="E270" s="130" t="s">
        <v>261</v>
      </c>
      <c r="F270" s="164" t="s">
        <v>294</v>
      </c>
      <c r="G270" s="164" t="s">
        <v>294</v>
      </c>
      <c r="H270" s="164" t="s">
        <v>294</v>
      </c>
      <c r="I270" s="164" t="s">
        <v>294</v>
      </c>
      <c r="J270" s="132">
        <v>0.9</v>
      </c>
      <c r="K270" s="133">
        <v>0.868217054263566</v>
      </c>
      <c r="L270" s="133">
        <v>0.891666666666667</v>
      </c>
      <c r="M270" s="134">
        <v>0.893617021276596</v>
      </c>
      <c r="N270" s="133">
        <v>0.885496183206107</v>
      </c>
      <c r="O270" s="135">
        <v>0.9</v>
      </c>
      <c r="P270" s="133">
        <v>0.971192722371968</v>
      </c>
      <c r="Q270" s="133">
        <v>0.959510632100204</v>
      </c>
      <c r="R270" s="133">
        <v>0.966992943318916</v>
      </c>
      <c r="S270" s="133">
        <v>0.921515593958687</v>
      </c>
      <c r="T270" s="135">
        <v>0.9</v>
      </c>
      <c r="U270" s="133">
        <v>0.914925876010782</v>
      </c>
      <c r="V270" s="133">
        <v>0.948732886688028</v>
      </c>
      <c r="W270" s="133">
        <v>0.953790120646483</v>
      </c>
      <c r="X270" s="133">
        <v>0.926446300773116</v>
      </c>
      <c r="Y270" s="135">
        <v>0.92</v>
      </c>
      <c r="Z270" s="135">
        <v>0.970187759782141</v>
      </c>
      <c r="AA270" s="135">
        <v>0.973536036036036</v>
      </c>
      <c r="AB270" s="135">
        <v>0.963574550752793</v>
      </c>
      <c r="AC270" s="135">
        <v>0.974619547009675</v>
      </c>
      <c r="AD270" s="135">
        <v>0.92</v>
      </c>
      <c r="AE270" s="133">
        <v>0.175306435137896</v>
      </c>
      <c r="AF270" s="133">
        <v>0.845407503234153</v>
      </c>
      <c r="AG270" s="133">
        <v>0.872340425531915</v>
      </c>
      <c r="AH270" s="133">
        <v>0.88220624173711</v>
      </c>
      <c r="AI270" s="135">
        <v>0.92</v>
      </c>
      <c r="AJ270" s="133">
        <v>0.976542540837656</v>
      </c>
      <c r="AK270" s="133">
        <v>0.982917466410749</v>
      </c>
      <c r="AL270" s="133">
        <v>0.98186889818689</v>
      </c>
      <c r="AM270" s="133">
        <v>0.98400425242996</v>
      </c>
      <c r="AN270" s="132">
        <v>0.99</v>
      </c>
      <c r="AO270" s="137">
        <v>1</v>
      </c>
      <c r="AP270" s="137">
        <v>1</v>
      </c>
      <c r="AQ270" s="137">
        <v>1</v>
      </c>
      <c r="AR270" s="137">
        <v>1</v>
      </c>
      <c r="AS270" s="158">
        <v>0.0922287257019438</v>
      </c>
      <c r="AT270" s="141">
        <v>0</v>
      </c>
      <c r="AU270" s="141">
        <v>0.125</v>
      </c>
      <c r="AV270" s="141">
        <v>0.0714285714285714</v>
      </c>
      <c r="AW270" s="141">
        <v>0.0683371298405467</v>
      </c>
      <c r="AX270" s="95"/>
      <c r="AY270" s="93"/>
    </row>
    <row r="271" ht="15" spans="1:51">
      <c r="A271" s="91"/>
      <c r="B271" s="95"/>
      <c r="C271" s="163" t="s">
        <v>260</v>
      </c>
      <c r="D271" s="153" t="s">
        <v>25</v>
      </c>
      <c r="E271" s="130" t="s">
        <v>261</v>
      </c>
      <c r="F271" s="164" t="s">
        <v>295</v>
      </c>
      <c r="G271" s="164" t="s">
        <v>295</v>
      </c>
      <c r="H271" s="164" t="s">
        <v>295</v>
      </c>
      <c r="I271" s="164" t="s">
        <v>295</v>
      </c>
      <c r="J271" s="132">
        <v>0.9</v>
      </c>
      <c r="K271" s="133">
        <v>0.964285714285714</v>
      </c>
      <c r="L271" s="133">
        <v>0.950819672131147</v>
      </c>
      <c r="M271" s="134">
        <v>0.981481481481482</v>
      </c>
      <c r="N271" s="133">
        <v>0.96105476673428</v>
      </c>
      <c r="O271" s="135">
        <v>0.9</v>
      </c>
      <c r="P271" s="133">
        <v>0.965396995708155</v>
      </c>
      <c r="Q271" s="133">
        <v>0.975917699321955</v>
      </c>
      <c r="R271" s="133">
        <v>0.98163574403635</v>
      </c>
      <c r="S271" s="133">
        <v>0.974701234245412</v>
      </c>
      <c r="T271" s="135">
        <v>0.9</v>
      </c>
      <c r="U271" s="133">
        <v>0.920600858369099</v>
      </c>
      <c r="V271" s="133">
        <v>0.94786064998831</v>
      </c>
      <c r="W271" s="133">
        <v>0.941120787580462</v>
      </c>
      <c r="X271" s="133">
        <v>0.945458107490368</v>
      </c>
      <c r="Y271" s="135">
        <v>0.92</v>
      </c>
      <c r="Z271" s="135">
        <v>0.97871196645522</v>
      </c>
      <c r="AA271" s="135">
        <v>0.997041420118343</v>
      </c>
      <c r="AB271" s="135">
        <v>0.979082864038616</v>
      </c>
      <c r="AC271" s="135">
        <v>0.989559260482007</v>
      </c>
      <c r="AD271" s="135">
        <v>0.92</v>
      </c>
      <c r="AE271" s="133">
        <v>0.999672077389736</v>
      </c>
      <c r="AF271" s="133">
        <v>0.949166004765687</v>
      </c>
      <c r="AG271" s="133">
        <v>0.998709677419355</v>
      </c>
      <c r="AH271" s="133">
        <v>0.993197415823052</v>
      </c>
      <c r="AI271" s="135">
        <v>0.92</v>
      </c>
      <c r="AJ271" s="133">
        <v>0.978042959427208</v>
      </c>
      <c r="AK271" s="133">
        <v>0.989473684210526</v>
      </c>
      <c r="AL271" s="133">
        <v>0.989063304168811</v>
      </c>
      <c r="AM271" s="133">
        <v>0.992867595919787</v>
      </c>
      <c r="AN271" s="132">
        <v>0.99</v>
      </c>
      <c r="AO271" s="137">
        <v>1</v>
      </c>
      <c r="AP271" s="137">
        <v>1</v>
      </c>
      <c r="AQ271" s="137">
        <v>1</v>
      </c>
      <c r="AR271" s="137">
        <v>1</v>
      </c>
      <c r="AS271" s="158">
        <v>0.0922287257019438</v>
      </c>
      <c r="AT271" s="141">
        <v>0.107142857142857</v>
      </c>
      <c r="AU271" s="141">
        <v>0.217391304347826</v>
      </c>
      <c r="AV271" s="141">
        <v>0.1</v>
      </c>
      <c r="AW271" s="141">
        <v>0.101449275362319</v>
      </c>
      <c r="AX271" s="95"/>
      <c r="AY271" s="93"/>
    </row>
    <row r="272" ht="15" spans="1:51">
      <c r="A272" s="91"/>
      <c r="B272" s="95"/>
      <c r="C272" s="163" t="s">
        <v>260</v>
      </c>
      <c r="D272" s="153" t="s">
        <v>25</v>
      </c>
      <c r="E272" s="130" t="s">
        <v>261</v>
      </c>
      <c r="F272" s="164" t="s">
        <v>296</v>
      </c>
      <c r="G272" s="164" t="s">
        <v>296</v>
      </c>
      <c r="H272" s="164" t="s">
        <v>296</v>
      </c>
      <c r="I272" s="164" t="s">
        <v>296</v>
      </c>
      <c r="J272" s="132">
        <v>0.9</v>
      </c>
      <c r="K272" s="133">
        <v>0.994974874371859</v>
      </c>
      <c r="L272" s="133">
        <v>0.99438202247191</v>
      </c>
      <c r="M272" s="134">
        <v>0.928057553956835</v>
      </c>
      <c r="N272" s="133">
        <v>0.975072463768116</v>
      </c>
      <c r="O272" s="135">
        <v>0.9</v>
      </c>
      <c r="P272" s="133">
        <v>0.971526496177168</v>
      </c>
      <c r="Q272" s="133">
        <v>0.974812196199735</v>
      </c>
      <c r="R272" s="133">
        <v>0.971938775510204</v>
      </c>
      <c r="S272" s="133">
        <v>0.974532373143955</v>
      </c>
      <c r="T272" s="135">
        <v>0.9</v>
      </c>
      <c r="U272" s="133">
        <v>0.95583970471922</v>
      </c>
      <c r="V272" s="133">
        <v>0.955368979231109</v>
      </c>
      <c r="W272" s="133">
        <v>0.945068027210884</v>
      </c>
      <c r="X272" s="133">
        <v>0.951797695279512</v>
      </c>
      <c r="Y272" s="135">
        <v>0.92</v>
      </c>
      <c r="Z272" s="135">
        <v>0.987920897915553</v>
      </c>
      <c r="AA272" s="135">
        <v>0.987783595113438</v>
      </c>
      <c r="AB272" s="135">
        <v>0.982782853127196</v>
      </c>
      <c r="AC272" s="135">
        <v>0.99169857995766</v>
      </c>
      <c r="AD272" s="135">
        <v>0.92</v>
      </c>
      <c r="AE272" s="133">
        <v>0.999006211180124</v>
      </c>
      <c r="AF272" s="133">
        <v>0.995712243925679</v>
      </c>
      <c r="AG272" s="133">
        <v>0.994413407821229</v>
      </c>
      <c r="AH272" s="133">
        <v>0.992250892567348</v>
      </c>
      <c r="AI272" s="135">
        <v>0.92</v>
      </c>
      <c r="AJ272" s="133">
        <v>0.991031390134529</v>
      </c>
      <c r="AK272" s="133">
        <v>0.994133176884717</v>
      </c>
      <c r="AL272" s="133">
        <v>0.991865261228231</v>
      </c>
      <c r="AM272" s="133">
        <v>0.995154530694602</v>
      </c>
      <c r="AN272" s="132">
        <v>0.99</v>
      </c>
      <c r="AO272" s="137">
        <v>1</v>
      </c>
      <c r="AP272" s="137">
        <v>1</v>
      </c>
      <c r="AQ272" s="137">
        <v>1</v>
      </c>
      <c r="AR272" s="137">
        <v>1</v>
      </c>
      <c r="AS272" s="158">
        <v>0.0922287257019438</v>
      </c>
      <c r="AT272" s="141">
        <v>0</v>
      </c>
      <c r="AU272" s="141">
        <v>0.387096774193548</v>
      </c>
      <c r="AV272" s="141">
        <v>0</v>
      </c>
      <c r="AW272" s="141">
        <v>0.107421875</v>
      </c>
      <c r="AX272" s="95"/>
      <c r="AY272" s="93"/>
    </row>
    <row r="273" ht="15" spans="1:51">
      <c r="A273" s="91"/>
      <c r="B273" s="95"/>
      <c r="C273" s="163" t="s">
        <v>260</v>
      </c>
      <c r="D273" s="153" t="s">
        <v>25</v>
      </c>
      <c r="E273" s="130" t="s">
        <v>261</v>
      </c>
      <c r="F273" s="164" t="s">
        <v>297</v>
      </c>
      <c r="G273" s="164" t="s">
        <v>297</v>
      </c>
      <c r="H273" s="164" t="s">
        <v>297</v>
      </c>
      <c r="I273" s="164" t="s">
        <v>297</v>
      </c>
      <c r="J273" s="132">
        <v>0.9</v>
      </c>
      <c r="K273" s="133">
        <v>0.973214285714286</v>
      </c>
      <c r="L273" s="133">
        <v>0.971428571428571</v>
      </c>
      <c r="M273" s="134">
        <v>1</v>
      </c>
      <c r="N273" s="133">
        <v>0.971837944664032</v>
      </c>
      <c r="O273" s="135">
        <v>0.9</v>
      </c>
      <c r="P273" s="133">
        <v>0.986484410996775</v>
      </c>
      <c r="Q273" s="133">
        <v>0.987720234917245</v>
      </c>
      <c r="R273" s="133">
        <v>0.984191412091433</v>
      </c>
      <c r="S273" s="133">
        <v>0.97887434496266</v>
      </c>
      <c r="T273" s="135">
        <v>0.9</v>
      </c>
      <c r="U273" s="133">
        <v>0.970204269697435</v>
      </c>
      <c r="V273" s="133">
        <v>0.98611852642819</v>
      </c>
      <c r="W273" s="133">
        <v>0.985900448622089</v>
      </c>
      <c r="X273" s="133">
        <v>0.972198757578249</v>
      </c>
      <c r="Y273" s="135">
        <v>0.92</v>
      </c>
      <c r="Z273" s="135">
        <v>0.990745501285347</v>
      </c>
      <c r="AA273" s="135">
        <v>0.997845988152935</v>
      </c>
      <c r="AB273" s="135">
        <v>0.995444191343964</v>
      </c>
      <c r="AC273" s="135">
        <v>0.995801799766557</v>
      </c>
      <c r="AD273" s="135">
        <v>0.92</v>
      </c>
      <c r="AE273" s="133">
        <v>0.995595252661202</v>
      </c>
      <c r="AF273" s="133">
        <v>0.995963433456013</v>
      </c>
      <c r="AG273" s="133">
        <v>0.994341402074819</v>
      </c>
      <c r="AH273" s="133">
        <v>0.988795409272199</v>
      </c>
      <c r="AI273" s="135">
        <v>0.92</v>
      </c>
      <c r="AJ273" s="133">
        <v>0.992514865337531</v>
      </c>
      <c r="AK273" s="133">
        <v>0.998572448251249</v>
      </c>
      <c r="AL273" s="133">
        <v>0.997094290280401</v>
      </c>
      <c r="AM273" s="133">
        <v>0.997250549890022</v>
      </c>
      <c r="AN273" s="132">
        <v>0.99</v>
      </c>
      <c r="AO273" s="137">
        <v>1</v>
      </c>
      <c r="AP273" s="137">
        <v>1</v>
      </c>
      <c r="AQ273" s="137">
        <v>1</v>
      </c>
      <c r="AR273" s="137">
        <v>1</v>
      </c>
      <c r="AS273" s="158">
        <v>0.0922287257019438</v>
      </c>
      <c r="AT273" s="141">
        <v>0.0714285714285714</v>
      </c>
      <c r="AU273" s="141">
        <v>0.0526315789473684</v>
      </c>
      <c r="AV273" s="141">
        <v>0.148148148148148</v>
      </c>
      <c r="AW273" s="141">
        <v>0.0877862595419847</v>
      </c>
      <c r="AX273" s="95"/>
      <c r="AY273" s="93"/>
    </row>
    <row r="274" ht="15" spans="1:51">
      <c r="A274" s="91"/>
      <c r="B274" s="95"/>
      <c r="C274" s="163" t="s">
        <v>260</v>
      </c>
      <c r="D274" s="153" t="s">
        <v>25</v>
      </c>
      <c r="E274" s="130" t="s">
        <v>261</v>
      </c>
      <c r="F274" s="164" t="s">
        <v>298</v>
      </c>
      <c r="G274" s="164" t="s">
        <v>298</v>
      </c>
      <c r="H274" s="164" t="s">
        <v>298</v>
      </c>
      <c r="I274" s="164" t="s">
        <v>298</v>
      </c>
      <c r="J274" s="132">
        <v>0.9</v>
      </c>
      <c r="K274" s="133">
        <v>1</v>
      </c>
      <c r="L274" s="133">
        <v>0.967741935483871</v>
      </c>
      <c r="M274" s="134">
        <v>0.973684210526316</v>
      </c>
      <c r="N274" s="133">
        <v>0.985473561882626</v>
      </c>
      <c r="O274" s="135">
        <v>0.9</v>
      </c>
      <c r="P274" s="133">
        <v>0.986763450042698</v>
      </c>
      <c r="Q274" s="133">
        <v>0.988289567068843</v>
      </c>
      <c r="R274" s="133">
        <v>0.986520640269587</v>
      </c>
      <c r="S274" s="133">
        <v>0.980882170478514</v>
      </c>
      <c r="T274" s="135">
        <v>0.9</v>
      </c>
      <c r="U274" s="133">
        <v>0.965200683176772</v>
      </c>
      <c r="V274" s="133">
        <v>0.95777146912704</v>
      </c>
      <c r="W274" s="133">
        <v>0.962650940746981</v>
      </c>
      <c r="X274" s="133">
        <v>0.963584101906613</v>
      </c>
      <c r="Y274" s="135">
        <v>0.92</v>
      </c>
      <c r="Z274" s="135">
        <v>0.986137918933146</v>
      </c>
      <c r="AA274" s="135">
        <v>0.983679525222552</v>
      </c>
      <c r="AB274" s="135">
        <v>0.975292587776333</v>
      </c>
      <c r="AC274" s="135">
        <v>0.990834526754329</v>
      </c>
      <c r="AD274" s="135">
        <v>0.92</v>
      </c>
      <c r="AE274" s="133">
        <v>0.997930945299366</v>
      </c>
      <c r="AF274" s="133">
        <v>0.990467404674047</v>
      </c>
      <c r="AG274" s="133">
        <v>0.994327850255247</v>
      </c>
      <c r="AH274" s="133">
        <v>0.99372509115577</v>
      </c>
      <c r="AI274" s="135">
        <v>0.92</v>
      </c>
      <c r="AJ274" s="133">
        <v>0.988830043331728</v>
      </c>
      <c r="AK274" s="133">
        <v>0.99112922560537</v>
      </c>
      <c r="AL274" s="133">
        <v>0.988237600470496</v>
      </c>
      <c r="AM274" s="133">
        <v>0.993875493331029</v>
      </c>
      <c r="AN274" s="132">
        <v>0.99</v>
      </c>
      <c r="AO274" s="137">
        <v>1</v>
      </c>
      <c r="AP274" s="137">
        <v>1</v>
      </c>
      <c r="AQ274" s="137">
        <v>1</v>
      </c>
      <c r="AR274" s="137">
        <v>1</v>
      </c>
      <c r="AS274" s="158">
        <v>0.0922287257019438</v>
      </c>
      <c r="AT274" s="141">
        <v>0</v>
      </c>
      <c r="AU274" s="141">
        <v>0.0909090909090909</v>
      </c>
      <c r="AV274" s="141">
        <v>0</v>
      </c>
      <c r="AW274" s="141">
        <v>0.0865139949109415</v>
      </c>
      <c r="AX274" s="95"/>
      <c r="AY274" s="93"/>
    </row>
    <row r="275" ht="15" spans="1:51">
      <c r="A275" s="91"/>
      <c r="B275" s="95"/>
      <c r="C275" s="163" t="s">
        <v>260</v>
      </c>
      <c r="D275" s="153" t="s">
        <v>25</v>
      </c>
      <c r="E275" s="130" t="s">
        <v>261</v>
      </c>
      <c r="F275" s="164" t="s">
        <v>299</v>
      </c>
      <c r="G275" s="164" t="s">
        <v>299</v>
      </c>
      <c r="H275" s="164" t="s">
        <v>299</v>
      </c>
      <c r="I275" s="164" t="s">
        <v>299</v>
      </c>
      <c r="J275" s="132">
        <v>0.9</v>
      </c>
      <c r="K275" s="133">
        <v>0.931818181818182</v>
      </c>
      <c r="L275" s="133">
        <v>0.951807228915663</v>
      </c>
      <c r="M275" s="134">
        <v>0.884057971014493</v>
      </c>
      <c r="N275" s="133">
        <v>0.939774983454666</v>
      </c>
      <c r="O275" s="135">
        <v>0.9</v>
      </c>
      <c r="P275" s="133">
        <v>0.979961832061069</v>
      </c>
      <c r="Q275" s="133">
        <v>0.987012987012987</v>
      </c>
      <c r="R275" s="133">
        <v>0.992190550566185</v>
      </c>
      <c r="S275" s="133">
        <v>0.981180523436628</v>
      </c>
      <c r="T275" s="135">
        <v>0.9</v>
      </c>
      <c r="U275" s="133">
        <v>0.950063613231552</v>
      </c>
      <c r="V275" s="133">
        <v>0.955844155844156</v>
      </c>
      <c r="W275" s="133">
        <v>0.964467005076142</v>
      </c>
      <c r="X275" s="133">
        <v>0.959585971515606</v>
      </c>
      <c r="Y275" s="135">
        <v>0.92</v>
      </c>
      <c r="Z275" s="135">
        <v>0.984622777510812</v>
      </c>
      <c r="AA275" s="135">
        <v>0.992125984251969</v>
      </c>
      <c r="AB275" s="135">
        <v>0.986145069274654</v>
      </c>
      <c r="AC275" s="135">
        <v>0.989831321743624</v>
      </c>
      <c r="AD275" s="135">
        <v>0.92</v>
      </c>
      <c r="AE275" s="133">
        <v>1</v>
      </c>
      <c r="AF275" s="133">
        <v>0.949367088607595</v>
      </c>
      <c r="AG275" s="133">
        <v>0.99622641509434</v>
      </c>
      <c r="AH275" s="133">
        <v>0.987283616375421</v>
      </c>
      <c r="AI275" s="135">
        <v>0.92</v>
      </c>
      <c r="AJ275" s="133">
        <v>0.986449493566931</v>
      </c>
      <c r="AK275" s="133">
        <v>0.994316163410302</v>
      </c>
      <c r="AL275" s="133">
        <v>0.993138031142782</v>
      </c>
      <c r="AM275" s="133">
        <v>0.993481608212147</v>
      </c>
      <c r="AN275" s="132">
        <v>0.99</v>
      </c>
      <c r="AO275" s="137">
        <v>1</v>
      </c>
      <c r="AP275" s="137">
        <v>1</v>
      </c>
      <c r="AQ275" s="137">
        <v>1</v>
      </c>
      <c r="AR275" s="137">
        <v>1</v>
      </c>
      <c r="AS275" s="158">
        <v>0.0922287257019438</v>
      </c>
      <c r="AT275" s="141">
        <v>0.214285714285714</v>
      </c>
      <c r="AU275" s="141">
        <v>0.363636363636364</v>
      </c>
      <c r="AV275" s="141">
        <v>0.142857142857143</v>
      </c>
      <c r="AW275" s="141">
        <v>0.135265700483092</v>
      </c>
      <c r="AX275" s="95"/>
      <c r="AY275" s="93"/>
    </row>
    <row r="276" ht="15" spans="1:51">
      <c r="A276" s="91"/>
      <c r="B276" s="95"/>
      <c r="C276" s="163" t="s">
        <v>260</v>
      </c>
      <c r="D276" s="153" t="s">
        <v>25</v>
      </c>
      <c r="E276" s="130" t="s">
        <v>261</v>
      </c>
      <c r="F276" s="164" t="s">
        <v>300</v>
      </c>
      <c r="G276" s="164" t="s">
        <v>300</v>
      </c>
      <c r="H276" s="164" t="s">
        <v>300</v>
      </c>
      <c r="I276" s="164" t="s">
        <v>300</v>
      </c>
      <c r="J276" s="132">
        <v>0.9</v>
      </c>
      <c r="K276" s="133">
        <v>0.874213836477987</v>
      </c>
      <c r="L276" s="133">
        <v>0.910958904109589</v>
      </c>
      <c r="M276" s="134">
        <v>0.805084745762712</v>
      </c>
      <c r="N276" s="133">
        <v>0.904477611940299</v>
      </c>
      <c r="O276" s="135">
        <v>0.9</v>
      </c>
      <c r="P276" s="133">
        <v>0.95988346033169</v>
      </c>
      <c r="Q276" s="133">
        <v>0.975188990114363</v>
      </c>
      <c r="R276" s="133">
        <v>0.969196732471069</v>
      </c>
      <c r="S276" s="133">
        <v>0.880084058355897</v>
      </c>
      <c r="T276" s="135">
        <v>0.9</v>
      </c>
      <c r="U276" s="133">
        <v>0.93668758404303</v>
      </c>
      <c r="V276" s="133">
        <v>0.943593719713123</v>
      </c>
      <c r="W276" s="133">
        <v>0.945200816882233</v>
      </c>
      <c r="X276" s="133">
        <v>0.923799022013359</v>
      </c>
      <c r="Y276" s="135">
        <v>0.92</v>
      </c>
      <c r="Z276" s="135">
        <v>0.971881569726699</v>
      </c>
      <c r="AA276" s="135">
        <v>0.977039770397704</v>
      </c>
      <c r="AB276" s="135">
        <v>0.972377622377622</v>
      </c>
      <c r="AC276" s="135">
        <v>0.983275423400311</v>
      </c>
      <c r="AD276" s="135">
        <v>0.92</v>
      </c>
      <c r="AE276" s="133">
        <v>0.820461669991451</v>
      </c>
      <c r="AF276" s="133">
        <v>0.853781512605042</v>
      </c>
      <c r="AG276" s="133">
        <v>0.967289719626168</v>
      </c>
      <c r="AH276" s="133">
        <v>0.931828850396658</v>
      </c>
      <c r="AI276" s="135">
        <v>0.92</v>
      </c>
      <c r="AJ276" s="133">
        <v>0.977243684262263</v>
      </c>
      <c r="AK276" s="133">
        <v>0.984864438010003</v>
      </c>
      <c r="AL276" s="133">
        <v>0.98226138704509</v>
      </c>
      <c r="AM276" s="133">
        <v>0.98846771276832</v>
      </c>
      <c r="AN276" s="132">
        <v>0.99</v>
      </c>
      <c r="AO276" s="137">
        <v>1</v>
      </c>
      <c r="AP276" s="137">
        <v>1</v>
      </c>
      <c r="AQ276" s="137">
        <v>1</v>
      </c>
      <c r="AR276" s="137">
        <v>1</v>
      </c>
      <c r="AS276" s="158">
        <v>0.0922287257019438</v>
      </c>
      <c r="AT276" s="141">
        <v>0.0487804878048781</v>
      </c>
      <c r="AU276" s="141">
        <v>0.233333333333333</v>
      </c>
      <c r="AV276" s="141">
        <v>0.032258064516129</v>
      </c>
      <c r="AW276" s="141">
        <v>0.0803295571575695</v>
      </c>
      <c r="AX276" s="95"/>
      <c r="AY276" s="93"/>
    </row>
    <row r="277" ht="15" spans="1:51">
      <c r="A277" s="91"/>
      <c r="B277" s="95"/>
      <c r="C277" s="163" t="s">
        <v>260</v>
      </c>
      <c r="D277" s="153" t="s">
        <v>125</v>
      </c>
      <c r="E277" s="130" t="s">
        <v>261</v>
      </c>
      <c r="F277" s="164" t="s">
        <v>301</v>
      </c>
      <c r="G277" s="164" t="s">
        <v>301</v>
      </c>
      <c r="H277" s="164" t="s">
        <v>301</v>
      </c>
      <c r="I277" s="164" t="s">
        <v>301</v>
      </c>
      <c r="J277" s="132">
        <v>0.9</v>
      </c>
      <c r="K277" s="133" t="s">
        <v>35</v>
      </c>
      <c r="L277" s="133" t="s">
        <v>35</v>
      </c>
      <c r="M277" s="134" t="s">
        <v>35</v>
      </c>
      <c r="N277" s="133" t="s">
        <v>35</v>
      </c>
      <c r="O277" s="135">
        <v>0.9</v>
      </c>
      <c r="P277" s="133" t="s">
        <v>35</v>
      </c>
      <c r="Q277" s="133" t="s">
        <v>35</v>
      </c>
      <c r="R277" s="133" t="s">
        <v>35</v>
      </c>
      <c r="S277" s="133">
        <v>0</v>
      </c>
      <c r="T277" s="135">
        <v>0.9</v>
      </c>
      <c r="U277" s="133" t="s">
        <v>35</v>
      </c>
      <c r="V277" s="133" t="s">
        <v>35</v>
      </c>
      <c r="W277" s="133" t="s">
        <v>35</v>
      </c>
      <c r="X277" s="133">
        <v>1</v>
      </c>
      <c r="Y277" s="135">
        <v>0.92</v>
      </c>
      <c r="Z277" s="135" t="s">
        <v>35</v>
      </c>
      <c r="AA277" s="135" t="s">
        <v>35</v>
      </c>
      <c r="AB277" s="135" t="s">
        <v>35</v>
      </c>
      <c r="AC277" s="135" t="s">
        <v>35</v>
      </c>
      <c r="AD277" s="135">
        <v>0.92</v>
      </c>
      <c r="AE277" s="133">
        <v>0.985714285714286</v>
      </c>
      <c r="AF277" s="133">
        <v>0.983792544570502</v>
      </c>
      <c r="AG277" s="133">
        <v>0.958041958041958</v>
      </c>
      <c r="AH277" s="133">
        <v>0.919670965776379</v>
      </c>
      <c r="AI277" s="135">
        <v>0.92</v>
      </c>
      <c r="AJ277" s="133" t="s">
        <v>35</v>
      </c>
      <c r="AK277" s="133" t="s">
        <v>35</v>
      </c>
      <c r="AL277" s="133" t="s">
        <v>35</v>
      </c>
      <c r="AM277" s="133">
        <v>1</v>
      </c>
      <c r="AN277" s="132">
        <v>0.99</v>
      </c>
      <c r="AO277" s="137">
        <v>1</v>
      </c>
      <c r="AP277" s="137">
        <v>1</v>
      </c>
      <c r="AQ277" s="137">
        <v>1</v>
      </c>
      <c r="AR277" s="137">
        <v>1</v>
      </c>
      <c r="AS277" s="158">
        <v>0.0922287257019438</v>
      </c>
      <c r="AT277" s="141" t="s">
        <v>35</v>
      </c>
      <c r="AU277" s="141" t="s">
        <v>35</v>
      </c>
      <c r="AV277" s="141" t="s">
        <v>35</v>
      </c>
      <c r="AW277" s="141" t="s">
        <v>35</v>
      </c>
      <c r="AX277" s="95"/>
      <c r="AY277" s="93"/>
    </row>
    <row r="278" ht="15" spans="1:51">
      <c r="A278" s="91"/>
      <c r="B278" s="95"/>
      <c r="C278" s="163" t="s">
        <v>260</v>
      </c>
      <c r="D278" s="153" t="s">
        <v>125</v>
      </c>
      <c r="E278" s="130" t="s">
        <v>261</v>
      </c>
      <c r="F278" s="164" t="s">
        <v>302</v>
      </c>
      <c r="G278" s="164" t="s">
        <v>302</v>
      </c>
      <c r="H278" s="164" t="s">
        <v>302</v>
      </c>
      <c r="I278" s="164" t="s">
        <v>302</v>
      </c>
      <c r="J278" s="132">
        <v>0.9</v>
      </c>
      <c r="K278" s="133" t="s">
        <v>35</v>
      </c>
      <c r="L278" s="133" t="s">
        <v>35</v>
      </c>
      <c r="M278" s="134" t="s">
        <v>35</v>
      </c>
      <c r="N278" s="133" t="s">
        <v>35</v>
      </c>
      <c r="O278" s="135">
        <v>0.9</v>
      </c>
      <c r="P278" s="133" t="s">
        <v>35</v>
      </c>
      <c r="Q278" s="133" t="s">
        <v>35</v>
      </c>
      <c r="R278" s="133" t="s">
        <v>35</v>
      </c>
      <c r="S278" s="133" t="s">
        <v>35</v>
      </c>
      <c r="T278" s="135">
        <v>0.9</v>
      </c>
      <c r="U278" s="133" t="s">
        <v>35</v>
      </c>
      <c r="V278" s="133" t="s">
        <v>35</v>
      </c>
      <c r="W278" s="133" t="s">
        <v>35</v>
      </c>
      <c r="X278" s="133" t="s">
        <v>35</v>
      </c>
      <c r="Y278" s="135">
        <v>0.92</v>
      </c>
      <c r="Z278" s="135" t="s">
        <v>35</v>
      </c>
      <c r="AA278" s="135" t="s">
        <v>35</v>
      </c>
      <c r="AB278" s="135" t="s">
        <v>35</v>
      </c>
      <c r="AC278" s="135" t="s">
        <v>35</v>
      </c>
      <c r="AD278" s="135">
        <v>0.92</v>
      </c>
      <c r="AE278" s="133">
        <v>0.998477929984779</v>
      </c>
      <c r="AF278" s="133">
        <v>0.842105263157895</v>
      </c>
      <c r="AG278" s="133">
        <v>0.830882352941177</v>
      </c>
      <c r="AH278" s="133">
        <v>0.734370172005356</v>
      </c>
      <c r="AI278" s="135">
        <v>0.92</v>
      </c>
      <c r="AJ278" s="133" t="s">
        <v>35</v>
      </c>
      <c r="AK278" s="133" t="s">
        <v>35</v>
      </c>
      <c r="AL278" s="133" t="s">
        <v>35</v>
      </c>
      <c r="AM278" s="133" t="s">
        <v>35</v>
      </c>
      <c r="AN278" s="132">
        <v>0.99</v>
      </c>
      <c r="AO278" s="137" t="s">
        <v>35</v>
      </c>
      <c r="AP278" s="137">
        <v>1</v>
      </c>
      <c r="AQ278" s="137" t="s">
        <v>35</v>
      </c>
      <c r="AR278" s="137">
        <v>1</v>
      </c>
      <c r="AS278" s="158">
        <v>0.0922287257019438</v>
      </c>
      <c r="AT278" s="141" t="s">
        <v>35</v>
      </c>
      <c r="AU278" s="141" t="s">
        <v>35</v>
      </c>
      <c r="AV278" s="141" t="s">
        <v>35</v>
      </c>
      <c r="AW278" s="141" t="s">
        <v>35</v>
      </c>
      <c r="AX278" s="95"/>
      <c r="AY278" s="93"/>
    </row>
    <row r="279" ht="15" spans="1:51">
      <c r="A279" s="91"/>
      <c r="B279" s="95"/>
      <c r="C279" s="163" t="s">
        <v>260</v>
      </c>
      <c r="D279" s="153" t="s">
        <v>125</v>
      </c>
      <c r="E279" s="130" t="s">
        <v>261</v>
      </c>
      <c r="F279" s="164" t="s">
        <v>303</v>
      </c>
      <c r="G279" s="164" t="s">
        <v>303</v>
      </c>
      <c r="H279" s="164" t="s">
        <v>303</v>
      </c>
      <c r="I279" s="164" t="s">
        <v>303</v>
      </c>
      <c r="J279" s="132">
        <v>0.9</v>
      </c>
      <c r="K279" s="133" t="s">
        <v>35</v>
      </c>
      <c r="L279" s="133" t="s">
        <v>35</v>
      </c>
      <c r="M279" s="134" t="s">
        <v>35</v>
      </c>
      <c r="N279" s="133" t="s">
        <v>35</v>
      </c>
      <c r="O279" s="135">
        <v>0.9</v>
      </c>
      <c r="P279" s="133" t="s">
        <v>35</v>
      </c>
      <c r="Q279" s="133" t="s">
        <v>35</v>
      </c>
      <c r="R279" s="133" t="s">
        <v>35</v>
      </c>
      <c r="S279" s="133">
        <v>0</v>
      </c>
      <c r="T279" s="135">
        <v>0.9</v>
      </c>
      <c r="U279" s="133" t="s">
        <v>35</v>
      </c>
      <c r="V279" s="133" t="s">
        <v>35</v>
      </c>
      <c r="W279" s="133" t="s">
        <v>35</v>
      </c>
      <c r="X279" s="133">
        <v>1</v>
      </c>
      <c r="Y279" s="135">
        <v>0.92</v>
      </c>
      <c r="Z279" s="135" t="s">
        <v>35</v>
      </c>
      <c r="AA279" s="135" t="s">
        <v>35</v>
      </c>
      <c r="AB279" s="135" t="s">
        <v>35</v>
      </c>
      <c r="AC279" s="135" t="s">
        <v>35</v>
      </c>
      <c r="AD279" s="135">
        <v>0.92</v>
      </c>
      <c r="AE279" s="133">
        <v>0.998236331569665</v>
      </c>
      <c r="AF279" s="133">
        <v>1</v>
      </c>
      <c r="AG279" s="133">
        <v>1</v>
      </c>
      <c r="AH279" s="133">
        <v>0.935299884145798</v>
      </c>
      <c r="AI279" s="135">
        <v>0.92</v>
      </c>
      <c r="AJ279" s="133" t="s">
        <v>35</v>
      </c>
      <c r="AK279" s="133" t="s">
        <v>35</v>
      </c>
      <c r="AL279" s="133" t="s">
        <v>35</v>
      </c>
      <c r="AM279" s="133">
        <v>1</v>
      </c>
      <c r="AN279" s="132">
        <v>0.99</v>
      </c>
      <c r="AO279" s="137" t="s">
        <v>35</v>
      </c>
      <c r="AP279" s="137">
        <v>1</v>
      </c>
      <c r="AQ279" s="137" t="s">
        <v>35</v>
      </c>
      <c r="AR279" s="137">
        <v>1</v>
      </c>
      <c r="AS279" s="158">
        <v>0.0922287257019438</v>
      </c>
      <c r="AT279" s="141" t="s">
        <v>35</v>
      </c>
      <c r="AU279" s="141" t="s">
        <v>35</v>
      </c>
      <c r="AV279" s="141" t="s">
        <v>35</v>
      </c>
      <c r="AW279" s="141" t="s">
        <v>35</v>
      </c>
      <c r="AX279" s="95"/>
      <c r="AY279" s="93"/>
    </row>
    <row r="280" ht="15" spans="1:51">
      <c r="A280" s="91"/>
      <c r="B280" s="95"/>
      <c r="C280" s="163" t="s">
        <v>260</v>
      </c>
      <c r="D280" s="153" t="s">
        <v>125</v>
      </c>
      <c r="E280" s="130" t="s">
        <v>261</v>
      </c>
      <c r="F280" s="164" t="s">
        <v>304</v>
      </c>
      <c r="G280" s="164" t="s">
        <v>304</v>
      </c>
      <c r="H280" s="164" t="s">
        <v>304</v>
      </c>
      <c r="I280" s="164" t="s">
        <v>304</v>
      </c>
      <c r="J280" s="132">
        <v>0.9</v>
      </c>
      <c r="K280" s="133" t="s">
        <v>35</v>
      </c>
      <c r="L280" s="133" t="s">
        <v>35</v>
      </c>
      <c r="M280" s="134" t="s">
        <v>35</v>
      </c>
      <c r="N280" s="133" t="s">
        <v>35</v>
      </c>
      <c r="O280" s="135">
        <v>0.9</v>
      </c>
      <c r="P280" s="133" t="s">
        <v>35</v>
      </c>
      <c r="Q280" s="133" t="s">
        <v>35</v>
      </c>
      <c r="R280" s="133" t="s">
        <v>35</v>
      </c>
      <c r="S280" s="133">
        <v>0</v>
      </c>
      <c r="T280" s="135">
        <v>0.9</v>
      </c>
      <c r="U280" s="133" t="s">
        <v>35</v>
      </c>
      <c r="V280" s="133" t="s">
        <v>35</v>
      </c>
      <c r="W280" s="133" t="s">
        <v>35</v>
      </c>
      <c r="X280" s="133">
        <v>0</v>
      </c>
      <c r="Y280" s="135">
        <v>0.92</v>
      </c>
      <c r="Z280" s="135" t="s">
        <v>35</v>
      </c>
      <c r="AA280" s="135" t="s">
        <v>35</v>
      </c>
      <c r="AB280" s="135" t="s">
        <v>35</v>
      </c>
      <c r="AC280" s="135">
        <v>0</v>
      </c>
      <c r="AD280" s="135">
        <v>0.92</v>
      </c>
      <c r="AE280" s="133">
        <v>0.807228915662651</v>
      </c>
      <c r="AF280" s="133">
        <v>0.970238095238095</v>
      </c>
      <c r="AG280" s="133">
        <v>0.813559322033898</v>
      </c>
      <c r="AH280" s="133">
        <v>0.881897711978466</v>
      </c>
      <c r="AI280" s="135">
        <v>0.92</v>
      </c>
      <c r="AJ280" s="133" t="s">
        <v>35</v>
      </c>
      <c r="AK280" s="133" t="s">
        <v>35</v>
      </c>
      <c r="AL280" s="133" t="s">
        <v>35</v>
      </c>
      <c r="AM280" s="133">
        <v>0</v>
      </c>
      <c r="AN280" s="132">
        <v>0.99</v>
      </c>
      <c r="AO280" s="137" t="s">
        <v>35</v>
      </c>
      <c r="AP280" s="137" t="s">
        <v>35</v>
      </c>
      <c r="AQ280" s="137" t="s">
        <v>35</v>
      </c>
      <c r="AR280" s="137">
        <v>1</v>
      </c>
      <c r="AS280" s="158">
        <v>0.0922287257019438</v>
      </c>
      <c r="AT280" s="141" t="s">
        <v>35</v>
      </c>
      <c r="AU280" s="141" t="s">
        <v>35</v>
      </c>
      <c r="AV280" s="141" t="s">
        <v>35</v>
      </c>
      <c r="AW280" s="141" t="s">
        <v>35</v>
      </c>
      <c r="AX280" s="95"/>
      <c r="AY280" s="93"/>
    </row>
    <row r="281" ht="15" spans="1:51">
      <c r="A281" s="91"/>
      <c r="B281" s="95"/>
      <c r="C281" s="163" t="s">
        <v>260</v>
      </c>
      <c r="D281" s="153" t="s">
        <v>25</v>
      </c>
      <c r="E281" s="130" t="s">
        <v>261</v>
      </c>
      <c r="F281" s="164" t="s">
        <v>305</v>
      </c>
      <c r="G281" s="164" t="s">
        <v>305</v>
      </c>
      <c r="H281" s="164" t="s">
        <v>305</v>
      </c>
      <c r="I281" s="164" t="s">
        <v>305</v>
      </c>
      <c r="J281" s="132">
        <v>0.9</v>
      </c>
      <c r="K281" s="133">
        <v>0.833333333333333</v>
      </c>
      <c r="L281" s="133">
        <v>0.941176470588235</v>
      </c>
      <c r="M281" s="134">
        <v>0.857142857142857</v>
      </c>
      <c r="N281" s="133">
        <v>0.890365448504983</v>
      </c>
      <c r="O281" s="135">
        <v>0.9</v>
      </c>
      <c r="P281" s="133">
        <v>0.985842026825633</v>
      </c>
      <c r="Q281" s="133">
        <v>0.991332611050921</v>
      </c>
      <c r="R281" s="133">
        <v>0.979452054794521</v>
      </c>
      <c r="S281" s="133">
        <v>0.985916090442455</v>
      </c>
      <c r="T281" s="135">
        <v>0.9</v>
      </c>
      <c r="U281" s="133">
        <v>0.938152011922504</v>
      </c>
      <c r="V281" s="133">
        <v>0.936078006500542</v>
      </c>
      <c r="W281" s="133">
        <v>0.919765166340509</v>
      </c>
      <c r="X281" s="133">
        <v>0.919568998430408</v>
      </c>
      <c r="Y281" s="135">
        <v>0.92</v>
      </c>
      <c r="Z281" s="135">
        <v>0.975049244911359</v>
      </c>
      <c r="AA281" s="135">
        <v>0.975143403441683</v>
      </c>
      <c r="AB281" s="135">
        <v>0.983606557377049</v>
      </c>
      <c r="AC281" s="135">
        <v>0.98330281159108</v>
      </c>
      <c r="AD281" s="135">
        <v>0.92</v>
      </c>
      <c r="AE281" s="133">
        <v>0.947604485219164</v>
      </c>
      <c r="AF281" s="133">
        <v>0.997919980423345</v>
      </c>
      <c r="AG281" s="133">
        <v>0.999549887471868</v>
      </c>
      <c r="AH281" s="133">
        <v>0.963463912106891</v>
      </c>
      <c r="AI281" s="135">
        <v>0.92</v>
      </c>
      <c r="AJ281" s="133">
        <v>0.980104712041885</v>
      </c>
      <c r="AK281" s="133">
        <v>0.98686030428769</v>
      </c>
      <c r="AL281" s="133">
        <v>0.986092715231788</v>
      </c>
      <c r="AM281" s="133">
        <v>0.988872280352101</v>
      </c>
      <c r="AN281" s="132">
        <v>0.99</v>
      </c>
      <c r="AO281" s="137">
        <v>1</v>
      </c>
      <c r="AP281" s="137">
        <v>1</v>
      </c>
      <c r="AQ281" s="137">
        <v>1</v>
      </c>
      <c r="AR281" s="137">
        <v>1</v>
      </c>
      <c r="AS281" s="158">
        <v>0.0922287257019438</v>
      </c>
      <c r="AT281" s="141">
        <v>0</v>
      </c>
      <c r="AU281" s="141">
        <v>0.125</v>
      </c>
      <c r="AV281" s="141">
        <v>0</v>
      </c>
      <c r="AW281" s="141">
        <v>0.0808080808080808</v>
      </c>
      <c r="AX281" s="95"/>
      <c r="AY281" s="93"/>
    </row>
    <row r="282" ht="15" spans="1:51">
      <c r="A282" s="91"/>
      <c r="B282" s="95"/>
      <c r="C282" s="163" t="s">
        <v>260</v>
      </c>
      <c r="D282" s="153" t="s">
        <v>125</v>
      </c>
      <c r="E282" s="130" t="s">
        <v>261</v>
      </c>
      <c r="F282" s="164" t="s">
        <v>306</v>
      </c>
      <c r="G282" s="164" t="s">
        <v>306</v>
      </c>
      <c r="H282" s="164" t="s">
        <v>306</v>
      </c>
      <c r="I282" s="164" t="s">
        <v>306</v>
      </c>
      <c r="J282" s="132">
        <v>0.9</v>
      </c>
      <c r="K282" s="133" t="s">
        <v>35</v>
      </c>
      <c r="L282" s="133" t="s">
        <v>35</v>
      </c>
      <c r="M282" s="134" t="s">
        <v>35</v>
      </c>
      <c r="N282" s="133" t="s">
        <v>35</v>
      </c>
      <c r="O282" s="135">
        <v>0.9</v>
      </c>
      <c r="P282" s="133">
        <v>0</v>
      </c>
      <c r="Q282" s="133">
        <v>0</v>
      </c>
      <c r="R282" s="133" t="s">
        <v>35</v>
      </c>
      <c r="S282" s="133">
        <v>0</v>
      </c>
      <c r="T282" s="135">
        <v>0.9</v>
      </c>
      <c r="U282" s="133">
        <v>0</v>
      </c>
      <c r="V282" s="133">
        <v>0</v>
      </c>
      <c r="W282" s="133" t="s">
        <v>35</v>
      </c>
      <c r="X282" s="133">
        <v>0.764705882352941</v>
      </c>
      <c r="Y282" s="135">
        <v>0.92</v>
      </c>
      <c r="Z282" s="135">
        <v>0</v>
      </c>
      <c r="AA282" s="135">
        <v>0</v>
      </c>
      <c r="AB282" s="135" t="s">
        <v>35</v>
      </c>
      <c r="AC282" s="135">
        <v>0.5</v>
      </c>
      <c r="AD282" s="135">
        <v>0.92</v>
      </c>
      <c r="AE282" s="133">
        <v>1</v>
      </c>
      <c r="AF282" s="133">
        <v>0.996589940323956</v>
      </c>
      <c r="AG282" s="133">
        <v>0.999095022624434</v>
      </c>
      <c r="AH282" s="133">
        <v>0.998155051734632</v>
      </c>
      <c r="AI282" s="135">
        <v>0.92</v>
      </c>
      <c r="AJ282" s="133">
        <v>0</v>
      </c>
      <c r="AK282" s="133">
        <v>0</v>
      </c>
      <c r="AL282" s="133" t="s">
        <v>35</v>
      </c>
      <c r="AM282" s="133">
        <v>0.8</v>
      </c>
      <c r="AN282" s="132">
        <v>0.99</v>
      </c>
      <c r="AO282" s="137">
        <v>1</v>
      </c>
      <c r="AP282" s="137">
        <v>1</v>
      </c>
      <c r="AQ282" s="137">
        <v>1</v>
      </c>
      <c r="AR282" s="137">
        <v>1</v>
      </c>
      <c r="AS282" s="158">
        <v>0.0922287257019438</v>
      </c>
      <c r="AT282" s="141" t="s">
        <v>35</v>
      </c>
      <c r="AU282" s="141" t="s">
        <v>35</v>
      </c>
      <c r="AV282" s="141" t="s">
        <v>35</v>
      </c>
      <c r="AW282" s="141" t="s">
        <v>35</v>
      </c>
      <c r="AX282" s="95"/>
      <c r="AY282" s="93"/>
    </row>
    <row r="283" s="86" customFormat="1" ht="15" spans="1:51">
      <c r="A283" s="91"/>
      <c r="B283" s="88"/>
      <c r="C283" s="163" t="s">
        <v>260</v>
      </c>
      <c r="D283" s="153" t="s">
        <v>25</v>
      </c>
      <c r="E283" s="130" t="s">
        <v>261</v>
      </c>
      <c r="F283" s="164" t="s">
        <v>307</v>
      </c>
      <c r="G283" s="164" t="s">
        <v>307</v>
      </c>
      <c r="H283" s="164" t="s">
        <v>307</v>
      </c>
      <c r="I283" s="164" t="s">
        <v>307</v>
      </c>
      <c r="J283" s="132">
        <v>0.9</v>
      </c>
      <c r="K283" s="133">
        <v>0.994186046511628</v>
      </c>
      <c r="L283" s="133">
        <v>0.993670886075949</v>
      </c>
      <c r="M283" s="134">
        <v>0.984732824427481</v>
      </c>
      <c r="N283" s="133">
        <v>0.982935153583618</v>
      </c>
      <c r="O283" s="135">
        <v>0.9</v>
      </c>
      <c r="P283" s="133">
        <v>0.976828657314629</v>
      </c>
      <c r="Q283" s="133">
        <v>0.968719260279363</v>
      </c>
      <c r="R283" s="133">
        <v>0.97335701598579</v>
      </c>
      <c r="S283" s="133">
        <v>0.936329090713658</v>
      </c>
      <c r="T283" s="135">
        <v>0.9</v>
      </c>
      <c r="U283" s="133">
        <v>0.921593186372745</v>
      </c>
      <c r="V283" s="133">
        <v>0.914027149321267</v>
      </c>
      <c r="W283" s="133">
        <v>0.923300500565154</v>
      </c>
      <c r="X283" s="133">
        <v>0.91019050690137</v>
      </c>
      <c r="Y283" s="135">
        <v>0.92</v>
      </c>
      <c r="Z283" s="135">
        <v>0.979390484542863</v>
      </c>
      <c r="AA283" s="135">
        <v>0.976229508196721</v>
      </c>
      <c r="AB283" s="135">
        <v>0.966704077815189</v>
      </c>
      <c r="AC283" s="135">
        <v>0.980327263087712</v>
      </c>
      <c r="AD283" s="135">
        <v>0.92</v>
      </c>
      <c r="AE283" s="133">
        <v>0.99668780546916</v>
      </c>
      <c r="AF283" s="133">
        <v>0.993703563782899</v>
      </c>
      <c r="AG283" s="133">
        <v>0.994917762698612</v>
      </c>
      <c r="AH283" s="133">
        <v>0.988105782401533</v>
      </c>
      <c r="AI283" s="135">
        <v>0.92</v>
      </c>
      <c r="AJ283" s="133">
        <v>0.985917961902536</v>
      </c>
      <c r="AK283" s="133">
        <v>0.986181238373638</v>
      </c>
      <c r="AL283" s="133">
        <v>0.982980162308386</v>
      </c>
      <c r="AM283" s="133">
        <v>0.987567863900826</v>
      </c>
      <c r="AN283" s="132">
        <v>0.99</v>
      </c>
      <c r="AO283" s="137">
        <v>1</v>
      </c>
      <c r="AP283" s="137">
        <v>1</v>
      </c>
      <c r="AQ283" s="137">
        <v>1</v>
      </c>
      <c r="AR283" s="137">
        <v>1</v>
      </c>
      <c r="AS283" s="158">
        <v>0.0922287257019438</v>
      </c>
      <c r="AT283" s="141">
        <v>0.075</v>
      </c>
      <c r="AU283" s="141">
        <v>0.09375</v>
      </c>
      <c r="AV283" s="141">
        <v>0.0588235294117647</v>
      </c>
      <c r="AW283" s="141">
        <v>0.0650636492220651</v>
      </c>
      <c r="AX283" s="88"/>
      <c r="AY283" s="93"/>
    </row>
    <row r="284" s="86" customFormat="1" ht="15" spans="1:51">
      <c r="A284" s="91"/>
      <c r="B284" s="88"/>
      <c r="C284" s="163" t="s">
        <v>260</v>
      </c>
      <c r="D284" s="153" t="s">
        <v>25</v>
      </c>
      <c r="E284" s="130" t="s">
        <v>261</v>
      </c>
      <c r="F284" s="164" t="s">
        <v>308</v>
      </c>
      <c r="G284" s="164" t="s">
        <v>308</v>
      </c>
      <c r="H284" s="164" t="s">
        <v>308</v>
      </c>
      <c r="I284" s="164" t="s">
        <v>308</v>
      </c>
      <c r="J284" s="132">
        <v>0.9</v>
      </c>
      <c r="K284" s="133">
        <v>0.985714285714286</v>
      </c>
      <c r="L284" s="133">
        <v>0.9375</v>
      </c>
      <c r="M284" s="134">
        <v>0.979166666666667</v>
      </c>
      <c r="N284" s="133">
        <v>0.929107589658048</v>
      </c>
      <c r="O284" s="135">
        <v>0.9</v>
      </c>
      <c r="P284" s="133">
        <v>0.953552752999077</v>
      </c>
      <c r="Q284" s="133">
        <v>0.955742887249737</v>
      </c>
      <c r="R284" s="133">
        <v>0.975033437360678</v>
      </c>
      <c r="S284" s="133">
        <v>0.965690430109247</v>
      </c>
      <c r="T284" s="135">
        <v>0.9</v>
      </c>
      <c r="U284" s="133">
        <v>0.920024607812981</v>
      </c>
      <c r="V284" s="133">
        <v>0.924130663856691</v>
      </c>
      <c r="W284" s="133">
        <v>0.925100312082033</v>
      </c>
      <c r="X284" s="133">
        <v>0.928661686847198</v>
      </c>
      <c r="Y284" s="135">
        <v>0.92</v>
      </c>
      <c r="Z284" s="135">
        <v>0.979061754571959</v>
      </c>
      <c r="AA284" s="135">
        <v>0.994350282485876</v>
      </c>
      <c r="AB284" s="135">
        <v>0.980207351555137</v>
      </c>
      <c r="AC284" s="135">
        <v>0.99139303859862</v>
      </c>
      <c r="AD284" s="135">
        <v>0.92</v>
      </c>
      <c r="AE284" s="133">
        <v>0.996831519493043</v>
      </c>
      <c r="AF284" s="133">
        <v>0.965618860510805</v>
      </c>
      <c r="AG284" s="133">
        <v>0.992432432432432</v>
      </c>
      <c r="AH284" s="133">
        <v>0.988681129065515</v>
      </c>
      <c r="AI284" s="135">
        <v>0.92</v>
      </c>
      <c r="AJ284" s="133">
        <v>0.980071174377224</v>
      </c>
      <c r="AK284" s="133">
        <v>0.993532159540065</v>
      </c>
      <c r="AL284" s="133">
        <v>0.989709443099274</v>
      </c>
      <c r="AM284" s="133">
        <v>0.993303668236661</v>
      </c>
      <c r="AN284" s="132">
        <v>0.99</v>
      </c>
      <c r="AO284" s="137">
        <v>1</v>
      </c>
      <c r="AP284" s="137">
        <v>1</v>
      </c>
      <c r="AQ284" s="137">
        <v>1</v>
      </c>
      <c r="AR284" s="137">
        <v>1</v>
      </c>
      <c r="AS284" s="158">
        <v>0.0922287257019438</v>
      </c>
      <c r="AT284" s="141">
        <v>0</v>
      </c>
      <c r="AU284" s="141">
        <v>0</v>
      </c>
      <c r="AV284" s="141">
        <v>0.1</v>
      </c>
      <c r="AW284" s="141">
        <v>0.0480349344978166</v>
      </c>
      <c r="AX284" s="88"/>
      <c r="AY284" s="93"/>
    </row>
    <row r="285" s="86" customFormat="1" ht="15" spans="1:51">
      <c r="A285" s="91"/>
      <c r="B285" s="88"/>
      <c r="C285" s="163" t="s">
        <v>260</v>
      </c>
      <c r="D285" s="153" t="s">
        <v>25</v>
      </c>
      <c r="E285" s="130" t="s">
        <v>261</v>
      </c>
      <c r="F285" s="164" t="s">
        <v>309</v>
      </c>
      <c r="G285" s="164" t="s">
        <v>309</v>
      </c>
      <c r="H285" s="164" t="s">
        <v>309</v>
      </c>
      <c r="I285" s="164" t="s">
        <v>309</v>
      </c>
      <c r="J285" s="132">
        <v>0.9</v>
      </c>
      <c r="K285" s="133">
        <v>0.960629921259842</v>
      </c>
      <c r="L285" s="133">
        <v>0.964601769911504</v>
      </c>
      <c r="M285" s="134">
        <v>0.905263157894737</v>
      </c>
      <c r="N285" s="133">
        <v>0.929203539823009</v>
      </c>
      <c r="O285" s="135">
        <v>0.9</v>
      </c>
      <c r="P285" s="133">
        <v>0.969224776003117</v>
      </c>
      <c r="Q285" s="133">
        <v>0.964332460732984</v>
      </c>
      <c r="R285" s="133">
        <v>0.975334018499486</v>
      </c>
      <c r="S285" s="133">
        <v>0.943210513704311</v>
      </c>
      <c r="T285" s="135">
        <v>0.9</v>
      </c>
      <c r="U285" s="133">
        <v>0.929489676665368</v>
      </c>
      <c r="V285" s="133">
        <v>0.919175392670157</v>
      </c>
      <c r="W285" s="133">
        <v>0.926772867420349</v>
      </c>
      <c r="X285" s="133">
        <v>0.924243820618215</v>
      </c>
      <c r="Y285" s="135">
        <v>0.92</v>
      </c>
      <c r="Z285" s="135">
        <v>0.983169910727353</v>
      </c>
      <c r="AA285" s="135">
        <v>0.990335051546392</v>
      </c>
      <c r="AB285" s="135">
        <v>0.974839400428266</v>
      </c>
      <c r="AC285" s="135">
        <v>0.988879570431203</v>
      </c>
      <c r="AD285" s="135">
        <v>0.92</v>
      </c>
      <c r="AE285" s="133">
        <v>0.992568659127625</v>
      </c>
      <c r="AF285" s="133">
        <v>0.872623574144487</v>
      </c>
      <c r="AG285" s="133">
        <v>0.987873888439774</v>
      </c>
      <c r="AH285" s="133">
        <v>0.884697795786749</v>
      </c>
      <c r="AI285" s="135">
        <v>0.92</v>
      </c>
      <c r="AJ285" s="133">
        <v>0.986131996658312</v>
      </c>
      <c r="AK285" s="133">
        <v>0.995008680555556</v>
      </c>
      <c r="AL285" s="133">
        <v>0.9859375</v>
      </c>
      <c r="AM285" s="133">
        <v>0.992981895686811</v>
      </c>
      <c r="AN285" s="132">
        <v>0.99</v>
      </c>
      <c r="AO285" s="137">
        <v>1</v>
      </c>
      <c r="AP285" s="137">
        <v>1</v>
      </c>
      <c r="AQ285" s="137">
        <v>1</v>
      </c>
      <c r="AR285" s="137">
        <v>1</v>
      </c>
      <c r="AS285" s="158">
        <v>0.0922287257019438</v>
      </c>
      <c r="AT285" s="141">
        <v>0</v>
      </c>
      <c r="AU285" s="141">
        <v>0.277777777777778</v>
      </c>
      <c r="AV285" s="141">
        <v>0.416666666666667</v>
      </c>
      <c r="AW285" s="141">
        <v>0.109947643979058</v>
      </c>
      <c r="AX285" s="88"/>
      <c r="AY285" s="93"/>
    </row>
    <row r="286" s="86" customFormat="1" ht="15" spans="1:51">
      <c r="A286" s="91"/>
      <c r="B286" s="88"/>
      <c r="C286" s="163" t="s">
        <v>260</v>
      </c>
      <c r="D286" s="153" t="s">
        <v>25</v>
      </c>
      <c r="E286" s="130" t="s">
        <v>261</v>
      </c>
      <c r="F286" s="164" t="s">
        <v>310</v>
      </c>
      <c r="G286" s="164" t="s">
        <v>310</v>
      </c>
      <c r="H286" s="164" t="s">
        <v>310</v>
      </c>
      <c r="I286" s="164" t="s">
        <v>310</v>
      </c>
      <c r="J286" s="132">
        <v>0.9</v>
      </c>
      <c r="K286" s="133">
        <v>0.918181818181818</v>
      </c>
      <c r="L286" s="133">
        <v>0.897959183673469</v>
      </c>
      <c r="M286" s="134">
        <v>0.846153846153846</v>
      </c>
      <c r="N286" s="133">
        <v>0.886435331230284</v>
      </c>
      <c r="O286" s="135">
        <v>0.9</v>
      </c>
      <c r="P286" s="133">
        <v>0.94502508361204</v>
      </c>
      <c r="Q286" s="133">
        <v>0.952462380300958</v>
      </c>
      <c r="R286" s="133">
        <v>0.928673732454884</v>
      </c>
      <c r="S286" s="133">
        <v>0.917146659352492</v>
      </c>
      <c r="T286" s="135">
        <v>0.9</v>
      </c>
      <c r="U286" s="133">
        <v>0.926630434782609</v>
      </c>
      <c r="V286" s="133">
        <v>0.937414500683995</v>
      </c>
      <c r="W286" s="133">
        <v>0.915783443139502</v>
      </c>
      <c r="X286" s="133">
        <v>0.930230904417964</v>
      </c>
      <c r="Y286" s="135">
        <v>0.92</v>
      </c>
      <c r="Z286" s="135">
        <v>0.955610561056106</v>
      </c>
      <c r="AA286" s="135">
        <v>0.95572733661279</v>
      </c>
      <c r="AB286" s="135">
        <v>0.942596216568819</v>
      </c>
      <c r="AC286" s="135">
        <v>0.96934899088018</v>
      </c>
      <c r="AD286" s="135">
        <v>0.92</v>
      </c>
      <c r="AE286" s="133">
        <v>0.995519713261649</v>
      </c>
      <c r="AF286" s="133">
        <v>0.927295918367347</v>
      </c>
      <c r="AG286" s="133">
        <v>0.734177215189873</v>
      </c>
      <c r="AH286" s="133">
        <v>0.986739204352261</v>
      </c>
      <c r="AI286" s="135">
        <v>0.92</v>
      </c>
      <c r="AJ286" s="133">
        <v>0.967637838834593</v>
      </c>
      <c r="AK286" s="133">
        <v>0.978155897907565</v>
      </c>
      <c r="AL286" s="133">
        <v>0.96955223880597</v>
      </c>
      <c r="AM286" s="133">
        <v>0.980863832587817</v>
      </c>
      <c r="AN286" s="132">
        <v>0.99</v>
      </c>
      <c r="AO286" s="137">
        <v>1</v>
      </c>
      <c r="AP286" s="137">
        <v>1</v>
      </c>
      <c r="AQ286" s="137">
        <v>1</v>
      </c>
      <c r="AR286" s="137">
        <v>1</v>
      </c>
      <c r="AS286" s="158">
        <v>0.0922287257019438</v>
      </c>
      <c r="AT286" s="141">
        <v>0.0625</v>
      </c>
      <c r="AU286" s="141">
        <v>0.111111111111111</v>
      </c>
      <c r="AV286" s="141">
        <v>0.222222222222222</v>
      </c>
      <c r="AW286" s="141">
        <v>0.0741758241758242</v>
      </c>
      <c r="AX286" s="88"/>
      <c r="AY286" s="93"/>
    </row>
    <row r="287" s="86" customFormat="1" ht="15" spans="1:51">
      <c r="A287" s="91"/>
      <c r="B287" s="88"/>
      <c r="C287" s="163" t="s">
        <v>260</v>
      </c>
      <c r="D287" s="153" t="s">
        <v>25</v>
      </c>
      <c r="E287" s="130" t="s">
        <v>261</v>
      </c>
      <c r="F287" s="164" t="s">
        <v>311</v>
      </c>
      <c r="G287" s="164" t="s">
        <v>311</v>
      </c>
      <c r="H287" s="164" t="s">
        <v>311</v>
      </c>
      <c r="I287" s="164" t="s">
        <v>311</v>
      </c>
      <c r="J287" s="132">
        <v>0.9</v>
      </c>
      <c r="K287" s="133">
        <v>0.965811965811966</v>
      </c>
      <c r="L287" s="133">
        <v>0.889908256880734</v>
      </c>
      <c r="M287" s="134">
        <v>0.867469879518072</v>
      </c>
      <c r="N287" s="133">
        <v>0.915262889229199</v>
      </c>
      <c r="O287" s="135">
        <v>0.9</v>
      </c>
      <c r="P287" s="133">
        <v>0.968756258762267</v>
      </c>
      <c r="Q287" s="133">
        <v>0.972241261137766</v>
      </c>
      <c r="R287" s="133">
        <v>0.964343163538874</v>
      </c>
      <c r="S287" s="133">
        <v>0.940510250389692</v>
      </c>
      <c r="T287" s="135">
        <v>0.9</v>
      </c>
      <c r="U287" s="133">
        <v>0.932505507710795</v>
      </c>
      <c r="V287" s="133">
        <v>0.937628512679918</v>
      </c>
      <c r="W287" s="133">
        <v>0.92573726541555</v>
      </c>
      <c r="X287" s="133">
        <v>0.932834790158047</v>
      </c>
      <c r="Y287" s="135">
        <v>0.92</v>
      </c>
      <c r="Z287" s="135">
        <v>0.966199087375359</v>
      </c>
      <c r="AA287" s="135">
        <v>0.963648834019204</v>
      </c>
      <c r="AB287" s="135">
        <v>0.938257357184074</v>
      </c>
      <c r="AC287" s="135">
        <v>0.972012655147238</v>
      </c>
      <c r="AD287" s="135">
        <v>0.92</v>
      </c>
      <c r="AE287" s="133">
        <v>0.995644057249533</v>
      </c>
      <c r="AF287" s="133">
        <v>0.980132450331126</v>
      </c>
      <c r="AG287" s="133">
        <v>0.977859778597786</v>
      </c>
      <c r="AH287" s="133">
        <v>0.990333709054889</v>
      </c>
      <c r="AI287" s="135">
        <v>0.92</v>
      </c>
      <c r="AJ287" s="133">
        <v>0.976079186142425</v>
      </c>
      <c r="AK287" s="133">
        <v>0.982404021937843</v>
      </c>
      <c r="AL287" s="133">
        <v>0.968149368478858</v>
      </c>
      <c r="AM287" s="133">
        <v>0.982517596809693</v>
      </c>
      <c r="AN287" s="132">
        <v>0.99</v>
      </c>
      <c r="AO287" s="137">
        <v>1</v>
      </c>
      <c r="AP287" s="137">
        <v>1</v>
      </c>
      <c r="AQ287" s="137">
        <v>1</v>
      </c>
      <c r="AR287" s="137">
        <v>1</v>
      </c>
      <c r="AS287" s="158">
        <v>0.0922287257019438</v>
      </c>
      <c r="AT287" s="141">
        <v>0.157894736842105</v>
      </c>
      <c r="AU287" s="141">
        <v>0.222222222222222</v>
      </c>
      <c r="AV287" s="141">
        <v>0.230769230769231</v>
      </c>
      <c r="AW287" s="141">
        <v>0.0888888888888889</v>
      </c>
      <c r="AX287" s="88"/>
      <c r="AY287" s="93"/>
    </row>
    <row r="288" s="86" customFormat="1" ht="15" spans="1:51">
      <c r="A288" s="91"/>
      <c r="B288" s="88"/>
      <c r="C288" s="163" t="s">
        <v>260</v>
      </c>
      <c r="D288" s="153" t="s">
        <v>25</v>
      </c>
      <c r="E288" s="130" t="s">
        <v>261</v>
      </c>
      <c r="F288" s="164" t="s">
        <v>312</v>
      </c>
      <c r="G288" s="164" t="s">
        <v>312</v>
      </c>
      <c r="H288" s="164" t="s">
        <v>312</v>
      </c>
      <c r="I288" s="164" t="s">
        <v>312</v>
      </c>
      <c r="J288" s="132">
        <v>0.9</v>
      </c>
      <c r="K288" s="133">
        <v>0.974137931034483</v>
      </c>
      <c r="L288" s="133">
        <v>0.932692307692308</v>
      </c>
      <c r="M288" s="134">
        <v>0.941176470588235</v>
      </c>
      <c r="N288" s="133">
        <v>0.956454918032787</v>
      </c>
      <c r="O288" s="135">
        <v>0.9</v>
      </c>
      <c r="P288" s="133">
        <v>0.975454194047159</v>
      </c>
      <c r="Q288" s="133">
        <v>0.971218795888399</v>
      </c>
      <c r="R288" s="133">
        <v>0.976269208325229</v>
      </c>
      <c r="S288" s="133">
        <v>0.910702905342081</v>
      </c>
      <c r="T288" s="135">
        <v>0.9</v>
      </c>
      <c r="U288" s="133">
        <v>0.931194433706997</v>
      </c>
      <c r="V288" s="133">
        <v>0.931571218795888</v>
      </c>
      <c r="W288" s="133">
        <v>0.943007197043377</v>
      </c>
      <c r="X288" s="133">
        <v>0.943917525773196</v>
      </c>
      <c r="Y288" s="135">
        <v>0.92</v>
      </c>
      <c r="Z288" s="135">
        <v>0.959551960174238</v>
      </c>
      <c r="AA288" s="135">
        <v>0.968718466195762</v>
      </c>
      <c r="AB288" s="135">
        <v>0.932372505543237</v>
      </c>
      <c r="AC288" s="135">
        <v>0.974998830628186</v>
      </c>
      <c r="AD288" s="135">
        <v>0.92</v>
      </c>
      <c r="AE288" s="133">
        <v>0.995565016852936</v>
      </c>
      <c r="AF288" s="133">
        <v>0.98042328042328</v>
      </c>
      <c r="AG288" s="133">
        <v>0.994811320754717</v>
      </c>
      <c r="AH288" s="133">
        <v>0.989227877385772</v>
      </c>
      <c r="AI288" s="135">
        <v>0.92</v>
      </c>
      <c r="AJ288" s="133">
        <v>0.970083432657926</v>
      </c>
      <c r="AK288" s="133">
        <v>0.976114649681529</v>
      </c>
      <c r="AL288" s="133">
        <v>0.96938606652325</v>
      </c>
      <c r="AM288" s="133">
        <v>0.985052257489483</v>
      </c>
      <c r="AN288" s="132">
        <v>0.99</v>
      </c>
      <c r="AO288" s="137">
        <v>1</v>
      </c>
      <c r="AP288" s="137">
        <v>1</v>
      </c>
      <c r="AQ288" s="137">
        <v>1</v>
      </c>
      <c r="AR288" s="137">
        <v>1</v>
      </c>
      <c r="AS288" s="158">
        <v>0.0922287257019438</v>
      </c>
      <c r="AT288" s="141">
        <v>0</v>
      </c>
      <c r="AU288" s="141">
        <v>0.333333333333333</v>
      </c>
      <c r="AV288" s="141">
        <v>0</v>
      </c>
      <c r="AW288" s="141">
        <v>0.0538922155688623</v>
      </c>
      <c r="AX288" s="88"/>
      <c r="AY288" s="93"/>
    </row>
    <row r="289" s="86" customFormat="1" ht="15" spans="1:51">
      <c r="A289" s="91"/>
      <c r="B289" s="88"/>
      <c r="C289" s="163" t="s">
        <v>260</v>
      </c>
      <c r="D289" s="153" t="s">
        <v>25</v>
      </c>
      <c r="E289" s="130" t="s">
        <v>261</v>
      </c>
      <c r="F289" s="164" t="s">
        <v>313</v>
      </c>
      <c r="G289" s="164" t="s">
        <v>313</v>
      </c>
      <c r="H289" s="164" t="s">
        <v>313</v>
      </c>
      <c r="I289" s="164" t="s">
        <v>313</v>
      </c>
      <c r="J289" s="132">
        <v>0.9</v>
      </c>
      <c r="K289" s="133">
        <v>0.926605504587156</v>
      </c>
      <c r="L289" s="133">
        <v>0.948453608247423</v>
      </c>
      <c r="M289" s="134">
        <v>0.9</v>
      </c>
      <c r="N289" s="133">
        <v>0.934390377255331</v>
      </c>
      <c r="O289" s="135">
        <v>0.9</v>
      </c>
      <c r="P289" s="133">
        <v>0.971495055264689</v>
      </c>
      <c r="Q289" s="133">
        <v>0.961273383656055</v>
      </c>
      <c r="R289" s="133">
        <v>0.954582101585595</v>
      </c>
      <c r="S289" s="133">
        <v>0.919067796610169</v>
      </c>
      <c r="T289" s="135">
        <v>0.9</v>
      </c>
      <c r="U289" s="133">
        <v>0.946868334302889</v>
      </c>
      <c r="V289" s="133">
        <v>0.944207417131605</v>
      </c>
      <c r="W289" s="133">
        <v>0.91991400161247</v>
      </c>
      <c r="X289" s="133">
        <v>0.93894620486367</v>
      </c>
      <c r="Y289" s="135">
        <v>0.92</v>
      </c>
      <c r="Z289" s="135">
        <v>0.976445064311173</v>
      </c>
      <c r="AA289" s="135">
        <v>0.976273551988835</v>
      </c>
      <c r="AB289" s="135">
        <v>0.971334068357222</v>
      </c>
      <c r="AC289" s="135">
        <v>0.982765267478513</v>
      </c>
      <c r="AD289" s="135">
        <v>0.92</v>
      </c>
      <c r="AE289" s="133">
        <v>0.983568362967505</v>
      </c>
      <c r="AF289" s="133">
        <v>0.990760483297797</v>
      </c>
      <c r="AG289" s="133">
        <v>0.995222929936306</v>
      </c>
      <c r="AH289" s="133">
        <v>0.994065135750785</v>
      </c>
      <c r="AI289" s="135">
        <v>0.92</v>
      </c>
      <c r="AJ289" s="133">
        <v>0.982859603789836</v>
      </c>
      <c r="AK289" s="133">
        <v>0.986383928571429</v>
      </c>
      <c r="AL289" s="133">
        <v>0.983574007220217</v>
      </c>
      <c r="AM289" s="133">
        <v>0.988769012638672</v>
      </c>
      <c r="AN289" s="132">
        <v>0.99</v>
      </c>
      <c r="AO289" s="137">
        <v>1</v>
      </c>
      <c r="AP289" s="137">
        <v>1</v>
      </c>
      <c r="AQ289" s="137">
        <v>1</v>
      </c>
      <c r="AR289" s="137">
        <v>1</v>
      </c>
      <c r="AS289" s="158">
        <v>0.0922287257019438</v>
      </c>
      <c r="AT289" s="141">
        <v>0.0769230769230769</v>
      </c>
      <c r="AU289" s="141">
        <v>0.166666666666667</v>
      </c>
      <c r="AV289" s="141">
        <v>0.230769230769231</v>
      </c>
      <c r="AW289" s="141">
        <v>0.0929705215419501</v>
      </c>
      <c r="AX289" s="88"/>
      <c r="AY289" s="93"/>
    </row>
    <row r="290" s="86" customFormat="1" ht="15" spans="1:51">
      <c r="A290" s="91"/>
      <c r="B290" s="88"/>
      <c r="C290" s="163" t="s">
        <v>260</v>
      </c>
      <c r="D290" s="153" t="s">
        <v>125</v>
      </c>
      <c r="E290" s="130" t="s">
        <v>261</v>
      </c>
      <c r="F290" s="164" t="s">
        <v>314</v>
      </c>
      <c r="G290" s="164" t="s">
        <v>314</v>
      </c>
      <c r="H290" s="164" t="s">
        <v>314</v>
      </c>
      <c r="I290" s="164" t="s">
        <v>314</v>
      </c>
      <c r="J290" s="132">
        <v>0.9</v>
      </c>
      <c r="K290" s="133" t="s">
        <v>35</v>
      </c>
      <c r="L290" s="133" t="s">
        <v>35</v>
      </c>
      <c r="M290" s="134" t="s">
        <v>35</v>
      </c>
      <c r="N290" s="133" t="s">
        <v>35</v>
      </c>
      <c r="O290" s="135">
        <v>0.9</v>
      </c>
      <c r="P290" s="133" t="s">
        <v>35</v>
      </c>
      <c r="Q290" s="133" t="s">
        <v>35</v>
      </c>
      <c r="R290" s="133" t="s">
        <v>35</v>
      </c>
      <c r="S290" s="133" t="s">
        <v>35</v>
      </c>
      <c r="T290" s="135">
        <v>0.9</v>
      </c>
      <c r="U290" s="133" t="s">
        <v>35</v>
      </c>
      <c r="V290" s="133" t="s">
        <v>35</v>
      </c>
      <c r="W290" s="133" t="s">
        <v>35</v>
      </c>
      <c r="X290" s="133" t="s">
        <v>35</v>
      </c>
      <c r="Y290" s="135">
        <v>0.92</v>
      </c>
      <c r="Z290" s="135" t="s">
        <v>35</v>
      </c>
      <c r="AA290" s="135" t="s">
        <v>35</v>
      </c>
      <c r="AB290" s="135" t="s">
        <v>35</v>
      </c>
      <c r="AC290" s="135" t="s">
        <v>35</v>
      </c>
      <c r="AD290" s="135">
        <v>0.92</v>
      </c>
      <c r="AE290" s="133">
        <v>0.997214484679666</v>
      </c>
      <c r="AF290" s="133">
        <v>0.968944099378882</v>
      </c>
      <c r="AG290" s="133">
        <v>1</v>
      </c>
      <c r="AH290" s="133">
        <v>0.99368610944077</v>
      </c>
      <c r="AI290" s="135">
        <v>0.92</v>
      </c>
      <c r="AJ290" s="133" t="s">
        <v>35</v>
      </c>
      <c r="AK290" s="133" t="s">
        <v>35</v>
      </c>
      <c r="AL290" s="133" t="s">
        <v>35</v>
      </c>
      <c r="AM290" s="133" t="s">
        <v>35</v>
      </c>
      <c r="AN290" s="132">
        <v>0.99</v>
      </c>
      <c r="AO290" s="137" t="s">
        <v>35</v>
      </c>
      <c r="AP290" s="137">
        <v>1</v>
      </c>
      <c r="AQ290" s="137" t="s">
        <v>35</v>
      </c>
      <c r="AR290" s="137">
        <v>1</v>
      </c>
      <c r="AS290" s="158">
        <v>0.0922287257019438</v>
      </c>
      <c r="AT290" s="141" t="s">
        <v>35</v>
      </c>
      <c r="AU290" s="141" t="s">
        <v>35</v>
      </c>
      <c r="AV290" s="141" t="s">
        <v>35</v>
      </c>
      <c r="AW290" s="141" t="s">
        <v>35</v>
      </c>
      <c r="AX290" s="88"/>
      <c r="AY290" s="93"/>
    </row>
    <row r="291" s="86" customFormat="1" ht="15" spans="1:51">
      <c r="A291" s="91"/>
      <c r="B291" s="88"/>
      <c r="C291" s="163" t="s">
        <v>260</v>
      </c>
      <c r="D291" s="153" t="s">
        <v>125</v>
      </c>
      <c r="E291" s="130" t="s">
        <v>261</v>
      </c>
      <c r="F291" s="164" t="s">
        <v>315</v>
      </c>
      <c r="G291" s="164" t="s">
        <v>315</v>
      </c>
      <c r="H291" s="164" t="s">
        <v>315</v>
      </c>
      <c r="I291" s="164" t="s">
        <v>315</v>
      </c>
      <c r="J291" s="132">
        <v>0.9</v>
      </c>
      <c r="K291" s="133" t="s">
        <v>35</v>
      </c>
      <c r="L291" s="133" t="s">
        <v>35</v>
      </c>
      <c r="M291" s="134" t="s">
        <v>35</v>
      </c>
      <c r="N291" s="133" t="s">
        <v>35</v>
      </c>
      <c r="O291" s="135">
        <v>0.9</v>
      </c>
      <c r="P291" s="133" t="s">
        <v>35</v>
      </c>
      <c r="Q291" s="133">
        <v>0</v>
      </c>
      <c r="R291" s="133" t="s">
        <v>35</v>
      </c>
      <c r="S291" s="133">
        <v>0.333333333333333</v>
      </c>
      <c r="T291" s="135">
        <v>0.9</v>
      </c>
      <c r="U291" s="133" t="s">
        <v>35</v>
      </c>
      <c r="V291" s="133">
        <v>0</v>
      </c>
      <c r="W291" s="133" t="s">
        <v>35</v>
      </c>
      <c r="X291" s="133">
        <v>0.833333333333333</v>
      </c>
      <c r="Y291" s="135">
        <v>0.92</v>
      </c>
      <c r="Z291" s="135" t="s">
        <v>35</v>
      </c>
      <c r="AA291" s="135" t="s">
        <v>35</v>
      </c>
      <c r="AB291" s="135" t="s">
        <v>35</v>
      </c>
      <c r="AC291" s="135" t="s">
        <v>35</v>
      </c>
      <c r="AD291" s="135">
        <v>0.92</v>
      </c>
      <c r="AE291" s="133">
        <v>0.997660134542264</v>
      </c>
      <c r="AF291" s="133">
        <v>0.266666666666667</v>
      </c>
      <c r="AG291" s="133">
        <v>0.998412698412698</v>
      </c>
      <c r="AH291" s="133">
        <v>0.997041961454013</v>
      </c>
      <c r="AI291" s="135">
        <v>0.92</v>
      </c>
      <c r="AJ291" s="133" t="s">
        <v>35</v>
      </c>
      <c r="AK291" s="133">
        <v>0</v>
      </c>
      <c r="AL291" s="133" t="s">
        <v>35</v>
      </c>
      <c r="AM291" s="133">
        <v>0.833333333333333</v>
      </c>
      <c r="AN291" s="132">
        <v>0.99</v>
      </c>
      <c r="AO291" s="137">
        <v>1</v>
      </c>
      <c r="AP291" s="137" t="s">
        <v>35</v>
      </c>
      <c r="AQ291" s="137" t="s">
        <v>35</v>
      </c>
      <c r="AR291" s="137">
        <v>1</v>
      </c>
      <c r="AS291" s="158">
        <v>0.0922287257019438</v>
      </c>
      <c r="AT291" s="141" t="s">
        <v>35</v>
      </c>
      <c r="AU291" s="141" t="s">
        <v>35</v>
      </c>
      <c r="AV291" s="141" t="s">
        <v>35</v>
      </c>
      <c r="AW291" s="141" t="s">
        <v>35</v>
      </c>
      <c r="AX291" s="88"/>
      <c r="AY291" s="93"/>
    </row>
    <row r="292" s="86" customFormat="1" ht="15" spans="1:51">
      <c r="A292" s="91"/>
      <c r="B292" s="88"/>
      <c r="C292" s="163" t="s">
        <v>260</v>
      </c>
      <c r="D292" s="153" t="s">
        <v>125</v>
      </c>
      <c r="E292" s="130" t="s">
        <v>261</v>
      </c>
      <c r="F292" s="164" t="s">
        <v>316</v>
      </c>
      <c r="G292" s="164" t="s">
        <v>316</v>
      </c>
      <c r="H292" s="164" t="s">
        <v>316</v>
      </c>
      <c r="I292" s="164" t="s">
        <v>316</v>
      </c>
      <c r="J292" s="132">
        <v>0.9</v>
      </c>
      <c r="K292" s="133" t="s">
        <v>35</v>
      </c>
      <c r="L292" s="133" t="s">
        <v>35</v>
      </c>
      <c r="M292" s="134" t="s">
        <v>35</v>
      </c>
      <c r="N292" s="133" t="s">
        <v>35</v>
      </c>
      <c r="O292" s="135">
        <v>0.9</v>
      </c>
      <c r="P292" s="133">
        <v>0.2</v>
      </c>
      <c r="Q292" s="133">
        <v>0</v>
      </c>
      <c r="R292" s="133">
        <v>0</v>
      </c>
      <c r="S292" s="133">
        <v>0.222222222222222</v>
      </c>
      <c r="T292" s="135">
        <v>0.9</v>
      </c>
      <c r="U292" s="133">
        <v>0.2</v>
      </c>
      <c r="V292" s="133">
        <v>0</v>
      </c>
      <c r="W292" s="133">
        <v>0</v>
      </c>
      <c r="X292" s="133">
        <v>0.481481481481481</v>
      </c>
      <c r="Y292" s="135">
        <v>0.92</v>
      </c>
      <c r="Z292" s="135" t="s">
        <v>35</v>
      </c>
      <c r="AA292" s="135" t="s">
        <v>35</v>
      </c>
      <c r="AB292" s="135" t="s">
        <v>35</v>
      </c>
      <c r="AC292" s="135">
        <v>0.333333333333333</v>
      </c>
      <c r="AD292" s="135">
        <v>0.92</v>
      </c>
      <c r="AE292" s="133">
        <v>0.952359982385204</v>
      </c>
      <c r="AF292" s="133">
        <v>0.834501985300329</v>
      </c>
      <c r="AG292" s="133">
        <v>0.999119427627958</v>
      </c>
      <c r="AH292" s="133">
        <v>0.890398315894266</v>
      </c>
      <c r="AI292" s="135">
        <v>0.92</v>
      </c>
      <c r="AJ292" s="133">
        <v>0.166666666666667</v>
      </c>
      <c r="AK292" s="133">
        <v>0.5</v>
      </c>
      <c r="AL292" s="133">
        <v>0</v>
      </c>
      <c r="AM292" s="133">
        <v>0.52112676056338</v>
      </c>
      <c r="AN292" s="132">
        <v>0.99</v>
      </c>
      <c r="AO292" s="137">
        <v>1</v>
      </c>
      <c r="AP292" s="137" t="s">
        <v>35</v>
      </c>
      <c r="AQ292" s="137" t="s">
        <v>35</v>
      </c>
      <c r="AR292" s="137">
        <v>1</v>
      </c>
      <c r="AS292" s="158">
        <v>0.0922287257019438</v>
      </c>
      <c r="AT292" s="141" t="s">
        <v>35</v>
      </c>
      <c r="AU292" s="141" t="s">
        <v>35</v>
      </c>
      <c r="AV292" s="141" t="s">
        <v>35</v>
      </c>
      <c r="AW292" s="141" t="s">
        <v>35</v>
      </c>
      <c r="AX292" s="88"/>
      <c r="AY292" s="93"/>
    </row>
    <row r="293" s="86" customFormat="1" ht="15" spans="1:51">
      <c r="A293" s="91"/>
      <c r="B293" s="88"/>
      <c r="C293" s="163" t="s">
        <v>260</v>
      </c>
      <c r="D293" s="153" t="s">
        <v>125</v>
      </c>
      <c r="E293" s="130" t="s">
        <v>261</v>
      </c>
      <c r="F293" s="164" t="s">
        <v>317</v>
      </c>
      <c r="G293" s="164" t="s">
        <v>317</v>
      </c>
      <c r="H293" s="164" t="s">
        <v>317</v>
      </c>
      <c r="I293" s="164" t="s">
        <v>317</v>
      </c>
      <c r="J293" s="132">
        <v>0.9</v>
      </c>
      <c r="K293" s="133" t="s">
        <v>35</v>
      </c>
      <c r="L293" s="133" t="s">
        <v>35</v>
      </c>
      <c r="M293" s="134" t="s">
        <v>35</v>
      </c>
      <c r="N293" s="133" t="s">
        <v>35</v>
      </c>
      <c r="O293" s="135">
        <v>0.9</v>
      </c>
      <c r="P293" s="133" t="s">
        <v>35</v>
      </c>
      <c r="Q293" s="133" t="s">
        <v>35</v>
      </c>
      <c r="R293" s="133" t="s">
        <v>35</v>
      </c>
      <c r="S293" s="133">
        <v>0</v>
      </c>
      <c r="T293" s="135">
        <v>0.9</v>
      </c>
      <c r="U293" s="133" t="s">
        <v>35</v>
      </c>
      <c r="V293" s="133" t="s">
        <v>35</v>
      </c>
      <c r="W293" s="133" t="s">
        <v>35</v>
      </c>
      <c r="X293" s="133">
        <v>0.5</v>
      </c>
      <c r="Y293" s="135">
        <v>0.92</v>
      </c>
      <c r="Z293" s="135" t="s">
        <v>35</v>
      </c>
      <c r="AA293" s="135" t="s">
        <v>35</v>
      </c>
      <c r="AB293" s="135" t="s">
        <v>35</v>
      </c>
      <c r="AC293" s="135" t="s">
        <v>35</v>
      </c>
      <c r="AD293" s="135">
        <v>0.92</v>
      </c>
      <c r="AE293" s="133">
        <v>0.995532390171258</v>
      </c>
      <c r="AF293" s="133">
        <v>1</v>
      </c>
      <c r="AG293" s="133">
        <v>0.864661654135338</v>
      </c>
      <c r="AH293" s="133">
        <v>0.975474284065498</v>
      </c>
      <c r="AI293" s="135">
        <v>0.92</v>
      </c>
      <c r="AJ293" s="133" t="s">
        <v>35</v>
      </c>
      <c r="AK293" s="133" t="s">
        <v>35</v>
      </c>
      <c r="AL293" s="133" t="s">
        <v>35</v>
      </c>
      <c r="AM293" s="133">
        <v>0.333333333333333</v>
      </c>
      <c r="AN293" s="132">
        <v>0.99</v>
      </c>
      <c r="AO293" s="137" t="s">
        <v>35</v>
      </c>
      <c r="AP293" s="137" t="s">
        <v>35</v>
      </c>
      <c r="AQ293" s="137">
        <v>1</v>
      </c>
      <c r="AR293" s="137">
        <v>1</v>
      </c>
      <c r="AS293" s="158">
        <v>0.0922287257019438</v>
      </c>
      <c r="AT293" s="141" t="s">
        <v>35</v>
      </c>
      <c r="AU293" s="141" t="s">
        <v>35</v>
      </c>
      <c r="AV293" s="141" t="s">
        <v>35</v>
      </c>
      <c r="AW293" s="141" t="s">
        <v>35</v>
      </c>
      <c r="AX293" s="88"/>
      <c r="AY293" s="93"/>
    </row>
    <row r="294" s="86" customFormat="1" ht="15" spans="1:51">
      <c r="A294" s="91"/>
      <c r="B294" s="88"/>
      <c r="C294" s="163" t="s">
        <v>260</v>
      </c>
      <c r="D294" s="153" t="s">
        <v>125</v>
      </c>
      <c r="E294" s="130" t="s">
        <v>261</v>
      </c>
      <c r="F294" s="164" t="s">
        <v>318</v>
      </c>
      <c r="G294" s="164" t="s">
        <v>318</v>
      </c>
      <c r="H294" s="164" t="s">
        <v>318</v>
      </c>
      <c r="I294" s="164" t="s">
        <v>318</v>
      </c>
      <c r="J294" s="132">
        <v>0.9</v>
      </c>
      <c r="K294" s="133" t="s">
        <v>35</v>
      </c>
      <c r="L294" s="133" t="s">
        <v>35</v>
      </c>
      <c r="M294" s="134" t="s">
        <v>35</v>
      </c>
      <c r="N294" s="133" t="s">
        <v>35</v>
      </c>
      <c r="O294" s="135">
        <v>0.9</v>
      </c>
      <c r="P294" s="133" t="s">
        <v>35</v>
      </c>
      <c r="Q294" s="133" t="s">
        <v>35</v>
      </c>
      <c r="R294" s="133" t="s">
        <v>35</v>
      </c>
      <c r="S294" s="133">
        <v>0</v>
      </c>
      <c r="T294" s="135">
        <v>0.9</v>
      </c>
      <c r="U294" s="133" t="s">
        <v>35</v>
      </c>
      <c r="V294" s="133" t="s">
        <v>35</v>
      </c>
      <c r="W294" s="133" t="s">
        <v>35</v>
      </c>
      <c r="X294" s="133">
        <v>0</v>
      </c>
      <c r="Y294" s="135">
        <v>0.92</v>
      </c>
      <c r="Z294" s="135" t="s">
        <v>35</v>
      </c>
      <c r="AA294" s="135" t="s">
        <v>35</v>
      </c>
      <c r="AB294" s="135" t="s">
        <v>35</v>
      </c>
      <c r="AC294" s="135" t="s">
        <v>35</v>
      </c>
      <c r="AD294" s="135">
        <v>0.92</v>
      </c>
      <c r="AE294" s="133">
        <v>0.977099236641221</v>
      </c>
      <c r="AF294" s="133">
        <v>0.977900552486188</v>
      </c>
      <c r="AG294" s="133">
        <v>0.811881188118812</v>
      </c>
      <c r="AH294" s="133">
        <v>0.907205530444031</v>
      </c>
      <c r="AI294" s="135">
        <v>0.92</v>
      </c>
      <c r="AJ294" s="133" t="s">
        <v>35</v>
      </c>
      <c r="AK294" s="133" t="s">
        <v>35</v>
      </c>
      <c r="AL294" s="133" t="s">
        <v>35</v>
      </c>
      <c r="AM294" s="133">
        <v>0</v>
      </c>
      <c r="AN294" s="132">
        <v>0.99</v>
      </c>
      <c r="AO294" s="137" t="s">
        <v>35</v>
      </c>
      <c r="AP294" s="137" t="s">
        <v>35</v>
      </c>
      <c r="AQ294" s="137" t="s">
        <v>35</v>
      </c>
      <c r="AR294" s="137">
        <v>1</v>
      </c>
      <c r="AS294" s="158">
        <v>0.0922287257019438</v>
      </c>
      <c r="AT294" s="141" t="s">
        <v>35</v>
      </c>
      <c r="AU294" s="141" t="s">
        <v>35</v>
      </c>
      <c r="AV294" s="141" t="s">
        <v>35</v>
      </c>
      <c r="AW294" s="141" t="s">
        <v>35</v>
      </c>
      <c r="AX294" s="88"/>
      <c r="AY294" s="93"/>
    </row>
    <row r="295" s="86" customFormat="1" ht="15" spans="1:51">
      <c r="A295" s="91"/>
      <c r="B295" s="88"/>
      <c r="C295" s="163" t="s">
        <v>260</v>
      </c>
      <c r="D295" s="153" t="s">
        <v>125</v>
      </c>
      <c r="E295" s="130" t="s">
        <v>261</v>
      </c>
      <c r="F295" s="164" t="s">
        <v>319</v>
      </c>
      <c r="G295" s="164" t="s">
        <v>319</v>
      </c>
      <c r="H295" s="164" t="s">
        <v>319</v>
      </c>
      <c r="I295" s="164" t="s">
        <v>319</v>
      </c>
      <c r="J295" s="132">
        <v>0.9</v>
      </c>
      <c r="K295" s="133" t="s">
        <v>35</v>
      </c>
      <c r="L295" s="133" t="s">
        <v>35</v>
      </c>
      <c r="M295" s="134" t="s">
        <v>35</v>
      </c>
      <c r="N295" s="133" t="s">
        <v>35</v>
      </c>
      <c r="O295" s="135">
        <v>0.9</v>
      </c>
      <c r="P295" s="133" t="s">
        <v>35</v>
      </c>
      <c r="Q295" s="133">
        <v>0</v>
      </c>
      <c r="R295" s="133" t="s">
        <v>35</v>
      </c>
      <c r="S295" s="133">
        <v>0</v>
      </c>
      <c r="T295" s="135">
        <v>0.9</v>
      </c>
      <c r="U295" s="133" t="s">
        <v>35</v>
      </c>
      <c r="V295" s="133">
        <v>1</v>
      </c>
      <c r="W295" s="133" t="s">
        <v>35</v>
      </c>
      <c r="X295" s="133">
        <v>0.9</v>
      </c>
      <c r="Y295" s="135">
        <v>0.92</v>
      </c>
      <c r="Z295" s="135" t="s">
        <v>35</v>
      </c>
      <c r="AA295" s="135" t="s">
        <v>35</v>
      </c>
      <c r="AB295" s="135" t="s">
        <v>35</v>
      </c>
      <c r="AC295" s="135">
        <v>1</v>
      </c>
      <c r="AD295" s="135">
        <v>0.92</v>
      </c>
      <c r="AE295" s="133">
        <v>0.713042076414638</v>
      </c>
      <c r="AF295" s="133">
        <v>0.999771062271062</v>
      </c>
      <c r="AG295" s="133">
        <v>1</v>
      </c>
      <c r="AH295" s="133">
        <v>0.971144530561917</v>
      </c>
      <c r="AI295" s="135">
        <v>0.92</v>
      </c>
      <c r="AJ295" s="133" t="s">
        <v>35</v>
      </c>
      <c r="AK295" s="133">
        <v>1</v>
      </c>
      <c r="AL295" s="133" t="s">
        <v>35</v>
      </c>
      <c r="AM295" s="133">
        <v>0.923076923076923</v>
      </c>
      <c r="AN295" s="132">
        <v>0.99</v>
      </c>
      <c r="AO295" s="137" t="s">
        <v>35</v>
      </c>
      <c r="AP295" s="137" t="s">
        <v>35</v>
      </c>
      <c r="AQ295" s="137" t="s">
        <v>35</v>
      </c>
      <c r="AR295" s="137">
        <v>1</v>
      </c>
      <c r="AS295" s="158">
        <v>0.0922287257019438</v>
      </c>
      <c r="AT295" s="141" t="s">
        <v>35</v>
      </c>
      <c r="AU295" s="141" t="s">
        <v>35</v>
      </c>
      <c r="AV295" s="141" t="s">
        <v>35</v>
      </c>
      <c r="AW295" s="141" t="s">
        <v>35</v>
      </c>
      <c r="AX295" s="88"/>
      <c r="AY295" s="93"/>
    </row>
    <row r="296" s="86" customFormat="1" ht="15" spans="1:51">
      <c r="A296" s="91"/>
      <c r="B296" s="88"/>
      <c r="C296" s="163" t="s">
        <v>260</v>
      </c>
      <c r="D296" s="153" t="s">
        <v>25</v>
      </c>
      <c r="E296" s="130" t="s">
        <v>261</v>
      </c>
      <c r="F296" s="164" t="s">
        <v>320</v>
      </c>
      <c r="G296" s="164" t="s">
        <v>320</v>
      </c>
      <c r="H296" s="164" t="s">
        <v>320</v>
      </c>
      <c r="I296" s="164" t="s">
        <v>320</v>
      </c>
      <c r="J296" s="132">
        <v>0.9</v>
      </c>
      <c r="K296" s="133">
        <v>0.967741935483871</v>
      </c>
      <c r="L296" s="133">
        <v>0.94392523364486</v>
      </c>
      <c r="M296" s="134">
        <v>0.936842105263158</v>
      </c>
      <c r="N296" s="133">
        <v>0.94574780058651</v>
      </c>
      <c r="O296" s="135">
        <v>0.9</v>
      </c>
      <c r="P296" s="133">
        <v>0.955819185927593</v>
      </c>
      <c r="Q296" s="133">
        <v>0.969518190757129</v>
      </c>
      <c r="R296" s="133">
        <v>0.978853880312963</v>
      </c>
      <c r="S296" s="133">
        <v>0.90572982082386</v>
      </c>
      <c r="T296" s="135">
        <v>0.9</v>
      </c>
      <c r="U296" s="133">
        <v>0.911229290243404</v>
      </c>
      <c r="V296" s="133">
        <v>0.919042936742052</v>
      </c>
      <c r="W296" s="133">
        <v>0.886445337280609</v>
      </c>
      <c r="X296" s="133">
        <v>0.874680042607991</v>
      </c>
      <c r="Y296" s="135">
        <v>0.92</v>
      </c>
      <c r="Z296" s="135">
        <v>0.921727395411606</v>
      </c>
      <c r="AA296" s="135">
        <v>0.912087912087912</v>
      </c>
      <c r="AB296" s="135">
        <v>0.857509627727856</v>
      </c>
      <c r="AC296" s="135">
        <v>0.931258202709061</v>
      </c>
      <c r="AD296" s="135">
        <v>0.92</v>
      </c>
      <c r="AE296" s="133">
        <v>0.994292237442922</v>
      </c>
      <c r="AF296" s="133">
        <v>0.99</v>
      </c>
      <c r="AG296" s="133">
        <v>0.995614035087719</v>
      </c>
      <c r="AH296" s="133">
        <v>0.994304312449146</v>
      </c>
      <c r="AI296" s="135">
        <v>0.92</v>
      </c>
      <c r="AJ296" s="133">
        <v>0.9471606824548</v>
      </c>
      <c r="AK296" s="133">
        <v>0.959858621560212</v>
      </c>
      <c r="AL296" s="133">
        <v>0.956063907044299</v>
      </c>
      <c r="AM296" s="133">
        <v>0.96770622108031</v>
      </c>
      <c r="AN296" s="132">
        <v>0.99</v>
      </c>
      <c r="AO296" s="137">
        <v>1</v>
      </c>
      <c r="AP296" s="137">
        <v>1</v>
      </c>
      <c r="AQ296" s="137">
        <v>1</v>
      </c>
      <c r="AR296" s="137">
        <v>1</v>
      </c>
      <c r="AS296" s="158">
        <v>0.0922287257019438</v>
      </c>
      <c r="AT296" s="141">
        <v>0.0769230769230769</v>
      </c>
      <c r="AU296" s="141">
        <v>0.0526315789473684</v>
      </c>
      <c r="AV296" s="141">
        <v>0</v>
      </c>
      <c r="AW296" s="141">
        <v>0.0782918149466192</v>
      </c>
      <c r="AX296" s="88"/>
      <c r="AY296" s="93"/>
    </row>
    <row r="297" s="86" customFormat="1" ht="15" spans="1:51">
      <c r="A297" s="91"/>
      <c r="B297" s="88"/>
      <c r="C297" s="163" t="s">
        <v>260</v>
      </c>
      <c r="D297" s="153" t="s">
        <v>25</v>
      </c>
      <c r="E297" s="130" t="s">
        <v>261</v>
      </c>
      <c r="F297" s="165" t="s">
        <v>321</v>
      </c>
      <c r="G297" s="165" t="s">
        <v>321</v>
      </c>
      <c r="H297" s="165" t="s">
        <v>321</v>
      </c>
      <c r="I297" s="165" t="s">
        <v>321</v>
      </c>
      <c r="J297" s="132">
        <v>0.9</v>
      </c>
      <c r="K297" s="133" t="s">
        <v>35</v>
      </c>
      <c r="L297" s="133" t="s">
        <v>35</v>
      </c>
      <c r="M297" s="134" t="s">
        <v>35</v>
      </c>
      <c r="N297" s="133" t="s">
        <v>35</v>
      </c>
      <c r="O297" s="135">
        <v>0.9</v>
      </c>
      <c r="P297" s="133" t="s">
        <v>35</v>
      </c>
      <c r="Q297" s="133" t="s">
        <v>35</v>
      </c>
      <c r="R297" s="133" t="s">
        <v>35</v>
      </c>
      <c r="S297" s="133" t="s">
        <v>35</v>
      </c>
      <c r="T297" s="135">
        <v>0.9</v>
      </c>
      <c r="U297" s="133" t="s">
        <v>35</v>
      </c>
      <c r="V297" s="133" t="s">
        <v>35</v>
      </c>
      <c r="W297" s="133" t="s">
        <v>35</v>
      </c>
      <c r="X297" s="133" t="s">
        <v>35</v>
      </c>
      <c r="Y297" s="135">
        <v>0.92</v>
      </c>
      <c r="Z297" s="135" t="s">
        <v>35</v>
      </c>
      <c r="AA297" s="135" t="s">
        <v>35</v>
      </c>
      <c r="AB297" s="135" t="s">
        <v>35</v>
      </c>
      <c r="AC297" s="135" t="s">
        <v>35</v>
      </c>
      <c r="AD297" s="135">
        <v>0.92</v>
      </c>
      <c r="AE297" s="133" t="s">
        <v>35</v>
      </c>
      <c r="AF297" s="133" t="s">
        <v>35</v>
      </c>
      <c r="AG297" s="133" t="s">
        <v>35</v>
      </c>
      <c r="AH297" s="133" t="s">
        <v>35</v>
      </c>
      <c r="AI297" s="135">
        <v>0.92</v>
      </c>
      <c r="AJ297" s="133" t="s">
        <v>35</v>
      </c>
      <c r="AK297" s="133" t="s">
        <v>35</v>
      </c>
      <c r="AL297" s="133" t="s">
        <v>35</v>
      </c>
      <c r="AM297" s="133" t="s">
        <v>35</v>
      </c>
      <c r="AN297" s="132">
        <v>0.99</v>
      </c>
      <c r="AO297" s="137" t="s">
        <v>35</v>
      </c>
      <c r="AP297" s="137" t="s">
        <v>35</v>
      </c>
      <c r="AQ297" s="137" t="s">
        <v>35</v>
      </c>
      <c r="AR297" s="137" t="s">
        <v>35</v>
      </c>
      <c r="AS297" s="158">
        <v>0.0922287257019438</v>
      </c>
      <c r="AT297" s="141" t="s">
        <v>35</v>
      </c>
      <c r="AU297" s="141" t="s">
        <v>35</v>
      </c>
      <c r="AV297" s="141" t="s">
        <v>35</v>
      </c>
      <c r="AW297" s="141" t="s">
        <v>35</v>
      </c>
      <c r="AX297" s="88"/>
      <c r="AY297" s="93"/>
    </row>
    <row r="298" s="86" customFormat="1" ht="15" spans="1:51">
      <c r="A298" s="91"/>
      <c r="B298" s="88"/>
      <c r="C298" s="163" t="s">
        <v>260</v>
      </c>
      <c r="D298" s="153" t="s">
        <v>25</v>
      </c>
      <c r="E298" s="130" t="s">
        <v>261</v>
      </c>
      <c r="F298" s="164" t="s">
        <v>322</v>
      </c>
      <c r="G298" s="164" t="s">
        <v>322</v>
      </c>
      <c r="H298" s="164" t="s">
        <v>322</v>
      </c>
      <c r="I298" s="164" t="s">
        <v>322</v>
      </c>
      <c r="J298" s="132">
        <v>0.9</v>
      </c>
      <c r="K298" s="133">
        <v>0.958041958041958</v>
      </c>
      <c r="L298" s="133">
        <v>0.984126984126984</v>
      </c>
      <c r="M298" s="134">
        <v>0.98</v>
      </c>
      <c r="N298" s="133">
        <v>0.961570247933884</v>
      </c>
      <c r="O298" s="135">
        <v>0.9</v>
      </c>
      <c r="P298" s="133">
        <v>0.96284549161758</v>
      </c>
      <c r="Q298" s="133">
        <v>0.95693135935397</v>
      </c>
      <c r="R298" s="133">
        <v>0.959687631912199</v>
      </c>
      <c r="S298" s="133">
        <v>0.930927083732883</v>
      </c>
      <c r="T298" s="135">
        <v>0.9</v>
      </c>
      <c r="U298" s="133">
        <v>0.923123395257514</v>
      </c>
      <c r="V298" s="133">
        <v>0.911709286675639</v>
      </c>
      <c r="W298" s="133">
        <v>0.926762346981849</v>
      </c>
      <c r="X298" s="133">
        <v>0.919765256415174</v>
      </c>
      <c r="Y298" s="135">
        <v>0.92</v>
      </c>
      <c r="Z298" s="135">
        <v>0.974090067859346</v>
      </c>
      <c r="AA298" s="135">
        <v>0.984839977540708</v>
      </c>
      <c r="AB298" s="135">
        <v>0.984665427509294</v>
      </c>
      <c r="AC298" s="135">
        <v>0.983113767895218</v>
      </c>
      <c r="AD298" s="135">
        <v>0.92</v>
      </c>
      <c r="AE298" s="133">
        <v>0.995042286380869</v>
      </c>
      <c r="AF298" s="133">
        <v>0.991735537190083</v>
      </c>
      <c r="AG298" s="133">
        <v>0.985545335085414</v>
      </c>
      <c r="AH298" s="133">
        <v>0.962459546925566</v>
      </c>
      <c r="AI298" s="135">
        <v>0.92</v>
      </c>
      <c r="AJ298" s="133">
        <v>0.98194161575017</v>
      </c>
      <c r="AK298" s="133">
        <v>0.990538573508006</v>
      </c>
      <c r="AL298" s="133">
        <v>0.991582002902758</v>
      </c>
      <c r="AM298" s="133">
        <v>0.98954754148492</v>
      </c>
      <c r="AN298" s="132">
        <v>0.99</v>
      </c>
      <c r="AO298" s="137">
        <v>1</v>
      </c>
      <c r="AP298" s="137">
        <v>1</v>
      </c>
      <c r="AQ298" s="137">
        <v>1</v>
      </c>
      <c r="AR298" s="137">
        <v>1</v>
      </c>
      <c r="AS298" s="158">
        <v>0.0922287257019438</v>
      </c>
      <c r="AT298" s="141">
        <v>0.0666666666666667</v>
      </c>
      <c r="AU298" s="141">
        <v>0.210526315789474</v>
      </c>
      <c r="AV298" s="141">
        <v>0.142857142857143</v>
      </c>
      <c r="AW298" s="141">
        <v>0.078907435508346</v>
      </c>
      <c r="AX298" s="88"/>
      <c r="AY298" s="93"/>
    </row>
    <row r="299" s="86" customFormat="1" ht="15" spans="1:51">
      <c r="A299" s="91"/>
      <c r="B299" s="88"/>
      <c r="C299" s="163" t="s">
        <v>260</v>
      </c>
      <c r="D299" s="153" t="s">
        <v>25</v>
      </c>
      <c r="E299" s="130" t="s">
        <v>261</v>
      </c>
      <c r="F299" s="164" t="s">
        <v>323</v>
      </c>
      <c r="G299" s="164" t="s">
        <v>323</v>
      </c>
      <c r="H299" s="164" t="s">
        <v>323</v>
      </c>
      <c r="I299" s="164" t="s">
        <v>323</v>
      </c>
      <c r="J299" s="132">
        <v>0.9</v>
      </c>
      <c r="K299" s="133">
        <v>0.932038834951456</v>
      </c>
      <c r="L299" s="133">
        <v>0.967213114754098</v>
      </c>
      <c r="M299" s="134">
        <v>0.934782608695652</v>
      </c>
      <c r="N299" s="133">
        <v>0.94864396999423</v>
      </c>
      <c r="O299" s="135">
        <v>0.9</v>
      </c>
      <c r="P299" s="133">
        <v>0.952885889866249</v>
      </c>
      <c r="Q299" s="133">
        <v>0.95553791186979</v>
      </c>
      <c r="R299" s="133">
        <v>0.956564177647633</v>
      </c>
      <c r="S299" s="133">
        <v>0.936280994061524</v>
      </c>
      <c r="T299" s="135">
        <v>0.9</v>
      </c>
      <c r="U299" s="133">
        <v>0.938426316423665</v>
      </c>
      <c r="V299" s="133">
        <v>0.938666137356094</v>
      </c>
      <c r="W299" s="133">
        <v>0.927281600780869</v>
      </c>
      <c r="X299" s="133">
        <v>0.928670738228589</v>
      </c>
      <c r="Y299" s="135">
        <v>0.92</v>
      </c>
      <c r="Z299" s="135">
        <v>0.976767177459219</v>
      </c>
      <c r="AA299" s="135">
        <v>0.978486361890127</v>
      </c>
      <c r="AB299" s="135">
        <v>0.970864032150033</v>
      </c>
      <c r="AC299" s="135">
        <v>0.983269315227014</v>
      </c>
      <c r="AD299" s="135">
        <v>0.92</v>
      </c>
      <c r="AE299" s="133">
        <v>0.993359492906731</v>
      </c>
      <c r="AF299" s="133">
        <v>0.907772020725389</v>
      </c>
      <c r="AG299" s="133">
        <v>0.872991583779648</v>
      </c>
      <c r="AH299" s="133">
        <v>0.972341609538356</v>
      </c>
      <c r="AI299" s="135">
        <v>0.92</v>
      </c>
      <c r="AJ299" s="133">
        <v>0.982030401737242</v>
      </c>
      <c r="AK299" s="133">
        <v>0.986520088993587</v>
      </c>
      <c r="AL299" s="133">
        <v>0.981720665499124</v>
      </c>
      <c r="AM299" s="133">
        <v>0.988815822248792</v>
      </c>
      <c r="AN299" s="132">
        <v>0.99</v>
      </c>
      <c r="AO299" s="137">
        <v>1</v>
      </c>
      <c r="AP299" s="137">
        <v>1</v>
      </c>
      <c r="AQ299" s="137">
        <v>1</v>
      </c>
      <c r="AR299" s="137">
        <v>1</v>
      </c>
      <c r="AS299" s="158">
        <v>0.0922287257019438</v>
      </c>
      <c r="AT299" s="141">
        <v>0.04</v>
      </c>
      <c r="AU299" s="141">
        <v>0.191489361702128</v>
      </c>
      <c r="AV299" s="141">
        <v>0.0526315789473684</v>
      </c>
      <c r="AW299" s="141">
        <v>0.0965996908809892</v>
      </c>
      <c r="AX299" s="88"/>
      <c r="AY299" s="93"/>
    </row>
    <row r="300" s="86" customFormat="1" ht="15" spans="1:51">
      <c r="A300" s="91"/>
      <c r="B300" s="88"/>
      <c r="C300" s="163" t="s">
        <v>260</v>
      </c>
      <c r="D300" s="153" t="s">
        <v>125</v>
      </c>
      <c r="E300" s="130" t="s">
        <v>261</v>
      </c>
      <c r="F300" s="164" t="s">
        <v>324</v>
      </c>
      <c r="G300" s="164" t="s">
        <v>324</v>
      </c>
      <c r="H300" s="164" t="s">
        <v>324</v>
      </c>
      <c r="I300" s="164" t="s">
        <v>324</v>
      </c>
      <c r="J300" s="132">
        <v>0.9</v>
      </c>
      <c r="K300" s="133" t="s">
        <v>35</v>
      </c>
      <c r="L300" s="133" t="s">
        <v>35</v>
      </c>
      <c r="M300" s="134" t="s">
        <v>35</v>
      </c>
      <c r="N300" s="133" t="s">
        <v>35</v>
      </c>
      <c r="O300" s="135">
        <v>0.9</v>
      </c>
      <c r="P300" s="133" t="s">
        <v>35</v>
      </c>
      <c r="Q300" s="133" t="s">
        <v>35</v>
      </c>
      <c r="R300" s="133" t="s">
        <v>35</v>
      </c>
      <c r="S300" s="133">
        <v>0</v>
      </c>
      <c r="T300" s="135">
        <v>0.9</v>
      </c>
      <c r="U300" s="133" t="s">
        <v>35</v>
      </c>
      <c r="V300" s="133" t="s">
        <v>35</v>
      </c>
      <c r="W300" s="133" t="s">
        <v>35</v>
      </c>
      <c r="X300" s="133">
        <v>1</v>
      </c>
      <c r="Y300" s="135">
        <v>0.92</v>
      </c>
      <c r="Z300" s="135" t="s">
        <v>35</v>
      </c>
      <c r="AA300" s="135" t="s">
        <v>35</v>
      </c>
      <c r="AB300" s="135" t="s">
        <v>35</v>
      </c>
      <c r="AC300" s="135" t="s">
        <v>35</v>
      </c>
      <c r="AD300" s="135">
        <v>0.92</v>
      </c>
      <c r="AE300" s="133">
        <v>0.897456279809221</v>
      </c>
      <c r="AF300" s="133">
        <v>0.903805496828753</v>
      </c>
      <c r="AG300" s="133">
        <v>1</v>
      </c>
      <c r="AH300" s="133">
        <v>0.951023047977422</v>
      </c>
      <c r="AI300" s="135">
        <v>0.92</v>
      </c>
      <c r="AJ300" s="133" t="s">
        <v>35</v>
      </c>
      <c r="AK300" s="133" t="s">
        <v>35</v>
      </c>
      <c r="AL300" s="133" t="s">
        <v>35</v>
      </c>
      <c r="AM300" s="133">
        <v>1</v>
      </c>
      <c r="AN300" s="132">
        <v>0.99</v>
      </c>
      <c r="AO300" s="137">
        <v>1</v>
      </c>
      <c r="AP300" s="137">
        <v>1</v>
      </c>
      <c r="AQ300" s="137" t="s">
        <v>35</v>
      </c>
      <c r="AR300" s="137">
        <v>1</v>
      </c>
      <c r="AS300" s="158">
        <v>0.0922287257019438</v>
      </c>
      <c r="AT300" s="141" t="s">
        <v>35</v>
      </c>
      <c r="AU300" s="141" t="s">
        <v>35</v>
      </c>
      <c r="AV300" s="141" t="s">
        <v>35</v>
      </c>
      <c r="AW300" s="141" t="s">
        <v>35</v>
      </c>
      <c r="AX300" s="88"/>
      <c r="AY300" s="93"/>
    </row>
    <row r="301" s="86" customFormat="1" ht="15" spans="1:51">
      <c r="A301" s="91"/>
      <c r="B301" s="88"/>
      <c r="C301" s="163" t="s">
        <v>260</v>
      </c>
      <c r="D301" s="153" t="s">
        <v>125</v>
      </c>
      <c r="E301" s="130" t="s">
        <v>261</v>
      </c>
      <c r="F301" s="164" t="s">
        <v>325</v>
      </c>
      <c r="G301" s="164" t="s">
        <v>325</v>
      </c>
      <c r="H301" s="164" t="s">
        <v>325</v>
      </c>
      <c r="I301" s="164" t="s">
        <v>325</v>
      </c>
      <c r="J301" s="132">
        <v>0.9</v>
      </c>
      <c r="K301" s="133" t="s">
        <v>35</v>
      </c>
      <c r="L301" s="133" t="s">
        <v>35</v>
      </c>
      <c r="M301" s="134" t="s">
        <v>35</v>
      </c>
      <c r="N301" s="133" t="s">
        <v>35</v>
      </c>
      <c r="O301" s="135">
        <v>0.9</v>
      </c>
      <c r="P301" s="133" t="s">
        <v>35</v>
      </c>
      <c r="Q301" s="133" t="s">
        <v>35</v>
      </c>
      <c r="R301" s="133" t="s">
        <v>35</v>
      </c>
      <c r="S301" s="133" t="s">
        <v>35</v>
      </c>
      <c r="T301" s="135">
        <v>0.9</v>
      </c>
      <c r="U301" s="133" t="s">
        <v>35</v>
      </c>
      <c r="V301" s="133" t="s">
        <v>35</v>
      </c>
      <c r="W301" s="133" t="s">
        <v>35</v>
      </c>
      <c r="X301" s="133" t="s">
        <v>35</v>
      </c>
      <c r="Y301" s="135">
        <v>0.92</v>
      </c>
      <c r="Z301" s="135" t="s">
        <v>35</v>
      </c>
      <c r="AA301" s="135" t="s">
        <v>35</v>
      </c>
      <c r="AB301" s="135" t="s">
        <v>35</v>
      </c>
      <c r="AC301" s="135" t="s">
        <v>35</v>
      </c>
      <c r="AD301" s="135">
        <v>0.92</v>
      </c>
      <c r="AE301" s="133">
        <v>1</v>
      </c>
      <c r="AF301" s="133">
        <v>0.996551724137931</v>
      </c>
      <c r="AG301" s="133">
        <v>1</v>
      </c>
      <c r="AH301" s="133">
        <v>0.995511968085106</v>
      </c>
      <c r="AI301" s="135">
        <v>0.92</v>
      </c>
      <c r="AJ301" s="133" t="s">
        <v>35</v>
      </c>
      <c r="AK301" s="133" t="s">
        <v>35</v>
      </c>
      <c r="AL301" s="133" t="s">
        <v>35</v>
      </c>
      <c r="AM301" s="133" t="s">
        <v>35</v>
      </c>
      <c r="AN301" s="132">
        <v>0.99</v>
      </c>
      <c r="AO301" s="137" t="s">
        <v>35</v>
      </c>
      <c r="AP301" s="137">
        <v>1</v>
      </c>
      <c r="AQ301" s="137" t="s">
        <v>35</v>
      </c>
      <c r="AR301" s="137">
        <v>1</v>
      </c>
      <c r="AS301" s="158">
        <v>0.0922287257019438</v>
      </c>
      <c r="AT301" s="141" t="s">
        <v>35</v>
      </c>
      <c r="AU301" s="141" t="s">
        <v>35</v>
      </c>
      <c r="AV301" s="141" t="s">
        <v>35</v>
      </c>
      <c r="AW301" s="141" t="s">
        <v>35</v>
      </c>
      <c r="AX301" s="88"/>
      <c r="AY301" s="93"/>
    </row>
    <row r="302" s="86" customFormat="1" ht="15" spans="1:51">
      <c r="A302" s="91"/>
      <c r="B302" s="88"/>
      <c r="C302" s="163" t="s">
        <v>260</v>
      </c>
      <c r="D302" s="153" t="s">
        <v>125</v>
      </c>
      <c r="E302" s="130" t="s">
        <v>261</v>
      </c>
      <c r="F302" s="164" t="s">
        <v>326</v>
      </c>
      <c r="G302" s="164" t="s">
        <v>326</v>
      </c>
      <c r="H302" s="164" t="s">
        <v>326</v>
      </c>
      <c r="I302" s="164" t="s">
        <v>326</v>
      </c>
      <c r="J302" s="132">
        <v>0.9</v>
      </c>
      <c r="K302" s="133" t="s">
        <v>35</v>
      </c>
      <c r="L302" s="133" t="s">
        <v>35</v>
      </c>
      <c r="M302" s="134" t="s">
        <v>35</v>
      </c>
      <c r="N302" s="133" t="s">
        <v>35</v>
      </c>
      <c r="O302" s="135">
        <v>0.9</v>
      </c>
      <c r="P302" s="133">
        <v>0.882352941176471</v>
      </c>
      <c r="Q302" s="133">
        <v>1</v>
      </c>
      <c r="R302" s="133">
        <v>1</v>
      </c>
      <c r="S302" s="133">
        <v>0.965277777777778</v>
      </c>
      <c r="T302" s="135">
        <v>0.9</v>
      </c>
      <c r="U302" s="133">
        <v>0.882352941176471</v>
      </c>
      <c r="V302" s="133">
        <v>0.971428571428571</v>
      </c>
      <c r="W302" s="133">
        <v>1</v>
      </c>
      <c r="X302" s="133">
        <v>0.969907407407407</v>
      </c>
      <c r="Y302" s="135">
        <v>0.92</v>
      </c>
      <c r="Z302" s="135">
        <v>0.5</v>
      </c>
      <c r="AA302" s="135">
        <v>1</v>
      </c>
      <c r="AB302" s="135">
        <v>1</v>
      </c>
      <c r="AC302" s="135">
        <v>0.922448979591837</v>
      </c>
      <c r="AD302" s="135">
        <v>0.92</v>
      </c>
      <c r="AE302" s="133">
        <v>0.896450667535005</v>
      </c>
      <c r="AF302" s="133">
        <v>0.996542185338866</v>
      </c>
      <c r="AG302" s="133">
        <v>0.994964028776978</v>
      </c>
      <c r="AH302" s="133">
        <v>0.951142059149864</v>
      </c>
      <c r="AI302" s="135">
        <v>0.92</v>
      </c>
      <c r="AJ302" s="133">
        <v>0.75</v>
      </c>
      <c r="AK302" s="133">
        <v>1</v>
      </c>
      <c r="AL302" s="133">
        <v>1</v>
      </c>
      <c r="AM302" s="133">
        <v>0.958391123439667</v>
      </c>
      <c r="AN302" s="132">
        <v>0.99</v>
      </c>
      <c r="AO302" s="137">
        <v>1</v>
      </c>
      <c r="AP302" s="137">
        <v>1</v>
      </c>
      <c r="AQ302" s="137">
        <v>1</v>
      </c>
      <c r="AR302" s="137">
        <v>1</v>
      </c>
      <c r="AS302" s="158">
        <v>0.0922287257019438</v>
      </c>
      <c r="AT302" s="141" t="s">
        <v>35</v>
      </c>
      <c r="AU302" s="141" t="s">
        <v>35</v>
      </c>
      <c r="AV302" s="141" t="s">
        <v>35</v>
      </c>
      <c r="AW302" s="141">
        <v>0</v>
      </c>
      <c r="AX302" s="88"/>
      <c r="AY302" s="93"/>
    </row>
    <row r="303" s="86" customFormat="1" ht="15" spans="1:51">
      <c r="A303" s="91"/>
      <c r="B303" s="88"/>
      <c r="C303" s="163" t="s">
        <v>260</v>
      </c>
      <c r="D303" s="153" t="s">
        <v>125</v>
      </c>
      <c r="E303" s="130" t="s">
        <v>261</v>
      </c>
      <c r="F303" s="164" t="s">
        <v>327</v>
      </c>
      <c r="G303" s="164" t="s">
        <v>327</v>
      </c>
      <c r="H303" s="164" t="s">
        <v>327</v>
      </c>
      <c r="I303" s="164" t="s">
        <v>327</v>
      </c>
      <c r="J303" s="132">
        <v>0.9</v>
      </c>
      <c r="K303" s="133" t="s">
        <v>35</v>
      </c>
      <c r="L303" s="133" t="s">
        <v>35</v>
      </c>
      <c r="M303" s="134" t="s">
        <v>35</v>
      </c>
      <c r="N303" s="133" t="s">
        <v>35</v>
      </c>
      <c r="O303" s="135">
        <v>0.9</v>
      </c>
      <c r="P303" s="133" t="s">
        <v>35</v>
      </c>
      <c r="Q303" s="133" t="s">
        <v>35</v>
      </c>
      <c r="R303" s="133" t="s">
        <v>35</v>
      </c>
      <c r="S303" s="133">
        <v>0.666666666666667</v>
      </c>
      <c r="T303" s="135">
        <v>0.9</v>
      </c>
      <c r="U303" s="133" t="s">
        <v>35</v>
      </c>
      <c r="V303" s="133" t="s">
        <v>35</v>
      </c>
      <c r="W303" s="133" t="s">
        <v>35</v>
      </c>
      <c r="X303" s="133">
        <v>0</v>
      </c>
      <c r="Y303" s="135">
        <v>0.92</v>
      </c>
      <c r="Z303" s="135" t="s">
        <v>35</v>
      </c>
      <c r="AA303" s="135" t="s">
        <v>35</v>
      </c>
      <c r="AB303" s="135" t="s">
        <v>35</v>
      </c>
      <c r="AC303" s="135">
        <v>0</v>
      </c>
      <c r="AD303" s="135">
        <v>0.92</v>
      </c>
      <c r="AE303" s="133">
        <v>0.999832971438116</v>
      </c>
      <c r="AF303" s="133">
        <v>0.999218597382301</v>
      </c>
      <c r="AG303" s="133">
        <v>0.998657117278424</v>
      </c>
      <c r="AH303" s="133">
        <v>0.994908389960864</v>
      </c>
      <c r="AI303" s="135">
        <v>0.92</v>
      </c>
      <c r="AJ303" s="133" t="s">
        <v>35</v>
      </c>
      <c r="AK303" s="133" t="s">
        <v>35</v>
      </c>
      <c r="AL303" s="133" t="s">
        <v>35</v>
      </c>
      <c r="AM303" s="133">
        <v>0.2</v>
      </c>
      <c r="AN303" s="132">
        <v>0.99</v>
      </c>
      <c r="AO303" s="137">
        <v>1</v>
      </c>
      <c r="AP303" s="137">
        <v>1</v>
      </c>
      <c r="AQ303" s="137">
        <v>1</v>
      </c>
      <c r="AR303" s="137">
        <v>1</v>
      </c>
      <c r="AS303" s="158">
        <v>0.0922287257019438</v>
      </c>
      <c r="AT303" s="141" t="s">
        <v>35</v>
      </c>
      <c r="AU303" s="141" t="s">
        <v>35</v>
      </c>
      <c r="AV303" s="141" t="s">
        <v>35</v>
      </c>
      <c r="AW303" s="141" t="s">
        <v>35</v>
      </c>
      <c r="AX303" s="88"/>
      <c r="AY303" s="93"/>
    </row>
    <row r="304" s="86" customFormat="1" ht="15" spans="1:51">
      <c r="A304" s="91"/>
      <c r="B304" s="88"/>
      <c r="C304" s="163" t="s">
        <v>260</v>
      </c>
      <c r="D304" s="153" t="s">
        <v>125</v>
      </c>
      <c r="E304" s="130" t="s">
        <v>261</v>
      </c>
      <c r="F304" s="164" t="s">
        <v>328</v>
      </c>
      <c r="G304" s="164" t="s">
        <v>328</v>
      </c>
      <c r="H304" s="164" t="s">
        <v>328</v>
      </c>
      <c r="I304" s="164" t="s">
        <v>328</v>
      </c>
      <c r="J304" s="132">
        <v>0.9</v>
      </c>
      <c r="K304" s="133" t="s">
        <v>35</v>
      </c>
      <c r="L304" s="133" t="s">
        <v>35</v>
      </c>
      <c r="M304" s="134" t="s">
        <v>35</v>
      </c>
      <c r="N304" s="133" t="s">
        <v>35</v>
      </c>
      <c r="O304" s="135">
        <v>0.9</v>
      </c>
      <c r="P304" s="133">
        <v>0.4</v>
      </c>
      <c r="Q304" s="133">
        <v>0.4</v>
      </c>
      <c r="R304" s="133" t="s">
        <v>35</v>
      </c>
      <c r="S304" s="133">
        <v>0.153846153846154</v>
      </c>
      <c r="T304" s="135">
        <v>0.9</v>
      </c>
      <c r="U304" s="133">
        <v>0.2</v>
      </c>
      <c r="V304" s="133">
        <v>0</v>
      </c>
      <c r="W304" s="133" t="s">
        <v>35</v>
      </c>
      <c r="X304" s="133">
        <v>0.78021978021978</v>
      </c>
      <c r="Y304" s="135">
        <v>0.92</v>
      </c>
      <c r="Z304" s="135" t="s">
        <v>35</v>
      </c>
      <c r="AA304" s="135">
        <v>0</v>
      </c>
      <c r="AB304" s="135" t="s">
        <v>35</v>
      </c>
      <c r="AC304" s="135">
        <v>0.725</v>
      </c>
      <c r="AD304" s="135">
        <v>0.92</v>
      </c>
      <c r="AE304" s="133">
        <v>0.679134321336156</v>
      </c>
      <c r="AF304" s="133">
        <v>0.832949687602762</v>
      </c>
      <c r="AG304" s="133">
        <v>0.981454005934718</v>
      </c>
      <c r="AH304" s="133">
        <v>0.952592813775256</v>
      </c>
      <c r="AI304" s="135">
        <v>0.92</v>
      </c>
      <c r="AJ304" s="133">
        <v>0.142857142857143</v>
      </c>
      <c r="AK304" s="133">
        <v>0</v>
      </c>
      <c r="AL304" s="133" t="s">
        <v>35</v>
      </c>
      <c r="AM304" s="133">
        <v>0.759124087591241</v>
      </c>
      <c r="AN304" s="132">
        <v>0.99</v>
      </c>
      <c r="AO304" s="137">
        <v>1</v>
      </c>
      <c r="AP304" s="137">
        <v>1</v>
      </c>
      <c r="AQ304" s="137">
        <v>1</v>
      </c>
      <c r="AR304" s="137">
        <v>1</v>
      </c>
      <c r="AS304" s="158">
        <v>0.0922287257019438</v>
      </c>
      <c r="AT304" s="141" t="s">
        <v>35</v>
      </c>
      <c r="AU304" s="141" t="s">
        <v>35</v>
      </c>
      <c r="AV304" s="141" t="s">
        <v>35</v>
      </c>
      <c r="AW304" s="141">
        <v>0</v>
      </c>
      <c r="AX304" s="88"/>
      <c r="AY304" s="93"/>
    </row>
    <row r="305" s="86" customFormat="1" ht="15" spans="1:51">
      <c r="A305" s="91"/>
      <c r="B305" s="88"/>
      <c r="C305" s="163" t="s">
        <v>260</v>
      </c>
      <c r="D305" s="153" t="s">
        <v>125</v>
      </c>
      <c r="E305" s="130" t="s">
        <v>261</v>
      </c>
      <c r="F305" s="164" t="s">
        <v>329</v>
      </c>
      <c r="G305" s="164" t="s">
        <v>329</v>
      </c>
      <c r="H305" s="164" t="s">
        <v>329</v>
      </c>
      <c r="I305" s="164" t="s">
        <v>329</v>
      </c>
      <c r="J305" s="132">
        <v>0.9</v>
      </c>
      <c r="K305" s="133" t="s">
        <v>35</v>
      </c>
      <c r="L305" s="133" t="s">
        <v>35</v>
      </c>
      <c r="M305" s="134" t="s">
        <v>35</v>
      </c>
      <c r="N305" s="133" t="s">
        <v>35</v>
      </c>
      <c r="O305" s="135">
        <v>0.9</v>
      </c>
      <c r="P305" s="133" t="s">
        <v>35</v>
      </c>
      <c r="Q305" s="133" t="s">
        <v>35</v>
      </c>
      <c r="R305" s="133" t="s">
        <v>35</v>
      </c>
      <c r="S305" s="133">
        <v>0</v>
      </c>
      <c r="T305" s="135">
        <v>0.9</v>
      </c>
      <c r="U305" s="133" t="s">
        <v>35</v>
      </c>
      <c r="V305" s="133" t="s">
        <v>35</v>
      </c>
      <c r="W305" s="133" t="s">
        <v>35</v>
      </c>
      <c r="X305" s="133">
        <v>1</v>
      </c>
      <c r="Y305" s="135">
        <v>0.92</v>
      </c>
      <c r="Z305" s="135" t="s">
        <v>35</v>
      </c>
      <c r="AA305" s="135" t="s">
        <v>35</v>
      </c>
      <c r="AB305" s="135" t="s">
        <v>35</v>
      </c>
      <c r="AC305" s="135" t="s">
        <v>35</v>
      </c>
      <c r="AD305" s="135">
        <v>0.92</v>
      </c>
      <c r="AE305" s="133">
        <v>0.812781174299227</v>
      </c>
      <c r="AF305" s="133">
        <v>0.782053303895285</v>
      </c>
      <c r="AG305" s="133">
        <v>0.999608916699257</v>
      </c>
      <c r="AH305" s="133">
        <v>0.969810972179068</v>
      </c>
      <c r="AI305" s="135">
        <v>0.92</v>
      </c>
      <c r="AJ305" s="133" t="s">
        <v>35</v>
      </c>
      <c r="AK305" s="133" t="s">
        <v>35</v>
      </c>
      <c r="AL305" s="133" t="s">
        <v>35</v>
      </c>
      <c r="AM305" s="133">
        <v>0.5</v>
      </c>
      <c r="AN305" s="132">
        <v>0.99</v>
      </c>
      <c r="AO305" s="137">
        <v>1</v>
      </c>
      <c r="AP305" s="137">
        <v>1</v>
      </c>
      <c r="AQ305" s="137" t="s">
        <v>35</v>
      </c>
      <c r="AR305" s="137">
        <v>1</v>
      </c>
      <c r="AS305" s="158">
        <v>0.0922287257019438</v>
      </c>
      <c r="AT305" s="141" t="s">
        <v>35</v>
      </c>
      <c r="AU305" s="141" t="s">
        <v>35</v>
      </c>
      <c r="AV305" s="141" t="s">
        <v>35</v>
      </c>
      <c r="AW305" s="141" t="s">
        <v>35</v>
      </c>
      <c r="AX305" s="88"/>
      <c r="AY305" s="93"/>
    </row>
    <row r="306" s="86" customFormat="1" ht="15" spans="1:51">
      <c r="A306" s="91"/>
      <c r="B306" s="88"/>
      <c r="C306" s="163" t="s">
        <v>260</v>
      </c>
      <c r="D306" s="153" t="s">
        <v>125</v>
      </c>
      <c r="E306" s="130" t="s">
        <v>261</v>
      </c>
      <c r="F306" s="164" t="s">
        <v>330</v>
      </c>
      <c r="G306" s="164" t="s">
        <v>330</v>
      </c>
      <c r="H306" s="164" t="s">
        <v>330</v>
      </c>
      <c r="I306" s="164" t="s">
        <v>330</v>
      </c>
      <c r="J306" s="132">
        <v>0.9</v>
      </c>
      <c r="K306" s="133" t="s">
        <v>35</v>
      </c>
      <c r="L306" s="133" t="s">
        <v>35</v>
      </c>
      <c r="M306" s="134" t="s">
        <v>35</v>
      </c>
      <c r="N306" s="133" t="s">
        <v>35</v>
      </c>
      <c r="O306" s="135">
        <v>0.9</v>
      </c>
      <c r="P306" s="133" t="s">
        <v>35</v>
      </c>
      <c r="Q306" s="133" t="s">
        <v>35</v>
      </c>
      <c r="R306" s="133" t="s">
        <v>35</v>
      </c>
      <c r="S306" s="133">
        <v>0</v>
      </c>
      <c r="T306" s="135">
        <v>0.9</v>
      </c>
      <c r="U306" s="133" t="s">
        <v>35</v>
      </c>
      <c r="V306" s="133" t="s">
        <v>35</v>
      </c>
      <c r="W306" s="133" t="s">
        <v>35</v>
      </c>
      <c r="X306" s="133">
        <v>0</v>
      </c>
      <c r="Y306" s="135">
        <v>0.92</v>
      </c>
      <c r="Z306" s="135" t="s">
        <v>35</v>
      </c>
      <c r="AA306" s="135" t="s">
        <v>35</v>
      </c>
      <c r="AB306" s="135" t="s">
        <v>35</v>
      </c>
      <c r="AC306" s="135">
        <v>0</v>
      </c>
      <c r="AD306" s="135">
        <v>0.92</v>
      </c>
      <c r="AE306" s="133">
        <v>0.982935153583618</v>
      </c>
      <c r="AF306" s="133">
        <v>1</v>
      </c>
      <c r="AG306" s="133">
        <v>0.810185185185185</v>
      </c>
      <c r="AH306" s="133">
        <v>0.958221838584376</v>
      </c>
      <c r="AI306" s="135">
        <v>0.92</v>
      </c>
      <c r="AJ306" s="133" t="s">
        <v>35</v>
      </c>
      <c r="AK306" s="133" t="s">
        <v>35</v>
      </c>
      <c r="AL306" s="133" t="s">
        <v>35</v>
      </c>
      <c r="AM306" s="133">
        <v>0</v>
      </c>
      <c r="AN306" s="132">
        <v>0.99</v>
      </c>
      <c r="AO306" s="137" t="s">
        <v>35</v>
      </c>
      <c r="AP306" s="137">
        <v>1</v>
      </c>
      <c r="AQ306" s="137" t="s">
        <v>35</v>
      </c>
      <c r="AR306" s="137">
        <v>1</v>
      </c>
      <c r="AS306" s="158">
        <v>0.0922287257019438</v>
      </c>
      <c r="AT306" s="141" t="s">
        <v>35</v>
      </c>
      <c r="AU306" s="141" t="s">
        <v>35</v>
      </c>
      <c r="AV306" s="141" t="s">
        <v>35</v>
      </c>
      <c r="AW306" s="141" t="s">
        <v>35</v>
      </c>
      <c r="AX306" s="88"/>
      <c r="AY306" s="93"/>
    </row>
    <row r="307" s="86" customFormat="1" ht="15" spans="1:51">
      <c r="A307" s="91"/>
      <c r="B307" s="88"/>
      <c r="C307" s="163" t="s">
        <v>260</v>
      </c>
      <c r="D307" s="153" t="s">
        <v>25</v>
      </c>
      <c r="E307" s="130" t="s">
        <v>261</v>
      </c>
      <c r="F307" s="164" t="s">
        <v>331</v>
      </c>
      <c r="G307" s="164" t="s">
        <v>331</v>
      </c>
      <c r="H307" s="164" t="s">
        <v>331</v>
      </c>
      <c r="I307" s="164" t="s">
        <v>331</v>
      </c>
      <c r="J307" s="132">
        <v>0.9</v>
      </c>
      <c r="K307" s="133">
        <v>0.975</v>
      </c>
      <c r="L307" s="133">
        <v>0.973913043478261</v>
      </c>
      <c r="M307" s="134">
        <v>0.98876404494382</v>
      </c>
      <c r="N307" s="133">
        <v>0.97747963584092</v>
      </c>
      <c r="O307" s="135">
        <v>0.9</v>
      </c>
      <c r="P307" s="133">
        <v>0.966586671589441</v>
      </c>
      <c r="Q307" s="133">
        <v>0.966123778501629</v>
      </c>
      <c r="R307" s="133">
        <v>0.985759493670886</v>
      </c>
      <c r="S307" s="133">
        <v>0.95822815808311</v>
      </c>
      <c r="T307" s="135">
        <v>0.9</v>
      </c>
      <c r="U307" s="133">
        <v>0.937603839763707</v>
      </c>
      <c r="V307" s="133">
        <v>0.93485342019544</v>
      </c>
      <c r="W307" s="133">
        <v>0.941983122362869</v>
      </c>
      <c r="X307" s="133">
        <v>0.941349885092115</v>
      </c>
      <c r="Y307" s="135">
        <v>0.92</v>
      </c>
      <c r="Z307" s="135">
        <v>0.976412995104584</v>
      </c>
      <c r="AA307" s="135">
        <v>0.983760149906309</v>
      </c>
      <c r="AB307" s="135">
        <v>0.983631713554987</v>
      </c>
      <c r="AC307" s="135">
        <v>0.98637864133897</v>
      </c>
      <c r="AD307" s="135">
        <v>0.92</v>
      </c>
      <c r="AE307" s="133">
        <v>0.997271487039563</v>
      </c>
      <c r="AF307" s="133">
        <v>0.973539518900344</v>
      </c>
      <c r="AG307" s="133">
        <v>0.990697674418605</v>
      </c>
      <c r="AH307" s="133">
        <v>0.991256874365957</v>
      </c>
      <c r="AI307" s="135">
        <v>0.92</v>
      </c>
      <c r="AJ307" s="133">
        <v>0.98223392005264</v>
      </c>
      <c r="AK307" s="133">
        <v>0.991438356164384</v>
      </c>
      <c r="AL307" s="133">
        <v>0.990429789455368</v>
      </c>
      <c r="AM307" s="133">
        <v>0.991342058792978</v>
      </c>
      <c r="AN307" s="132">
        <v>0.99</v>
      </c>
      <c r="AO307" s="137">
        <v>1</v>
      </c>
      <c r="AP307" s="137">
        <v>1</v>
      </c>
      <c r="AQ307" s="137">
        <v>1</v>
      </c>
      <c r="AR307" s="137">
        <v>1</v>
      </c>
      <c r="AS307" s="158">
        <v>0.0922287257019438</v>
      </c>
      <c r="AT307" s="141">
        <v>0</v>
      </c>
      <c r="AU307" s="141">
        <v>0.0714285714285714</v>
      </c>
      <c r="AV307" s="141">
        <v>0.142857142857143</v>
      </c>
      <c r="AW307" s="141">
        <v>0.0509090909090909</v>
      </c>
      <c r="AX307" s="88"/>
      <c r="AY307" s="93"/>
    </row>
    <row r="308" s="86" customFormat="1" ht="15" spans="1:51">
      <c r="A308" s="91"/>
      <c r="B308" s="88"/>
      <c r="C308" s="163" t="s">
        <v>260</v>
      </c>
      <c r="D308" s="153" t="s">
        <v>125</v>
      </c>
      <c r="E308" s="130" t="s">
        <v>261</v>
      </c>
      <c r="F308" s="164" t="s">
        <v>332</v>
      </c>
      <c r="G308" s="164" t="s">
        <v>332</v>
      </c>
      <c r="H308" s="164" t="s">
        <v>332</v>
      </c>
      <c r="I308" s="164" t="s">
        <v>332</v>
      </c>
      <c r="J308" s="132">
        <v>0.9</v>
      </c>
      <c r="K308" s="133" t="s">
        <v>35</v>
      </c>
      <c r="L308" s="133" t="s">
        <v>35</v>
      </c>
      <c r="M308" s="134" t="s">
        <v>35</v>
      </c>
      <c r="N308" s="133" t="s">
        <v>35</v>
      </c>
      <c r="O308" s="135">
        <v>0.9</v>
      </c>
      <c r="P308" s="133" t="s">
        <v>35</v>
      </c>
      <c r="Q308" s="133" t="s">
        <v>35</v>
      </c>
      <c r="R308" s="133" t="s">
        <v>35</v>
      </c>
      <c r="S308" s="133">
        <v>0</v>
      </c>
      <c r="T308" s="135">
        <v>0.9</v>
      </c>
      <c r="U308" s="133" t="s">
        <v>35</v>
      </c>
      <c r="V308" s="133" t="s">
        <v>35</v>
      </c>
      <c r="W308" s="133" t="s">
        <v>35</v>
      </c>
      <c r="X308" s="133">
        <v>1</v>
      </c>
      <c r="Y308" s="135">
        <v>0.92</v>
      </c>
      <c r="Z308" s="135" t="s">
        <v>35</v>
      </c>
      <c r="AA308" s="135" t="s">
        <v>35</v>
      </c>
      <c r="AB308" s="135" t="s">
        <v>35</v>
      </c>
      <c r="AC308" s="135" t="s">
        <v>35</v>
      </c>
      <c r="AD308" s="135">
        <v>0.92</v>
      </c>
      <c r="AE308" s="133">
        <v>0.989528795811518</v>
      </c>
      <c r="AF308" s="133">
        <v>1</v>
      </c>
      <c r="AG308" s="133">
        <v>1</v>
      </c>
      <c r="AH308" s="133">
        <v>0.986987478517064</v>
      </c>
      <c r="AI308" s="135">
        <v>0.92</v>
      </c>
      <c r="AJ308" s="133" t="s">
        <v>35</v>
      </c>
      <c r="AK308" s="133" t="s">
        <v>35</v>
      </c>
      <c r="AL308" s="133" t="s">
        <v>35</v>
      </c>
      <c r="AM308" s="133">
        <v>1</v>
      </c>
      <c r="AN308" s="132">
        <v>0.99</v>
      </c>
      <c r="AO308" s="137">
        <v>1</v>
      </c>
      <c r="AP308" s="137" t="s">
        <v>35</v>
      </c>
      <c r="AQ308" s="137" t="s">
        <v>35</v>
      </c>
      <c r="AR308" s="137">
        <v>1</v>
      </c>
      <c r="AS308" s="158">
        <v>0.0922287257019438</v>
      </c>
      <c r="AT308" s="141" t="s">
        <v>35</v>
      </c>
      <c r="AU308" s="141" t="s">
        <v>35</v>
      </c>
      <c r="AV308" s="141" t="s">
        <v>35</v>
      </c>
      <c r="AW308" s="141" t="s">
        <v>35</v>
      </c>
      <c r="AX308" s="88"/>
      <c r="AY308" s="93"/>
    </row>
    <row r="309" s="86" customFormat="1" ht="15" spans="1:51">
      <c r="A309" s="91"/>
      <c r="B309" s="88"/>
      <c r="C309" s="163" t="s">
        <v>260</v>
      </c>
      <c r="D309" s="153" t="s">
        <v>125</v>
      </c>
      <c r="E309" s="130" t="s">
        <v>261</v>
      </c>
      <c r="F309" s="164" t="s">
        <v>333</v>
      </c>
      <c r="G309" s="164" t="s">
        <v>333</v>
      </c>
      <c r="H309" s="164" t="s">
        <v>333</v>
      </c>
      <c r="I309" s="164" t="s">
        <v>333</v>
      </c>
      <c r="J309" s="132">
        <v>0.9</v>
      </c>
      <c r="K309" s="133" t="s">
        <v>35</v>
      </c>
      <c r="L309" s="133" t="s">
        <v>35</v>
      </c>
      <c r="M309" s="134" t="s">
        <v>35</v>
      </c>
      <c r="N309" s="133" t="s">
        <v>35</v>
      </c>
      <c r="O309" s="135">
        <v>0.9</v>
      </c>
      <c r="P309" s="133">
        <v>1</v>
      </c>
      <c r="Q309" s="133">
        <v>1</v>
      </c>
      <c r="R309" s="133">
        <v>0.5</v>
      </c>
      <c r="S309" s="133">
        <v>0.888888888888889</v>
      </c>
      <c r="T309" s="135">
        <v>0.9</v>
      </c>
      <c r="U309" s="133">
        <v>1</v>
      </c>
      <c r="V309" s="133">
        <v>1</v>
      </c>
      <c r="W309" s="133">
        <v>0</v>
      </c>
      <c r="X309" s="133">
        <v>0.777777777777778</v>
      </c>
      <c r="Y309" s="135">
        <v>0.92</v>
      </c>
      <c r="Z309" s="135" t="s">
        <v>35</v>
      </c>
      <c r="AA309" s="135" t="s">
        <v>35</v>
      </c>
      <c r="AB309" s="135" t="s">
        <v>35</v>
      </c>
      <c r="AC309" s="135">
        <v>1</v>
      </c>
      <c r="AD309" s="135">
        <v>0.92</v>
      </c>
      <c r="AE309" s="133">
        <v>0.999757575757576</v>
      </c>
      <c r="AF309" s="133">
        <v>0.998766345916605</v>
      </c>
      <c r="AG309" s="133">
        <v>0.998839009287926</v>
      </c>
      <c r="AH309" s="133">
        <v>0.997589127339046</v>
      </c>
      <c r="AI309" s="135">
        <v>0.92</v>
      </c>
      <c r="AJ309" s="133">
        <v>1</v>
      </c>
      <c r="AK309" s="133">
        <v>1</v>
      </c>
      <c r="AL309" s="133">
        <v>0</v>
      </c>
      <c r="AM309" s="133">
        <v>0.8</v>
      </c>
      <c r="AN309" s="132">
        <v>0.99</v>
      </c>
      <c r="AO309" s="137">
        <v>1</v>
      </c>
      <c r="AP309" s="137">
        <v>1</v>
      </c>
      <c r="AQ309" s="137" t="s">
        <v>35</v>
      </c>
      <c r="AR309" s="137">
        <v>1</v>
      </c>
      <c r="AS309" s="158">
        <v>0.0922287257019438</v>
      </c>
      <c r="AT309" s="141" t="s">
        <v>35</v>
      </c>
      <c r="AU309" s="141" t="s">
        <v>35</v>
      </c>
      <c r="AV309" s="141" t="s">
        <v>35</v>
      </c>
      <c r="AW309" s="141" t="s">
        <v>35</v>
      </c>
      <c r="AX309" s="88"/>
      <c r="AY309" s="93"/>
    </row>
    <row r="310" s="86" customFormat="1" ht="15" spans="1:51">
      <c r="A310" s="91"/>
      <c r="B310" s="88"/>
      <c r="C310" s="163" t="s">
        <v>260</v>
      </c>
      <c r="D310" s="153" t="s">
        <v>25</v>
      </c>
      <c r="E310" s="130" t="s">
        <v>261</v>
      </c>
      <c r="F310" s="164" t="s">
        <v>334</v>
      </c>
      <c r="G310" s="164" t="s">
        <v>334</v>
      </c>
      <c r="H310" s="164" t="s">
        <v>334</v>
      </c>
      <c r="I310" s="164" t="s">
        <v>334</v>
      </c>
      <c r="J310" s="132">
        <v>0.9</v>
      </c>
      <c r="K310" s="133">
        <v>0.957446808510638</v>
      </c>
      <c r="L310" s="133">
        <v>0.964705882352941</v>
      </c>
      <c r="M310" s="134">
        <v>0.840579710144927</v>
      </c>
      <c r="N310" s="133">
        <v>0.95445798588839</v>
      </c>
      <c r="O310" s="135">
        <v>0.9</v>
      </c>
      <c r="P310" s="133">
        <v>0.970684039087948</v>
      </c>
      <c r="Q310" s="133">
        <v>0.975233455136013</v>
      </c>
      <c r="R310" s="133">
        <v>0.982781026640676</v>
      </c>
      <c r="S310" s="133">
        <v>0.966481133350535</v>
      </c>
      <c r="T310" s="135">
        <v>0.9</v>
      </c>
      <c r="U310" s="133">
        <v>0.930781758957655</v>
      </c>
      <c r="V310" s="133">
        <v>0.943564758424685</v>
      </c>
      <c r="W310" s="133">
        <v>0.923976608187134</v>
      </c>
      <c r="X310" s="133">
        <v>0.936943246464423</v>
      </c>
      <c r="Y310" s="135">
        <v>0.92</v>
      </c>
      <c r="Z310" s="135">
        <v>0.979304070957471</v>
      </c>
      <c r="AA310" s="135">
        <v>0.990178571428571</v>
      </c>
      <c r="AB310" s="135">
        <v>0.985486211901306</v>
      </c>
      <c r="AC310" s="135">
        <v>0.990879708150661</v>
      </c>
      <c r="AD310" s="135">
        <v>0.92</v>
      </c>
      <c r="AE310" s="133">
        <v>0.996347984870223</v>
      </c>
      <c r="AF310" s="133">
        <v>0.971681636726547</v>
      </c>
      <c r="AG310" s="133">
        <v>0.99153403318659</v>
      </c>
      <c r="AH310" s="133">
        <v>0.943221264320986</v>
      </c>
      <c r="AI310" s="135">
        <v>0.92</v>
      </c>
      <c r="AJ310" s="133">
        <v>0.985150352679124</v>
      </c>
      <c r="AK310" s="133">
        <v>0.993022606754117</v>
      </c>
      <c r="AL310" s="133">
        <v>0.991926440906033</v>
      </c>
      <c r="AM310" s="133">
        <v>0.994072437180342</v>
      </c>
      <c r="AN310" s="132">
        <v>0.99</v>
      </c>
      <c r="AO310" s="137">
        <v>1</v>
      </c>
      <c r="AP310" s="137">
        <v>1</v>
      </c>
      <c r="AQ310" s="137">
        <v>1</v>
      </c>
      <c r="AR310" s="137">
        <v>1</v>
      </c>
      <c r="AS310" s="158">
        <v>0.0922287257019438</v>
      </c>
      <c r="AT310" s="141">
        <v>0</v>
      </c>
      <c r="AU310" s="141">
        <v>0.0740740740740741</v>
      </c>
      <c r="AV310" s="141">
        <v>0.0555555555555556</v>
      </c>
      <c r="AW310" s="141">
        <v>0.0805194805194805</v>
      </c>
      <c r="AX310" s="88"/>
      <c r="AY310" s="93"/>
    </row>
    <row r="311" s="86" customFormat="1" ht="15" spans="1:51">
      <c r="A311" s="91"/>
      <c r="B311" s="88"/>
      <c r="C311" s="163" t="s">
        <v>260</v>
      </c>
      <c r="D311" s="153" t="s">
        <v>25</v>
      </c>
      <c r="E311" s="130" t="s">
        <v>261</v>
      </c>
      <c r="F311" s="164" t="s">
        <v>335</v>
      </c>
      <c r="G311" s="164" t="s">
        <v>335</v>
      </c>
      <c r="H311" s="164" t="s">
        <v>335</v>
      </c>
      <c r="I311" s="164" t="s">
        <v>335</v>
      </c>
      <c r="J311" s="132">
        <v>0.9</v>
      </c>
      <c r="K311" s="133">
        <v>0.98989898989899</v>
      </c>
      <c r="L311" s="133">
        <v>0.934782608695652</v>
      </c>
      <c r="M311" s="134">
        <v>0.963855421686747</v>
      </c>
      <c r="N311" s="133">
        <v>0.975267003934795</v>
      </c>
      <c r="O311" s="135">
        <v>0.9</v>
      </c>
      <c r="P311" s="133">
        <v>0.967320261437909</v>
      </c>
      <c r="Q311" s="133">
        <v>0.966617862371889</v>
      </c>
      <c r="R311" s="133">
        <v>0.970714724554577</v>
      </c>
      <c r="S311" s="133">
        <v>0.967724779790593</v>
      </c>
      <c r="T311" s="135">
        <v>0.9</v>
      </c>
      <c r="U311" s="133">
        <v>0.916508538899431</v>
      </c>
      <c r="V311" s="133">
        <v>0.925036603221083</v>
      </c>
      <c r="W311" s="133">
        <v>0.924022117550686</v>
      </c>
      <c r="X311" s="133">
        <v>0.933338873192621</v>
      </c>
      <c r="Y311" s="135">
        <v>0.92</v>
      </c>
      <c r="Z311" s="135">
        <v>0.93452380952381</v>
      </c>
      <c r="AA311" s="135">
        <v>0.921793534932221</v>
      </c>
      <c r="AB311" s="135">
        <v>0.923739237392374</v>
      </c>
      <c r="AC311" s="135">
        <v>0.942221097900329</v>
      </c>
      <c r="AD311" s="135">
        <v>0.92</v>
      </c>
      <c r="AE311" s="133">
        <v>0.986790986790987</v>
      </c>
      <c r="AF311" s="133">
        <v>0.980281690140845</v>
      </c>
      <c r="AG311" s="133">
        <v>0.916083916083916</v>
      </c>
      <c r="AH311" s="133">
        <v>0.968517278064542</v>
      </c>
      <c r="AI311" s="135">
        <v>0.92</v>
      </c>
      <c r="AJ311" s="133">
        <v>0.956653225806452</v>
      </c>
      <c r="AK311" s="133">
        <v>0.959085714285714</v>
      </c>
      <c r="AL311" s="133">
        <v>0.967872191011236</v>
      </c>
      <c r="AM311" s="133">
        <v>0.970729327587609</v>
      </c>
      <c r="AN311" s="132">
        <v>0.99</v>
      </c>
      <c r="AO311" s="137">
        <v>1</v>
      </c>
      <c r="AP311" s="137">
        <v>1</v>
      </c>
      <c r="AQ311" s="137">
        <v>1</v>
      </c>
      <c r="AR311" s="137">
        <v>1</v>
      </c>
      <c r="AS311" s="158">
        <v>0.0922287257019438</v>
      </c>
      <c r="AT311" s="141">
        <v>0</v>
      </c>
      <c r="AU311" s="141">
        <v>0.1</v>
      </c>
      <c r="AV311" s="141">
        <v>0.0769230769230769</v>
      </c>
      <c r="AW311" s="141">
        <v>0.0501193317422434</v>
      </c>
      <c r="AX311" s="88"/>
      <c r="AY311" s="93"/>
    </row>
    <row r="312" s="86" customFormat="1" ht="15" spans="1:51">
      <c r="A312" s="91"/>
      <c r="B312" s="88"/>
      <c r="C312" s="163" t="s">
        <v>260</v>
      </c>
      <c r="D312" s="153" t="s">
        <v>25</v>
      </c>
      <c r="E312" s="130" t="s">
        <v>261</v>
      </c>
      <c r="F312" s="164" t="s">
        <v>336</v>
      </c>
      <c r="G312" s="164" t="s">
        <v>336</v>
      </c>
      <c r="H312" s="164" t="s">
        <v>336</v>
      </c>
      <c r="I312" s="164" t="s">
        <v>336</v>
      </c>
      <c r="J312" s="132">
        <v>0.9</v>
      </c>
      <c r="K312" s="133">
        <v>0.946341463414634</v>
      </c>
      <c r="L312" s="133">
        <v>0.938775510204082</v>
      </c>
      <c r="M312" s="134">
        <v>0.943396226415094</v>
      </c>
      <c r="N312" s="133">
        <v>0.960407239819005</v>
      </c>
      <c r="O312" s="135">
        <v>0.9</v>
      </c>
      <c r="P312" s="133">
        <v>0.961599030890369</v>
      </c>
      <c r="Q312" s="133">
        <v>0.973797418850215</v>
      </c>
      <c r="R312" s="133">
        <v>0.977084957131722</v>
      </c>
      <c r="S312" s="133">
        <v>0.958291581689792</v>
      </c>
      <c r="T312" s="135">
        <v>0.9</v>
      </c>
      <c r="U312" s="133">
        <v>0.934221683827983</v>
      </c>
      <c r="V312" s="133">
        <v>0.957176378568635</v>
      </c>
      <c r="W312" s="133">
        <v>0.957599376461419</v>
      </c>
      <c r="X312" s="133">
        <v>0.947811427965153</v>
      </c>
      <c r="Y312" s="135">
        <v>0.92</v>
      </c>
      <c r="Z312" s="135">
        <v>0.968986523906221</v>
      </c>
      <c r="AA312" s="135">
        <v>0.966283808818081</v>
      </c>
      <c r="AB312" s="135">
        <v>0.955172413793103</v>
      </c>
      <c r="AC312" s="135">
        <v>0.972655650840131</v>
      </c>
      <c r="AD312" s="135">
        <v>0.92</v>
      </c>
      <c r="AE312" s="133">
        <v>0.993403486728444</v>
      </c>
      <c r="AF312" s="133">
        <v>0.94205238607822</v>
      </c>
      <c r="AG312" s="133">
        <v>0.828021647624774</v>
      </c>
      <c r="AH312" s="133">
        <v>0.975911607265407</v>
      </c>
      <c r="AI312" s="135">
        <v>0.92</v>
      </c>
      <c r="AJ312" s="133">
        <v>0.978003561328166</v>
      </c>
      <c r="AK312" s="133">
        <v>0.981569179572507</v>
      </c>
      <c r="AL312" s="133">
        <v>0.974825756787683</v>
      </c>
      <c r="AM312" s="133">
        <v>0.983652522697733</v>
      </c>
      <c r="AN312" s="132">
        <v>0.99</v>
      </c>
      <c r="AO312" s="137">
        <v>1</v>
      </c>
      <c r="AP312" s="137">
        <v>1</v>
      </c>
      <c r="AQ312" s="137">
        <v>1</v>
      </c>
      <c r="AR312" s="137">
        <v>1</v>
      </c>
      <c r="AS312" s="158">
        <v>0.0922287257019438</v>
      </c>
      <c r="AT312" s="141">
        <v>0.16</v>
      </c>
      <c r="AU312" s="141">
        <v>0.0909090909090909</v>
      </c>
      <c r="AV312" s="141">
        <v>0</v>
      </c>
      <c r="AW312" s="141">
        <v>0.0809061488673139</v>
      </c>
      <c r="AX312" s="88"/>
      <c r="AY312" s="93"/>
    </row>
    <row r="313" s="86" customFormat="1" ht="15" spans="1:51">
      <c r="A313" s="91"/>
      <c r="B313" s="88"/>
      <c r="C313" s="163" t="s">
        <v>260</v>
      </c>
      <c r="D313" s="153" t="s">
        <v>25</v>
      </c>
      <c r="E313" s="130" t="s">
        <v>261</v>
      </c>
      <c r="F313" s="164" t="s">
        <v>337</v>
      </c>
      <c r="G313" s="164" t="s">
        <v>337</v>
      </c>
      <c r="H313" s="164" t="s">
        <v>337</v>
      </c>
      <c r="I313" s="164" t="s">
        <v>337</v>
      </c>
      <c r="J313" s="132">
        <v>0.9</v>
      </c>
      <c r="K313" s="133">
        <v>0.972222222222222</v>
      </c>
      <c r="L313" s="133">
        <v>0.97</v>
      </c>
      <c r="M313" s="134">
        <v>0.974683544303797</v>
      </c>
      <c r="N313" s="133">
        <v>0.979288369622942</v>
      </c>
      <c r="O313" s="135">
        <v>0.9</v>
      </c>
      <c r="P313" s="133">
        <v>0.984589853010906</v>
      </c>
      <c r="Q313" s="133">
        <v>0.98030888030888</v>
      </c>
      <c r="R313" s="133">
        <v>0.979460453709381</v>
      </c>
      <c r="S313" s="133">
        <v>0.973429781227946</v>
      </c>
      <c r="T313" s="135">
        <v>0.9</v>
      </c>
      <c r="U313" s="133">
        <v>0.956377430061641</v>
      </c>
      <c r="V313" s="133">
        <v>0.951351351351351</v>
      </c>
      <c r="W313" s="133">
        <v>0.949417535254445</v>
      </c>
      <c r="X313" s="133">
        <v>0.954493060456363</v>
      </c>
      <c r="Y313" s="135">
        <v>0.92</v>
      </c>
      <c r="Z313" s="135">
        <v>0.973565091435814</v>
      </c>
      <c r="AA313" s="135">
        <v>0.964360587002096</v>
      </c>
      <c r="AB313" s="135">
        <v>0.96887417218543</v>
      </c>
      <c r="AC313" s="135">
        <v>0.976784944292212</v>
      </c>
      <c r="AD313" s="135">
        <v>0.92</v>
      </c>
      <c r="AE313" s="133">
        <v>0.99972833469166</v>
      </c>
      <c r="AF313" s="133">
        <v>0.998411437648928</v>
      </c>
      <c r="AG313" s="133">
        <v>0.995923913043478</v>
      </c>
      <c r="AH313" s="133">
        <v>0.998074742764242</v>
      </c>
      <c r="AI313" s="135">
        <v>0.92</v>
      </c>
      <c r="AJ313" s="133">
        <v>0.980601457456636</v>
      </c>
      <c r="AK313" s="133">
        <v>0.98284435604177</v>
      </c>
      <c r="AL313" s="133">
        <v>0.981985756179305</v>
      </c>
      <c r="AM313" s="133">
        <v>0.985987918641994</v>
      </c>
      <c r="AN313" s="132">
        <v>0.99</v>
      </c>
      <c r="AO313" s="137">
        <v>1</v>
      </c>
      <c r="AP313" s="137">
        <v>1</v>
      </c>
      <c r="AQ313" s="137">
        <v>1</v>
      </c>
      <c r="AR313" s="137">
        <v>1</v>
      </c>
      <c r="AS313" s="158">
        <v>0.0922287257019438</v>
      </c>
      <c r="AT313" s="141">
        <v>0</v>
      </c>
      <c r="AU313" s="141">
        <v>0.2</v>
      </c>
      <c r="AV313" s="141">
        <v>0.142857142857143</v>
      </c>
      <c r="AW313" s="141">
        <v>0.065989847715736</v>
      </c>
      <c r="AX313" s="88"/>
      <c r="AY313" s="93"/>
    </row>
    <row r="314" s="86" customFormat="1" ht="15" spans="1:51">
      <c r="A314" s="91"/>
      <c r="B314" s="88"/>
      <c r="C314" s="163" t="s">
        <v>260</v>
      </c>
      <c r="D314" s="153" t="s">
        <v>25</v>
      </c>
      <c r="E314" s="130" t="s">
        <v>261</v>
      </c>
      <c r="F314" s="164" t="s">
        <v>338</v>
      </c>
      <c r="G314" s="164" t="s">
        <v>338</v>
      </c>
      <c r="H314" s="164" t="s">
        <v>338</v>
      </c>
      <c r="I314" s="164" t="s">
        <v>338</v>
      </c>
      <c r="J314" s="132">
        <v>0.9</v>
      </c>
      <c r="K314" s="133">
        <v>0.988372093023256</v>
      </c>
      <c r="L314" s="133">
        <v>0.975609756097561</v>
      </c>
      <c r="M314" s="134">
        <v>1</v>
      </c>
      <c r="N314" s="133">
        <v>0.990341274951706</v>
      </c>
      <c r="O314" s="135">
        <v>0.9</v>
      </c>
      <c r="P314" s="133">
        <v>0.991685779816514</v>
      </c>
      <c r="Q314" s="133">
        <v>0.990790111488124</v>
      </c>
      <c r="R314" s="133">
        <v>0.989419291338583</v>
      </c>
      <c r="S314" s="133">
        <v>0.97794293031372</v>
      </c>
      <c r="T314" s="135">
        <v>0.9</v>
      </c>
      <c r="U314" s="133">
        <v>0.979071100917431</v>
      </c>
      <c r="V314" s="133">
        <v>0.984973339796413</v>
      </c>
      <c r="W314" s="133">
        <v>0.980561023622047</v>
      </c>
      <c r="X314" s="133">
        <v>0.969192914621439</v>
      </c>
      <c r="Y314" s="135">
        <v>0.92</v>
      </c>
      <c r="Z314" s="135">
        <v>0.98005378753922</v>
      </c>
      <c r="AA314" s="135">
        <v>0.986964618249534</v>
      </c>
      <c r="AB314" s="135">
        <v>0.973249409913454</v>
      </c>
      <c r="AC314" s="135">
        <v>0.978267940638341</v>
      </c>
      <c r="AD314" s="135">
        <v>0.92</v>
      </c>
      <c r="AE314" s="133">
        <v>0.992537313432836</v>
      </c>
      <c r="AF314" s="133">
        <v>0.984749455337691</v>
      </c>
      <c r="AG314" s="133">
        <v>0.98992443324937</v>
      </c>
      <c r="AH314" s="133">
        <v>0.972616588281834</v>
      </c>
      <c r="AI314" s="135">
        <v>0.92</v>
      </c>
      <c r="AJ314" s="133">
        <v>0.986415094339623</v>
      </c>
      <c r="AK314" s="133">
        <v>0.99171182658591</v>
      </c>
      <c r="AL314" s="133">
        <v>0.987261146496815</v>
      </c>
      <c r="AM314" s="133">
        <v>0.986923691787147</v>
      </c>
      <c r="AN314" s="132">
        <v>0.99</v>
      </c>
      <c r="AO314" s="137">
        <v>1</v>
      </c>
      <c r="AP314" s="137">
        <v>1</v>
      </c>
      <c r="AQ314" s="137">
        <v>1</v>
      </c>
      <c r="AR314" s="137">
        <v>1</v>
      </c>
      <c r="AS314" s="158">
        <v>0.0922287257019438</v>
      </c>
      <c r="AT314" s="141">
        <v>0.2</v>
      </c>
      <c r="AU314" s="141">
        <v>0.0909090909090909</v>
      </c>
      <c r="AV314" s="141">
        <v>0</v>
      </c>
      <c r="AW314" s="141">
        <v>0.0956521739130435</v>
      </c>
      <c r="AX314" s="88"/>
      <c r="AY314" s="93"/>
    </row>
    <row r="315" s="86" customFormat="1" ht="15" spans="1:51">
      <c r="A315" s="91"/>
      <c r="B315" s="88"/>
      <c r="C315" s="163" t="s">
        <v>260</v>
      </c>
      <c r="D315" s="153" t="s">
        <v>125</v>
      </c>
      <c r="E315" s="130" t="s">
        <v>261</v>
      </c>
      <c r="F315" s="164" t="s">
        <v>339</v>
      </c>
      <c r="G315" s="164" t="s">
        <v>339</v>
      </c>
      <c r="H315" s="164" t="s">
        <v>339</v>
      </c>
      <c r="I315" s="164" t="s">
        <v>339</v>
      </c>
      <c r="J315" s="132">
        <v>0.9</v>
      </c>
      <c r="K315" s="133" t="s">
        <v>35</v>
      </c>
      <c r="L315" s="133" t="s">
        <v>35</v>
      </c>
      <c r="M315" s="134" t="s">
        <v>35</v>
      </c>
      <c r="N315" s="133" t="s">
        <v>35</v>
      </c>
      <c r="O315" s="135">
        <v>0.9</v>
      </c>
      <c r="P315" s="133" t="s">
        <v>35</v>
      </c>
      <c r="Q315" s="133" t="s">
        <v>35</v>
      </c>
      <c r="R315" s="133" t="s">
        <v>35</v>
      </c>
      <c r="S315" s="133">
        <v>0</v>
      </c>
      <c r="T315" s="135">
        <v>0.9</v>
      </c>
      <c r="U315" s="133" t="s">
        <v>35</v>
      </c>
      <c r="V315" s="133" t="s">
        <v>35</v>
      </c>
      <c r="W315" s="133" t="s">
        <v>35</v>
      </c>
      <c r="X315" s="133">
        <v>0</v>
      </c>
      <c r="Y315" s="135">
        <v>0.92</v>
      </c>
      <c r="Z315" s="135" t="s">
        <v>35</v>
      </c>
      <c r="AA315" s="135" t="s">
        <v>35</v>
      </c>
      <c r="AB315" s="135" t="s">
        <v>35</v>
      </c>
      <c r="AC315" s="135" t="s">
        <v>35</v>
      </c>
      <c r="AD315" s="135">
        <v>0.92</v>
      </c>
      <c r="AE315" s="133">
        <v>0.996309963099631</v>
      </c>
      <c r="AF315" s="133">
        <v>0.946043165467626</v>
      </c>
      <c r="AG315" s="133">
        <v>0.986062717770035</v>
      </c>
      <c r="AH315" s="133">
        <v>0.976293771304617</v>
      </c>
      <c r="AI315" s="135">
        <v>0.92</v>
      </c>
      <c r="AJ315" s="133" t="s">
        <v>35</v>
      </c>
      <c r="AK315" s="133" t="s">
        <v>35</v>
      </c>
      <c r="AL315" s="133">
        <v>1</v>
      </c>
      <c r="AM315" s="133">
        <v>0.5</v>
      </c>
      <c r="AN315" s="132">
        <v>0.99</v>
      </c>
      <c r="AO315" s="137" t="s">
        <v>35</v>
      </c>
      <c r="AP315" s="137">
        <v>1</v>
      </c>
      <c r="AQ315" s="137" t="s">
        <v>35</v>
      </c>
      <c r="AR315" s="137">
        <v>1</v>
      </c>
      <c r="AS315" s="158">
        <v>0.0922287257019438</v>
      </c>
      <c r="AT315" s="141" t="s">
        <v>35</v>
      </c>
      <c r="AU315" s="141" t="s">
        <v>35</v>
      </c>
      <c r="AV315" s="141" t="s">
        <v>35</v>
      </c>
      <c r="AW315" s="141" t="s">
        <v>35</v>
      </c>
      <c r="AX315" s="88"/>
      <c r="AY315" s="93"/>
    </row>
    <row r="316" s="86" customFormat="1" ht="15" spans="1:51">
      <c r="A316" s="91"/>
      <c r="B316" s="88"/>
      <c r="C316" s="163" t="s">
        <v>260</v>
      </c>
      <c r="D316" s="153" t="s">
        <v>125</v>
      </c>
      <c r="E316" s="130" t="s">
        <v>261</v>
      </c>
      <c r="F316" s="164" t="s">
        <v>340</v>
      </c>
      <c r="G316" s="164" t="s">
        <v>340</v>
      </c>
      <c r="H316" s="164" t="s">
        <v>340</v>
      </c>
      <c r="I316" s="164" t="s">
        <v>340</v>
      </c>
      <c r="J316" s="132">
        <v>0.9</v>
      </c>
      <c r="K316" s="133" t="s">
        <v>35</v>
      </c>
      <c r="L316" s="133" t="s">
        <v>35</v>
      </c>
      <c r="M316" s="134" t="s">
        <v>35</v>
      </c>
      <c r="N316" s="133" t="s">
        <v>35</v>
      </c>
      <c r="O316" s="135">
        <v>0.9</v>
      </c>
      <c r="P316" s="133">
        <v>0</v>
      </c>
      <c r="Q316" s="133" t="s">
        <v>35</v>
      </c>
      <c r="R316" s="133" t="s">
        <v>35</v>
      </c>
      <c r="S316" s="133">
        <v>0.0769230769230769</v>
      </c>
      <c r="T316" s="135">
        <v>0.9</v>
      </c>
      <c r="U316" s="133">
        <v>0</v>
      </c>
      <c r="V316" s="133" t="s">
        <v>35</v>
      </c>
      <c r="W316" s="133" t="s">
        <v>35</v>
      </c>
      <c r="X316" s="133">
        <v>0.82051282051282</v>
      </c>
      <c r="Y316" s="135">
        <v>0.92</v>
      </c>
      <c r="Z316" s="135">
        <v>0</v>
      </c>
      <c r="AA316" s="135" t="s">
        <v>35</v>
      </c>
      <c r="AB316" s="135" t="s">
        <v>35</v>
      </c>
      <c r="AC316" s="135">
        <v>0</v>
      </c>
      <c r="AD316" s="135">
        <v>0.92</v>
      </c>
      <c r="AE316" s="133">
        <v>0.999806735275644</v>
      </c>
      <c r="AF316" s="133">
        <v>0.99980625161457</v>
      </c>
      <c r="AG316" s="133">
        <v>0.904128672745694</v>
      </c>
      <c r="AH316" s="133">
        <v>0.997334931939766</v>
      </c>
      <c r="AI316" s="135">
        <v>0.92</v>
      </c>
      <c r="AJ316" s="133">
        <v>0</v>
      </c>
      <c r="AK316" s="133" t="s">
        <v>35</v>
      </c>
      <c r="AL316" s="133" t="s">
        <v>35</v>
      </c>
      <c r="AM316" s="133">
        <v>0.782608695652174</v>
      </c>
      <c r="AN316" s="132">
        <v>0.99</v>
      </c>
      <c r="AO316" s="137">
        <v>1</v>
      </c>
      <c r="AP316" s="137">
        <v>1</v>
      </c>
      <c r="AQ316" s="137" t="s">
        <v>35</v>
      </c>
      <c r="AR316" s="137">
        <v>1</v>
      </c>
      <c r="AS316" s="158">
        <v>0.0922287257019438</v>
      </c>
      <c r="AT316" s="141" t="s">
        <v>35</v>
      </c>
      <c r="AU316" s="141" t="s">
        <v>35</v>
      </c>
      <c r="AV316" s="141" t="s">
        <v>35</v>
      </c>
      <c r="AW316" s="141">
        <v>0</v>
      </c>
      <c r="AX316" s="88"/>
      <c r="AY316" s="93"/>
    </row>
    <row r="317" s="86" customFormat="1" ht="15" spans="1:51">
      <c r="A317" s="91"/>
      <c r="B317" s="88"/>
      <c r="C317" s="163" t="s">
        <v>260</v>
      </c>
      <c r="D317" s="153" t="s">
        <v>125</v>
      </c>
      <c r="E317" s="130" t="s">
        <v>261</v>
      </c>
      <c r="F317" s="164" t="s">
        <v>341</v>
      </c>
      <c r="G317" s="164" t="s">
        <v>341</v>
      </c>
      <c r="H317" s="164" t="s">
        <v>341</v>
      </c>
      <c r="I317" s="164" t="s">
        <v>341</v>
      </c>
      <c r="J317" s="132">
        <v>0.9</v>
      </c>
      <c r="K317" s="133" t="s">
        <v>35</v>
      </c>
      <c r="L317" s="133" t="s">
        <v>35</v>
      </c>
      <c r="M317" s="134" t="s">
        <v>35</v>
      </c>
      <c r="N317" s="133" t="s">
        <v>35</v>
      </c>
      <c r="O317" s="135">
        <v>0.9</v>
      </c>
      <c r="P317" s="133" t="s">
        <v>35</v>
      </c>
      <c r="Q317" s="133" t="s">
        <v>35</v>
      </c>
      <c r="R317" s="133">
        <v>0</v>
      </c>
      <c r="S317" s="133">
        <v>0.75</v>
      </c>
      <c r="T317" s="135">
        <v>0.9</v>
      </c>
      <c r="U317" s="133" t="s">
        <v>35</v>
      </c>
      <c r="V317" s="133" t="s">
        <v>35</v>
      </c>
      <c r="W317" s="133">
        <v>0</v>
      </c>
      <c r="X317" s="133">
        <v>0.25</v>
      </c>
      <c r="Y317" s="135">
        <v>0.92</v>
      </c>
      <c r="Z317" s="135" t="s">
        <v>35</v>
      </c>
      <c r="AA317" s="135" t="s">
        <v>35</v>
      </c>
      <c r="AB317" s="135" t="s">
        <v>35</v>
      </c>
      <c r="AC317" s="135">
        <v>1</v>
      </c>
      <c r="AD317" s="135">
        <v>0.92</v>
      </c>
      <c r="AE317" s="133">
        <v>0.999815464107769</v>
      </c>
      <c r="AF317" s="133">
        <v>0.996738421395956</v>
      </c>
      <c r="AG317" s="133">
        <v>0.998466257668712</v>
      </c>
      <c r="AH317" s="133">
        <v>0.998605573349021</v>
      </c>
      <c r="AI317" s="135">
        <v>0.92</v>
      </c>
      <c r="AJ317" s="133" t="s">
        <v>35</v>
      </c>
      <c r="AK317" s="133">
        <v>0</v>
      </c>
      <c r="AL317" s="133">
        <v>0</v>
      </c>
      <c r="AM317" s="133">
        <v>0.285714285714286</v>
      </c>
      <c r="AN317" s="132">
        <v>0.99</v>
      </c>
      <c r="AO317" s="137">
        <v>1</v>
      </c>
      <c r="AP317" s="137" t="s">
        <v>35</v>
      </c>
      <c r="AQ317" s="137">
        <v>1</v>
      </c>
      <c r="AR317" s="137">
        <v>1</v>
      </c>
      <c r="AS317" s="158">
        <v>0.0922287257019438</v>
      </c>
      <c r="AT317" s="141" t="s">
        <v>35</v>
      </c>
      <c r="AU317" s="141" t="s">
        <v>35</v>
      </c>
      <c r="AV317" s="141" t="s">
        <v>35</v>
      </c>
      <c r="AW317" s="141">
        <v>0</v>
      </c>
      <c r="AX317" s="88"/>
      <c r="AY317" s="93"/>
    </row>
    <row r="318" s="86" customFormat="1" ht="15" spans="1:51">
      <c r="A318" s="91"/>
      <c r="B318" s="88"/>
      <c r="C318" s="163" t="s">
        <v>260</v>
      </c>
      <c r="D318" s="153" t="s">
        <v>125</v>
      </c>
      <c r="E318" s="130" t="s">
        <v>261</v>
      </c>
      <c r="F318" s="164" t="s">
        <v>342</v>
      </c>
      <c r="G318" s="164" t="s">
        <v>342</v>
      </c>
      <c r="H318" s="164" t="s">
        <v>342</v>
      </c>
      <c r="I318" s="164" t="s">
        <v>342</v>
      </c>
      <c r="J318" s="132">
        <v>0.9</v>
      </c>
      <c r="K318" s="133" t="s">
        <v>35</v>
      </c>
      <c r="L318" s="133" t="s">
        <v>35</v>
      </c>
      <c r="M318" s="134" t="s">
        <v>35</v>
      </c>
      <c r="N318" s="133" t="s">
        <v>35</v>
      </c>
      <c r="O318" s="135">
        <v>0.9</v>
      </c>
      <c r="P318" s="133" t="s">
        <v>35</v>
      </c>
      <c r="Q318" s="133" t="s">
        <v>35</v>
      </c>
      <c r="R318" s="133">
        <v>0</v>
      </c>
      <c r="S318" s="133">
        <v>0</v>
      </c>
      <c r="T318" s="135">
        <v>0.9</v>
      </c>
      <c r="U318" s="133" t="s">
        <v>35</v>
      </c>
      <c r="V318" s="133" t="s">
        <v>35</v>
      </c>
      <c r="W318" s="133">
        <v>0</v>
      </c>
      <c r="X318" s="133">
        <v>0.333333333333333</v>
      </c>
      <c r="Y318" s="135">
        <v>0.92</v>
      </c>
      <c r="Z318" s="135" t="s">
        <v>35</v>
      </c>
      <c r="AA318" s="135" t="s">
        <v>35</v>
      </c>
      <c r="AB318" s="135" t="s">
        <v>35</v>
      </c>
      <c r="AC318" s="135">
        <v>0</v>
      </c>
      <c r="AD318" s="135">
        <v>0.92</v>
      </c>
      <c r="AE318" s="133">
        <v>0.974381756256479</v>
      </c>
      <c r="AF318" s="133">
        <v>0.882495457298607</v>
      </c>
      <c r="AG318" s="133">
        <v>0.95106844224218</v>
      </c>
      <c r="AH318" s="133">
        <v>0.961726681761741</v>
      </c>
      <c r="AI318" s="135">
        <v>0.92</v>
      </c>
      <c r="AJ318" s="133" t="s">
        <v>35</v>
      </c>
      <c r="AK318" s="133" t="s">
        <v>35</v>
      </c>
      <c r="AL318" s="133">
        <v>0</v>
      </c>
      <c r="AM318" s="133">
        <v>0.428571428571429</v>
      </c>
      <c r="AN318" s="132">
        <v>0.99</v>
      </c>
      <c r="AO318" s="137">
        <v>1</v>
      </c>
      <c r="AP318" s="137">
        <v>1</v>
      </c>
      <c r="AQ318" s="137">
        <v>1</v>
      </c>
      <c r="AR318" s="137">
        <v>1</v>
      </c>
      <c r="AS318" s="158">
        <v>0.0922287257019438</v>
      </c>
      <c r="AT318" s="141" t="s">
        <v>35</v>
      </c>
      <c r="AU318" s="141" t="s">
        <v>35</v>
      </c>
      <c r="AV318" s="141" t="s">
        <v>35</v>
      </c>
      <c r="AW318" s="141" t="s">
        <v>35</v>
      </c>
      <c r="AX318" s="88"/>
      <c r="AY318" s="93"/>
    </row>
    <row r="319" s="86" customFormat="1" ht="15" spans="1:51">
      <c r="A319" s="91"/>
      <c r="B319" s="88"/>
      <c r="C319" s="163" t="s">
        <v>260</v>
      </c>
      <c r="D319" s="153" t="s">
        <v>125</v>
      </c>
      <c r="E319" s="130" t="s">
        <v>261</v>
      </c>
      <c r="F319" s="164" t="s">
        <v>343</v>
      </c>
      <c r="G319" s="164" t="s">
        <v>343</v>
      </c>
      <c r="H319" s="164" t="s">
        <v>343</v>
      </c>
      <c r="I319" s="164" t="s">
        <v>343</v>
      </c>
      <c r="J319" s="132">
        <v>0.9</v>
      </c>
      <c r="K319" s="133" t="s">
        <v>35</v>
      </c>
      <c r="L319" s="133" t="s">
        <v>35</v>
      </c>
      <c r="M319" s="134" t="s">
        <v>35</v>
      </c>
      <c r="N319" s="133" t="s">
        <v>35</v>
      </c>
      <c r="O319" s="135">
        <v>0.9</v>
      </c>
      <c r="P319" s="133" t="s">
        <v>35</v>
      </c>
      <c r="Q319" s="133" t="s">
        <v>35</v>
      </c>
      <c r="R319" s="133" t="s">
        <v>35</v>
      </c>
      <c r="S319" s="133">
        <v>0.0714285714285714</v>
      </c>
      <c r="T319" s="135">
        <v>0.9</v>
      </c>
      <c r="U319" s="133" t="s">
        <v>35</v>
      </c>
      <c r="V319" s="133" t="s">
        <v>35</v>
      </c>
      <c r="W319" s="133" t="s">
        <v>35</v>
      </c>
      <c r="X319" s="133">
        <v>0.928571428571429</v>
      </c>
      <c r="Y319" s="135">
        <v>0.92</v>
      </c>
      <c r="Z319" s="135" t="s">
        <v>35</v>
      </c>
      <c r="AA319" s="135" t="s">
        <v>35</v>
      </c>
      <c r="AB319" s="135" t="s">
        <v>35</v>
      </c>
      <c r="AC319" s="135">
        <v>1</v>
      </c>
      <c r="AD319" s="135">
        <v>0.92</v>
      </c>
      <c r="AE319" s="133">
        <v>0.999493071983778</v>
      </c>
      <c r="AF319" s="133">
        <v>0.999756008295718</v>
      </c>
      <c r="AG319" s="133">
        <v>0.998169336384439</v>
      </c>
      <c r="AH319" s="133">
        <v>0.982624232638576</v>
      </c>
      <c r="AI319" s="135">
        <v>0.92</v>
      </c>
      <c r="AJ319" s="133" t="s">
        <v>35</v>
      </c>
      <c r="AK319" s="133" t="s">
        <v>35</v>
      </c>
      <c r="AL319" s="133" t="s">
        <v>35</v>
      </c>
      <c r="AM319" s="133">
        <v>0.956521739130435</v>
      </c>
      <c r="AN319" s="132">
        <v>0.99</v>
      </c>
      <c r="AO319" s="137">
        <v>1</v>
      </c>
      <c r="AP319" s="137">
        <v>1</v>
      </c>
      <c r="AQ319" s="137" t="s">
        <v>35</v>
      </c>
      <c r="AR319" s="137">
        <v>1</v>
      </c>
      <c r="AS319" s="158">
        <v>0.0922287257019438</v>
      </c>
      <c r="AT319" s="141" t="s">
        <v>35</v>
      </c>
      <c r="AU319" s="141" t="s">
        <v>35</v>
      </c>
      <c r="AV319" s="141" t="s">
        <v>35</v>
      </c>
      <c r="AW319" s="141" t="s">
        <v>35</v>
      </c>
      <c r="AX319" s="88"/>
      <c r="AY319" s="93"/>
    </row>
    <row r="320" s="86" customFormat="1" ht="15" spans="1:51">
      <c r="A320" s="91"/>
      <c r="B320" s="88"/>
      <c r="C320" s="163" t="s">
        <v>260</v>
      </c>
      <c r="D320" s="153" t="s">
        <v>125</v>
      </c>
      <c r="E320" s="130" t="s">
        <v>261</v>
      </c>
      <c r="F320" s="164" t="s">
        <v>344</v>
      </c>
      <c r="G320" s="164" t="s">
        <v>344</v>
      </c>
      <c r="H320" s="164" t="s">
        <v>344</v>
      </c>
      <c r="I320" s="164" t="s">
        <v>344</v>
      </c>
      <c r="J320" s="132">
        <v>0.9</v>
      </c>
      <c r="K320" s="133" t="s">
        <v>35</v>
      </c>
      <c r="L320" s="133" t="s">
        <v>35</v>
      </c>
      <c r="M320" s="134" t="s">
        <v>35</v>
      </c>
      <c r="N320" s="133" t="s">
        <v>35</v>
      </c>
      <c r="O320" s="135">
        <v>0.9</v>
      </c>
      <c r="P320" s="133">
        <v>0</v>
      </c>
      <c r="Q320" s="133">
        <v>1</v>
      </c>
      <c r="R320" s="133">
        <v>1</v>
      </c>
      <c r="S320" s="133">
        <v>0.538461538461538</v>
      </c>
      <c r="T320" s="135">
        <v>0.9</v>
      </c>
      <c r="U320" s="133">
        <v>0</v>
      </c>
      <c r="V320" s="133">
        <v>1</v>
      </c>
      <c r="W320" s="133">
        <v>1</v>
      </c>
      <c r="X320" s="133">
        <v>0.846153846153846</v>
      </c>
      <c r="Y320" s="135">
        <v>0.92</v>
      </c>
      <c r="Z320" s="135">
        <v>0</v>
      </c>
      <c r="AA320" s="135" t="s">
        <v>35</v>
      </c>
      <c r="AB320" s="135" t="s">
        <v>35</v>
      </c>
      <c r="AC320" s="135">
        <v>0</v>
      </c>
      <c r="AD320" s="135">
        <v>0.92</v>
      </c>
      <c r="AE320" s="133">
        <v>0.998608792431831</v>
      </c>
      <c r="AF320" s="133">
        <v>0.979007402014319</v>
      </c>
      <c r="AG320" s="133">
        <v>0.761627906976744</v>
      </c>
      <c r="AH320" s="133">
        <v>0.944475468169658</v>
      </c>
      <c r="AI320" s="135">
        <v>0.92</v>
      </c>
      <c r="AJ320" s="133">
        <v>0</v>
      </c>
      <c r="AK320" s="133">
        <v>1</v>
      </c>
      <c r="AL320" s="133">
        <v>1</v>
      </c>
      <c r="AM320" s="133">
        <v>0.789473684210526</v>
      </c>
      <c r="AN320" s="132">
        <v>0.99</v>
      </c>
      <c r="AO320" s="137" t="s">
        <v>35</v>
      </c>
      <c r="AP320" s="137" t="s">
        <v>35</v>
      </c>
      <c r="AQ320" s="137" t="s">
        <v>35</v>
      </c>
      <c r="AR320" s="137">
        <v>1</v>
      </c>
      <c r="AS320" s="158">
        <v>0.0922287257019438</v>
      </c>
      <c r="AT320" s="141" t="s">
        <v>35</v>
      </c>
      <c r="AU320" s="141" t="s">
        <v>35</v>
      </c>
      <c r="AV320" s="141" t="s">
        <v>35</v>
      </c>
      <c r="AW320" s="141" t="s">
        <v>35</v>
      </c>
      <c r="AX320" s="88"/>
      <c r="AY320" s="93"/>
    </row>
    <row r="321" s="86" customFormat="1" ht="15" spans="1:51">
      <c r="A321" s="91"/>
      <c r="B321" s="88"/>
      <c r="C321" s="163" t="s">
        <v>260</v>
      </c>
      <c r="D321" s="153" t="s">
        <v>25</v>
      </c>
      <c r="E321" s="130" t="s">
        <v>261</v>
      </c>
      <c r="F321" s="164" t="s">
        <v>345</v>
      </c>
      <c r="G321" s="164" t="s">
        <v>345</v>
      </c>
      <c r="H321" s="164" t="s">
        <v>345</v>
      </c>
      <c r="I321" s="164" t="s">
        <v>345</v>
      </c>
      <c r="J321" s="132">
        <v>0.9</v>
      </c>
      <c r="K321" s="133">
        <v>1</v>
      </c>
      <c r="L321" s="133">
        <v>0.963636363636364</v>
      </c>
      <c r="M321" s="134">
        <v>0.97752808988764</v>
      </c>
      <c r="N321" s="133">
        <v>0.972262075561932</v>
      </c>
      <c r="O321" s="135">
        <v>0.9</v>
      </c>
      <c r="P321" s="133">
        <v>0.980795377294358</v>
      </c>
      <c r="Q321" s="133">
        <v>0.975127039315325</v>
      </c>
      <c r="R321" s="133">
        <v>0.978793903247184</v>
      </c>
      <c r="S321" s="133">
        <v>0.970113817601856</v>
      </c>
      <c r="T321" s="135">
        <v>0.9</v>
      </c>
      <c r="U321" s="133">
        <v>0.960740992522094</v>
      </c>
      <c r="V321" s="133">
        <v>0.965766247659802</v>
      </c>
      <c r="W321" s="133">
        <v>0.96156394963552</v>
      </c>
      <c r="X321" s="133">
        <v>0.959592938958968</v>
      </c>
      <c r="Y321" s="135">
        <v>0.92</v>
      </c>
      <c r="Z321" s="135">
        <v>0.96426942374943</v>
      </c>
      <c r="AA321" s="135">
        <v>0.965498652291105</v>
      </c>
      <c r="AB321" s="135">
        <v>0.96875</v>
      </c>
      <c r="AC321" s="135">
        <v>0.978732801087141</v>
      </c>
      <c r="AD321" s="135">
        <v>0.92</v>
      </c>
      <c r="AE321" s="133">
        <v>0.936215051749169</v>
      </c>
      <c r="AF321" s="133">
        <v>0.867431690781557</v>
      </c>
      <c r="AG321" s="133">
        <v>0.75918180629983</v>
      </c>
      <c r="AH321" s="133">
        <v>0.867226491532149</v>
      </c>
      <c r="AI321" s="135">
        <v>0.92</v>
      </c>
      <c r="AJ321" s="133">
        <v>0.97649041161839</v>
      </c>
      <c r="AK321" s="133">
        <v>0.984447622452628</v>
      </c>
      <c r="AL321" s="133">
        <v>0.981697171381032</v>
      </c>
      <c r="AM321" s="133">
        <v>0.987588518624772</v>
      </c>
      <c r="AN321" s="132">
        <v>0.99</v>
      </c>
      <c r="AO321" s="137">
        <v>1</v>
      </c>
      <c r="AP321" s="137">
        <v>1</v>
      </c>
      <c r="AQ321" s="137">
        <v>1</v>
      </c>
      <c r="AR321" s="137">
        <v>1</v>
      </c>
      <c r="AS321" s="158">
        <v>0.0922287257019438</v>
      </c>
      <c r="AT321" s="141">
        <v>0.0740740740740741</v>
      </c>
      <c r="AU321" s="141">
        <v>0.027027027027027</v>
      </c>
      <c r="AV321" s="141">
        <v>0.0625</v>
      </c>
      <c r="AW321" s="141">
        <v>0.0335820895522388</v>
      </c>
      <c r="AX321" s="88"/>
      <c r="AY321" s="93"/>
    </row>
    <row r="322" s="86" customFormat="1" ht="15" spans="1:51">
      <c r="A322" s="91"/>
      <c r="B322" s="88"/>
      <c r="C322" s="163" t="s">
        <v>260</v>
      </c>
      <c r="D322" s="153" t="s">
        <v>125</v>
      </c>
      <c r="E322" s="130" t="s">
        <v>261</v>
      </c>
      <c r="F322" s="164" t="s">
        <v>346</v>
      </c>
      <c r="G322" s="164" t="s">
        <v>346</v>
      </c>
      <c r="H322" s="164" t="s">
        <v>346</v>
      </c>
      <c r="I322" s="164" t="s">
        <v>346</v>
      </c>
      <c r="J322" s="132">
        <v>0.9</v>
      </c>
      <c r="K322" s="133" t="s">
        <v>35</v>
      </c>
      <c r="L322" s="133" t="s">
        <v>35</v>
      </c>
      <c r="M322" s="134" t="s">
        <v>35</v>
      </c>
      <c r="N322" s="133" t="s">
        <v>35</v>
      </c>
      <c r="O322" s="135">
        <v>0.9</v>
      </c>
      <c r="P322" s="133" t="s">
        <v>35</v>
      </c>
      <c r="Q322" s="133" t="s">
        <v>35</v>
      </c>
      <c r="R322" s="133" t="s">
        <v>35</v>
      </c>
      <c r="S322" s="133">
        <v>0</v>
      </c>
      <c r="T322" s="135">
        <v>0.9</v>
      </c>
      <c r="U322" s="133" t="s">
        <v>35</v>
      </c>
      <c r="V322" s="133" t="s">
        <v>35</v>
      </c>
      <c r="W322" s="133" t="s">
        <v>35</v>
      </c>
      <c r="X322" s="133">
        <v>0.555555555555556</v>
      </c>
      <c r="Y322" s="135">
        <v>0.92</v>
      </c>
      <c r="Z322" s="135" t="s">
        <v>35</v>
      </c>
      <c r="AA322" s="135" t="s">
        <v>35</v>
      </c>
      <c r="AB322" s="135" t="s">
        <v>35</v>
      </c>
      <c r="AC322" s="135">
        <v>0</v>
      </c>
      <c r="AD322" s="135">
        <v>0.92</v>
      </c>
      <c r="AE322" s="133">
        <v>0.970621726258255</v>
      </c>
      <c r="AF322" s="133">
        <v>0.995329400196657</v>
      </c>
      <c r="AG322" s="133">
        <v>0.995492111194591</v>
      </c>
      <c r="AH322" s="133">
        <v>0.904713211253582</v>
      </c>
      <c r="AI322" s="135">
        <v>0.92</v>
      </c>
      <c r="AJ322" s="133" t="s">
        <v>35</v>
      </c>
      <c r="AK322" s="133" t="s">
        <v>35</v>
      </c>
      <c r="AL322" s="133" t="s">
        <v>35</v>
      </c>
      <c r="AM322" s="133">
        <v>0.8</v>
      </c>
      <c r="AN322" s="132">
        <v>0.99</v>
      </c>
      <c r="AO322" s="137">
        <v>1</v>
      </c>
      <c r="AP322" s="137">
        <v>1</v>
      </c>
      <c r="AQ322" s="137">
        <v>1</v>
      </c>
      <c r="AR322" s="137">
        <v>1</v>
      </c>
      <c r="AS322" s="158">
        <v>0.0922287257019438</v>
      </c>
      <c r="AT322" s="141">
        <v>0</v>
      </c>
      <c r="AU322" s="141" t="s">
        <v>35</v>
      </c>
      <c r="AV322" s="141" t="s">
        <v>35</v>
      </c>
      <c r="AW322" s="141">
        <v>0</v>
      </c>
      <c r="AX322" s="88"/>
      <c r="AY322" s="93"/>
    </row>
    <row r="323" s="86" customFormat="1" ht="15" spans="1:51">
      <c r="A323" s="91"/>
      <c r="B323" s="88"/>
      <c r="C323" s="163" t="s">
        <v>260</v>
      </c>
      <c r="D323" s="153" t="s">
        <v>25</v>
      </c>
      <c r="E323" s="130" t="s">
        <v>261</v>
      </c>
      <c r="F323" s="164" t="s">
        <v>347</v>
      </c>
      <c r="G323" s="164" t="s">
        <v>347</v>
      </c>
      <c r="H323" s="164" t="s">
        <v>347</v>
      </c>
      <c r="I323" s="164" t="s">
        <v>347</v>
      </c>
      <c r="J323" s="132">
        <v>0.9</v>
      </c>
      <c r="K323" s="133">
        <v>0.866666666666667</v>
      </c>
      <c r="L323" s="133">
        <v>0.833333333333333</v>
      </c>
      <c r="M323" s="134">
        <v>0.857142857142857</v>
      </c>
      <c r="N323" s="133">
        <v>0.767754318618042</v>
      </c>
      <c r="O323" s="135">
        <v>0.9</v>
      </c>
      <c r="P323" s="133">
        <v>0.979771328056289</v>
      </c>
      <c r="Q323" s="133">
        <v>0.980519480519481</v>
      </c>
      <c r="R323" s="133">
        <v>0.971223021582734</v>
      </c>
      <c r="S323" s="133">
        <v>0.958194691151085</v>
      </c>
      <c r="T323" s="135">
        <v>0.9</v>
      </c>
      <c r="U323" s="133">
        <v>0.953386103781882</v>
      </c>
      <c r="V323" s="133">
        <v>0.947402597402597</v>
      </c>
      <c r="W323" s="133">
        <v>0.927403531720078</v>
      </c>
      <c r="X323" s="133">
        <v>0.923644642365715</v>
      </c>
      <c r="Y323" s="135">
        <v>0.92</v>
      </c>
      <c r="Z323" s="135">
        <v>0.945709281961471</v>
      </c>
      <c r="AA323" s="135">
        <v>0.96043656207367</v>
      </c>
      <c r="AB323" s="135">
        <v>0.893617021276596</v>
      </c>
      <c r="AC323" s="135">
        <v>0.939406262708418</v>
      </c>
      <c r="AD323" s="135">
        <v>0.92</v>
      </c>
      <c r="AE323" s="133">
        <v>1</v>
      </c>
      <c r="AF323" s="133">
        <v>0.999888293118856</v>
      </c>
      <c r="AG323" s="133">
        <v>1</v>
      </c>
      <c r="AH323" s="133">
        <v>0.999968062852307</v>
      </c>
      <c r="AI323" s="135">
        <v>0.92</v>
      </c>
      <c r="AJ323" s="133">
        <v>0.962272428164071</v>
      </c>
      <c r="AK323" s="133">
        <v>0.973614775725594</v>
      </c>
      <c r="AL323" s="133">
        <v>0.946351931330472</v>
      </c>
      <c r="AM323" s="133">
        <v>0.963622758799321</v>
      </c>
      <c r="AN323" s="132">
        <v>0.99</v>
      </c>
      <c r="AO323" s="137">
        <v>1</v>
      </c>
      <c r="AP323" s="137">
        <v>1</v>
      </c>
      <c r="AQ323" s="137">
        <v>1</v>
      </c>
      <c r="AR323" s="137">
        <v>1</v>
      </c>
      <c r="AS323" s="158">
        <v>0.0922287257019438</v>
      </c>
      <c r="AT323" s="141">
        <v>0</v>
      </c>
      <c r="AU323" s="141">
        <v>0</v>
      </c>
      <c r="AV323" s="141">
        <v>0</v>
      </c>
      <c r="AW323" s="141">
        <v>0.0755813953488372</v>
      </c>
      <c r="AX323" s="88"/>
      <c r="AY323" s="93"/>
    </row>
    <row r="324" s="86" customFormat="1" ht="15" spans="1:51">
      <c r="A324" s="91"/>
      <c r="B324" s="88"/>
      <c r="C324" s="163" t="s">
        <v>260</v>
      </c>
      <c r="D324" s="153" t="s">
        <v>25</v>
      </c>
      <c r="E324" s="130" t="s">
        <v>261</v>
      </c>
      <c r="F324" s="164" t="s">
        <v>348</v>
      </c>
      <c r="G324" s="164" t="s">
        <v>348</v>
      </c>
      <c r="H324" s="164" t="s">
        <v>348</v>
      </c>
      <c r="I324" s="164" t="s">
        <v>348</v>
      </c>
      <c r="J324" s="132">
        <v>0.9</v>
      </c>
      <c r="K324" s="133">
        <v>0.935483870967742</v>
      </c>
      <c r="L324" s="133">
        <v>0.866666666666667</v>
      </c>
      <c r="M324" s="134">
        <v>0.869565217391304</v>
      </c>
      <c r="N324" s="133">
        <v>0.925093632958802</v>
      </c>
      <c r="O324" s="135">
        <v>0.9</v>
      </c>
      <c r="P324" s="133">
        <v>0.986948415164699</v>
      </c>
      <c r="Q324" s="133">
        <v>0.993230174081238</v>
      </c>
      <c r="R324" s="133">
        <v>0.984738955823293</v>
      </c>
      <c r="S324" s="133">
        <v>0.969564747034005</v>
      </c>
      <c r="T324" s="135">
        <v>0.9</v>
      </c>
      <c r="U324" s="133">
        <v>0.925419515226849</v>
      </c>
      <c r="V324" s="133">
        <v>0.940038684719536</v>
      </c>
      <c r="W324" s="133">
        <v>0.91566265060241</v>
      </c>
      <c r="X324" s="133">
        <v>0.919873066243554</v>
      </c>
      <c r="Y324" s="135">
        <v>0.92</v>
      </c>
      <c r="Z324" s="135">
        <v>0.942919868276619</v>
      </c>
      <c r="AA324" s="135">
        <v>0.949029126213592</v>
      </c>
      <c r="AB324" s="135">
        <v>0.946640316205534</v>
      </c>
      <c r="AC324" s="135">
        <v>0.958137285079812</v>
      </c>
      <c r="AD324" s="135">
        <v>0.92</v>
      </c>
      <c r="AE324" s="133">
        <v>0.845779220779221</v>
      </c>
      <c r="AF324" s="133">
        <v>0.866666666666667</v>
      </c>
      <c r="AG324" s="133">
        <v>0.792857142857143</v>
      </c>
      <c r="AH324" s="133">
        <v>0.962702322308234</v>
      </c>
      <c r="AI324" s="135">
        <v>0.92</v>
      </c>
      <c r="AJ324" s="133">
        <v>0.963858933255611</v>
      </c>
      <c r="AK324" s="133">
        <v>0.979958534899793</v>
      </c>
      <c r="AL324" s="133">
        <v>0.965733866362079</v>
      </c>
      <c r="AM324" s="133">
        <v>0.973318807566604</v>
      </c>
      <c r="AN324" s="132">
        <v>0.99</v>
      </c>
      <c r="AO324" s="137">
        <v>1</v>
      </c>
      <c r="AP324" s="137">
        <v>1</v>
      </c>
      <c r="AQ324" s="137">
        <v>1</v>
      </c>
      <c r="AR324" s="137">
        <v>1</v>
      </c>
      <c r="AS324" s="158">
        <v>0.0922287257019438</v>
      </c>
      <c r="AT324" s="141">
        <v>0</v>
      </c>
      <c r="AU324" s="141">
        <v>0</v>
      </c>
      <c r="AV324" s="141">
        <v>0</v>
      </c>
      <c r="AW324" s="141">
        <v>0.0784313725490196</v>
      </c>
      <c r="AX324" s="88"/>
      <c r="AY324" s="93"/>
    </row>
    <row r="325" s="86" customFormat="1" ht="15" spans="1:51">
      <c r="A325" s="91"/>
      <c r="B325" s="88"/>
      <c r="C325" s="163" t="s">
        <v>260</v>
      </c>
      <c r="D325" s="153" t="s">
        <v>125</v>
      </c>
      <c r="E325" s="130" t="s">
        <v>261</v>
      </c>
      <c r="F325" s="164" t="s">
        <v>349</v>
      </c>
      <c r="G325" s="164" t="s">
        <v>349</v>
      </c>
      <c r="H325" s="164" t="s">
        <v>349</v>
      </c>
      <c r="I325" s="164" t="s">
        <v>349</v>
      </c>
      <c r="J325" s="132">
        <v>0.9</v>
      </c>
      <c r="K325" s="133" t="s">
        <v>35</v>
      </c>
      <c r="L325" s="133" t="s">
        <v>35</v>
      </c>
      <c r="M325" s="134" t="s">
        <v>35</v>
      </c>
      <c r="N325" s="133" t="s">
        <v>35</v>
      </c>
      <c r="O325" s="135">
        <v>0.9</v>
      </c>
      <c r="P325" s="133" t="s">
        <v>35</v>
      </c>
      <c r="Q325" s="133" t="s">
        <v>35</v>
      </c>
      <c r="R325" s="133" t="s">
        <v>35</v>
      </c>
      <c r="S325" s="133">
        <v>1</v>
      </c>
      <c r="T325" s="135">
        <v>0.9</v>
      </c>
      <c r="U325" s="133" t="s">
        <v>35</v>
      </c>
      <c r="V325" s="133" t="s">
        <v>35</v>
      </c>
      <c r="W325" s="133" t="s">
        <v>35</v>
      </c>
      <c r="X325" s="133">
        <v>0.916666666666667</v>
      </c>
      <c r="Y325" s="135">
        <v>0.92</v>
      </c>
      <c r="Z325" s="135" t="s">
        <v>35</v>
      </c>
      <c r="AA325" s="135" t="s">
        <v>35</v>
      </c>
      <c r="AB325" s="135" t="s">
        <v>35</v>
      </c>
      <c r="AC325" s="135">
        <v>1</v>
      </c>
      <c r="AD325" s="135">
        <v>0.92</v>
      </c>
      <c r="AE325" s="133">
        <v>0.999894758998106</v>
      </c>
      <c r="AF325" s="133">
        <v>0.999787098147754</v>
      </c>
      <c r="AG325" s="133">
        <v>1</v>
      </c>
      <c r="AH325" s="133">
        <v>0.999871281144367</v>
      </c>
      <c r="AI325" s="135">
        <v>0.92</v>
      </c>
      <c r="AJ325" s="133" t="s">
        <v>35</v>
      </c>
      <c r="AK325" s="133" t="s">
        <v>35</v>
      </c>
      <c r="AL325" s="133" t="s">
        <v>35</v>
      </c>
      <c r="AM325" s="133">
        <v>0.928571428571429</v>
      </c>
      <c r="AN325" s="132">
        <v>0.99</v>
      </c>
      <c r="AO325" s="137">
        <v>1</v>
      </c>
      <c r="AP325" s="137">
        <v>1</v>
      </c>
      <c r="AQ325" s="137" t="s">
        <v>35</v>
      </c>
      <c r="AR325" s="137">
        <v>1</v>
      </c>
      <c r="AS325" s="158">
        <v>0.0922287257019438</v>
      </c>
      <c r="AT325" s="141" t="s">
        <v>35</v>
      </c>
      <c r="AU325" s="141" t="s">
        <v>35</v>
      </c>
      <c r="AV325" s="141" t="s">
        <v>35</v>
      </c>
      <c r="AW325" s="141">
        <v>0</v>
      </c>
      <c r="AX325" s="88"/>
      <c r="AY325" s="93"/>
    </row>
    <row r="326" ht="15" spans="1:51">
      <c r="A326" s="91"/>
      <c r="C326" s="166"/>
      <c r="D326" s="167"/>
      <c r="E326" s="166"/>
      <c r="F326" s="166"/>
      <c r="G326" s="166"/>
      <c r="H326" s="166"/>
      <c r="I326" s="166"/>
      <c r="J326" s="168"/>
      <c r="K326" s="169"/>
      <c r="L326" s="169"/>
      <c r="M326" s="134"/>
      <c r="N326" s="169"/>
      <c r="O326" s="150"/>
      <c r="P326" s="169"/>
      <c r="Q326" s="169"/>
      <c r="R326" s="133"/>
      <c r="S326" s="169"/>
      <c r="T326" s="150"/>
      <c r="U326" s="169"/>
      <c r="V326" s="169"/>
      <c r="W326" s="133"/>
      <c r="X326" s="169"/>
      <c r="Y326" s="150"/>
      <c r="Z326" s="150"/>
      <c r="AA326" s="150"/>
      <c r="AB326" s="135"/>
      <c r="AC326" s="150"/>
      <c r="AD326" s="169"/>
      <c r="AE326" s="169"/>
      <c r="AF326" s="169"/>
      <c r="AG326" s="133"/>
      <c r="AH326" s="169"/>
      <c r="AI326" s="169"/>
      <c r="AJ326" s="169"/>
      <c r="AK326" s="169"/>
      <c r="AL326" s="133"/>
      <c r="AM326" s="169"/>
      <c r="AN326" s="170"/>
      <c r="AO326" s="170"/>
      <c r="AP326" s="170"/>
      <c r="AQ326" s="137"/>
      <c r="AR326" s="170"/>
      <c r="AS326" s="169"/>
      <c r="AT326" s="170"/>
      <c r="AU326" s="170"/>
      <c r="AV326" s="141"/>
      <c r="AW326" s="170"/>
      <c r="AX326" s="95"/>
      <c r="AY326" s="93"/>
    </row>
    <row r="327" ht="15" spans="1:51">
      <c r="A327" s="91"/>
      <c r="B327" s="95"/>
      <c r="C327" s="163" t="s">
        <v>350</v>
      </c>
      <c r="D327" s="153" t="s">
        <v>25</v>
      </c>
      <c r="E327" s="130" t="s">
        <v>351</v>
      </c>
      <c r="F327" s="171" t="s">
        <v>352</v>
      </c>
      <c r="G327" s="171" t="s">
        <v>352</v>
      </c>
      <c r="H327" s="171" t="s">
        <v>352</v>
      </c>
      <c r="I327" s="171" t="s">
        <v>352</v>
      </c>
      <c r="J327" s="132">
        <v>0.9</v>
      </c>
      <c r="K327" s="133">
        <v>0.96039603960396</v>
      </c>
      <c r="L327" s="133">
        <v>0.956521739130435</v>
      </c>
      <c r="M327" s="134">
        <v>0.914285714285714</v>
      </c>
      <c r="N327" s="133">
        <v>0.927943760984183</v>
      </c>
      <c r="O327" s="135">
        <v>0.9</v>
      </c>
      <c r="P327" s="133">
        <v>0.927238014425117</v>
      </c>
      <c r="Q327" s="133">
        <v>0.945080995653892</v>
      </c>
      <c r="R327" s="133">
        <v>0.922021028037383</v>
      </c>
      <c r="S327" s="133">
        <v>0.928474990008965</v>
      </c>
      <c r="T327" s="135">
        <v>0.9</v>
      </c>
      <c r="U327" s="133">
        <v>0.896478574459058</v>
      </c>
      <c r="V327" s="133">
        <v>0.906756222836823</v>
      </c>
      <c r="W327" s="133">
        <v>0.863901869158878</v>
      </c>
      <c r="X327" s="133">
        <v>0.911560437661342</v>
      </c>
      <c r="Y327" s="135">
        <v>0.92</v>
      </c>
      <c r="Z327" s="135">
        <v>0.932307692307692</v>
      </c>
      <c r="AA327" s="135">
        <v>0.907674552798615</v>
      </c>
      <c r="AB327" s="135">
        <v>0.86799501867995</v>
      </c>
      <c r="AC327" s="135">
        <v>0.939856426862225</v>
      </c>
      <c r="AD327" s="135">
        <v>0.92</v>
      </c>
      <c r="AE327" s="133">
        <v>0.997863573935602</v>
      </c>
      <c r="AF327" s="133">
        <v>0.569253438113949</v>
      </c>
      <c r="AG327" s="133">
        <v>0.989939105109876</v>
      </c>
      <c r="AH327" s="133">
        <v>0.957913228739359</v>
      </c>
      <c r="AI327" s="135">
        <v>0.92</v>
      </c>
      <c r="AJ327" s="133">
        <v>0.945110283009367</v>
      </c>
      <c r="AK327" s="133">
        <v>0.93810082063306</v>
      </c>
      <c r="AL327" s="133">
        <v>0.909777424483307</v>
      </c>
      <c r="AM327" s="133">
        <v>0.955446104432205</v>
      </c>
      <c r="AN327" s="132">
        <v>0.99</v>
      </c>
      <c r="AO327" s="137">
        <v>1</v>
      </c>
      <c r="AP327" s="137">
        <v>1</v>
      </c>
      <c r="AQ327" s="137">
        <v>1</v>
      </c>
      <c r="AR327" s="137">
        <v>1</v>
      </c>
      <c r="AS327" s="158">
        <v>0.0739852556983447</v>
      </c>
      <c r="AT327" s="141">
        <v>0.129032258064516</v>
      </c>
      <c r="AU327" s="141">
        <v>0.0526315789473684</v>
      </c>
      <c r="AV327" s="141">
        <v>0.0545454545454545</v>
      </c>
      <c r="AW327" s="141">
        <v>0.0514084507042254</v>
      </c>
      <c r="AX327" s="95"/>
      <c r="AY327" s="93"/>
    </row>
    <row r="328" ht="15" spans="1:51">
      <c r="A328" s="91"/>
      <c r="B328" s="95"/>
      <c r="C328" s="163" t="s">
        <v>350</v>
      </c>
      <c r="D328" s="153" t="s">
        <v>125</v>
      </c>
      <c r="E328" s="130" t="s">
        <v>351</v>
      </c>
      <c r="F328" s="171" t="s">
        <v>353</v>
      </c>
      <c r="G328" s="171" t="s">
        <v>353</v>
      </c>
      <c r="H328" s="171" t="s">
        <v>353</v>
      </c>
      <c r="I328" s="171" t="s">
        <v>353</v>
      </c>
      <c r="J328" s="132">
        <v>0.9</v>
      </c>
      <c r="K328" s="133" t="s">
        <v>35</v>
      </c>
      <c r="L328" s="133" t="s">
        <v>35</v>
      </c>
      <c r="M328" s="134" t="s">
        <v>35</v>
      </c>
      <c r="N328" s="133" t="s">
        <v>35</v>
      </c>
      <c r="O328" s="135">
        <v>0.9</v>
      </c>
      <c r="P328" s="133" t="s">
        <v>35</v>
      </c>
      <c r="Q328" s="133" t="s">
        <v>35</v>
      </c>
      <c r="R328" s="133" t="s">
        <v>35</v>
      </c>
      <c r="S328" s="133" t="s">
        <v>35</v>
      </c>
      <c r="T328" s="135">
        <v>0.9</v>
      </c>
      <c r="U328" s="133" t="s">
        <v>35</v>
      </c>
      <c r="V328" s="133" t="s">
        <v>35</v>
      </c>
      <c r="W328" s="133" t="s">
        <v>35</v>
      </c>
      <c r="X328" s="133" t="s">
        <v>35</v>
      </c>
      <c r="Y328" s="135">
        <v>0.92</v>
      </c>
      <c r="Z328" s="135" t="s">
        <v>35</v>
      </c>
      <c r="AA328" s="135" t="s">
        <v>35</v>
      </c>
      <c r="AB328" s="135" t="s">
        <v>35</v>
      </c>
      <c r="AC328" s="135">
        <v>1</v>
      </c>
      <c r="AD328" s="135">
        <v>0.92</v>
      </c>
      <c r="AE328" s="133">
        <v>0.995251912424162</v>
      </c>
      <c r="AF328" s="133">
        <v>0.987592089957348</v>
      </c>
      <c r="AG328" s="133">
        <v>0.974576271186441</v>
      </c>
      <c r="AH328" s="133">
        <v>0.926833943937974</v>
      </c>
      <c r="AI328" s="135">
        <v>0.92</v>
      </c>
      <c r="AJ328" s="133" t="s">
        <v>35</v>
      </c>
      <c r="AK328" s="133" t="s">
        <v>35</v>
      </c>
      <c r="AL328" s="133" t="s">
        <v>35</v>
      </c>
      <c r="AM328" s="133">
        <v>1</v>
      </c>
      <c r="AN328" s="132">
        <v>0.99</v>
      </c>
      <c r="AO328" s="137">
        <v>1</v>
      </c>
      <c r="AP328" s="137">
        <v>1</v>
      </c>
      <c r="AQ328" s="137">
        <v>1</v>
      </c>
      <c r="AR328" s="137">
        <v>1</v>
      </c>
      <c r="AS328" s="158">
        <v>0.0739852556983447</v>
      </c>
      <c r="AT328" s="141" t="s">
        <v>35</v>
      </c>
      <c r="AU328" s="141" t="s">
        <v>35</v>
      </c>
      <c r="AV328" s="141" t="s">
        <v>35</v>
      </c>
      <c r="AW328" s="141" t="s">
        <v>35</v>
      </c>
      <c r="AX328" s="95"/>
      <c r="AY328" s="93"/>
    </row>
    <row r="329" ht="15" spans="1:51">
      <c r="A329" s="91"/>
      <c r="B329" s="95"/>
      <c r="C329" s="163" t="s">
        <v>350</v>
      </c>
      <c r="D329" s="153" t="s">
        <v>25</v>
      </c>
      <c r="E329" s="130" t="s">
        <v>351</v>
      </c>
      <c r="F329" s="171" t="s">
        <v>354</v>
      </c>
      <c r="G329" s="171" t="s">
        <v>354</v>
      </c>
      <c r="H329" s="171" t="s">
        <v>354</v>
      </c>
      <c r="I329" s="171" t="s">
        <v>354</v>
      </c>
      <c r="J329" s="132">
        <v>0.9</v>
      </c>
      <c r="K329" s="133">
        <v>0.882352941176471</v>
      </c>
      <c r="L329" s="133">
        <v>0.886792452830189</v>
      </c>
      <c r="M329" s="134">
        <v>0.752808988764045</v>
      </c>
      <c r="N329" s="133">
        <v>0.873309964947421</v>
      </c>
      <c r="O329" s="135">
        <v>0.9</v>
      </c>
      <c r="P329" s="133">
        <v>0.938979039891819</v>
      </c>
      <c r="Q329" s="133">
        <v>0.927962364010585</v>
      </c>
      <c r="R329" s="133">
        <v>0.935483870967742</v>
      </c>
      <c r="S329" s="133">
        <v>0.932583961867889</v>
      </c>
      <c r="T329" s="135">
        <v>0.9</v>
      </c>
      <c r="U329" s="133">
        <v>0.874239350912779</v>
      </c>
      <c r="V329" s="133">
        <v>0.8582769773596</v>
      </c>
      <c r="W329" s="133">
        <v>0.814408602150538</v>
      </c>
      <c r="X329" s="133">
        <v>0.863159048158226</v>
      </c>
      <c r="Y329" s="135">
        <v>0.92</v>
      </c>
      <c r="Z329" s="135">
        <v>0.936836221352711</v>
      </c>
      <c r="AA329" s="135">
        <v>0.931735985533454</v>
      </c>
      <c r="AB329" s="135">
        <v>0.870876531573987</v>
      </c>
      <c r="AC329" s="135">
        <v>0.940699057553299</v>
      </c>
      <c r="AD329" s="135">
        <v>0.92</v>
      </c>
      <c r="AE329" s="133">
        <v>0.99374625203461</v>
      </c>
      <c r="AF329" s="133">
        <v>0.975882781215872</v>
      </c>
      <c r="AG329" s="133">
        <v>0.990027069383103</v>
      </c>
      <c r="AH329" s="133">
        <v>0.987899252634794</v>
      </c>
      <c r="AI329" s="135">
        <v>0.92</v>
      </c>
      <c r="AJ329" s="133">
        <v>0.952075212107315</v>
      </c>
      <c r="AK329" s="133">
        <v>0.948435277382646</v>
      </c>
      <c r="AL329" s="133">
        <v>0.922214022140221</v>
      </c>
      <c r="AM329" s="133">
        <v>0.955294085442634</v>
      </c>
      <c r="AN329" s="132">
        <v>0.99</v>
      </c>
      <c r="AO329" s="137">
        <v>1</v>
      </c>
      <c r="AP329" s="137">
        <v>1</v>
      </c>
      <c r="AQ329" s="137">
        <v>1</v>
      </c>
      <c r="AR329" s="137">
        <v>1</v>
      </c>
      <c r="AS329" s="158">
        <v>0.0739852556983447</v>
      </c>
      <c r="AT329" s="141">
        <v>0.12</v>
      </c>
      <c r="AU329" s="141">
        <v>0.176470588235294</v>
      </c>
      <c r="AV329" s="141">
        <v>0.0526315789473684</v>
      </c>
      <c r="AW329" s="141">
        <v>0.0603837471783296</v>
      </c>
      <c r="AX329" s="95"/>
      <c r="AY329" s="93"/>
    </row>
    <row r="330" ht="15" spans="1:51">
      <c r="A330" s="91"/>
      <c r="B330" s="95"/>
      <c r="C330" s="163" t="s">
        <v>350</v>
      </c>
      <c r="D330" s="153" t="s">
        <v>125</v>
      </c>
      <c r="E330" s="130" t="s">
        <v>351</v>
      </c>
      <c r="F330" s="171" t="s">
        <v>355</v>
      </c>
      <c r="G330" s="171" t="s">
        <v>355</v>
      </c>
      <c r="H330" s="171" t="s">
        <v>355</v>
      </c>
      <c r="I330" s="171" t="s">
        <v>355</v>
      </c>
      <c r="J330" s="132">
        <v>0.9</v>
      </c>
      <c r="K330" s="133" t="s">
        <v>35</v>
      </c>
      <c r="L330" s="133" t="s">
        <v>35</v>
      </c>
      <c r="M330" s="134" t="s">
        <v>35</v>
      </c>
      <c r="N330" s="133" t="s">
        <v>35</v>
      </c>
      <c r="O330" s="135">
        <v>0.9</v>
      </c>
      <c r="P330" s="133" t="s">
        <v>35</v>
      </c>
      <c r="Q330" s="133" t="s">
        <v>35</v>
      </c>
      <c r="R330" s="133" t="s">
        <v>35</v>
      </c>
      <c r="S330" s="133" t="s">
        <v>35</v>
      </c>
      <c r="T330" s="135">
        <v>0.9</v>
      </c>
      <c r="U330" s="133" t="s">
        <v>35</v>
      </c>
      <c r="V330" s="133" t="s">
        <v>35</v>
      </c>
      <c r="W330" s="133" t="s">
        <v>35</v>
      </c>
      <c r="X330" s="133" t="s">
        <v>35</v>
      </c>
      <c r="Y330" s="135">
        <v>0.92</v>
      </c>
      <c r="Z330" s="135" t="s">
        <v>35</v>
      </c>
      <c r="AA330" s="135" t="s">
        <v>35</v>
      </c>
      <c r="AB330" s="135" t="s">
        <v>35</v>
      </c>
      <c r="AC330" s="135" t="s">
        <v>35</v>
      </c>
      <c r="AD330" s="135">
        <v>0.92</v>
      </c>
      <c r="AE330" s="133">
        <v>1</v>
      </c>
      <c r="AF330" s="133">
        <v>1</v>
      </c>
      <c r="AG330" s="133">
        <v>1</v>
      </c>
      <c r="AH330" s="133">
        <v>0.999202074606024</v>
      </c>
      <c r="AI330" s="135">
        <v>0.92</v>
      </c>
      <c r="AJ330" s="133" t="s">
        <v>35</v>
      </c>
      <c r="AK330" s="133" t="s">
        <v>35</v>
      </c>
      <c r="AL330" s="133" t="s">
        <v>35</v>
      </c>
      <c r="AM330" s="133" t="s">
        <v>35</v>
      </c>
      <c r="AN330" s="132">
        <v>0.99</v>
      </c>
      <c r="AO330" s="137">
        <v>1</v>
      </c>
      <c r="AP330" s="137">
        <v>1</v>
      </c>
      <c r="AQ330" s="137">
        <v>1</v>
      </c>
      <c r="AR330" s="137">
        <v>1</v>
      </c>
      <c r="AS330" s="158">
        <v>0.0739852556983447</v>
      </c>
      <c r="AT330" s="141" t="s">
        <v>35</v>
      </c>
      <c r="AU330" s="141" t="s">
        <v>35</v>
      </c>
      <c r="AV330" s="141" t="s">
        <v>35</v>
      </c>
      <c r="AW330" s="141" t="s">
        <v>35</v>
      </c>
      <c r="AX330" s="95"/>
      <c r="AY330" s="93"/>
    </row>
    <row r="331" ht="15" spans="1:51">
      <c r="A331" s="91"/>
      <c r="B331" s="95"/>
      <c r="C331" s="163" t="s">
        <v>350</v>
      </c>
      <c r="D331" s="153" t="s">
        <v>25</v>
      </c>
      <c r="E331" s="130" t="s">
        <v>351</v>
      </c>
      <c r="F331" s="171" t="s">
        <v>356</v>
      </c>
      <c r="G331" s="171" t="s">
        <v>356</v>
      </c>
      <c r="H331" s="171" t="s">
        <v>356</v>
      </c>
      <c r="I331" s="171" t="s">
        <v>356</v>
      </c>
      <c r="J331" s="132">
        <v>0.9</v>
      </c>
      <c r="K331" s="133">
        <v>0.96078431372549</v>
      </c>
      <c r="L331" s="133">
        <v>0.892857142857143</v>
      </c>
      <c r="M331" s="134">
        <v>0.906666666666667</v>
      </c>
      <c r="N331" s="133">
        <v>0.933819064966606</v>
      </c>
      <c r="O331" s="135">
        <v>0.9</v>
      </c>
      <c r="P331" s="133">
        <v>0.966002098635887</v>
      </c>
      <c r="Q331" s="133">
        <v>0.945474777448071</v>
      </c>
      <c r="R331" s="133">
        <v>0.938465708864191</v>
      </c>
      <c r="S331" s="133">
        <v>0.954523662078747</v>
      </c>
      <c r="T331" s="135">
        <v>0.9</v>
      </c>
      <c r="U331" s="133">
        <v>0.928856243441763</v>
      </c>
      <c r="V331" s="133">
        <v>0.89540059347181</v>
      </c>
      <c r="W331" s="133">
        <v>0.905665492003253</v>
      </c>
      <c r="X331" s="133">
        <v>0.925797558880521</v>
      </c>
      <c r="Y331" s="135">
        <v>0.92</v>
      </c>
      <c r="Z331" s="135">
        <v>0.946658734880032</v>
      </c>
      <c r="AA331" s="135">
        <v>0.916781292984869</v>
      </c>
      <c r="AB331" s="135">
        <v>0.890436985433819</v>
      </c>
      <c r="AC331" s="135">
        <v>0.94369363679996</v>
      </c>
      <c r="AD331" s="135">
        <v>0.92</v>
      </c>
      <c r="AE331" s="133">
        <v>0.976456847799361</v>
      </c>
      <c r="AF331" s="133">
        <v>0.953953257086027</v>
      </c>
      <c r="AG331" s="133">
        <v>0.982801538809685</v>
      </c>
      <c r="AH331" s="133">
        <v>0.966092121327986</v>
      </c>
      <c r="AI331" s="135">
        <v>0.92</v>
      </c>
      <c r="AJ331" s="133">
        <v>0.960908072890156</v>
      </c>
      <c r="AK331" s="133">
        <v>0.948520567717104</v>
      </c>
      <c r="AL331" s="133">
        <v>0.936254980079681</v>
      </c>
      <c r="AM331" s="133">
        <v>0.961893037583347</v>
      </c>
      <c r="AN331" s="132">
        <v>0.99</v>
      </c>
      <c r="AO331" s="137">
        <v>1</v>
      </c>
      <c r="AP331" s="137">
        <v>1</v>
      </c>
      <c r="AQ331" s="137">
        <v>1</v>
      </c>
      <c r="AR331" s="137">
        <v>0.999445676274945</v>
      </c>
      <c r="AS331" s="158">
        <v>0.0739852556983447</v>
      </c>
      <c r="AT331" s="141">
        <v>0.0576923076923077</v>
      </c>
      <c r="AU331" s="141">
        <v>0.0714285714285714</v>
      </c>
      <c r="AV331" s="141">
        <v>0.125</v>
      </c>
      <c r="AW331" s="141">
        <v>0.0535714285714286</v>
      </c>
      <c r="AX331" s="95"/>
      <c r="AY331" s="93"/>
    </row>
    <row r="332" ht="15" spans="1:51">
      <c r="A332" s="91"/>
      <c r="B332" s="95"/>
      <c r="C332" s="163" t="s">
        <v>350</v>
      </c>
      <c r="D332" s="153" t="s">
        <v>25</v>
      </c>
      <c r="E332" s="130" t="s">
        <v>351</v>
      </c>
      <c r="F332" s="171" t="s">
        <v>357</v>
      </c>
      <c r="G332" s="171" t="s">
        <v>357</v>
      </c>
      <c r="H332" s="171" t="s">
        <v>357</v>
      </c>
      <c r="I332" s="171" t="s">
        <v>357</v>
      </c>
      <c r="J332" s="132">
        <v>0.9</v>
      </c>
      <c r="K332" s="133">
        <v>1</v>
      </c>
      <c r="L332" s="133">
        <v>1</v>
      </c>
      <c r="M332" s="134">
        <v>1</v>
      </c>
      <c r="N332" s="133">
        <v>0.975857687420585</v>
      </c>
      <c r="O332" s="135">
        <v>0.9</v>
      </c>
      <c r="P332" s="133">
        <v>0.928807947019868</v>
      </c>
      <c r="Q332" s="133">
        <v>0.951063829787234</v>
      </c>
      <c r="R332" s="133">
        <v>0.93490813648294</v>
      </c>
      <c r="S332" s="133">
        <v>0.939922480620155</v>
      </c>
      <c r="T332" s="135">
        <v>0.9</v>
      </c>
      <c r="U332" s="133">
        <v>0.909354304635762</v>
      </c>
      <c r="V332" s="133">
        <v>0.923404255319149</v>
      </c>
      <c r="W332" s="133">
        <v>0.898687664041995</v>
      </c>
      <c r="X332" s="133">
        <v>0.922658825625947</v>
      </c>
      <c r="Y332" s="135">
        <v>0.92</v>
      </c>
      <c r="Z332" s="135">
        <v>0.962858153519632</v>
      </c>
      <c r="AA332" s="135">
        <v>0.961411245865491</v>
      </c>
      <c r="AB332" s="135">
        <v>0.953405017921147</v>
      </c>
      <c r="AC332" s="135">
        <v>0.973780796026461</v>
      </c>
      <c r="AD332" s="135">
        <v>0.92</v>
      </c>
      <c r="AE332" s="133">
        <v>0.985883030826851</v>
      </c>
      <c r="AF332" s="133">
        <v>0.984921917070544</v>
      </c>
      <c r="AG332" s="133">
        <v>0.987143655673561</v>
      </c>
      <c r="AH332" s="133">
        <v>0.980988807927248</v>
      </c>
      <c r="AI332" s="135">
        <v>0.92</v>
      </c>
      <c r="AJ332" s="133">
        <v>0.966831871902402</v>
      </c>
      <c r="AK332" s="133">
        <v>0.966379310344828</v>
      </c>
      <c r="AL332" s="133">
        <v>0.960991615020051</v>
      </c>
      <c r="AM332" s="133">
        <v>0.979040825115673</v>
      </c>
      <c r="AN332" s="132">
        <v>0.99</v>
      </c>
      <c r="AO332" s="137">
        <v>1</v>
      </c>
      <c r="AP332" s="137">
        <v>1</v>
      </c>
      <c r="AQ332" s="137">
        <v>1</v>
      </c>
      <c r="AR332" s="137">
        <v>1</v>
      </c>
      <c r="AS332" s="158">
        <v>0.0739852556983447</v>
      </c>
      <c r="AT332" s="141">
        <v>0.0344827586206897</v>
      </c>
      <c r="AU332" s="141">
        <v>0.0434782608695652</v>
      </c>
      <c r="AV332" s="141">
        <v>0.0769230769230769</v>
      </c>
      <c r="AW332" s="141">
        <v>0.0327022375215146</v>
      </c>
      <c r="AX332" s="95"/>
      <c r="AY332" s="93"/>
    </row>
    <row r="333" ht="15" spans="1:51">
      <c r="A333" s="91"/>
      <c r="B333" s="95"/>
      <c r="C333" s="163" t="s">
        <v>350</v>
      </c>
      <c r="D333" s="153" t="s">
        <v>25</v>
      </c>
      <c r="E333" s="130" t="s">
        <v>351</v>
      </c>
      <c r="F333" s="171" t="s">
        <v>358</v>
      </c>
      <c r="G333" s="171" t="s">
        <v>358</v>
      </c>
      <c r="H333" s="171" t="s">
        <v>358</v>
      </c>
      <c r="I333" s="171" t="s">
        <v>358</v>
      </c>
      <c r="J333" s="132">
        <v>0.9</v>
      </c>
      <c r="K333" s="133">
        <v>0.977777777777778</v>
      </c>
      <c r="L333" s="133">
        <v>0.90625</v>
      </c>
      <c r="M333" s="134">
        <v>0.966666666666667</v>
      </c>
      <c r="N333" s="133">
        <v>0.945007235890014</v>
      </c>
      <c r="O333" s="135">
        <v>0.9</v>
      </c>
      <c r="P333" s="133">
        <v>0.962178517397882</v>
      </c>
      <c r="Q333" s="133">
        <v>0.967905405405405</v>
      </c>
      <c r="R333" s="133">
        <v>0.965253239104829</v>
      </c>
      <c r="S333" s="133">
        <v>0.964587142177365</v>
      </c>
      <c r="T333" s="135">
        <v>0.9</v>
      </c>
      <c r="U333" s="133">
        <v>0.911245587493696</v>
      </c>
      <c r="V333" s="133">
        <v>0.913006756756757</v>
      </c>
      <c r="W333" s="133">
        <v>0.893404004711425</v>
      </c>
      <c r="X333" s="133">
        <v>0.924215482481405</v>
      </c>
      <c r="Y333" s="135">
        <v>0.92</v>
      </c>
      <c r="Z333" s="135">
        <v>0.947901049475262</v>
      </c>
      <c r="AA333" s="135">
        <v>0.945623342175066</v>
      </c>
      <c r="AB333" s="135">
        <v>0.934871099050203</v>
      </c>
      <c r="AC333" s="135">
        <v>0.962974815981881</v>
      </c>
      <c r="AD333" s="135">
        <v>0.92</v>
      </c>
      <c r="AE333" s="133">
        <v>0.99819657348963</v>
      </c>
      <c r="AF333" s="133">
        <v>0.994582043343653</v>
      </c>
      <c r="AG333" s="133">
        <v>0.986979166666667</v>
      </c>
      <c r="AH333" s="133">
        <v>0.994048004140519</v>
      </c>
      <c r="AI333" s="135">
        <v>0.92</v>
      </c>
      <c r="AJ333" s="133">
        <v>0.958315427589171</v>
      </c>
      <c r="AK333" s="133">
        <v>0.9547092125579</v>
      </c>
      <c r="AL333" s="133">
        <v>0.956486042692939</v>
      </c>
      <c r="AM333" s="133">
        <v>0.972562675820703</v>
      </c>
      <c r="AN333" s="132">
        <v>0.99</v>
      </c>
      <c r="AO333" s="137">
        <v>1</v>
      </c>
      <c r="AP333" s="137">
        <v>1</v>
      </c>
      <c r="AQ333" s="137">
        <v>1</v>
      </c>
      <c r="AR333" s="137">
        <v>1</v>
      </c>
      <c r="AS333" s="158">
        <v>0.0739852556983447</v>
      </c>
      <c r="AT333" s="141">
        <v>0.0612244897959184</v>
      </c>
      <c r="AU333" s="141">
        <v>0.0277777777777778</v>
      </c>
      <c r="AV333" s="141">
        <v>0</v>
      </c>
      <c r="AW333" s="141">
        <v>0.0436619718309859</v>
      </c>
      <c r="AX333" s="95"/>
      <c r="AY333" s="93"/>
    </row>
    <row r="334" ht="15" spans="1:51">
      <c r="A334" s="91"/>
      <c r="B334" s="95"/>
      <c r="C334" s="163" t="s">
        <v>350</v>
      </c>
      <c r="D334" s="153" t="s">
        <v>25</v>
      </c>
      <c r="E334" s="130" t="s">
        <v>351</v>
      </c>
      <c r="F334" s="171" t="s">
        <v>359</v>
      </c>
      <c r="G334" s="171" t="s">
        <v>359</v>
      </c>
      <c r="H334" s="171" t="s">
        <v>359</v>
      </c>
      <c r="I334" s="171" t="s">
        <v>359</v>
      </c>
      <c r="J334" s="132">
        <v>0.9</v>
      </c>
      <c r="K334" s="133">
        <v>0.949152542372881</v>
      </c>
      <c r="L334" s="133">
        <v>0.944444444444444</v>
      </c>
      <c r="M334" s="134">
        <v>0.875</v>
      </c>
      <c r="N334" s="133">
        <v>0.927825261158595</v>
      </c>
      <c r="O334" s="135">
        <v>0.9</v>
      </c>
      <c r="P334" s="133">
        <v>0.982297687861272</v>
      </c>
      <c r="Q334" s="133">
        <v>0.979096426163183</v>
      </c>
      <c r="R334" s="133">
        <v>0.981566820276498</v>
      </c>
      <c r="S334" s="133">
        <v>0.972935282268478</v>
      </c>
      <c r="T334" s="135">
        <v>0.9</v>
      </c>
      <c r="U334" s="133">
        <v>0.907514450867052</v>
      </c>
      <c r="V334" s="133">
        <v>0.899527983816588</v>
      </c>
      <c r="W334" s="133">
        <v>0.889861751152074</v>
      </c>
      <c r="X334" s="133">
        <v>0.906530310073515</v>
      </c>
      <c r="Y334" s="135">
        <v>0.92</v>
      </c>
      <c r="Z334" s="135">
        <v>0.952877925363694</v>
      </c>
      <c r="AA334" s="135">
        <v>0.931451612903226</v>
      </c>
      <c r="AB334" s="135">
        <v>0.89128305582762</v>
      </c>
      <c r="AC334" s="135">
        <v>0.958251841561717</v>
      </c>
      <c r="AD334" s="135">
        <v>0.92</v>
      </c>
      <c r="AE334" s="133">
        <v>0.983606557377049</v>
      </c>
      <c r="AF334" s="133">
        <v>0.991428571428571</v>
      </c>
      <c r="AG334" s="133">
        <v>0.992778045257583</v>
      </c>
      <c r="AH334" s="133">
        <v>0.988012534924111</v>
      </c>
      <c r="AI334" s="135">
        <v>0.92</v>
      </c>
      <c r="AJ334" s="133">
        <v>0.962121212121212</v>
      </c>
      <c r="AK334" s="133">
        <v>0.956451612903226</v>
      </c>
      <c r="AL334" s="133">
        <v>0.93859649122807</v>
      </c>
      <c r="AM334" s="133">
        <v>0.966326539642645</v>
      </c>
      <c r="AN334" s="132">
        <v>0.99</v>
      </c>
      <c r="AO334" s="137">
        <v>1</v>
      </c>
      <c r="AP334" s="137">
        <v>1</v>
      </c>
      <c r="AQ334" s="137">
        <v>1</v>
      </c>
      <c r="AR334" s="137">
        <v>1</v>
      </c>
      <c r="AS334" s="158">
        <v>0.0739852556983447</v>
      </c>
      <c r="AT334" s="141">
        <v>0.114285714285714</v>
      </c>
      <c r="AU334" s="141">
        <v>0.0769230769230769</v>
      </c>
      <c r="AV334" s="141">
        <v>0.037037037037037</v>
      </c>
      <c r="AW334" s="141">
        <v>0.0501432664756447</v>
      </c>
      <c r="AX334" s="95"/>
      <c r="AY334" s="93"/>
    </row>
    <row r="335" ht="15" spans="1:51">
      <c r="A335" s="91"/>
      <c r="B335" s="95"/>
      <c r="C335" s="163" t="s">
        <v>350</v>
      </c>
      <c r="D335" s="153" t="s">
        <v>25</v>
      </c>
      <c r="E335" s="130" t="s">
        <v>351</v>
      </c>
      <c r="F335" s="171" t="s">
        <v>360</v>
      </c>
      <c r="G335" s="171" t="s">
        <v>360</v>
      </c>
      <c r="H335" s="171" t="s">
        <v>360</v>
      </c>
      <c r="I335" s="171" t="s">
        <v>360</v>
      </c>
      <c r="J335" s="132">
        <v>0.9</v>
      </c>
      <c r="K335" s="133">
        <v>0.964705882352941</v>
      </c>
      <c r="L335" s="133">
        <v>0.939024390243902</v>
      </c>
      <c r="M335" s="134">
        <v>0.884057971014493</v>
      </c>
      <c r="N335" s="133">
        <v>0.929273084479371</v>
      </c>
      <c r="O335" s="135">
        <v>0.9</v>
      </c>
      <c r="P335" s="133">
        <v>0.98216181779571</v>
      </c>
      <c r="Q335" s="133">
        <v>0.98689138576779</v>
      </c>
      <c r="R335" s="133">
        <v>0.986911810532876</v>
      </c>
      <c r="S335" s="133">
        <v>0.976428979148712</v>
      </c>
      <c r="T335" s="135">
        <v>0.9</v>
      </c>
      <c r="U335" s="133">
        <v>0.919091102144829</v>
      </c>
      <c r="V335" s="133">
        <v>0.90749063670412</v>
      </c>
      <c r="W335" s="133">
        <v>0.890308507323154</v>
      </c>
      <c r="X335" s="133">
        <v>0.916438156849139</v>
      </c>
      <c r="Y335" s="135">
        <v>0.92</v>
      </c>
      <c r="Z335" s="135">
        <v>0.960158644312241</v>
      </c>
      <c r="AA335" s="135">
        <v>0.95230352303523</v>
      </c>
      <c r="AB335" s="135">
        <v>0.960750853242321</v>
      </c>
      <c r="AC335" s="135">
        <v>0.966244872418828</v>
      </c>
      <c r="AD335" s="135">
        <v>0.92</v>
      </c>
      <c r="AE335" s="133">
        <v>0.990356260460668</v>
      </c>
      <c r="AF335" s="133">
        <v>0.91559934318555</v>
      </c>
      <c r="AG335" s="133">
        <v>0.989686291362269</v>
      </c>
      <c r="AH335" s="133">
        <v>0.960729774188724</v>
      </c>
      <c r="AI335" s="135">
        <v>0.92</v>
      </c>
      <c r="AJ335" s="133">
        <v>0.965638080404945</v>
      </c>
      <c r="AK335" s="133">
        <v>0.965082872928177</v>
      </c>
      <c r="AL335" s="133">
        <v>0.963156835111737</v>
      </c>
      <c r="AM335" s="133">
        <v>0.973656534418755</v>
      </c>
      <c r="AN335" s="132">
        <v>0.99</v>
      </c>
      <c r="AO335" s="137">
        <v>1</v>
      </c>
      <c r="AP335" s="137">
        <v>1</v>
      </c>
      <c r="AQ335" s="137">
        <v>1</v>
      </c>
      <c r="AR335" s="137">
        <v>1</v>
      </c>
      <c r="AS335" s="158">
        <v>0.0739852556983447</v>
      </c>
      <c r="AT335" s="141">
        <v>0.170731707317073</v>
      </c>
      <c r="AU335" s="141">
        <v>0.05</v>
      </c>
      <c r="AV335" s="141">
        <v>0.102564102564103</v>
      </c>
      <c r="AW335" s="141">
        <v>0.0415368639667705</v>
      </c>
      <c r="AX335" s="95"/>
      <c r="AY335" s="93"/>
    </row>
    <row r="336" ht="15" spans="1:51">
      <c r="A336" s="91"/>
      <c r="B336" s="95"/>
      <c r="C336" s="163" t="s">
        <v>350</v>
      </c>
      <c r="D336" s="153" t="s">
        <v>125</v>
      </c>
      <c r="E336" s="130" t="s">
        <v>351</v>
      </c>
      <c r="F336" s="171" t="s">
        <v>361</v>
      </c>
      <c r="G336" s="171" t="s">
        <v>361</v>
      </c>
      <c r="H336" s="171" t="s">
        <v>361</v>
      </c>
      <c r="I336" s="171" t="s">
        <v>361</v>
      </c>
      <c r="J336" s="132">
        <v>0.9</v>
      </c>
      <c r="K336" s="133" t="s">
        <v>35</v>
      </c>
      <c r="L336" s="133" t="s">
        <v>35</v>
      </c>
      <c r="M336" s="134" t="s">
        <v>35</v>
      </c>
      <c r="N336" s="133" t="s">
        <v>35</v>
      </c>
      <c r="O336" s="135">
        <v>0.9</v>
      </c>
      <c r="P336" s="133" t="s">
        <v>35</v>
      </c>
      <c r="Q336" s="133" t="s">
        <v>35</v>
      </c>
      <c r="R336" s="133" t="s">
        <v>35</v>
      </c>
      <c r="S336" s="133" t="s">
        <v>35</v>
      </c>
      <c r="T336" s="135">
        <v>0.9</v>
      </c>
      <c r="U336" s="133" t="s">
        <v>35</v>
      </c>
      <c r="V336" s="133" t="s">
        <v>35</v>
      </c>
      <c r="W336" s="133" t="s">
        <v>35</v>
      </c>
      <c r="X336" s="133" t="s">
        <v>35</v>
      </c>
      <c r="Y336" s="135">
        <v>0.92</v>
      </c>
      <c r="Z336" s="135" t="s">
        <v>35</v>
      </c>
      <c r="AA336" s="135" t="s">
        <v>35</v>
      </c>
      <c r="AB336" s="135" t="s">
        <v>35</v>
      </c>
      <c r="AC336" s="135" t="s">
        <v>35</v>
      </c>
      <c r="AD336" s="135">
        <v>0.92</v>
      </c>
      <c r="AE336" s="133">
        <v>1</v>
      </c>
      <c r="AF336" s="133">
        <v>0.996632996632997</v>
      </c>
      <c r="AG336" s="133">
        <v>0.998242530755712</v>
      </c>
      <c r="AH336" s="133">
        <v>0.980866592149385</v>
      </c>
      <c r="AI336" s="135">
        <v>0.92</v>
      </c>
      <c r="AJ336" s="133" t="s">
        <v>35</v>
      </c>
      <c r="AK336" s="133" t="s">
        <v>35</v>
      </c>
      <c r="AL336" s="133" t="s">
        <v>35</v>
      </c>
      <c r="AM336" s="133">
        <v>1</v>
      </c>
      <c r="AN336" s="132">
        <v>0.99</v>
      </c>
      <c r="AO336" s="137">
        <v>1</v>
      </c>
      <c r="AP336" s="137">
        <v>1</v>
      </c>
      <c r="AQ336" s="137" t="s">
        <v>35</v>
      </c>
      <c r="AR336" s="137">
        <v>1</v>
      </c>
      <c r="AS336" s="158">
        <v>0.0739852556983447</v>
      </c>
      <c r="AT336" s="141" t="s">
        <v>35</v>
      </c>
      <c r="AU336" s="141" t="s">
        <v>35</v>
      </c>
      <c r="AV336" s="141" t="s">
        <v>35</v>
      </c>
      <c r="AW336" s="141" t="s">
        <v>35</v>
      </c>
      <c r="AX336" s="95"/>
      <c r="AY336" s="93"/>
    </row>
    <row r="337" ht="15" spans="1:51">
      <c r="A337" s="91"/>
      <c r="B337" s="95"/>
      <c r="C337" s="163" t="s">
        <v>350</v>
      </c>
      <c r="D337" s="153" t="s">
        <v>25</v>
      </c>
      <c r="E337" s="130" t="s">
        <v>351</v>
      </c>
      <c r="F337" s="171" t="s">
        <v>362</v>
      </c>
      <c r="G337" s="171" t="s">
        <v>362</v>
      </c>
      <c r="H337" s="171" t="s">
        <v>362</v>
      </c>
      <c r="I337" s="171" t="s">
        <v>362</v>
      </c>
      <c r="J337" s="132">
        <v>0.9</v>
      </c>
      <c r="K337" s="133">
        <v>0.943262411347518</v>
      </c>
      <c r="L337" s="133">
        <v>0.9453125</v>
      </c>
      <c r="M337" s="134">
        <v>0.863636363636364</v>
      </c>
      <c r="N337" s="133">
        <v>0.901505901505901</v>
      </c>
      <c r="O337" s="135">
        <v>0.9</v>
      </c>
      <c r="P337" s="133">
        <v>0.974517471931374</v>
      </c>
      <c r="Q337" s="133">
        <v>0.968562182154415</v>
      </c>
      <c r="R337" s="133">
        <v>0.95161563187278</v>
      </c>
      <c r="S337" s="133">
        <v>0.959294398763089</v>
      </c>
      <c r="T337" s="135">
        <v>0.9</v>
      </c>
      <c r="U337" s="133">
        <v>0.927589251923805</v>
      </c>
      <c r="V337" s="133">
        <v>0.896440129449838</v>
      </c>
      <c r="W337" s="133">
        <v>0.887836237523262</v>
      </c>
      <c r="X337" s="133">
        <v>0.917836812144213</v>
      </c>
      <c r="Y337" s="135">
        <v>0.92</v>
      </c>
      <c r="Z337" s="135">
        <v>0.952945569974792</v>
      </c>
      <c r="AA337" s="135">
        <v>0.928949107732981</v>
      </c>
      <c r="AB337" s="135">
        <v>0.891784889475421</v>
      </c>
      <c r="AC337" s="135">
        <v>0.950798297466886</v>
      </c>
      <c r="AD337" s="135">
        <v>0.92</v>
      </c>
      <c r="AE337" s="133">
        <v>0.990696071674707</v>
      </c>
      <c r="AF337" s="133">
        <v>0.990138787436085</v>
      </c>
      <c r="AG337" s="133">
        <v>0.995794241345843</v>
      </c>
      <c r="AH337" s="133">
        <v>0.986140892727165</v>
      </c>
      <c r="AI337" s="135">
        <v>0.92</v>
      </c>
      <c r="AJ337" s="133">
        <v>0.964398691759155</v>
      </c>
      <c r="AK337" s="133">
        <v>0.950271739130435</v>
      </c>
      <c r="AL337" s="133">
        <v>0.933467516493347</v>
      </c>
      <c r="AM337" s="133">
        <v>0.963719736119474</v>
      </c>
      <c r="AN337" s="132">
        <v>0.99</v>
      </c>
      <c r="AO337" s="137">
        <v>1</v>
      </c>
      <c r="AP337" s="137">
        <v>1</v>
      </c>
      <c r="AQ337" s="137">
        <v>1</v>
      </c>
      <c r="AR337" s="137">
        <v>1</v>
      </c>
      <c r="AS337" s="158">
        <v>0.0739852556983447</v>
      </c>
      <c r="AT337" s="141">
        <v>0.0476190476190476</v>
      </c>
      <c r="AU337" s="141">
        <v>0.0454545454545455</v>
      </c>
      <c r="AV337" s="141">
        <v>0.0731707317073171</v>
      </c>
      <c r="AW337" s="141">
        <v>0.0446827524575514</v>
      </c>
      <c r="AX337" s="95"/>
      <c r="AY337" s="93"/>
    </row>
    <row r="338" ht="15" spans="1:51">
      <c r="A338" s="91"/>
      <c r="B338" s="95"/>
      <c r="C338" s="163" t="s">
        <v>350</v>
      </c>
      <c r="D338" s="153" t="s">
        <v>25</v>
      </c>
      <c r="E338" s="130" t="s">
        <v>351</v>
      </c>
      <c r="F338" s="171" t="s">
        <v>363</v>
      </c>
      <c r="G338" s="171" t="s">
        <v>363</v>
      </c>
      <c r="H338" s="171" t="s">
        <v>363</v>
      </c>
      <c r="I338" s="171" t="s">
        <v>363</v>
      </c>
      <c r="J338" s="132">
        <v>0.9</v>
      </c>
      <c r="K338" s="133">
        <v>1</v>
      </c>
      <c r="L338" s="133">
        <v>0.982142857142857</v>
      </c>
      <c r="M338" s="134">
        <v>0.94</v>
      </c>
      <c r="N338" s="133">
        <v>0.965456155890168</v>
      </c>
      <c r="O338" s="135">
        <v>0.9</v>
      </c>
      <c r="P338" s="133">
        <v>0.967092651757189</v>
      </c>
      <c r="Q338" s="133">
        <v>0.967956469165659</v>
      </c>
      <c r="R338" s="133">
        <v>0.955710955710956</v>
      </c>
      <c r="S338" s="133">
        <v>0.962306822465134</v>
      </c>
      <c r="T338" s="135">
        <v>0.9</v>
      </c>
      <c r="U338" s="133">
        <v>0.91405750798722</v>
      </c>
      <c r="V338" s="133">
        <v>0.91596130592503</v>
      </c>
      <c r="W338" s="133">
        <v>0.903030303030303</v>
      </c>
      <c r="X338" s="133">
        <v>0.92031319603879</v>
      </c>
      <c r="Y338" s="135">
        <v>0.92</v>
      </c>
      <c r="Z338" s="135">
        <v>0.954445057979017</v>
      </c>
      <c r="AA338" s="135">
        <v>0.955955955955956</v>
      </c>
      <c r="AB338" s="135">
        <v>0.937373737373737</v>
      </c>
      <c r="AC338" s="135">
        <v>0.961775891040948</v>
      </c>
      <c r="AD338" s="135">
        <v>0.92</v>
      </c>
      <c r="AE338" s="133">
        <v>0.998551948835526</v>
      </c>
      <c r="AF338" s="133">
        <v>0.990545454545455</v>
      </c>
      <c r="AG338" s="133">
        <v>1</v>
      </c>
      <c r="AH338" s="133">
        <v>0.990340932917709</v>
      </c>
      <c r="AI338" s="135">
        <v>0.92</v>
      </c>
      <c r="AJ338" s="133">
        <v>0.961231133471441</v>
      </c>
      <c r="AK338" s="133">
        <v>0.965400526513727</v>
      </c>
      <c r="AL338" s="133">
        <v>0.954110898661568</v>
      </c>
      <c r="AM338" s="133">
        <v>0.970988797051947</v>
      </c>
      <c r="AN338" s="132">
        <v>0.99</v>
      </c>
      <c r="AO338" s="137">
        <v>1</v>
      </c>
      <c r="AP338" s="137">
        <v>1</v>
      </c>
      <c r="AQ338" s="137">
        <v>1</v>
      </c>
      <c r="AR338" s="137">
        <v>1</v>
      </c>
      <c r="AS338" s="158">
        <v>0.0739852556983447</v>
      </c>
      <c r="AT338" s="141">
        <v>0.0434782608695652</v>
      </c>
      <c r="AU338" s="141">
        <v>0.0333333333333333</v>
      </c>
      <c r="AV338" s="141">
        <v>0.214285714285714</v>
      </c>
      <c r="AW338" s="141">
        <v>0.0531400966183575</v>
      </c>
      <c r="AX338" s="95"/>
      <c r="AY338" s="93"/>
    </row>
    <row r="339" ht="15" spans="1:51">
      <c r="A339" s="91"/>
      <c r="B339" s="95"/>
      <c r="C339" s="163" t="s">
        <v>350</v>
      </c>
      <c r="D339" s="153" t="s">
        <v>125</v>
      </c>
      <c r="E339" s="130" t="s">
        <v>351</v>
      </c>
      <c r="F339" s="171" t="s">
        <v>364</v>
      </c>
      <c r="G339" s="171" t="s">
        <v>364</v>
      </c>
      <c r="H339" s="171" t="s">
        <v>364</v>
      </c>
      <c r="I339" s="171" t="s">
        <v>364</v>
      </c>
      <c r="J339" s="132">
        <v>0.9</v>
      </c>
      <c r="K339" s="133" t="s">
        <v>35</v>
      </c>
      <c r="L339" s="133" t="s">
        <v>35</v>
      </c>
      <c r="M339" s="134" t="s">
        <v>35</v>
      </c>
      <c r="N339" s="133" t="s">
        <v>35</v>
      </c>
      <c r="O339" s="135">
        <v>0.9</v>
      </c>
      <c r="P339" s="133" t="s">
        <v>35</v>
      </c>
      <c r="Q339" s="133" t="s">
        <v>35</v>
      </c>
      <c r="R339" s="133" t="s">
        <v>35</v>
      </c>
      <c r="S339" s="133">
        <v>0</v>
      </c>
      <c r="T339" s="135">
        <v>0.9</v>
      </c>
      <c r="U339" s="133" t="s">
        <v>35</v>
      </c>
      <c r="V339" s="133" t="s">
        <v>35</v>
      </c>
      <c r="W339" s="133" t="s">
        <v>35</v>
      </c>
      <c r="X339" s="133">
        <v>0</v>
      </c>
      <c r="Y339" s="135">
        <v>0.92</v>
      </c>
      <c r="Z339" s="135" t="s">
        <v>35</v>
      </c>
      <c r="AA339" s="135" t="s">
        <v>35</v>
      </c>
      <c r="AB339" s="135" t="s">
        <v>35</v>
      </c>
      <c r="AC339" s="135" t="s">
        <v>35</v>
      </c>
      <c r="AD339" s="135">
        <v>0.92</v>
      </c>
      <c r="AE339" s="133">
        <v>1</v>
      </c>
      <c r="AF339" s="133">
        <v>1</v>
      </c>
      <c r="AG339" s="133">
        <v>1</v>
      </c>
      <c r="AH339" s="133">
        <v>0.999664316884861</v>
      </c>
      <c r="AI339" s="135">
        <v>0.92</v>
      </c>
      <c r="AJ339" s="133" t="s">
        <v>35</v>
      </c>
      <c r="AK339" s="133" t="s">
        <v>35</v>
      </c>
      <c r="AL339" s="133" t="s">
        <v>35</v>
      </c>
      <c r="AM339" s="133">
        <v>0</v>
      </c>
      <c r="AN339" s="132">
        <v>0.99</v>
      </c>
      <c r="AO339" s="137" t="s">
        <v>35</v>
      </c>
      <c r="AP339" s="137" t="s">
        <v>35</v>
      </c>
      <c r="AQ339" s="137" t="s">
        <v>35</v>
      </c>
      <c r="AR339" s="137">
        <v>1</v>
      </c>
      <c r="AS339" s="158">
        <v>0.0739852556983447</v>
      </c>
      <c r="AT339" s="141" t="s">
        <v>35</v>
      </c>
      <c r="AU339" s="141" t="s">
        <v>35</v>
      </c>
      <c r="AV339" s="141" t="s">
        <v>35</v>
      </c>
      <c r="AW339" s="141" t="s">
        <v>35</v>
      </c>
      <c r="AX339" s="95"/>
      <c r="AY339" s="93"/>
    </row>
    <row r="340" ht="15" spans="1:51">
      <c r="A340" s="91"/>
      <c r="B340" s="95"/>
      <c r="C340" s="163" t="s">
        <v>350</v>
      </c>
      <c r="D340" s="153" t="s">
        <v>25</v>
      </c>
      <c r="E340" s="130" t="s">
        <v>351</v>
      </c>
      <c r="F340" s="171" t="s">
        <v>365</v>
      </c>
      <c r="G340" s="171" t="s">
        <v>365</v>
      </c>
      <c r="H340" s="171" t="s">
        <v>365</v>
      </c>
      <c r="I340" s="171" t="s">
        <v>365</v>
      </c>
      <c r="J340" s="132">
        <v>0.9</v>
      </c>
      <c r="K340" s="133">
        <v>0.961165048543689</v>
      </c>
      <c r="L340" s="133">
        <v>0.967741935483871</v>
      </c>
      <c r="M340" s="134">
        <v>0.949367088607595</v>
      </c>
      <c r="N340" s="133">
        <v>0.968973747016706</v>
      </c>
      <c r="O340" s="135">
        <v>0.9</v>
      </c>
      <c r="P340" s="133">
        <v>0.974167822468793</v>
      </c>
      <c r="Q340" s="133">
        <v>0.978307363275283</v>
      </c>
      <c r="R340" s="133">
        <v>0.975717954704646</v>
      </c>
      <c r="S340" s="133">
        <v>0.97300261454549</v>
      </c>
      <c r="T340" s="135">
        <v>0.9</v>
      </c>
      <c r="U340" s="133">
        <v>0.931692094313454</v>
      </c>
      <c r="V340" s="133">
        <v>0.946837763519707</v>
      </c>
      <c r="W340" s="133">
        <v>0.92645342049965</v>
      </c>
      <c r="X340" s="133">
        <v>0.938298684893411</v>
      </c>
      <c r="Y340" s="135">
        <v>0.92</v>
      </c>
      <c r="Z340" s="135">
        <v>0.962882096069869</v>
      </c>
      <c r="AA340" s="135">
        <v>0.962913907284768</v>
      </c>
      <c r="AB340" s="135">
        <v>0.961858833844805</v>
      </c>
      <c r="AC340" s="135">
        <v>0.972855976041383</v>
      </c>
      <c r="AD340" s="135">
        <v>0.92</v>
      </c>
      <c r="AE340" s="133">
        <v>0.98734398184516</v>
      </c>
      <c r="AF340" s="133">
        <v>0.999116110887907</v>
      </c>
      <c r="AG340" s="133">
        <v>0.995890410958904</v>
      </c>
      <c r="AH340" s="133">
        <v>0.99724352712466</v>
      </c>
      <c r="AI340" s="135">
        <v>0.92</v>
      </c>
      <c r="AJ340" s="133">
        <v>0.969403326720586</v>
      </c>
      <c r="AK340" s="133">
        <v>0.973499188750676</v>
      </c>
      <c r="AL340" s="133">
        <v>0.970001522765342</v>
      </c>
      <c r="AM340" s="133">
        <v>0.978999045411155</v>
      </c>
      <c r="AN340" s="132">
        <v>0.99</v>
      </c>
      <c r="AO340" s="137">
        <v>1</v>
      </c>
      <c r="AP340" s="137">
        <v>1</v>
      </c>
      <c r="AQ340" s="137">
        <v>1</v>
      </c>
      <c r="AR340" s="137">
        <v>1</v>
      </c>
      <c r="AS340" s="158">
        <v>0.0739852556983447</v>
      </c>
      <c r="AT340" s="141">
        <v>0.0784313725490196</v>
      </c>
      <c r="AU340" s="141">
        <v>0.0645161290322581</v>
      </c>
      <c r="AV340" s="141">
        <v>0.0967741935483871</v>
      </c>
      <c r="AW340" s="141">
        <v>0.0606407322654462</v>
      </c>
      <c r="AX340" s="95"/>
      <c r="AY340" s="93"/>
    </row>
    <row r="341" ht="15" spans="1:51">
      <c r="A341" s="91"/>
      <c r="B341" s="95"/>
      <c r="C341" s="163" t="s">
        <v>350</v>
      </c>
      <c r="D341" s="153" t="s">
        <v>125</v>
      </c>
      <c r="E341" s="130" t="s">
        <v>351</v>
      </c>
      <c r="F341" s="171" t="s">
        <v>366</v>
      </c>
      <c r="G341" s="171" t="s">
        <v>366</v>
      </c>
      <c r="H341" s="171" t="s">
        <v>366</v>
      </c>
      <c r="I341" s="171" t="s">
        <v>366</v>
      </c>
      <c r="J341" s="132">
        <v>0.9</v>
      </c>
      <c r="K341" s="133" t="s">
        <v>35</v>
      </c>
      <c r="L341" s="133" t="s">
        <v>35</v>
      </c>
      <c r="M341" s="134" t="s">
        <v>35</v>
      </c>
      <c r="N341" s="133" t="s">
        <v>35</v>
      </c>
      <c r="O341" s="135">
        <v>0.9</v>
      </c>
      <c r="P341" s="133" t="s">
        <v>35</v>
      </c>
      <c r="Q341" s="133" t="s">
        <v>35</v>
      </c>
      <c r="R341" s="133" t="s">
        <v>35</v>
      </c>
      <c r="S341" s="133" t="s">
        <v>35</v>
      </c>
      <c r="T341" s="135">
        <v>0.9</v>
      </c>
      <c r="U341" s="133" t="s">
        <v>35</v>
      </c>
      <c r="V341" s="133" t="s">
        <v>35</v>
      </c>
      <c r="W341" s="133" t="s">
        <v>35</v>
      </c>
      <c r="X341" s="133" t="s">
        <v>35</v>
      </c>
      <c r="Y341" s="135">
        <v>0.92</v>
      </c>
      <c r="Z341" s="135" t="s">
        <v>35</v>
      </c>
      <c r="AA341" s="135" t="s">
        <v>35</v>
      </c>
      <c r="AB341" s="135" t="s">
        <v>35</v>
      </c>
      <c r="AC341" s="135" t="s">
        <v>35</v>
      </c>
      <c r="AD341" s="135">
        <v>0.92</v>
      </c>
      <c r="AE341" s="133">
        <v>0.993464052287582</v>
      </c>
      <c r="AF341" s="133">
        <v>0.967741935483871</v>
      </c>
      <c r="AG341" s="133">
        <v>0.99</v>
      </c>
      <c r="AH341" s="133">
        <v>0.982277882797732</v>
      </c>
      <c r="AI341" s="135">
        <v>0.92</v>
      </c>
      <c r="AJ341" s="133" t="s">
        <v>35</v>
      </c>
      <c r="AK341" s="133" t="s">
        <v>35</v>
      </c>
      <c r="AL341" s="133" t="s">
        <v>35</v>
      </c>
      <c r="AM341" s="133" t="s">
        <v>35</v>
      </c>
      <c r="AN341" s="132">
        <v>0.99</v>
      </c>
      <c r="AO341" s="137" t="s">
        <v>35</v>
      </c>
      <c r="AP341" s="137" t="s">
        <v>35</v>
      </c>
      <c r="AQ341" s="137" t="s">
        <v>35</v>
      </c>
      <c r="AR341" s="137" t="s">
        <v>35</v>
      </c>
      <c r="AS341" s="158">
        <v>0.0739852556983447</v>
      </c>
      <c r="AT341" s="141" t="s">
        <v>35</v>
      </c>
      <c r="AU341" s="141" t="s">
        <v>35</v>
      </c>
      <c r="AV341" s="141" t="s">
        <v>35</v>
      </c>
      <c r="AW341" s="141" t="s">
        <v>35</v>
      </c>
      <c r="AX341" s="95"/>
      <c r="AY341" s="93"/>
    </row>
    <row r="342" ht="15" spans="1:51">
      <c r="A342" s="91"/>
      <c r="B342" s="95"/>
      <c r="C342" s="163" t="s">
        <v>350</v>
      </c>
      <c r="D342" s="153" t="s">
        <v>25</v>
      </c>
      <c r="E342" s="130" t="s">
        <v>351</v>
      </c>
      <c r="F342" s="171" t="s">
        <v>367</v>
      </c>
      <c r="G342" s="171" t="s">
        <v>367</v>
      </c>
      <c r="H342" s="171" t="s">
        <v>367</v>
      </c>
      <c r="I342" s="171" t="s">
        <v>367</v>
      </c>
      <c r="J342" s="132">
        <v>0.9</v>
      </c>
      <c r="K342" s="133">
        <v>0.932203389830508</v>
      </c>
      <c r="L342" s="133">
        <v>0.879310344827586</v>
      </c>
      <c r="M342" s="134">
        <v>0.821428571428571</v>
      </c>
      <c r="N342" s="133">
        <v>0.895716945996276</v>
      </c>
      <c r="O342" s="135">
        <v>0.9</v>
      </c>
      <c r="P342" s="133">
        <v>0.936651583710407</v>
      </c>
      <c r="Q342" s="133">
        <v>0.932483474976393</v>
      </c>
      <c r="R342" s="133">
        <v>0.923103567717354</v>
      </c>
      <c r="S342" s="133">
        <v>0.912957681560222</v>
      </c>
      <c r="T342" s="135">
        <v>0.9</v>
      </c>
      <c r="U342" s="133">
        <v>0.907239819004525</v>
      </c>
      <c r="V342" s="133">
        <v>0.91123701605288</v>
      </c>
      <c r="W342" s="133">
        <v>0.896085902320748</v>
      </c>
      <c r="X342" s="133">
        <v>0.901261775127474</v>
      </c>
      <c r="Y342" s="135">
        <v>0.92</v>
      </c>
      <c r="Z342" s="135">
        <v>0.940794223826715</v>
      </c>
      <c r="AA342" s="135">
        <v>0.951587301587302</v>
      </c>
      <c r="AB342" s="135">
        <v>0.911341853035144</v>
      </c>
      <c r="AC342" s="135">
        <v>0.940903126206098</v>
      </c>
      <c r="AD342" s="135">
        <v>0.92</v>
      </c>
      <c r="AE342" s="133">
        <v>0.995413800291849</v>
      </c>
      <c r="AF342" s="133">
        <v>0.9874022589053</v>
      </c>
      <c r="AG342" s="133">
        <v>0.99807109396528</v>
      </c>
      <c r="AH342" s="133">
        <v>0.942902848704855</v>
      </c>
      <c r="AI342" s="135">
        <v>0.92</v>
      </c>
      <c r="AJ342" s="133">
        <v>0.953264961703232</v>
      </c>
      <c r="AK342" s="133">
        <v>0.963609467455621</v>
      </c>
      <c r="AL342" s="133">
        <v>0.942270531400966</v>
      </c>
      <c r="AM342" s="133">
        <v>0.955330296805692</v>
      </c>
      <c r="AN342" s="132">
        <v>0.99</v>
      </c>
      <c r="AO342" s="137">
        <v>1</v>
      </c>
      <c r="AP342" s="137">
        <v>1</v>
      </c>
      <c r="AQ342" s="137">
        <v>1</v>
      </c>
      <c r="AR342" s="137">
        <v>1</v>
      </c>
      <c r="AS342" s="158">
        <v>0.0739852556983447</v>
      </c>
      <c r="AT342" s="141">
        <v>0.108108108108108</v>
      </c>
      <c r="AU342" s="141">
        <v>0.0740740740740741</v>
      </c>
      <c r="AV342" s="141">
        <v>0.0606060606060606</v>
      </c>
      <c r="AW342" s="141">
        <v>0.0485564304461942</v>
      </c>
      <c r="AX342" s="95"/>
      <c r="AY342" s="93"/>
    </row>
    <row r="343" ht="15" spans="1:51">
      <c r="A343" s="91"/>
      <c r="B343" s="95"/>
      <c r="C343" s="163" t="s">
        <v>350</v>
      </c>
      <c r="D343" s="153" t="s">
        <v>125</v>
      </c>
      <c r="E343" s="130" t="s">
        <v>351</v>
      </c>
      <c r="F343" s="171" t="s">
        <v>368</v>
      </c>
      <c r="G343" s="171" t="s">
        <v>368</v>
      </c>
      <c r="H343" s="171" t="s">
        <v>368</v>
      </c>
      <c r="I343" s="171" t="s">
        <v>368</v>
      </c>
      <c r="J343" s="132">
        <v>0.9</v>
      </c>
      <c r="K343" s="133" t="s">
        <v>35</v>
      </c>
      <c r="L343" s="133" t="s">
        <v>35</v>
      </c>
      <c r="M343" s="134" t="s">
        <v>35</v>
      </c>
      <c r="N343" s="133" t="s">
        <v>35</v>
      </c>
      <c r="O343" s="135">
        <v>0.9</v>
      </c>
      <c r="P343" s="133" t="s">
        <v>35</v>
      </c>
      <c r="Q343" s="133" t="s">
        <v>35</v>
      </c>
      <c r="R343" s="133" t="s">
        <v>35</v>
      </c>
      <c r="S343" s="133" t="s">
        <v>35</v>
      </c>
      <c r="T343" s="135">
        <v>0.9</v>
      </c>
      <c r="U343" s="133" t="s">
        <v>35</v>
      </c>
      <c r="V343" s="133" t="s">
        <v>35</v>
      </c>
      <c r="W343" s="133" t="s">
        <v>35</v>
      </c>
      <c r="X343" s="133" t="s">
        <v>35</v>
      </c>
      <c r="Y343" s="135">
        <v>0.92</v>
      </c>
      <c r="Z343" s="135" t="s">
        <v>35</v>
      </c>
      <c r="AA343" s="135" t="s">
        <v>35</v>
      </c>
      <c r="AB343" s="135" t="s">
        <v>35</v>
      </c>
      <c r="AC343" s="135" t="s">
        <v>35</v>
      </c>
      <c r="AD343" s="135">
        <v>0.92</v>
      </c>
      <c r="AE343" s="133">
        <v>1</v>
      </c>
      <c r="AF343" s="133">
        <v>1</v>
      </c>
      <c r="AG343" s="133">
        <v>1</v>
      </c>
      <c r="AH343" s="133">
        <v>0.990566037735849</v>
      </c>
      <c r="AI343" s="135">
        <v>0.92</v>
      </c>
      <c r="AJ343" s="133" t="s">
        <v>35</v>
      </c>
      <c r="AK343" s="133" t="s">
        <v>35</v>
      </c>
      <c r="AL343" s="133" t="s">
        <v>35</v>
      </c>
      <c r="AM343" s="133" t="s">
        <v>35</v>
      </c>
      <c r="AN343" s="132">
        <v>0.99</v>
      </c>
      <c r="AO343" s="137" t="s">
        <v>35</v>
      </c>
      <c r="AP343" s="137">
        <v>1</v>
      </c>
      <c r="AQ343" s="137">
        <v>1</v>
      </c>
      <c r="AR343" s="137">
        <v>1</v>
      </c>
      <c r="AS343" s="158">
        <v>0.0739852556983447</v>
      </c>
      <c r="AT343" s="141" t="s">
        <v>35</v>
      </c>
      <c r="AU343" s="141" t="s">
        <v>35</v>
      </c>
      <c r="AV343" s="141" t="s">
        <v>35</v>
      </c>
      <c r="AW343" s="141" t="s">
        <v>35</v>
      </c>
      <c r="AX343" s="95"/>
      <c r="AY343" s="93"/>
    </row>
    <row r="344" ht="15" spans="1:51">
      <c r="A344" s="91"/>
      <c r="B344" s="95"/>
      <c r="C344" s="163" t="s">
        <v>350</v>
      </c>
      <c r="D344" s="153" t="s">
        <v>25</v>
      </c>
      <c r="E344" s="130" t="s">
        <v>351</v>
      </c>
      <c r="F344" s="171" t="s">
        <v>369</v>
      </c>
      <c r="G344" s="171" t="s">
        <v>369</v>
      </c>
      <c r="H344" s="171" t="s">
        <v>369</v>
      </c>
      <c r="I344" s="171" t="s">
        <v>369</v>
      </c>
      <c r="J344" s="132">
        <v>0.9</v>
      </c>
      <c r="K344" s="133">
        <v>0.943181818181818</v>
      </c>
      <c r="L344" s="133">
        <v>0.962962962962963</v>
      </c>
      <c r="M344" s="134">
        <v>0.901639344262295</v>
      </c>
      <c r="N344" s="133">
        <v>0.937286980231765</v>
      </c>
      <c r="O344" s="135">
        <v>0.9</v>
      </c>
      <c r="P344" s="133">
        <v>0.945161290322581</v>
      </c>
      <c r="Q344" s="133">
        <v>0.948805460750853</v>
      </c>
      <c r="R344" s="133">
        <v>0.923998910378643</v>
      </c>
      <c r="S344" s="133">
        <v>0.936254483081241</v>
      </c>
      <c r="T344" s="135">
        <v>0.9</v>
      </c>
      <c r="U344" s="133">
        <v>0.916129032258065</v>
      </c>
      <c r="V344" s="133">
        <v>0.905460750853242</v>
      </c>
      <c r="W344" s="133">
        <v>0.893761917733588</v>
      </c>
      <c r="X344" s="133">
        <v>0.919850304069858</v>
      </c>
      <c r="Y344" s="135">
        <v>0.92</v>
      </c>
      <c r="Z344" s="135">
        <v>0.956017104459377</v>
      </c>
      <c r="AA344" s="135">
        <v>0.945481335952849</v>
      </c>
      <c r="AB344" s="135">
        <v>0.940482298614674</v>
      </c>
      <c r="AC344" s="135">
        <v>0.959090077081088</v>
      </c>
      <c r="AD344" s="135">
        <v>0.92</v>
      </c>
      <c r="AE344" s="133">
        <v>0.99338057057617</v>
      </c>
      <c r="AF344" s="133">
        <v>0.978436282693378</v>
      </c>
      <c r="AG344" s="133">
        <v>0.995959595959596</v>
      </c>
      <c r="AH344" s="133">
        <v>0.990008356647168</v>
      </c>
      <c r="AI344" s="135">
        <v>0.92</v>
      </c>
      <c r="AJ344" s="133">
        <v>0.96417405999155</v>
      </c>
      <c r="AK344" s="133">
        <v>0.961739830849779</v>
      </c>
      <c r="AL344" s="133">
        <v>0.961791363070908</v>
      </c>
      <c r="AM344" s="133">
        <v>0.970253219787384</v>
      </c>
      <c r="AN344" s="132">
        <v>0.99</v>
      </c>
      <c r="AO344" s="137">
        <v>1</v>
      </c>
      <c r="AP344" s="137">
        <v>1</v>
      </c>
      <c r="AQ344" s="137">
        <v>1</v>
      </c>
      <c r="AR344" s="137">
        <v>1</v>
      </c>
      <c r="AS344" s="158">
        <v>0.0739852556983447</v>
      </c>
      <c r="AT344" s="141">
        <v>0.0638297872340425</v>
      </c>
      <c r="AU344" s="141">
        <v>0.0689655172413793</v>
      </c>
      <c r="AV344" s="141">
        <v>0</v>
      </c>
      <c r="AW344" s="141">
        <v>0.0438709677419355</v>
      </c>
      <c r="AX344" s="95"/>
      <c r="AY344" s="93"/>
    </row>
    <row r="345" ht="15" spans="1:51">
      <c r="A345" s="91"/>
      <c r="B345" s="95"/>
      <c r="C345" s="163" t="s">
        <v>350</v>
      </c>
      <c r="D345" s="153" t="s">
        <v>125</v>
      </c>
      <c r="E345" s="130" t="s">
        <v>351</v>
      </c>
      <c r="F345" s="171" t="s">
        <v>370</v>
      </c>
      <c r="G345" s="171" t="s">
        <v>370</v>
      </c>
      <c r="H345" s="171" t="s">
        <v>370</v>
      </c>
      <c r="I345" s="171" t="s">
        <v>370</v>
      </c>
      <c r="J345" s="132">
        <v>0.9</v>
      </c>
      <c r="K345" s="133" t="s">
        <v>35</v>
      </c>
      <c r="L345" s="133" t="s">
        <v>35</v>
      </c>
      <c r="M345" s="134" t="s">
        <v>35</v>
      </c>
      <c r="N345" s="133" t="s">
        <v>35</v>
      </c>
      <c r="O345" s="135">
        <v>0.9</v>
      </c>
      <c r="P345" s="133">
        <v>1</v>
      </c>
      <c r="Q345" s="133">
        <v>1</v>
      </c>
      <c r="R345" s="133">
        <v>1</v>
      </c>
      <c r="S345" s="133">
        <v>0.941176470588235</v>
      </c>
      <c r="T345" s="135">
        <v>0.9</v>
      </c>
      <c r="U345" s="133">
        <v>0.4</v>
      </c>
      <c r="V345" s="133">
        <v>0</v>
      </c>
      <c r="W345" s="133">
        <v>1</v>
      </c>
      <c r="X345" s="133">
        <v>0.676470588235294</v>
      </c>
      <c r="Y345" s="135">
        <v>0.92</v>
      </c>
      <c r="Z345" s="135">
        <v>0</v>
      </c>
      <c r="AA345" s="135" t="s">
        <v>35</v>
      </c>
      <c r="AB345" s="135" t="s">
        <v>35</v>
      </c>
      <c r="AC345" s="135">
        <v>0.8</v>
      </c>
      <c r="AD345" s="135">
        <v>0.92</v>
      </c>
      <c r="AE345" s="133">
        <v>0.997775030902349</v>
      </c>
      <c r="AF345" s="133">
        <v>0.996889369759264</v>
      </c>
      <c r="AG345" s="133">
        <v>0.995144059566203</v>
      </c>
      <c r="AH345" s="133">
        <v>0.993045365922293</v>
      </c>
      <c r="AI345" s="135">
        <v>0.92</v>
      </c>
      <c r="AJ345" s="133">
        <v>0.333333333333333</v>
      </c>
      <c r="AK345" s="133">
        <v>0</v>
      </c>
      <c r="AL345" s="133">
        <v>1</v>
      </c>
      <c r="AM345" s="133">
        <v>0.744186046511628</v>
      </c>
      <c r="AN345" s="132">
        <v>0.99</v>
      </c>
      <c r="AO345" s="137">
        <v>1</v>
      </c>
      <c r="AP345" s="137">
        <v>1</v>
      </c>
      <c r="AQ345" s="137">
        <v>1</v>
      </c>
      <c r="AR345" s="137">
        <v>1</v>
      </c>
      <c r="AS345" s="158">
        <v>0.0739852556983447</v>
      </c>
      <c r="AT345" s="141">
        <v>0</v>
      </c>
      <c r="AU345" s="141" t="s">
        <v>35</v>
      </c>
      <c r="AV345" s="141">
        <v>0</v>
      </c>
      <c r="AW345" s="141">
        <v>0</v>
      </c>
      <c r="AX345" s="95"/>
      <c r="AY345" s="93"/>
    </row>
    <row r="346" ht="15" spans="1:51">
      <c r="A346" s="91"/>
      <c r="B346" s="95"/>
      <c r="C346" s="163" t="s">
        <v>350</v>
      </c>
      <c r="D346" s="153" t="s">
        <v>125</v>
      </c>
      <c r="E346" s="130" t="s">
        <v>351</v>
      </c>
      <c r="F346" s="171" t="s">
        <v>371</v>
      </c>
      <c r="G346" s="171" t="s">
        <v>371</v>
      </c>
      <c r="H346" s="171" t="s">
        <v>371</v>
      </c>
      <c r="I346" s="171" t="s">
        <v>371</v>
      </c>
      <c r="J346" s="132">
        <v>0.9</v>
      </c>
      <c r="K346" s="133" t="s">
        <v>35</v>
      </c>
      <c r="L346" s="133" t="s">
        <v>35</v>
      </c>
      <c r="M346" s="134" t="s">
        <v>35</v>
      </c>
      <c r="N346" s="133" t="s">
        <v>35</v>
      </c>
      <c r="O346" s="135">
        <v>0.9</v>
      </c>
      <c r="P346" s="133" t="s">
        <v>35</v>
      </c>
      <c r="Q346" s="133" t="s">
        <v>35</v>
      </c>
      <c r="R346" s="133" t="s">
        <v>35</v>
      </c>
      <c r="S346" s="133">
        <v>0.5</v>
      </c>
      <c r="T346" s="135">
        <v>0.9</v>
      </c>
      <c r="U346" s="133" t="s">
        <v>35</v>
      </c>
      <c r="V346" s="133" t="s">
        <v>35</v>
      </c>
      <c r="W346" s="133" t="s">
        <v>35</v>
      </c>
      <c r="X346" s="133">
        <v>0</v>
      </c>
      <c r="Y346" s="135">
        <v>0.92</v>
      </c>
      <c r="Z346" s="135" t="s">
        <v>35</v>
      </c>
      <c r="AA346" s="135" t="s">
        <v>35</v>
      </c>
      <c r="AB346" s="135" t="s">
        <v>35</v>
      </c>
      <c r="AC346" s="135" t="s">
        <v>35</v>
      </c>
      <c r="AD346" s="135">
        <v>0.92</v>
      </c>
      <c r="AE346" s="133">
        <v>0.985245901639344</v>
      </c>
      <c r="AF346" s="133">
        <v>0.982352941176471</v>
      </c>
      <c r="AG346" s="133">
        <v>1</v>
      </c>
      <c r="AH346" s="133">
        <v>0.962866800568265</v>
      </c>
      <c r="AI346" s="135">
        <v>0.92</v>
      </c>
      <c r="AJ346" s="133" t="s">
        <v>35</v>
      </c>
      <c r="AK346" s="133" t="s">
        <v>35</v>
      </c>
      <c r="AL346" s="133" t="s">
        <v>35</v>
      </c>
      <c r="AM346" s="133">
        <v>0</v>
      </c>
      <c r="AN346" s="132">
        <v>0.99</v>
      </c>
      <c r="AO346" s="137">
        <v>1</v>
      </c>
      <c r="AP346" s="137">
        <v>1</v>
      </c>
      <c r="AQ346" s="137" t="s">
        <v>35</v>
      </c>
      <c r="AR346" s="137">
        <v>1</v>
      </c>
      <c r="AS346" s="158">
        <v>0.0739852556983447</v>
      </c>
      <c r="AT346" s="141" t="s">
        <v>35</v>
      </c>
      <c r="AU346" s="141" t="s">
        <v>35</v>
      </c>
      <c r="AV346" s="141" t="s">
        <v>35</v>
      </c>
      <c r="AW346" s="141" t="s">
        <v>35</v>
      </c>
      <c r="AX346" s="95"/>
      <c r="AY346" s="93"/>
    </row>
    <row r="347" ht="15" spans="1:51">
      <c r="A347" s="91"/>
      <c r="B347" s="95"/>
      <c r="C347" s="163" t="s">
        <v>350</v>
      </c>
      <c r="D347" s="153" t="s">
        <v>125</v>
      </c>
      <c r="E347" s="130" t="s">
        <v>351</v>
      </c>
      <c r="F347" s="171" t="s">
        <v>372</v>
      </c>
      <c r="G347" s="171" t="s">
        <v>372</v>
      </c>
      <c r="H347" s="171" t="s">
        <v>372</v>
      </c>
      <c r="I347" s="171" t="s">
        <v>372</v>
      </c>
      <c r="J347" s="132">
        <v>0.9</v>
      </c>
      <c r="K347" s="133" t="s">
        <v>35</v>
      </c>
      <c r="L347" s="133" t="s">
        <v>35</v>
      </c>
      <c r="M347" s="134" t="s">
        <v>35</v>
      </c>
      <c r="N347" s="133" t="s">
        <v>35</v>
      </c>
      <c r="O347" s="135">
        <v>0.9</v>
      </c>
      <c r="P347" s="133" t="s">
        <v>35</v>
      </c>
      <c r="Q347" s="133" t="s">
        <v>35</v>
      </c>
      <c r="R347" s="133" t="s">
        <v>35</v>
      </c>
      <c r="S347" s="133">
        <v>0</v>
      </c>
      <c r="T347" s="135">
        <v>0.9</v>
      </c>
      <c r="U347" s="133" t="s">
        <v>35</v>
      </c>
      <c r="V347" s="133" t="s">
        <v>35</v>
      </c>
      <c r="W347" s="133" t="s">
        <v>35</v>
      </c>
      <c r="X347" s="133">
        <v>0.5</v>
      </c>
      <c r="Y347" s="135">
        <v>0.92</v>
      </c>
      <c r="Z347" s="135" t="s">
        <v>35</v>
      </c>
      <c r="AA347" s="135" t="s">
        <v>35</v>
      </c>
      <c r="AB347" s="135" t="s">
        <v>35</v>
      </c>
      <c r="AC347" s="135" t="s">
        <v>35</v>
      </c>
      <c r="AD347" s="135">
        <v>0.92</v>
      </c>
      <c r="AE347" s="133">
        <v>0.999707002636976</v>
      </c>
      <c r="AF347" s="133">
        <v>0.9986882378662</v>
      </c>
      <c r="AG347" s="133">
        <v>0.984493670886076</v>
      </c>
      <c r="AH347" s="133">
        <v>0.957962263058054</v>
      </c>
      <c r="AI347" s="135">
        <v>0.92</v>
      </c>
      <c r="AJ347" s="133" t="s">
        <v>35</v>
      </c>
      <c r="AK347" s="133" t="s">
        <v>35</v>
      </c>
      <c r="AL347" s="133" t="s">
        <v>35</v>
      </c>
      <c r="AM347" s="133">
        <v>0.666666666666667</v>
      </c>
      <c r="AN347" s="132">
        <v>0.99</v>
      </c>
      <c r="AO347" s="137">
        <v>1</v>
      </c>
      <c r="AP347" s="137" t="s">
        <v>35</v>
      </c>
      <c r="AQ347" s="137" t="s">
        <v>35</v>
      </c>
      <c r="AR347" s="137">
        <v>1</v>
      </c>
      <c r="AS347" s="158">
        <v>0.0739852556983447</v>
      </c>
      <c r="AT347" s="141" t="s">
        <v>35</v>
      </c>
      <c r="AU347" s="141">
        <v>0</v>
      </c>
      <c r="AV347" s="141" t="s">
        <v>35</v>
      </c>
      <c r="AW347" s="141">
        <v>0</v>
      </c>
      <c r="AX347" s="95"/>
      <c r="AY347" s="93"/>
    </row>
    <row r="348" ht="15" spans="1:51">
      <c r="A348" s="91"/>
      <c r="B348" s="95"/>
      <c r="C348" s="163" t="s">
        <v>350</v>
      </c>
      <c r="D348" s="153" t="s">
        <v>125</v>
      </c>
      <c r="E348" s="130" t="s">
        <v>351</v>
      </c>
      <c r="F348" s="171" t="s">
        <v>373</v>
      </c>
      <c r="G348" s="171" t="s">
        <v>373</v>
      </c>
      <c r="H348" s="171" t="s">
        <v>373</v>
      </c>
      <c r="I348" s="171" t="s">
        <v>373</v>
      </c>
      <c r="J348" s="132">
        <v>0.9</v>
      </c>
      <c r="K348" s="133" t="s">
        <v>35</v>
      </c>
      <c r="L348" s="133" t="s">
        <v>35</v>
      </c>
      <c r="M348" s="134" t="s">
        <v>35</v>
      </c>
      <c r="N348" s="133" t="s">
        <v>35</v>
      </c>
      <c r="O348" s="135">
        <v>0.9</v>
      </c>
      <c r="P348" s="133">
        <v>1</v>
      </c>
      <c r="Q348" s="133">
        <v>0.75</v>
      </c>
      <c r="R348" s="133">
        <v>0.666666666666667</v>
      </c>
      <c r="S348" s="133">
        <v>0.82258064516129</v>
      </c>
      <c r="T348" s="135">
        <v>0.9</v>
      </c>
      <c r="U348" s="133">
        <v>0.571428571428571</v>
      </c>
      <c r="V348" s="133">
        <v>0.5</v>
      </c>
      <c r="W348" s="133">
        <v>0.333333333333333</v>
      </c>
      <c r="X348" s="133">
        <v>0.790322580645161</v>
      </c>
      <c r="Y348" s="135">
        <v>0.92</v>
      </c>
      <c r="Z348" s="135">
        <v>1</v>
      </c>
      <c r="AA348" s="135">
        <v>1</v>
      </c>
      <c r="AB348" s="135" t="s">
        <v>35</v>
      </c>
      <c r="AC348" s="135">
        <v>0.333333333333333</v>
      </c>
      <c r="AD348" s="135">
        <v>0.92</v>
      </c>
      <c r="AE348" s="133">
        <v>0.906158012480867</v>
      </c>
      <c r="AF348" s="133">
        <v>0.981455725544738</v>
      </c>
      <c r="AG348" s="133">
        <v>0.993747631678666</v>
      </c>
      <c r="AH348" s="133">
        <v>0.82852606153577</v>
      </c>
      <c r="AI348" s="135">
        <v>0.92</v>
      </c>
      <c r="AJ348" s="133">
        <v>0.625</v>
      </c>
      <c r="AK348" s="133">
        <v>0.6</v>
      </c>
      <c r="AL348" s="133">
        <v>0.333333333333333</v>
      </c>
      <c r="AM348" s="133">
        <v>0.733333333333333</v>
      </c>
      <c r="AN348" s="132">
        <v>0.99</v>
      </c>
      <c r="AO348" s="137">
        <v>1</v>
      </c>
      <c r="AP348" s="137">
        <v>1</v>
      </c>
      <c r="AQ348" s="137">
        <v>1</v>
      </c>
      <c r="AR348" s="137">
        <v>1</v>
      </c>
      <c r="AS348" s="158">
        <v>0.0739852556983447</v>
      </c>
      <c r="AT348" s="141">
        <v>0</v>
      </c>
      <c r="AU348" s="141">
        <v>0</v>
      </c>
      <c r="AV348" s="141" t="s">
        <v>35</v>
      </c>
      <c r="AW348" s="141">
        <v>0</v>
      </c>
      <c r="AX348" s="95"/>
      <c r="AY348" s="93"/>
    </row>
    <row r="349" ht="15" spans="1:51">
      <c r="A349" s="91"/>
      <c r="B349" s="95"/>
      <c r="C349" s="163" t="s">
        <v>350</v>
      </c>
      <c r="D349" s="153" t="s">
        <v>125</v>
      </c>
      <c r="E349" s="130" t="s">
        <v>351</v>
      </c>
      <c r="F349" s="171" t="s">
        <v>374</v>
      </c>
      <c r="G349" s="171" t="s">
        <v>374</v>
      </c>
      <c r="H349" s="171" t="s">
        <v>374</v>
      </c>
      <c r="I349" s="171" t="s">
        <v>374</v>
      </c>
      <c r="J349" s="132">
        <v>0.9</v>
      </c>
      <c r="K349" s="133" t="s">
        <v>35</v>
      </c>
      <c r="L349" s="133" t="s">
        <v>35</v>
      </c>
      <c r="M349" s="134" t="s">
        <v>35</v>
      </c>
      <c r="N349" s="133" t="s">
        <v>35</v>
      </c>
      <c r="O349" s="135">
        <v>0.9</v>
      </c>
      <c r="P349" s="133">
        <v>0.0138888888888889</v>
      </c>
      <c r="Q349" s="133">
        <v>0.0120481927710843</v>
      </c>
      <c r="R349" s="133">
        <v>0.0246913580246914</v>
      </c>
      <c r="S349" s="133">
        <v>0.0199386503067485</v>
      </c>
      <c r="T349" s="135">
        <v>0.9</v>
      </c>
      <c r="U349" s="133">
        <v>0.0138888888888889</v>
      </c>
      <c r="V349" s="133">
        <v>0.0120481927710843</v>
      </c>
      <c r="W349" s="133">
        <v>0.0246913580246914</v>
      </c>
      <c r="X349" s="133">
        <v>0.0207055214723926</v>
      </c>
      <c r="Y349" s="135">
        <v>0.92</v>
      </c>
      <c r="Z349" s="135" t="s">
        <v>35</v>
      </c>
      <c r="AA349" s="135" t="s">
        <v>35</v>
      </c>
      <c r="AB349" s="135" t="s">
        <v>35</v>
      </c>
      <c r="AC349" s="135">
        <v>0.5</v>
      </c>
      <c r="AD349" s="135">
        <v>0.92</v>
      </c>
      <c r="AE349" s="133">
        <v>0.923202010495972</v>
      </c>
      <c r="AF349" s="133">
        <v>0.872608695652174</v>
      </c>
      <c r="AG349" s="133">
        <v>1</v>
      </c>
      <c r="AH349" s="133">
        <v>0.92180234304596</v>
      </c>
      <c r="AI349" s="135">
        <v>0.92</v>
      </c>
      <c r="AJ349" s="133">
        <v>0.958333333333333</v>
      </c>
      <c r="AK349" s="133">
        <v>0.891566265060241</v>
      </c>
      <c r="AL349" s="133">
        <v>0.0246913580246914</v>
      </c>
      <c r="AM349" s="133">
        <v>0.705972434915773</v>
      </c>
      <c r="AN349" s="132">
        <v>0.99</v>
      </c>
      <c r="AO349" s="137">
        <v>1</v>
      </c>
      <c r="AP349" s="137">
        <v>1</v>
      </c>
      <c r="AQ349" s="137" t="s">
        <v>35</v>
      </c>
      <c r="AR349" s="137">
        <v>1</v>
      </c>
      <c r="AS349" s="158">
        <v>0.0739852556983447</v>
      </c>
      <c r="AT349" s="141">
        <v>0</v>
      </c>
      <c r="AU349" s="141">
        <v>0</v>
      </c>
      <c r="AV349" s="141" t="s">
        <v>35</v>
      </c>
      <c r="AW349" s="141">
        <v>0</v>
      </c>
      <c r="AX349" s="95"/>
      <c r="AY349" s="93"/>
    </row>
    <row r="350" ht="15" spans="1:51">
      <c r="A350" s="91"/>
      <c r="B350" s="95"/>
      <c r="C350" s="159"/>
      <c r="D350" s="160"/>
      <c r="E350" s="159"/>
      <c r="F350" s="159"/>
      <c r="G350" s="159"/>
      <c r="H350" s="159"/>
      <c r="I350" s="159"/>
      <c r="J350" s="162"/>
      <c r="K350" s="147"/>
      <c r="L350" s="147"/>
      <c r="M350" s="134"/>
      <c r="N350" s="147"/>
      <c r="O350" s="150"/>
      <c r="P350" s="147"/>
      <c r="Q350" s="147"/>
      <c r="R350" s="133"/>
      <c r="S350" s="147"/>
      <c r="T350" s="150"/>
      <c r="U350" s="147"/>
      <c r="V350" s="147"/>
      <c r="W350" s="133"/>
      <c r="X350" s="147"/>
      <c r="Y350" s="150"/>
      <c r="Z350" s="150"/>
      <c r="AA350" s="150"/>
      <c r="AB350" s="135"/>
      <c r="AC350" s="150"/>
      <c r="AD350" s="147"/>
      <c r="AE350" s="147"/>
      <c r="AF350" s="147"/>
      <c r="AG350" s="133"/>
      <c r="AH350" s="147"/>
      <c r="AI350" s="147"/>
      <c r="AJ350" s="147"/>
      <c r="AK350" s="147"/>
      <c r="AL350" s="133"/>
      <c r="AM350" s="147"/>
      <c r="AN350" s="146"/>
      <c r="AO350" s="146"/>
      <c r="AP350" s="146"/>
      <c r="AQ350" s="137"/>
      <c r="AR350" s="146"/>
      <c r="AS350" s="147"/>
      <c r="AT350" s="146"/>
      <c r="AU350" s="146"/>
      <c r="AV350" s="141"/>
      <c r="AW350" s="146"/>
      <c r="AX350" s="95"/>
      <c r="AY350" s="93"/>
    </row>
    <row r="351" ht="15" spans="1:51">
      <c r="A351" s="91"/>
      <c r="B351" s="95"/>
      <c r="C351" s="152" t="s">
        <v>375</v>
      </c>
      <c r="D351" s="153" t="s">
        <v>25</v>
      </c>
      <c r="E351" s="130" t="s">
        <v>376</v>
      </c>
      <c r="F351" s="154" t="s">
        <v>377</v>
      </c>
      <c r="G351" s="154" t="s">
        <v>377</v>
      </c>
      <c r="H351" s="154" t="s">
        <v>377</v>
      </c>
      <c r="I351" s="154" t="s">
        <v>377</v>
      </c>
      <c r="J351" s="132">
        <v>0.9</v>
      </c>
      <c r="K351" s="133">
        <v>1</v>
      </c>
      <c r="L351" s="133">
        <v>0.888888888888889</v>
      </c>
      <c r="M351" s="134">
        <v>0.973684210526316</v>
      </c>
      <c r="N351" s="133">
        <v>0.919334186939821</v>
      </c>
      <c r="O351" s="135">
        <v>0.9</v>
      </c>
      <c r="P351" s="133">
        <v>0.976125881714596</v>
      </c>
      <c r="Q351" s="133">
        <v>0.983244478293983</v>
      </c>
      <c r="R351" s="133">
        <v>0.969045884923525</v>
      </c>
      <c r="S351" s="133">
        <v>0.966066838046272</v>
      </c>
      <c r="T351" s="135">
        <v>0.9</v>
      </c>
      <c r="U351" s="133">
        <v>0.903960933260987</v>
      </c>
      <c r="V351" s="133">
        <v>0.859101294744859</v>
      </c>
      <c r="W351" s="133">
        <v>0.785870356882739</v>
      </c>
      <c r="X351" s="133">
        <v>0.826615252784919</v>
      </c>
      <c r="Y351" s="135">
        <v>0.92</v>
      </c>
      <c r="Z351" s="135">
        <v>0.913392141138733</v>
      </c>
      <c r="AA351" s="135">
        <v>0.874608150470219</v>
      </c>
      <c r="AB351" s="135">
        <v>0.812130177514793</v>
      </c>
      <c r="AC351" s="135">
        <v>0.861044725162171</v>
      </c>
      <c r="AD351" s="135">
        <v>0.92</v>
      </c>
      <c r="AE351" s="133">
        <v>0.957854406130268</v>
      </c>
      <c r="AF351" s="133">
        <v>0.979125248508946</v>
      </c>
      <c r="AG351" s="133">
        <v>0.926630434782609</v>
      </c>
      <c r="AH351" s="133">
        <v>0.970673734610123</v>
      </c>
      <c r="AI351" s="135">
        <v>0.92</v>
      </c>
      <c r="AJ351" s="133">
        <v>0.94920737625364</v>
      </c>
      <c r="AK351" s="133">
        <v>0.940030753459764</v>
      </c>
      <c r="AL351" s="133">
        <v>0.921121822962314</v>
      </c>
      <c r="AM351" s="133">
        <v>0.938756878756372</v>
      </c>
      <c r="AN351" s="132">
        <v>0.99</v>
      </c>
      <c r="AO351" s="137">
        <v>1</v>
      </c>
      <c r="AP351" s="137">
        <v>1</v>
      </c>
      <c r="AQ351" s="137">
        <v>1</v>
      </c>
      <c r="AR351" s="137">
        <v>1</v>
      </c>
      <c r="AS351" s="158">
        <v>0.05</v>
      </c>
      <c r="AT351" s="141">
        <v>0.1</v>
      </c>
      <c r="AU351" s="141">
        <v>0.111111111111111</v>
      </c>
      <c r="AV351" s="141">
        <v>0.25</v>
      </c>
      <c r="AW351" s="141">
        <v>0.0891472868217054</v>
      </c>
      <c r="AX351" s="95"/>
      <c r="AY351" s="93"/>
    </row>
    <row r="352" ht="15" spans="1:51">
      <c r="A352" s="91"/>
      <c r="B352" s="95"/>
      <c r="C352" s="152" t="s">
        <v>375</v>
      </c>
      <c r="D352" s="153" t="s">
        <v>25</v>
      </c>
      <c r="E352" s="130" t="s">
        <v>376</v>
      </c>
      <c r="F352" s="154" t="s">
        <v>378</v>
      </c>
      <c r="G352" s="154" t="s">
        <v>378</v>
      </c>
      <c r="H352" s="154" t="s">
        <v>378</v>
      </c>
      <c r="I352" s="154" t="s">
        <v>378</v>
      </c>
      <c r="J352" s="132">
        <v>0.9</v>
      </c>
      <c r="K352" s="133">
        <v>1</v>
      </c>
      <c r="L352" s="133">
        <v>0.956521739130435</v>
      </c>
      <c r="M352" s="134">
        <v>1</v>
      </c>
      <c r="N352" s="133">
        <v>0.982683982683983</v>
      </c>
      <c r="O352" s="135">
        <v>0.9</v>
      </c>
      <c r="P352" s="133">
        <v>0.995625546806649</v>
      </c>
      <c r="Q352" s="133">
        <v>0.997050147492625</v>
      </c>
      <c r="R352" s="133">
        <v>0.996130458817026</v>
      </c>
      <c r="S352" s="133">
        <v>0.994461191579051</v>
      </c>
      <c r="T352" s="135">
        <v>0.9</v>
      </c>
      <c r="U352" s="133">
        <v>0.89326334208224</v>
      </c>
      <c r="V352" s="133">
        <v>0.886922320550639</v>
      </c>
      <c r="W352" s="133">
        <v>0.844665561083472</v>
      </c>
      <c r="X352" s="133">
        <v>0.847168100384776</v>
      </c>
      <c r="Y352" s="135">
        <v>0.92</v>
      </c>
      <c r="Z352" s="135">
        <v>0.92397137745975</v>
      </c>
      <c r="AA352" s="135">
        <v>0.951026856240126</v>
      </c>
      <c r="AB352" s="135">
        <v>0.941176470588235</v>
      </c>
      <c r="AC352" s="135">
        <v>0.945623115863717</v>
      </c>
      <c r="AD352" s="135">
        <v>0.92</v>
      </c>
      <c r="AE352" s="133">
        <v>0.986413043478261</v>
      </c>
      <c r="AF352" s="133">
        <v>0.979885057471264</v>
      </c>
      <c r="AG352" s="133">
        <v>0.970027247956403</v>
      </c>
      <c r="AH352" s="133">
        <v>0.994474497681607</v>
      </c>
      <c r="AI352" s="135">
        <v>0.92</v>
      </c>
      <c r="AJ352" s="133">
        <v>0.942528735632184</v>
      </c>
      <c r="AK352" s="133">
        <v>0.97030303030303</v>
      </c>
      <c r="AL352" s="133">
        <v>0.968103448275862</v>
      </c>
      <c r="AM352" s="133">
        <v>0.973730177757989</v>
      </c>
      <c r="AN352" s="132">
        <v>0.99</v>
      </c>
      <c r="AO352" s="137">
        <v>1</v>
      </c>
      <c r="AP352" s="137">
        <v>1</v>
      </c>
      <c r="AQ352" s="137">
        <v>1</v>
      </c>
      <c r="AR352" s="137">
        <v>1</v>
      </c>
      <c r="AS352" s="158">
        <v>0.05</v>
      </c>
      <c r="AT352" s="141">
        <v>0.2</v>
      </c>
      <c r="AU352" s="141">
        <v>0</v>
      </c>
      <c r="AV352" s="141">
        <v>0.2</v>
      </c>
      <c r="AW352" s="141">
        <v>0.0886075949367089</v>
      </c>
      <c r="AX352" s="95"/>
      <c r="AY352" s="93"/>
    </row>
    <row r="353" ht="15" spans="1:51">
      <c r="A353" s="91"/>
      <c r="B353" s="95"/>
      <c r="C353" s="152" t="s">
        <v>375</v>
      </c>
      <c r="D353" s="153" t="s">
        <v>25</v>
      </c>
      <c r="E353" s="130" t="s">
        <v>376</v>
      </c>
      <c r="F353" s="154" t="s">
        <v>379</v>
      </c>
      <c r="G353" s="154" t="s">
        <v>379</v>
      </c>
      <c r="H353" s="154" t="s">
        <v>379</v>
      </c>
      <c r="I353" s="154" t="s">
        <v>379</v>
      </c>
      <c r="J353" s="132">
        <v>0.9</v>
      </c>
      <c r="K353" s="133">
        <v>0.96</v>
      </c>
      <c r="L353" s="133">
        <v>1</v>
      </c>
      <c r="M353" s="134">
        <v>0.952380952380952</v>
      </c>
      <c r="N353" s="133">
        <v>0.964539007092199</v>
      </c>
      <c r="O353" s="135">
        <v>0.9</v>
      </c>
      <c r="P353" s="133">
        <v>0.986544342507645</v>
      </c>
      <c r="Q353" s="133">
        <v>0.970714900947459</v>
      </c>
      <c r="R353" s="133">
        <v>0.96837416481069</v>
      </c>
      <c r="S353" s="133">
        <v>0.961103769305115</v>
      </c>
      <c r="T353" s="135">
        <v>0.9</v>
      </c>
      <c r="U353" s="133">
        <v>0.877064220183486</v>
      </c>
      <c r="V353" s="133">
        <v>0.87510766580534</v>
      </c>
      <c r="W353" s="133">
        <v>0.712694877505568</v>
      </c>
      <c r="X353" s="133">
        <v>0.803092763170871</v>
      </c>
      <c r="Y353" s="135">
        <v>0.92</v>
      </c>
      <c r="Z353" s="135">
        <v>0.922264150943396</v>
      </c>
      <c r="AA353" s="135">
        <v>0.850498338870432</v>
      </c>
      <c r="AB353" s="135">
        <v>0.768233387358185</v>
      </c>
      <c r="AC353" s="135">
        <v>0.883689421573736</v>
      </c>
      <c r="AD353" s="135">
        <v>0.92</v>
      </c>
      <c r="AE353" s="133">
        <v>0.999610440202571</v>
      </c>
      <c r="AF353" s="133">
        <v>0.998669150918286</v>
      </c>
      <c r="AG353" s="133">
        <v>1</v>
      </c>
      <c r="AH353" s="133">
        <v>0.986847635726795</v>
      </c>
      <c r="AI353" s="135">
        <v>0.92</v>
      </c>
      <c r="AJ353" s="133">
        <v>0.94937563280459</v>
      </c>
      <c r="AK353" s="133">
        <v>0.934203062960862</v>
      </c>
      <c r="AL353" s="133">
        <v>0.919986023759609</v>
      </c>
      <c r="AM353" s="133">
        <v>0.953365948559494</v>
      </c>
      <c r="AN353" s="132">
        <v>0.99</v>
      </c>
      <c r="AO353" s="137">
        <v>1</v>
      </c>
      <c r="AP353" s="137">
        <v>1</v>
      </c>
      <c r="AQ353" s="137">
        <v>1</v>
      </c>
      <c r="AR353" s="137">
        <v>1</v>
      </c>
      <c r="AS353" s="158">
        <v>0.05</v>
      </c>
      <c r="AT353" s="141">
        <v>0</v>
      </c>
      <c r="AU353" s="141">
        <v>0</v>
      </c>
      <c r="AV353" s="141">
        <v>0.111111111111111</v>
      </c>
      <c r="AW353" s="141">
        <v>0.0484581497797357</v>
      </c>
      <c r="AX353" s="95"/>
      <c r="AY353" s="93"/>
    </row>
    <row r="354" ht="15" spans="1:51">
      <c r="A354" s="91"/>
      <c r="B354" s="95"/>
      <c r="C354" s="152" t="s">
        <v>375</v>
      </c>
      <c r="D354" s="153" t="s">
        <v>25</v>
      </c>
      <c r="E354" s="130" t="s">
        <v>376</v>
      </c>
      <c r="F354" s="154" t="s">
        <v>380</v>
      </c>
      <c r="G354" s="154" t="s">
        <v>380</v>
      </c>
      <c r="H354" s="154" t="s">
        <v>380</v>
      </c>
      <c r="I354" s="154" t="s">
        <v>380</v>
      </c>
      <c r="J354" s="132">
        <v>0.9</v>
      </c>
      <c r="K354" s="133">
        <v>0.944444444444444</v>
      </c>
      <c r="L354" s="133">
        <v>0.95</v>
      </c>
      <c r="M354" s="134">
        <v>0.934782608695652</v>
      </c>
      <c r="N354" s="133">
        <v>0.935312831389183</v>
      </c>
      <c r="O354" s="135">
        <v>0.9</v>
      </c>
      <c r="P354" s="133">
        <v>0.972792362768496</v>
      </c>
      <c r="Q354" s="133">
        <v>0.91700288184438</v>
      </c>
      <c r="R354" s="133">
        <v>0.932171156893819</v>
      </c>
      <c r="S354" s="133">
        <v>0.919682635718607</v>
      </c>
      <c r="T354" s="135">
        <v>0.9</v>
      </c>
      <c r="U354" s="133">
        <v>0.874463007159905</v>
      </c>
      <c r="V354" s="133">
        <v>0.784438040345821</v>
      </c>
      <c r="W354" s="133">
        <v>0.773692551505547</v>
      </c>
      <c r="X354" s="133">
        <v>0.709628183268247</v>
      </c>
      <c r="Y354" s="135">
        <v>0.92</v>
      </c>
      <c r="Z354" s="135">
        <v>0.909090909090909</v>
      </c>
      <c r="AA354" s="135">
        <v>0.870561282932417</v>
      </c>
      <c r="AB354" s="135">
        <v>0.804347826086957</v>
      </c>
      <c r="AC354" s="135">
        <v>0.844397337201086</v>
      </c>
      <c r="AD354" s="135">
        <v>0.92</v>
      </c>
      <c r="AE354" s="133">
        <v>0.921658986175115</v>
      </c>
      <c r="AF354" s="133">
        <v>0.977055449330784</v>
      </c>
      <c r="AG354" s="133">
        <v>0.900900900900901</v>
      </c>
      <c r="AH354" s="133">
        <v>0.975205153092738</v>
      </c>
      <c r="AI354" s="135">
        <v>0.92</v>
      </c>
      <c r="AJ354" s="133">
        <v>0.937616140164587</v>
      </c>
      <c r="AK354" s="133">
        <v>0.929064417177914</v>
      </c>
      <c r="AL354" s="133">
        <v>0.919583023082651</v>
      </c>
      <c r="AM354" s="133">
        <v>0.936907187521956</v>
      </c>
      <c r="AN354" s="132">
        <v>0.99</v>
      </c>
      <c r="AO354" s="137">
        <v>1</v>
      </c>
      <c r="AP354" s="137">
        <v>1</v>
      </c>
      <c r="AQ354" s="137">
        <v>1</v>
      </c>
      <c r="AR354" s="137">
        <v>1</v>
      </c>
      <c r="AS354" s="158">
        <v>0.05</v>
      </c>
      <c r="AT354" s="141">
        <v>0.133333333333333</v>
      </c>
      <c r="AU354" s="141">
        <v>0</v>
      </c>
      <c r="AV354" s="141">
        <v>0</v>
      </c>
      <c r="AW354" s="141">
        <v>0.097165991902834</v>
      </c>
      <c r="AX354" s="95"/>
      <c r="AY354" s="93"/>
    </row>
    <row r="355" ht="15" spans="1:51">
      <c r="A355" s="91"/>
      <c r="B355" s="95"/>
      <c r="C355" s="152" t="s">
        <v>375</v>
      </c>
      <c r="D355" s="153" t="s">
        <v>25</v>
      </c>
      <c r="E355" s="130" t="s">
        <v>376</v>
      </c>
      <c r="F355" s="154" t="s">
        <v>381</v>
      </c>
      <c r="G355" s="154" t="s">
        <v>381</v>
      </c>
      <c r="H355" s="154" t="s">
        <v>381</v>
      </c>
      <c r="I355" s="154" t="s">
        <v>381</v>
      </c>
      <c r="J355" s="132">
        <v>0.9</v>
      </c>
      <c r="K355" s="133">
        <v>1</v>
      </c>
      <c r="L355" s="133">
        <v>1</v>
      </c>
      <c r="M355" s="134">
        <v>0.967741935483871</v>
      </c>
      <c r="N355" s="133">
        <v>0.975395430579965</v>
      </c>
      <c r="O355" s="135">
        <v>0.9</v>
      </c>
      <c r="P355" s="133">
        <v>0.989524576954069</v>
      </c>
      <c r="Q355" s="133">
        <v>0.981167608286252</v>
      </c>
      <c r="R355" s="133">
        <v>0.992134242265338</v>
      </c>
      <c r="S355" s="133">
        <v>0.987426399868634</v>
      </c>
      <c r="T355" s="135">
        <v>0.9</v>
      </c>
      <c r="U355" s="133">
        <v>0.906526994359388</v>
      </c>
      <c r="V355" s="133">
        <v>0.907721280602637</v>
      </c>
      <c r="W355" s="133">
        <v>0.884111169375983</v>
      </c>
      <c r="X355" s="133">
        <v>0.862065729902179</v>
      </c>
      <c r="Y355" s="135">
        <v>0.92</v>
      </c>
      <c r="Z355" s="135">
        <v>0.908424908424908</v>
      </c>
      <c r="AA355" s="135">
        <v>0.825641025641026</v>
      </c>
      <c r="AB355" s="135">
        <v>0.673949579831933</v>
      </c>
      <c r="AC355" s="135">
        <v>0.880400854279612</v>
      </c>
      <c r="AD355" s="135">
        <v>0.92</v>
      </c>
      <c r="AE355" s="133">
        <v>0.999260355029586</v>
      </c>
      <c r="AF355" s="133">
        <v>1</v>
      </c>
      <c r="AG355" s="133">
        <v>0.924418604651163</v>
      </c>
      <c r="AH355" s="133">
        <v>0.997560658297014</v>
      </c>
      <c r="AI355" s="135">
        <v>0.92</v>
      </c>
      <c r="AJ355" s="133">
        <v>0.942991855979426</v>
      </c>
      <c r="AK355" s="133">
        <v>0.922890103217972</v>
      </c>
      <c r="AL355" s="133">
        <v>0.90291650019976</v>
      </c>
      <c r="AM355" s="133">
        <v>0.952838399264332</v>
      </c>
      <c r="AN355" s="132">
        <v>0.99</v>
      </c>
      <c r="AO355" s="137">
        <v>1</v>
      </c>
      <c r="AP355" s="137">
        <v>1</v>
      </c>
      <c r="AQ355" s="137">
        <v>1</v>
      </c>
      <c r="AR355" s="137">
        <v>1</v>
      </c>
      <c r="AS355" s="158">
        <v>0.05</v>
      </c>
      <c r="AT355" s="141">
        <v>0.111111111111111</v>
      </c>
      <c r="AU355" s="141">
        <v>0</v>
      </c>
      <c r="AV355" s="141">
        <v>0.125</v>
      </c>
      <c r="AW355" s="141">
        <v>0.0569620253164557</v>
      </c>
      <c r="AX355" s="95"/>
      <c r="AY355" s="93"/>
    </row>
    <row r="356" ht="15" spans="1:51">
      <c r="A356" s="91"/>
      <c r="B356" s="95"/>
      <c r="C356" s="152" t="s">
        <v>375</v>
      </c>
      <c r="D356" s="153" t="s">
        <v>25</v>
      </c>
      <c r="E356" s="130" t="s">
        <v>376</v>
      </c>
      <c r="F356" s="154" t="s">
        <v>382</v>
      </c>
      <c r="G356" s="154" t="s">
        <v>382</v>
      </c>
      <c r="H356" s="154" t="s">
        <v>382</v>
      </c>
      <c r="I356" s="154" t="s">
        <v>382</v>
      </c>
      <c r="J356" s="132">
        <v>0.9</v>
      </c>
      <c r="K356" s="133">
        <v>0.943396226415094</v>
      </c>
      <c r="L356" s="133">
        <v>0.911111111111111</v>
      </c>
      <c r="M356" s="134">
        <v>0.916666666666667</v>
      </c>
      <c r="N356" s="133">
        <v>0.93427704752275</v>
      </c>
      <c r="O356" s="135">
        <v>0.9</v>
      </c>
      <c r="P356" s="133">
        <v>0.99616368286445</v>
      </c>
      <c r="Q356" s="133">
        <v>0.987713310580205</v>
      </c>
      <c r="R356" s="133">
        <v>0.969417679095098</v>
      </c>
      <c r="S356" s="133">
        <v>0.98075912299144</v>
      </c>
      <c r="T356" s="135">
        <v>0.9</v>
      </c>
      <c r="U356" s="133">
        <v>0.934782608695652</v>
      </c>
      <c r="V356" s="133">
        <v>0.853242320819113</v>
      </c>
      <c r="W356" s="133">
        <v>0.830330959363217</v>
      </c>
      <c r="X356" s="133">
        <v>0.915809430845472</v>
      </c>
      <c r="Y356" s="135">
        <v>0.92</v>
      </c>
      <c r="Z356" s="135">
        <v>0.898960739030023</v>
      </c>
      <c r="AA356" s="135">
        <v>0.856560717196414</v>
      </c>
      <c r="AB356" s="135">
        <v>0.726513569937369</v>
      </c>
      <c r="AC356" s="135">
        <v>0.87883595975623</v>
      </c>
      <c r="AD356" s="135">
        <v>0.92</v>
      </c>
      <c r="AE356" s="133">
        <v>0.994117647058824</v>
      </c>
      <c r="AF356" s="133">
        <v>0.990147783251232</v>
      </c>
      <c r="AG356" s="133">
        <v>0.97864768683274</v>
      </c>
      <c r="AH356" s="133">
        <v>0.988796414852753</v>
      </c>
      <c r="AI356" s="135">
        <v>0.92</v>
      </c>
      <c r="AJ356" s="133">
        <v>0.937822262663027</v>
      </c>
      <c r="AK356" s="133">
        <v>0.917533432392273</v>
      </c>
      <c r="AL356" s="133">
        <v>0.884638374178123</v>
      </c>
      <c r="AM356" s="133">
        <v>0.946110740823027</v>
      </c>
      <c r="AN356" s="132">
        <v>0.99</v>
      </c>
      <c r="AO356" s="137">
        <v>1</v>
      </c>
      <c r="AP356" s="137">
        <v>1</v>
      </c>
      <c r="AQ356" s="137">
        <v>1</v>
      </c>
      <c r="AR356" s="137">
        <v>1</v>
      </c>
      <c r="AS356" s="158">
        <v>0.05</v>
      </c>
      <c r="AT356" s="141">
        <v>0</v>
      </c>
      <c r="AU356" s="141">
        <v>0.333333333333333</v>
      </c>
      <c r="AV356" s="141">
        <v>0</v>
      </c>
      <c r="AW356" s="141">
        <v>0.0738636363636364</v>
      </c>
      <c r="AX356" s="95"/>
      <c r="AY356" s="93"/>
    </row>
    <row r="357" ht="15" spans="1:51">
      <c r="A357" s="91"/>
      <c r="B357" s="95"/>
      <c r="C357" s="152" t="s">
        <v>375</v>
      </c>
      <c r="D357" s="153" t="s">
        <v>25</v>
      </c>
      <c r="E357" s="130" t="s">
        <v>376</v>
      </c>
      <c r="F357" s="154" t="s">
        <v>383</v>
      </c>
      <c r="G357" s="154" t="s">
        <v>383</v>
      </c>
      <c r="H357" s="154" t="s">
        <v>383</v>
      </c>
      <c r="I357" s="154" t="s">
        <v>383</v>
      </c>
      <c r="J357" s="132">
        <v>0.9</v>
      </c>
      <c r="K357" s="133">
        <v>1</v>
      </c>
      <c r="L357" s="133">
        <v>0.96</v>
      </c>
      <c r="M357" s="134">
        <v>1</v>
      </c>
      <c r="N357" s="133">
        <v>0.977928692699491</v>
      </c>
      <c r="O357" s="135">
        <v>0.9</v>
      </c>
      <c r="P357" s="133">
        <v>0.981994459833795</v>
      </c>
      <c r="Q357" s="133">
        <v>0.986187845303867</v>
      </c>
      <c r="R357" s="133">
        <v>0.982292179045745</v>
      </c>
      <c r="S357" s="133">
        <v>0.9781100425943</v>
      </c>
      <c r="T357" s="135">
        <v>0.9</v>
      </c>
      <c r="U357" s="133">
        <v>0.935595567867036</v>
      </c>
      <c r="V357" s="133">
        <v>0.932780847145488</v>
      </c>
      <c r="W357" s="133">
        <v>0.939990162321692</v>
      </c>
      <c r="X357" s="133">
        <v>0.934615553506345</v>
      </c>
      <c r="Y357" s="135">
        <v>0.92</v>
      </c>
      <c r="Z357" s="135">
        <v>0.942238267148014</v>
      </c>
      <c r="AA357" s="135">
        <v>0.935540069686411</v>
      </c>
      <c r="AB357" s="135">
        <v>0.887037037037037</v>
      </c>
      <c r="AC357" s="135">
        <v>0.923411023429375</v>
      </c>
      <c r="AD357" s="135">
        <v>0.92</v>
      </c>
      <c r="AE357" s="133">
        <v>1</v>
      </c>
      <c r="AF357" s="133">
        <v>1</v>
      </c>
      <c r="AG357" s="133">
        <v>1</v>
      </c>
      <c r="AH357" s="133">
        <v>0.995866548568054</v>
      </c>
      <c r="AI357" s="135">
        <v>0.92</v>
      </c>
      <c r="AJ357" s="133">
        <v>0.956112852664577</v>
      </c>
      <c r="AK357" s="133">
        <v>0.953012048192771</v>
      </c>
      <c r="AL357" s="133">
        <v>0.948309366498251</v>
      </c>
      <c r="AM357" s="133">
        <v>0.961554615061545</v>
      </c>
      <c r="AN357" s="132">
        <v>0.99</v>
      </c>
      <c r="AO357" s="137">
        <v>1</v>
      </c>
      <c r="AP357" s="137">
        <v>1</v>
      </c>
      <c r="AQ357" s="137">
        <v>1</v>
      </c>
      <c r="AR357" s="137">
        <v>1</v>
      </c>
      <c r="AS357" s="158">
        <v>0.05</v>
      </c>
      <c r="AT357" s="141">
        <v>0</v>
      </c>
      <c r="AU357" s="141">
        <v>0.142857142857143</v>
      </c>
      <c r="AV357" s="141">
        <v>0</v>
      </c>
      <c r="AW357" s="141">
        <v>0.0463576158940397</v>
      </c>
      <c r="AX357" s="95"/>
      <c r="AY357" s="93"/>
    </row>
    <row r="358" ht="15" spans="1:51">
      <c r="A358" s="91"/>
      <c r="B358" s="95"/>
      <c r="C358" s="152" t="s">
        <v>375</v>
      </c>
      <c r="D358" s="153" t="s">
        <v>25</v>
      </c>
      <c r="E358" s="130" t="s">
        <v>376</v>
      </c>
      <c r="F358" s="172" t="s">
        <v>384</v>
      </c>
      <c r="G358" s="172" t="s">
        <v>384</v>
      </c>
      <c r="H358" s="172" t="s">
        <v>384</v>
      </c>
      <c r="I358" s="172" t="s">
        <v>384</v>
      </c>
      <c r="J358" s="132">
        <v>0.9</v>
      </c>
      <c r="K358" s="133">
        <v>0.909090909090909</v>
      </c>
      <c r="L358" s="133">
        <v>0.823529411764706</v>
      </c>
      <c r="M358" s="134">
        <v>0.761904761904762</v>
      </c>
      <c r="N358" s="133">
        <v>0.896739130434783</v>
      </c>
      <c r="O358" s="135">
        <v>0.9</v>
      </c>
      <c r="P358" s="133">
        <v>0.991</v>
      </c>
      <c r="Q358" s="133">
        <v>0.96875</v>
      </c>
      <c r="R358" s="133">
        <v>0.975071225071225</v>
      </c>
      <c r="S358" s="133">
        <v>0.958904539323023</v>
      </c>
      <c r="T358" s="135">
        <v>0.9</v>
      </c>
      <c r="U358" s="133">
        <v>0.925</v>
      </c>
      <c r="V358" s="133">
        <v>0.882102272727273</v>
      </c>
      <c r="W358" s="133">
        <v>0.854700854700855</v>
      </c>
      <c r="X358" s="133">
        <v>0.812215704112683</v>
      </c>
      <c r="Y358" s="135">
        <v>0.92</v>
      </c>
      <c r="Z358" s="135">
        <v>0.933143669985775</v>
      </c>
      <c r="AA358" s="135">
        <v>0.852417302798982</v>
      </c>
      <c r="AB358" s="135">
        <v>0.873278236914601</v>
      </c>
      <c r="AC358" s="135">
        <v>0.839559646273236</v>
      </c>
      <c r="AD358" s="135">
        <v>0.92</v>
      </c>
      <c r="AE358" s="133">
        <v>1</v>
      </c>
      <c r="AF358" s="133">
        <v>0.985294117647059</v>
      </c>
      <c r="AG358" s="133">
        <v>0.896551724137931</v>
      </c>
      <c r="AH358" s="133">
        <v>0.96875</v>
      </c>
      <c r="AI358" s="135">
        <v>0.92</v>
      </c>
      <c r="AJ358" s="133">
        <v>0.95481220657277</v>
      </c>
      <c r="AK358" s="133">
        <v>0.922515952597995</v>
      </c>
      <c r="AL358" s="133">
        <v>0.950226244343891</v>
      </c>
      <c r="AM358" s="133">
        <v>0.932391547197915</v>
      </c>
      <c r="AN358" s="132">
        <v>0.99</v>
      </c>
      <c r="AO358" s="137">
        <v>1</v>
      </c>
      <c r="AP358" s="137">
        <v>1</v>
      </c>
      <c r="AQ358" s="137">
        <v>1</v>
      </c>
      <c r="AR358" s="137">
        <v>1</v>
      </c>
      <c r="AS358" s="158">
        <v>0.05</v>
      </c>
      <c r="AT358" s="141">
        <v>0.25</v>
      </c>
      <c r="AU358" s="141">
        <v>0</v>
      </c>
      <c r="AV358" s="141">
        <v>0</v>
      </c>
      <c r="AW358" s="141">
        <v>0.0887096774193548</v>
      </c>
      <c r="AX358" s="95"/>
      <c r="AY358" s="93"/>
    </row>
    <row r="359" ht="15" spans="1:51">
      <c r="A359" s="91"/>
      <c r="B359" s="95"/>
      <c r="C359" s="152" t="s">
        <v>375</v>
      </c>
      <c r="D359" s="153" t="s">
        <v>25</v>
      </c>
      <c r="E359" s="130" t="s">
        <v>376</v>
      </c>
      <c r="F359" s="154" t="s">
        <v>385</v>
      </c>
      <c r="G359" s="154" t="s">
        <v>385</v>
      </c>
      <c r="H359" s="154" t="s">
        <v>385</v>
      </c>
      <c r="I359" s="154" t="s">
        <v>385</v>
      </c>
      <c r="J359" s="132">
        <v>0.9</v>
      </c>
      <c r="K359" s="133">
        <v>0.96551724137931</v>
      </c>
      <c r="L359" s="133">
        <v>0.96</v>
      </c>
      <c r="M359" s="134">
        <v>0.958333333333333</v>
      </c>
      <c r="N359" s="133">
        <v>0.958498023715415</v>
      </c>
      <c r="O359" s="135">
        <v>0.9</v>
      </c>
      <c r="P359" s="133">
        <v>0</v>
      </c>
      <c r="Q359" s="133" t="s">
        <v>35</v>
      </c>
      <c r="R359" s="133" t="s">
        <v>35</v>
      </c>
      <c r="S359" s="133">
        <v>0.222222222222222</v>
      </c>
      <c r="T359" s="135">
        <v>0.9</v>
      </c>
      <c r="U359" s="133">
        <v>0</v>
      </c>
      <c r="V359" s="133" t="s">
        <v>35</v>
      </c>
      <c r="W359" s="133" t="s">
        <v>35</v>
      </c>
      <c r="X359" s="133">
        <v>0.222222222222222</v>
      </c>
      <c r="Y359" s="135">
        <v>0.92</v>
      </c>
      <c r="Z359" s="135">
        <v>0</v>
      </c>
      <c r="AA359" s="135">
        <v>0.5</v>
      </c>
      <c r="AB359" s="135">
        <v>1</v>
      </c>
      <c r="AC359" s="135">
        <v>0.705882352941177</v>
      </c>
      <c r="AD359" s="135">
        <v>0.92</v>
      </c>
      <c r="AE359" s="133">
        <v>0.997041420118343</v>
      </c>
      <c r="AF359" s="133">
        <v>0.994397759103641</v>
      </c>
      <c r="AG359" s="133">
        <v>0.993589743589744</v>
      </c>
      <c r="AH359" s="133">
        <v>0.994628839002892</v>
      </c>
      <c r="AI359" s="135">
        <v>0.92</v>
      </c>
      <c r="AJ359" s="133">
        <v>0.979306487695749</v>
      </c>
      <c r="AK359" s="133">
        <v>0.966089466089466</v>
      </c>
      <c r="AL359" s="133">
        <v>0.978931527464259</v>
      </c>
      <c r="AM359" s="133">
        <v>0.986811495651551</v>
      </c>
      <c r="AN359" s="132">
        <v>0.99</v>
      </c>
      <c r="AO359" s="137">
        <v>1</v>
      </c>
      <c r="AP359" s="137">
        <v>1</v>
      </c>
      <c r="AQ359" s="137">
        <v>1</v>
      </c>
      <c r="AR359" s="137">
        <v>1</v>
      </c>
      <c r="AS359" s="158">
        <v>0.05</v>
      </c>
      <c r="AT359" s="141">
        <v>0</v>
      </c>
      <c r="AU359" s="141">
        <v>0.142857142857143</v>
      </c>
      <c r="AV359" s="141">
        <v>0</v>
      </c>
      <c r="AW359" s="141">
        <v>0.0784313725490196</v>
      </c>
      <c r="AX359" s="95"/>
      <c r="AY359" s="93"/>
    </row>
    <row r="360" ht="15" spans="1:51">
      <c r="A360" s="91"/>
      <c r="B360" s="95"/>
      <c r="C360" s="152" t="s">
        <v>375</v>
      </c>
      <c r="D360" s="153" t="s">
        <v>25</v>
      </c>
      <c r="E360" s="130" t="s">
        <v>376</v>
      </c>
      <c r="F360" s="154" t="s">
        <v>386</v>
      </c>
      <c r="G360" s="154" t="s">
        <v>386</v>
      </c>
      <c r="H360" s="154" t="s">
        <v>386</v>
      </c>
      <c r="I360" s="154" t="s">
        <v>386</v>
      </c>
      <c r="J360" s="132">
        <v>0.9</v>
      </c>
      <c r="K360" s="133">
        <v>1</v>
      </c>
      <c r="L360" s="133">
        <v>1</v>
      </c>
      <c r="M360" s="134">
        <v>1</v>
      </c>
      <c r="N360" s="133">
        <v>0.984486873508353</v>
      </c>
      <c r="O360" s="135">
        <v>0.9</v>
      </c>
      <c r="P360" s="133">
        <v>0.981114693689544</v>
      </c>
      <c r="Q360" s="133">
        <v>0.984567901234568</v>
      </c>
      <c r="R360" s="133">
        <v>0.975850015888147</v>
      </c>
      <c r="S360" s="133">
        <v>0.970569206000512</v>
      </c>
      <c r="T360" s="135">
        <v>0.9</v>
      </c>
      <c r="U360" s="133">
        <v>0.885306310456011</v>
      </c>
      <c r="V360" s="133">
        <v>0.905555555555556</v>
      </c>
      <c r="W360" s="133">
        <v>0.855417858277725</v>
      </c>
      <c r="X360" s="133">
        <v>0.846270745249093</v>
      </c>
      <c r="Y360" s="135">
        <v>0.92</v>
      </c>
      <c r="Z360" s="135">
        <v>0.914906457453229</v>
      </c>
      <c r="AA360" s="135">
        <v>0.9192037470726</v>
      </c>
      <c r="AB360" s="135">
        <v>0.851351351351351</v>
      </c>
      <c r="AC360" s="135">
        <v>0.879165862135547</v>
      </c>
      <c r="AD360" s="135">
        <v>0.92</v>
      </c>
      <c r="AE360" s="133">
        <v>0.998458640178113</v>
      </c>
      <c r="AF360" s="133">
        <v>0.988805970149254</v>
      </c>
      <c r="AG360" s="133">
        <v>0.992890152861713</v>
      </c>
      <c r="AH360" s="133">
        <v>0.997165620522969</v>
      </c>
      <c r="AI360" s="135">
        <v>0.92</v>
      </c>
      <c r="AJ360" s="133">
        <v>0.94598121085595</v>
      </c>
      <c r="AK360" s="133">
        <v>0.960388035569927</v>
      </c>
      <c r="AL360" s="133">
        <v>0.928412187267773</v>
      </c>
      <c r="AM360" s="133">
        <v>0.944822062516235</v>
      </c>
      <c r="AN360" s="132">
        <v>0.99</v>
      </c>
      <c r="AO360" s="137">
        <v>1</v>
      </c>
      <c r="AP360" s="137">
        <v>1</v>
      </c>
      <c r="AQ360" s="137">
        <v>1</v>
      </c>
      <c r="AR360" s="137">
        <v>1</v>
      </c>
      <c r="AS360" s="158">
        <v>0.05</v>
      </c>
      <c r="AT360" s="141">
        <v>0</v>
      </c>
      <c r="AU360" s="141">
        <v>0.0133333333333333</v>
      </c>
      <c r="AV360" s="141">
        <v>0.0135135135135135</v>
      </c>
      <c r="AW360" s="141">
        <v>0.0178055822906641</v>
      </c>
      <c r="AX360" s="95"/>
      <c r="AY360" s="93"/>
    </row>
    <row r="361" ht="15" spans="1:51">
      <c r="A361" s="91"/>
      <c r="B361" s="95"/>
      <c r="C361" s="152" t="s">
        <v>375</v>
      </c>
      <c r="D361" s="153" t="s">
        <v>25</v>
      </c>
      <c r="E361" s="130" t="s">
        <v>376</v>
      </c>
      <c r="F361" s="154" t="s">
        <v>387</v>
      </c>
      <c r="G361" s="154" t="s">
        <v>387</v>
      </c>
      <c r="H361" s="154" t="s">
        <v>387</v>
      </c>
      <c r="I361" s="154" t="s">
        <v>387</v>
      </c>
      <c r="J361" s="132">
        <v>0.9</v>
      </c>
      <c r="K361" s="133">
        <v>1</v>
      </c>
      <c r="L361" s="133">
        <v>0.863636363636364</v>
      </c>
      <c r="M361" s="134">
        <v>0.934782608695652</v>
      </c>
      <c r="N361" s="133">
        <v>0.892744479495268</v>
      </c>
      <c r="O361" s="135">
        <v>0.9</v>
      </c>
      <c r="P361" s="133">
        <v>0.98140589569161</v>
      </c>
      <c r="Q361" s="133">
        <v>0.974074074074074</v>
      </c>
      <c r="R361" s="133">
        <v>0.906717605858007</v>
      </c>
      <c r="S361" s="133">
        <v>0.909955801932729</v>
      </c>
      <c r="T361" s="135">
        <v>0.9</v>
      </c>
      <c r="U361" s="133">
        <v>0.875736961451247</v>
      </c>
      <c r="V361" s="133">
        <v>0.890123456790124</v>
      </c>
      <c r="W361" s="133">
        <v>0.782871696911812</v>
      </c>
      <c r="X361" s="133">
        <v>0.743776063125827</v>
      </c>
      <c r="Y361" s="135">
        <v>0.92</v>
      </c>
      <c r="Z361" s="135">
        <v>0.890467732386027</v>
      </c>
      <c r="AA361" s="135">
        <v>0.857315598548972</v>
      </c>
      <c r="AB361" s="135">
        <v>0.852838933951333</v>
      </c>
      <c r="AC361" s="135">
        <v>0.872022104660174</v>
      </c>
      <c r="AD361" s="135">
        <v>0.92</v>
      </c>
      <c r="AE361" s="133">
        <v>0.997946611909651</v>
      </c>
      <c r="AF361" s="133">
        <v>0.998470948012232</v>
      </c>
      <c r="AG361" s="133">
        <v>0.929824561403509</v>
      </c>
      <c r="AH361" s="133">
        <v>0.983832259694329</v>
      </c>
      <c r="AI361" s="135">
        <v>0.92</v>
      </c>
      <c r="AJ361" s="133">
        <v>0.92785622593068</v>
      </c>
      <c r="AK361" s="133">
        <v>0.933823529411765</v>
      </c>
      <c r="AL361" s="133">
        <v>0.932351472790814</v>
      </c>
      <c r="AM361" s="133">
        <v>0.946615294932051</v>
      </c>
      <c r="AN361" s="132">
        <v>0.99</v>
      </c>
      <c r="AO361" s="137">
        <v>1</v>
      </c>
      <c r="AP361" s="137">
        <v>1</v>
      </c>
      <c r="AQ361" s="137">
        <v>1</v>
      </c>
      <c r="AR361" s="137">
        <v>1</v>
      </c>
      <c r="AS361" s="158">
        <v>0.05</v>
      </c>
      <c r="AT361" s="141">
        <v>0.0909090909090909</v>
      </c>
      <c r="AU361" s="141">
        <v>0.2</v>
      </c>
      <c r="AV361" s="141">
        <v>0</v>
      </c>
      <c r="AW361" s="141">
        <v>0.0688259109311741</v>
      </c>
      <c r="AX361" s="95"/>
      <c r="AY361" s="93"/>
    </row>
    <row r="362" ht="15" spans="1:51">
      <c r="A362" s="91"/>
      <c r="B362" s="95"/>
      <c r="C362" s="152" t="s">
        <v>375</v>
      </c>
      <c r="D362" s="153" t="s">
        <v>25</v>
      </c>
      <c r="E362" s="130" t="s">
        <v>376</v>
      </c>
      <c r="F362" s="154" t="s">
        <v>388</v>
      </c>
      <c r="G362" s="154" t="s">
        <v>388</v>
      </c>
      <c r="H362" s="154" t="s">
        <v>388</v>
      </c>
      <c r="I362" s="154" t="s">
        <v>388</v>
      </c>
      <c r="J362" s="132">
        <v>0.9</v>
      </c>
      <c r="K362" s="133">
        <v>0.979591836734694</v>
      </c>
      <c r="L362" s="133">
        <v>1</v>
      </c>
      <c r="M362" s="134">
        <v>1</v>
      </c>
      <c r="N362" s="133">
        <v>0.98576512455516</v>
      </c>
      <c r="O362" s="135">
        <v>0.9</v>
      </c>
      <c r="P362" s="133">
        <v>0</v>
      </c>
      <c r="Q362" s="133" t="s">
        <v>35</v>
      </c>
      <c r="R362" s="133">
        <v>0</v>
      </c>
      <c r="S362" s="133">
        <v>0.25</v>
      </c>
      <c r="T362" s="135">
        <v>0.9</v>
      </c>
      <c r="U362" s="133">
        <v>0</v>
      </c>
      <c r="V362" s="133" t="s">
        <v>35</v>
      </c>
      <c r="W362" s="133">
        <v>0</v>
      </c>
      <c r="X362" s="133">
        <v>0.25</v>
      </c>
      <c r="Y362" s="135">
        <v>0.92</v>
      </c>
      <c r="Z362" s="135">
        <v>0.25</v>
      </c>
      <c r="AA362" s="135">
        <v>1</v>
      </c>
      <c r="AB362" s="135" t="s">
        <v>35</v>
      </c>
      <c r="AC362" s="135">
        <v>0.833333333333333</v>
      </c>
      <c r="AD362" s="135">
        <v>0.92</v>
      </c>
      <c r="AE362" s="133">
        <v>0.996204933586338</v>
      </c>
      <c r="AF362" s="133">
        <v>0.984848484848485</v>
      </c>
      <c r="AG362" s="133">
        <v>0.958579881656805</v>
      </c>
      <c r="AH362" s="133">
        <v>0.983729338842975</v>
      </c>
      <c r="AI362" s="135">
        <v>0.92</v>
      </c>
      <c r="AJ362" s="133">
        <v>0.982148353339489</v>
      </c>
      <c r="AK362" s="133">
        <v>0.981266391907081</v>
      </c>
      <c r="AL362" s="133">
        <v>0.979820627802691</v>
      </c>
      <c r="AM362" s="133">
        <v>0.981368157018905</v>
      </c>
      <c r="AN362" s="132">
        <v>0.99</v>
      </c>
      <c r="AO362" s="137">
        <v>1</v>
      </c>
      <c r="AP362" s="137">
        <v>1</v>
      </c>
      <c r="AQ362" s="137">
        <v>1</v>
      </c>
      <c r="AR362" s="137">
        <v>1</v>
      </c>
      <c r="AS362" s="158">
        <v>0.05</v>
      </c>
      <c r="AT362" s="141">
        <v>0.111111111111111</v>
      </c>
      <c r="AU362" s="141">
        <v>0.125</v>
      </c>
      <c r="AV362" s="141">
        <v>0</v>
      </c>
      <c r="AW362" s="141">
        <v>0.0756972111553785</v>
      </c>
      <c r="AX362" s="95"/>
      <c r="AY362" s="93"/>
    </row>
    <row r="363" ht="15" spans="1:51">
      <c r="A363" s="91"/>
      <c r="B363" s="95"/>
      <c r="C363" s="152" t="s">
        <v>375</v>
      </c>
      <c r="D363" s="153" t="s">
        <v>25</v>
      </c>
      <c r="E363" s="130" t="s">
        <v>376</v>
      </c>
      <c r="F363" s="154" t="s">
        <v>389</v>
      </c>
      <c r="G363" s="154" t="s">
        <v>389</v>
      </c>
      <c r="H363" s="154" t="s">
        <v>389</v>
      </c>
      <c r="I363" s="154" t="s">
        <v>389</v>
      </c>
      <c r="J363" s="132">
        <v>0.9</v>
      </c>
      <c r="K363" s="133">
        <v>1</v>
      </c>
      <c r="L363" s="133">
        <v>0.979166666666667</v>
      </c>
      <c r="M363" s="134">
        <v>0.980392156862745</v>
      </c>
      <c r="N363" s="133">
        <v>0.94384236453202</v>
      </c>
      <c r="O363" s="135">
        <v>0.9</v>
      </c>
      <c r="P363" s="133">
        <v>0.996471774193548</v>
      </c>
      <c r="Q363" s="133">
        <v>0.987757731958763</v>
      </c>
      <c r="R363" s="133">
        <v>0.990147783251232</v>
      </c>
      <c r="S363" s="133">
        <v>0.988619649675378</v>
      </c>
      <c r="T363" s="135">
        <v>0.9</v>
      </c>
      <c r="U363" s="133">
        <v>0.912802419354839</v>
      </c>
      <c r="V363" s="133">
        <v>0.869201030927835</v>
      </c>
      <c r="W363" s="133">
        <v>0.813136288998358</v>
      </c>
      <c r="X363" s="133">
        <v>0.826947362165535</v>
      </c>
      <c r="Y363" s="135">
        <v>0.92</v>
      </c>
      <c r="Z363" s="135">
        <v>0.949152542372881</v>
      </c>
      <c r="AA363" s="135">
        <v>0.889165628891656</v>
      </c>
      <c r="AB363" s="135">
        <v>0.79625</v>
      </c>
      <c r="AC363" s="135">
        <v>0.885253123998718</v>
      </c>
      <c r="AD363" s="135">
        <v>0.92</v>
      </c>
      <c r="AE363" s="133">
        <v>1</v>
      </c>
      <c r="AF363" s="133">
        <v>1</v>
      </c>
      <c r="AG363" s="133">
        <v>0.995192307692308</v>
      </c>
      <c r="AH363" s="133">
        <v>0.997625532509253</v>
      </c>
      <c r="AI363" s="135">
        <v>0.92</v>
      </c>
      <c r="AJ363" s="133">
        <v>0.966742467310972</v>
      </c>
      <c r="AK363" s="133">
        <v>0.941825902335456</v>
      </c>
      <c r="AL363" s="133">
        <v>0.930299089726918</v>
      </c>
      <c r="AM363" s="133">
        <v>0.950696212818985</v>
      </c>
      <c r="AN363" s="132">
        <v>0.99</v>
      </c>
      <c r="AO363" s="137">
        <v>1</v>
      </c>
      <c r="AP363" s="137">
        <v>1</v>
      </c>
      <c r="AQ363" s="137">
        <v>1</v>
      </c>
      <c r="AR363" s="137">
        <v>1</v>
      </c>
      <c r="AS363" s="158">
        <v>0.05</v>
      </c>
      <c r="AT363" s="141">
        <v>0</v>
      </c>
      <c r="AU363" s="141">
        <v>0.0909090909090909</v>
      </c>
      <c r="AV363" s="141">
        <v>0</v>
      </c>
      <c r="AW363" s="141">
        <v>0.0567375886524823</v>
      </c>
      <c r="AX363" s="95"/>
      <c r="AY363" s="93"/>
    </row>
    <row r="364" ht="15" spans="1:51">
      <c r="A364" s="91"/>
      <c r="B364" s="95"/>
      <c r="C364" s="152" t="s">
        <v>375</v>
      </c>
      <c r="D364" s="153" t="s">
        <v>25</v>
      </c>
      <c r="E364" s="130" t="s">
        <v>376</v>
      </c>
      <c r="F364" s="154" t="s">
        <v>390</v>
      </c>
      <c r="G364" s="154" t="s">
        <v>390</v>
      </c>
      <c r="H364" s="154" t="s">
        <v>390</v>
      </c>
      <c r="I364" s="154" t="s">
        <v>390</v>
      </c>
      <c r="J364" s="132">
        <v>0.9</v>
      </c>
      <c r="K364" s="133">
        <v>0.90625</v>
      </c>
      <c r="L364" s="133">
        <v>0.859649122807018</v>
      </c>
      <c r="M364" s="134">
        <v>0.82</v>
      </c>
      <c r="N364" s="133">
        <v>0.820234869015357</v>
      </c>
      <c r="O364" s="135">
        <v>0.9</v>
      </c>
      <c r="P364" s="133">
        <v>0.492586490939044</v>
      </c>
      <c r="Q364" s="133">
        <v>0.864388681260011</v>
      </c>
      <c r="R364" s="133">
        <v>0.982566585956416</v>
      </c>
      <c r="S364" s="133">
        <v>0.867440499414748</v>
      </c>
      <c r="T364" s="135">
        <v>0.9</v>
      </c>
      <c r="U364" s="133">
        <v>0.817792421746293</v>
      </c>
      <c r="V364" s="133">
        <v>0.850507207688201</v>
      </c>
      <c r="W364" s="133">
        <v>0.749636803874092</v>
      </c>
      <c r="X364" s="133">
        <v>0.727874235921446</v>
      </c>
      <c r="Y364" s="135">
        <v>0.92</v>
      </c>
      <c r="Z364" s="135">
        <v>0.901529636711281</v>
      </c>
      <c r="AA364" s="135">
        <v>0.902738960313024</v>
      </c>
      <c r="AB364" s="135">
        <v>0.812585499316005</v>
      </c>
      <c r="AC364" s="135">
        <v>0.877014730485168</v>
      </c>
      <c r="AD364" s="135">
        <v>0.92</v>
      </c>
      <c r="AE364" s="133">
        <v>0.909224874742116</v>
      </c>
      <c r="AF364" s="133">
        <v>0.96512021672875</v>
      </c>
      <c r="AG364" s="133">
        <v>0.986378822924698</v>
      </c>
      <c r="AH364" s="133">
        <v>0.955716794050816</v>
      </c>
      <c r="AI364" s="135">
        <v>0.92</v>
      </c>
      <c r="AJ364" s="133">
        <v>0.923318819545235</v>
      </c>
      <c r="AK364" s="133">
        <v>0.919213973799127</v>
      </c>
      <c r="AL364" s="133">
        <v>0.864305949008499</v>
      </c>
      <c r="AM364" s="133">
        <v>0.909535506592285</v>
      </c>
      <c r="AN364" s="132">
        <v>0.99</v>
      </c>
      <c r="AO364" s="137">
        <v>1</v>
      </c>
      <c r="AP364" s="137">
        <v>1</v>
      </c>
      <c r="AQ364" s="137">
        <v>1</v>
      </c>
      <c r="AR364" s="137">
        <v>1</v>
      </c>
      <c r="AS364" s="158">
        <v>0.05</v>
      </c>
      <c r="AT364" s="141">
        <v>0.0588235294117647</v>
      </c>
      <c r="AU364" s="141">
        <v>0.024390243902439</v>
      </c>
      <c r="AV364" s="141">
        <v>0.025</v>
      </c>
      <c r="AW364" s="141">
        <v>0.0447343895619758</v>
      </c>
      <c r="AX364" s="95"/>
      <c r="AY364" s="93"/>
    </row>
    <row r="365" ht="15" spans="1:51">
      <c r="A365" s="91"/>
      <c r="B365" s="95"/>
      <c r="C365" s="152" t="s">
        <v>375</v>
      </c>
      <c r="D365" s="153" t="s">
        <v>25</v>
      </c>
      <c r="E365" s="130" t="s">
        <v>376</v>
      </c>
      <c r="F365" s="154" t="s">
        <v>391</v>
      </c>
      <c r="G365" s="154" t="s">
        <v>391</v>
      </c>
      <c r="H365" s="154" t="s">
        <v>391</v>
      </c>
      <c r="I365" s="154" t="s">
        <v>391</v>
      </c>
      <c r="J365" s="132">
        <v>0.9</v>
      </c>
      <c r="K365" s="133">
        <v>0.849056603773585</v>
      </c>
      <c r="L365" s="133">
        <v>0.760869565217391</v>
      </c>
      <c r="M365" s="134">
        <v>0.707317073170732</v>
      </c>
      <c r="N365" s="133">
        <v>0.733188720173536</v>
      </c>
      <c r="O365" s="135">
        <v>0.9</v>
      </c>
      <c r="P365" s="133">
        <v>0.816964285714286</v>
      </c>
      <c r="Q365" s="133">
        <v>0.890730972117558</v>
      </c>
      <c r="R365" s="133">
        <v>0.905901116427432</v>
      </c>
      <c r="S365" s="133">
        <v>0.780429547926052</v>
      </c>
      <c r="T365" s="135">
        <v>0.9</v>
      </c>
      <c r="U365" s="133">
        <v>0.812094155844156</v>
      </c>
      <c r="V365" s="133">
        <v>0.808590806330068</v>
      </c>
      <c r="W365" s="133">
        <v>0.81658692185008</v>
      </c>
      <c r="X365" s="133">
        <v>0.77984697840609</v>
      </c>
      <c r="Y365" s="135">
        <v>0.92</v>
      </c>
      <c r="Z365" s="135">
        <v>0.926512153759186</v>
      </c>
      <c r="AA365" s="135">
        <v>0.939622641509434</v>
      </c>
      <c r="AB365" s="135">
        <v>0.909677419354839</v>
      </c>
      <c r="AC365" s="135">
        <v>0.938743706545193</v>
      </c>
      <c r="AD365" s="135">
        <v>0.92</v>
      </c>
      <c r="AE365" s="133">
        <v>0.972976434426229</v>
      </c>
      <c r="AF365" s="133">
        <v>0.971433316724796</v>
      </c>
      <c r="AG365" s="133">
        <v>0.987473903966597</v>
      </c>
      <c r="AH365" s="133">
        <v>0.955065938882027</v>
      </c>
      <c r="AI365" s="135">
        <v>0.92</v>
      </c>
      <c r="AJ365" s="133">
        <v>0.943066422507075</v>
      </c>
      <c r="AK365" s="133">
        <v>0.955505279034691</v>
      </c>
      <c r="AL365" s="133">
        <v>0.939669700033704</v>
      </c>
      <c r="AM365" s="133">
        <v>0.959175440322739</v>
      </c>
      <c r="AN365" s="132">
        <v>0.99</v>
      </c>
      <c r="AO365" s="137">
        <v>1</v>
      </c>
      <c r="AP365" s="137">
        <v>1</v>
      </c>
      <c r="AQ365" s="137">
        <v>1</v>
      </c>
      <c r="AR365" s="137">
        <v>0.998348017621145</v>
      </c>
      <c r="AS365" s="158">
        <v>0.05</v>
      </c>
      <c r="AT365" s="141">
        <v>0.0882352941176471</v>
      </c>
      <c r="AU365" s="141">
        <v>0.15</v>
      </c>
      <c r="AV365" s="141">
        <v>0.0833333333333333</v>
      </c>
      <c r="AW365" s="141">
        <v>0.0734094616639478</v>
      </c>
      <c r="AX365" s="95"/>
      <c r="AY365" s="93"/>
    </row>
    <row r="366" ht="15" spans="1:51">
      <c r="A366" s="91"/>
      <c r="B366" s="95"/>
      <c r="C366" s="152" t="s">
        <v>375</v>
      </c>
      <c r="D366" s="153" t="s">
        <v>25</v>
      </c>
      <c r="E366" s="130" t="s">
        <v>376</v>
      </c>
      <c r="F366" s="154" t="s">
        <v>392</v>
      </c>
      <c r="G366" s="154" t="s">
        <v>392</v>
      </c>
      <c r="H366" s="154" t="s">
        <v>392</v>
      </c>
      <c r="I366" s="154" t="s">
        <v>392</v>
      </c>
      <c r="J366" s="132">
        <v>0.9</v>
      </c>
      <c r="K366" s="133">
        <v>0.821917808219178</v>
      </c>
      <c r="L366" s="133">
        <v>0.722222222222222</v>
      </c>
      <c r="M366" s="134">
        <v>0.450980392156863</v>
      </c>
      <c r="N366" s="133">
        <v>0.654659357870008</v>
      </c>
      <c r="O366" s="135">
        <v>0.9</v>
      </c>
      <c r="P366" s="133">
        <v>0.895203546956872</v>
      </c>
      <c r="Q366" s="133">
        <v>0.894430051813471</v>
      </c>
      <c r="R366" s="133">
        <v>0.757772621809745</v>
      </c>
      <c r="S366" s="133">
        <v>0.850668516039547</v>
      </c>
      <c r="T366" s="135">
        <v>0.9</v>
      </c>
      <c r="U366" s="133">
        <v>0.79322853688029</v>
      </c>
      <c r="V366" s="133">
        <v>0.748704663212435</v>
      </c>
      <c r="W366" s="133">
        <v>0.683062645011601</v>
      </c>
      <c r="X366" s="133">
        <v>0.726061642178604</v>
      </c>
      <c r="Y366" s="135">
        <v>0.92</v>
      </c>
      <c r="Z366" s="135">
        <v>0.907118055555556</v>
      </c>
      <c r="AA366" s="135">
        <v>0.93941018766756</v>
      </c>
      <c r="AB366" s="135">
        <v>0.765904879555281</v>
      </c>
      <c r="AC366" s="135">
        <v>0.906877653869323</v>
      </c>
      <c r="AD366" s="135">
        <v>0.92</v>
      </c>
      <c r="AE366" s="133">
        <v>0.90947752126367</v>
      </c>
      <c r="AF366" s="133">
        <v>0.993451058355748</v>
      </c>
      <c r="AG366" s="133">
        <v>0.997354497354497</v>
      </c>
      <c r="AH366" s="133">
        <v>0.977266475593849</v>
      </c>
      <c r="AI366" s="135">
        <v>0.92</v>
      </c>
      <c r="AJ366" s="133">
        <v>0.917134043746495</v>
      </c>
      <c r="AK366" s="133">
        <v>0.943401759530792</v>
      </c>
      <c r="AL366" s="133">
        <v>0.808211920529801</v>
      </c>
      <c r="AM366" s="133">
        <v>0.926971126511671</v>
      </c>
      <c r="AN366" s="132">
        <v>0.99</v>
      </c>
      <c r="AO366" s="137">
        <v>1</v>
      </c>
      <c r="AP366" s="137">
        <v>1</v>
      </c>
      <c r="AQ366" s="137">
        <v>1</v>
      </c>
      <c r="AR366" s="137">
        <v>1</v>
      </c>
      <c r="AS366" s="158">
        <v>0.05</v>
      </c>
      <c r="AT366" s="141">
        <v>0.025</v>
      </c>
      <c r="AU366" s="141">
        <v>0.153846153846154</v>
      </c>
      <c r="AV366" s="141">
        <v>0.114285714285714</v>
      </c>
      <c r="AW366" s="141">
        <v>0.0522306855277476</v>
      </c>
      <c r="AX366" s="95"/>
      <c r="AY366" s="93"/>
    </row>
    <row r="367" ht="15" spans="1:51">
      <c r="A367" s="91"/>
      <c r="B367" s="95"/>
      <c r="C367" s="152" t="s">
        <v>375</v>
      </c>
      <c r="D367" s="153" t="s">
        <v>25</v>
      </c>
      <c r="E367" s="130" t="s">
        <v>376</v>
      </c>
      <c r="F367" s="154" t="s">
        <v>393</v>
      </c>
      <c r="G367" s="154" t="s">
        <v>393</v>
      </c>
      <c r="H367" s="154" t="s">
        <v>393</v>
      </c>
      <c r="I367" s="154" t="s">
        <v>393</v>
      </c>
      <c r="J367" s="132">
        <v>0.9</v>
      </c>
      <c r="K367" s="133">
        <v>0.942028985507246</v>
      </c>
      <c r="L367" s="133">
        <v>0.873015873015873</v>
      </c>
      <c r="M367" s="134">
        <v>0.857142857142857</v>
      </c>
      <c r="N367" s="133">
        <v>0.881834215167548</v>
      </c>
      <c r="O367" s="135">
        <v>0.9</v>
      </c>
      <c r="P367" s="133">
        <v>0.996155324875048</v>
      </c>
      <c r="Q367" s="133">
        <v>0.949512335054504</v>
      </c>
      <c r="R367" s="133">
        <v>0.942455242966752</v>
      </c>
      <c r="S367" s="133">
        <v>0.958188092582264</v>
      </c>
      <c r="T367" s="135">
        <v>0.9</v>
      </c>
      <c r="U367" s="133">
        <v>0.891580161476355</v>
      </c>
      <c r="V367" s="133">
        <v>0.853700516351119</v>
      </c>
      <c r="W367" s="133">
        <v>0.836317135549872</v>
      </c>
      <c r="X367" s="133">
        <v>0.805249581706637</v>
      </c>
      <c r="Y367" s="135">
        <v>0.92</v>
      </c>
      <c r="Z367" s="135">
        <v>0.888025671339301</v>
      </c>
      <c r="AA367" s="135">
        <v>0.868724090280977</v>
      </c>
      <c r="AB367" s="135">
        <v>0.641365257259297</v>
      </c>
      <c r="AC367" s="135">
        <v>0.763863951815207</v>
      </c>
      <c r="AD367" s="135">
        <v>0.92</v>
      </c>
      <c r="AE367" s="133">
        <v>0.991077030324155</v>
      </c>
      <c r="AF367" s="133">
        <v>0.947090744648779</v>
      </c>
      <c r="AG367" s="133">
        <v>0.941480206540448</v>
      </c>
      <c r="AH367" s="133">
        <v>0.966111786605162</v>
      </c>
      <c r="AI367" s="135">
        <v>0.92</v>
      </c>
      <c r="AJ367" s="133">
        <v>0.913793103448276</v>
      </c>
      <c r="AK367" s="133">
        <v>0.909067688378033</v>
      </c>
      <c r="AL367" s="133">
        <v>0.762471655328798</v>
      </c>
      <c r="AM367" s="133">
        <v>0.837231703640521</v>
      </c>
      <c r="AN367" s="132">
        <v>0.99</v>
      </c>
      <c r="AO367" s="137">
        <v>1</v>
      </c>
      <c r="AP367" s="137">
        <v>1</v>
      </c>
      <c r="AQ367" s="137">
        <v>1</v>
      </c>
      <c r="AR367" s="137">
        <v>1</v>
      </c>
      <c r="AS367" s="158">
        <v>0.05</v>
      </c>
      <c r="AT367" s="141">
        <v>0</v>
      </c>
      <c r="AU367" s="141">
        <v>0</v>
      </c>
      <c r="AV367" s="141">
        <v>0</v>
      </c>
      <c r="AW367" s="141">
        <v>0.0592334494773519</v>
      </c>
      <c r="AX367" s="95"/>
      <c r="AY367" s="93"/>
    </row>
    <row r="368" ht="15" spans="1:51">
      <c r="A368" s="91"/>
      <c r="B368" s="95"/>
      <c r="C368" s="152" t="s">
        <v>375</v>
      </c>
      <c r="D368" s="153" t="s">
        <v>25</v>
      </c>
      <c r="E368" s="130" t="s">
        <v>376</v>
      </c>
      <c r="F368" s="154" t="s">
        <v>394</v>
      </c>
      <c r="G368" s="154" t="s">
        <v>394</v>
      </c>
      <c r="H368" s="154" t="s">
        <v>394</v>
      </c>
      <c r="I368" s="154" t="s">
        <v>394</v>
      </c>
      <c r="J368" s="132">
        <v>0.9</v>
      </c>
      <c r="K368" s="133">
        <v>0.95</v>
      </c>
      <c r="L368" s="133">
        <v>0.87037037037037</v>
      </c>
      <c r="M368" s="134">
        <v>0.80952380952381</v>
      </c>
      <c r="N368" s="133">
        <v>0.835603112840467</v>
      </c>
      <c r="O368" s="135">
        <v>0.9</v>
      </c>
      <c r="P368" s="133">
        <v>0.974324774924975</v>
      </c>
      <c r="Q368" s="133">
        <v>0.953982300884956</v>
      </c>
      <c r="R368" s="133">
        <v>0.81164695177434</v>
      </c>
      <c r="S368" s="133">
        <v>0.928694517408108</v>
      </c>
      <c r="T368" s="135">
        <v>0.9</v>
      </c>
      <c r="U368" s="133">
        <v>0.864621540513504</v>
      </c>
      <c r="V368" s="133">
        <v>0.844247787610619</v>
      </c>
      <c r="W368" s="133">
        <v>0.808007279344859</v>
      </c>
      <c r="X368" s="133">
        <v>0.818791721737967</v>
      </c>
      <c r="Y368" s="135">
        <v>0.92</v>
      </c>
      <c r="Z368" s="135">
        <v>0.936419001218027</v>
      </c>
      <c r="AA368" s="135">
        <v>0.917201166180758</v>
      </c>
      <c r="AB368" s="135">
        <v>0.840466926070039</v>
      </c>
      <c r="AC368" s="135">
        <v>0.935834969153113</v>
      </c>
      <c r="AD368" s="135">
        <v>0.92</v>
      </c>
      <c r="AE368" s="133">
        <v>0.926833707456167</v>
      </c>
      <c r="AF368" s="133">
        <v>0.989291380222105</v>
      </c>
      <c r="AG368" s="133">
        <v>0.994539939332659</v>
      </c>
      <c r="AH368" s="133">
        <v>0.983309523809524</v>
      </c>
      <c r="AI368" s="135">
        <v>0.92</v>
      </c>
      <c r="AJ368" s="133">
        <v>0.95187842971718</v>
      </c>
      <c r="AK368" s="133">
        <v>0.935228604923798</v>
      </c>
      <c r="AL368" s="133">
        <v>0.899540757749713</v>
      </c>
      <c r="AM368" s="133">
        <v>0.955908274150766</v>
      </c>
      <c r="AN368" s="132">
        <v>0.99</v>
      </c>
      <c r="AO368" s="137">
        <v>1</v>
      </c>
      <c r="AP368" s="137">
        <v>1</v>
      </c>
      <c r="AQ368" s="137">
        <v>1</v>
      </c>
      <c r="AR368" s="137">
        <v>1</v>
      </c>
      <c r="AS368" s="158">
        <v>0.05</v>
      </c>
      <c r="AT368" s="141">
        <v>0.0434782608695652</v>
      </c>
      <c r="AU368" s="141">
        <v>0.0465116279069767</v>
      </c>
      <c r="AV368" s="141">
        <v>0.04</v>
      </c>
      <c r="AW368" s="141">
        <v>0.0297397769516729</v>
      </c>
      <c r="AX368" s="95"/>
      <c r="AY368" s="93"/>
    </row>
    <row r="369" ht="15" spans="1:51">
      <c r="A369" s="91"/>
      <c r="B369" s="95"/>
      <c r="C369" s="152" t="s">
        <v>375</v>
      </c>
      <c r="D369" s="153" t="s">
        <v>25</v>
      </c>
      <c r="E369" s="130" t="s">
        <v>376</v>
      </c>
      <c r="F369" s="154" t="s">
        <v>395</v>
      </c>
      <c r="G369" s="154" t="s">
        <v>395</v>
      </c>
      <c r="H369" s="154" t="s">
        <v>395</v>
      </c>
      <c r="I369" s="154" t="s">
        <v>395</v>
      </c>
      <c r="J369" s="132">
        <v>0.9</v>
      </c>
      <c r="K369" s="133">
        <v>0.681159420289855</v>
      </c>
      <c r="L369" s="133">
        <v>0.736842105263158</v>
      </c>
      <c r="M369" s="134">
        <v>0.75</v>
      </c>
      <c r="N369" s="133">
        <v>0.732406602953953</v>
      </c>
      <c r="O369" s="135">
        <v>0.9</v>
      </c>
      <c r="P369" s="133">
        <v>0.890530303030303</v>
      </c>
      <c r="Q369" s="133">
        <v>0.952054794520548</v>
      </c>
      <c r="R369" s="133">
        <v>0.93086719223772</v>
      </c>
      <c r="S369" s="133">
        <v>0.733537158984008</v>
      </c>
      <c r="T369" s="135">
        <v>0.9</v>
      </c>
      <c r="U369" s="133">
        <v>0.754545454545455</v>
      </c>
      <c r="V369" s="133">
        <v>0.666251556662516</v>
      </c>
      <c r="W369" s="133">
        <v>0.588235294117647</v>
      </c>
      <c r="X369" s="133">
        <v>0.644529271293147</v>
      </c>
      <c r="Y369" s="135">
        <v>0.92</v>
      </c>
      <c r="Z369" s="135">
        <v>0.856008820286659</v>
      </c>
      <c r="AA369" s="135">
        <v>0.839087546239211</v>
      </c>
      <c r="AB369" s="135">
        <v>0.636655948553055</v>
      </c>
      <c r="AC369" s="135">
        <v>0.831834248564035</v>
      </c>
      <c r="AD369" s="135">
        <v>0.92</v>
      </c>
      <c r="AE369" s="133">
        <v>0.997734994337486</v>
      </c>
      <c r="AF369" s="133">
        <v>0.991701244813278</v>
      </c>
      <c r="AG369" s="133">
        <v>0.985432733504713</v>
      </c>
      <c r="AH369" s="133">
        <v>0.970772578183353</v>
      </c>
      <c r="AI369" s="135">
        <v>0.92</v>
      </c>
      <c r="AJ369" s="133">
        <v>0.875783317086757</v>
      </c>
      <c r="AK369" s="133">
        <v>0.861524163568773</v>
      </c>
      <c r="AL369" s="133">
        <v>0.736579275905119</v>
      </c>
      <c r="AM369" s="133">
        <v>0.869512472514975</v>
      </c>
      <c r="AN369" s="132">
        <v>0.99</v>
      </c>
      <c r="AO369" s="137">
        <v>1</v>
      </c>
      <c r="AP369" s="137">
        <v>1</v>
      </c>
      <c r="AQ369" s="137">
        <v>1</v>
      </c>
      <c r="AR369" s="137">
        <v>1</v>
      </c>
      <c r="AS369" s="158">
        <v>0.05</v>
      </c>
      <c r="AT369" s="141">
        <v>0.128205128205128</v>
      </c>
      <c r="AU369" s="141">
        <v>0.027027027027027</v>
      </c>
      <c r="AV369" s="141">
        <v>0.0434782608695652</v>
      </c>
      <c r="AW369" s="141">
        <v>0.0473684210526316</v>
      </c>
      <c r="AX369" s="95"/>
      <c r="AY369" s="93"/>
    </row>
    <row r="370" ht="15" spans="1:51">
      <c r="A370" s="91"/>
      <c r="B370" s="95"/>
      <c r="C370" s="152" t="s">
        <v>375</v>
      </c>
      <c r="D370" s="153" t="s">
        <v>25</v>
      </c>
      <c r="E370" s="130" t="s">
        <v>376</v>
      </c>
      <c r="F370" s="154" t="s">
        <v>396</v>
      </c>
      <c r="G370" s="154" t="s">
        <v>396</v>
      </c>
      <c r="H370" s="154" t="s">
        <v>396</v>
      </c>
      <c r="I370" s="154" t="s">
        <v>396</v>
      </c>
      <c r="J370" s="132">
        <v>0.9</v>
      </c>
      <c r="K370" s="133">
        <v>0.666666666666667</v>
      </c>
      <c r="L370" s="133">
        <v>0.635135135135135</v>
      </c>
      <c r="M370" s="134">
        <v>0.671641791044776</v>
      </c>
      <c r="N370" s="133">
        <v>0.760237780713342</v>
      </c>
      <c r="O370" s="135">
        <v>0.9</v>
      </c>
      <c r="P370" s="133">
        <v>0.957252193391824</v>
      </c>
      <c r="Q370" s="133">
        <v>0.929136453526697</v>
      </c>
      <c r="R370" s="133">
        <v>0.896523628462792</v>
      </c>
      <c r="S370" s="133">
        <v>0.917880114346972</v>
      </c>
      <c r="T370" s="135">
        <v>0.9</v>
      </c>
      <c r="U370" s="133">
        <v>0.867463132350196</v>
      </c>
      <c r="V370" s="133">
        <v>0.872116018457482</v>
      </c>
      <c r="W370" s="133">
        <v>0.821835958718088</v>
      </c>
      <c r="X370" s="133">
        <v>0.855837948901197</v>
      </c>
      <c r="Y370" s="135">
        <v>0.92</v>
      </c>
      <c r="Z370" s="135">
        <v>0.893649449618967</v>
      </c>
      <c r="AA370" s="135">
        <v>0.926517571884984</v>
      </c>
      <c r="AB370" s="135">
        <v>0.925442684063374</v>
      </c>
      <c r="AC370" s="135">
        <v>0.948174117001235</v>
      </c>
      <c r="AD370" s="135">
        <v>0.92</v>
      </c>
      <c r="AE370" s="133">
        <v>0.99955552592395</v>
      </c>
      <c r="AF370" s="133">
        <v>0.993784896793916</v>
      </c>
      <c r="AG370" s="133">
        <v>0.997072132020229</v>
      </c>
      <c r="AH370" s="133">
        <v>0.993643172214074</v>
      </c>
      <c r="AI370" s="135">
        <v>0.92</v>
      </c>
      <c r="AJ370" s="133">
        <v>0.919293261120483</v>
      </c>
      <c r="AK370" s="133">
        <v>0.944985477532889</v>
      </c>
      <c r="AL370" s="133">
        <v>0.952307428375365</v>
      </c>
      <c r="AM370" s="133">
        <v>0.964131715362865</v>
      </c>
      <c r="AN370" s="132">
        <v>0.99</v>
      </c>
      <c r="AO370" s="137">
        <v>1</v>
      </c>
      <c r="AP370" s="137">
        <v>1</v>
      </c>
      <c r="AQ370" s="137">
        <v>1</v>
      </c>
      <c r="AR370" s="137">
        <v>1</v>
      </c>
      <c r="AS370" s="158">
        <v>0.05</v>
      </c>
      <c r="AT370" s="141">
        <v>0.0344827586206897</v>
      </c>
      <c r="AU370" s="141">
        <v>0.186046511627907</v>
      </c>
      <c r="AV370" s="141">
        <v>0.1875</v>
      </c>
      <c r="AW370" s="141">
        <v>0.0774468085106383</v>
      </c>
      <c r="AX370" s="95"/>
      <c r="AY370" s="93"/>
    </row>
    <row r="371" ht="15" spans="1:51">
      <c r="A371" s="91"/>
      <c r="B371" s="95"/>
      <c r="C371" s="152" t="s">
        <v>375</v>
      </c>
      <c r="D371" s="153" t="s">
        <v>25</v>
      </c>
      <c r="E371" s="130" t="s">
        <v>376</v>
      </c>
      <c r="F371" s="154" t="s">
        <v>397</v>
      </c>
      <c r="G371" s="154" t="s">
        <v>397</v>
      </c>
      <c r="H371" s="154" t="s">
        <v>397</v>
      </c>
      <c r="I371" s="154" t="s">
        <v>397</v>
      </c>
      <c r="J371" s="132">
        <v>0.9</v>
      </c>
      <c r="K371" s="133">
        <v>0.825396825396825</v>
      </c>
      <c r="L371" s="133">
        <v>0.911111111111111</v>
      </c>
      <c r="M371" s="134">
        <v>0.944444444444444</v>
      </c>
      <c r="N371" s="133">
        <v>0.923444976076555</v>
      </c>
      <c r="O371" s="135">
        <v>0.9</v>
      </c>
      <c r="P371" s="133">
        <v>0.945054945054945</v>
      </c>
      <c r="Q371" s="133">
        <v>0.941176470588235</v>
      </c>
      <c r="R371" s="133">
        <v>0.945606694560669</v>
      </c>
      <c r="S371" s="133">
        <v>0.937056474238373</v>
      </c>
      <c r="T371" s="135">
        <v>0.9</v>
      </c>
      <c r="U371" s="133">
        <v>0.906304222093696</v>
      </c>
      <c r="V371" s="133">
        <v>0.883617963314358</v>
      </c>
      <c r="W371" s="133">
        <v>0.904463040446304</v>
      </c>
      <c r="X371" s="133">
        <v>0.885863286794072</v>
      </c>
      <c r="Y371" s="135">
        <v>0.92</v>
      </c>
      <c r="Z371" s="135">
        <v>0.934613388687078</v>
      </c>
      <c r="AA371" s="135">
        <v>0.931266846361186</v>
      </c>
      <c r="AB371" s="135">
        <v>0.924146649810367</v>
      </c>
      <c r="AC371" s="135">
        <v>0.93</v>
      </c>
      <c r="AD371" s="135">
        <v>0.92</v>
      </c>
      <c r="AE371" s="133">
        <v>1</v>
      </c>
      <c r="AF371" s="133">
        <v>0.977329974811083</v>
      </c>
      <c r="AG371" s="133">
        <v>1</v>
      </c>
      <c r="AH371" s="133">
        <v>0.986779560308972</v>
      </c>
      <c r="AI371" s="135">
        <v>0.92</v>
      </c>
      <c r="AJ371" s="133">
        <v>0.956521739130435</v>
      </c>
      <c r="AK371" s="133">
        <v>0.950766221062928</v>
      </c>
      <c r="AL371" s="133">
        <v>0.960918283684067</v>
      </c>
      <c r="AM371" s="133">
        <v>0.961408713806934</v>
      </c>
      <c r="AN371" s="132">
        <v>0.99</v>
      </c>
      <c r="AO371" s="137">
        <v>1</v>
      </c>
      <c r="AP371" s="137">
        <v>1</v>
      </c>
      <c r="AQ371" s="137">
        <v>1</v>
      </c>
      <c r="AR371" s="137">
        <v>1</v>
      </c>
      <c r="AS371" s="158">
        <v>0.05</v>
      </c>
      <c r="AT371" s="141">
        <v>0.05</v>
      </c>
      <c r="AU371" s="141">
        <v>0.222222222222222</v>
      </c>
      <c r="AV371" s="141">
        <v>0.142857142857143</v>
      </c>
      <c r="AW371" s="141">
        <v>0.0914127423822715</v>
      </c>
      <c r="AX371" s="95"/>
      <c r="AY371" s="93"/>
    </row>
    <row r="372" ht="15" spans="1:51">
      <c r="A372" s="91"/>
      <c r="B372" s="95"/>
      <c r="C372" s="152" t="s">
        <v>375</v>
      </c>
      <c r="D372" s="153" t="s">
        <v>25</v>
      </c>
      <c r="E372" s="130" t="s">
        <v>376</v>
      </c>
      <c r="F372" s="154" t="s">
        <v>398</v>
      </c>
      <c r="G372" s="154" t="s">
        <v>398</v>
      </c>
      <c r="H372" s="154" t="s">
        <v>398</v>
      </c>
      <c r="I372" s="154" t="s">
        <v>398</v>
      </c>
      <c r="J372" s="132">
        <v>0.9</v>
      </c>
      <c r="K372" s="133">
        <v>0.78125</v>
      </c>
      <c r="L372" s="133">
        <v>0.734177215189873</v>
      </c>
      <c r="M372" s="134">
        <v>0.826086956521739</v>
      </c>
      <c r="N372" s="133">
        <v>0.788881948782011</v>
      </c>
      <c r="O372" s="135">
        <v>0.9</v>
      </c>
      <c r="P372" s="133">
        <v>0.975033288948069</v>
      </c>
      <c r="Q372" s="133">
        <v>0.825836216839677</v>
      </c>
      <c r="R372" s="133">
        <v>0.857784125688635</v>
      </c>
      <c r="S372" s="133">
        <v>0.885149713460055</v>
      </c>
      <c r="T372" s="135">
        <v>0.9</v>
      </c>
      <c r="U372" s="133">
        <v>0.561917443408788</v>
      </c>
      <c r="V372" s="133">
        <v>0.377162629757785</v>
      </c>
      <c r="W372" s="133">
        <v>0.31891450724342</v>
      </c>
      <c r="X372" s="133">
        <v>0.350018061291236</v>
      </c>
      <c r="Y372" s="135">
        <v>0.92</v>
      </c>
      <c r="Z372" s="135">
        <v>0.532887794583187</v>
      </c>
      <c r="AA372" s="135">
        <v>0.533553355335534</v>
      </c>
      <c r="AB372" s="135">
        <v>0.1931330472103</v>
      </c>
      <c r="AC372" s="135">
        <v>0.408830744071954</v>
      </c>
      <c r="AD372" s="135">
        <v>0.92</v>
      </c>
      <c r="AE372" s="133">
        <v>1</v>
      </c>
      <c r="AF372" s="133">
        <v>0.999159663865546</v>
      </c>
      <c r="AG372" s="133">
        <v>0.996913580246914</v>
      </c>
      <c r="AH372" s="133">
        <v>0.973693043551229</v>
      </c>
      <c r="AI372" s="135">
        <v>0.92</v>
      </c>
      <c r="AJ372" s="133">
        <v>0.685137677441423</v>
      </c>
      <c r="AK372" s="133">
        <v>0.678207739307536</v>
      </c>
      <c r="AL372" s="133">
        <v>0.510553880336455</v>
      </c>
      <c r="AM372" s="133">
        <v>0.697383652056185</v>
      </c>
      <c r="AN372" s="132">
        <v>0.99</v>
      </c>
      <c r="AO372" s="137">
        <v>1</v>
      </c>
      <c r="AP372" s="137">
        <v>1</v>
      </c>
      <c r="AQ372" s="137">
        <v>1</v>
      </c>
      <c r="AR372" s="137">
        <v>1</v>
      </c>
      <c r="AS372" s="158">
        <v>0.05</v>
      </c>
      <c r="AT372" s="141">
        <v>0.138888888888889</v>
      </c>
      <c r="AU372" s="141">
        <v>0.277777777777778</v>
      </c>
      <c r="AV372" s="141">
        <v>0.121951219512195</v>
      </c>
      <c r="AW372" s="141">
        <v>0.129346314325452</v>
      </c>
      <c r="AX372" s="95"/>
      <c r="AY372" s="93"/>
    </row>
    <row r="373" ht="15" spans="1:51">
      <c r="A373" s="91"/>
      <c r="B373" s="95"/>
      <c r="C373" s="152" t="s">
        <v>375</v>
      </c>
      <c r="D373" s="153" t="s">
        <v>25</v>
      </c>
      <c r="E373" s="130" t="s">
        <v>376</v>
      </c>
      <c r="F373" s="154" t="s">
        <v>399</v>
      </c>
      <c r="G373" s="154" t="s">
        <v>399</v>
      </c>
      <c r="H373" s="154" t="s">
        <v>399</v>
      </c>
      <c r="I373" s="154" t="s">
        <v>399</v>
      </c>
      <c r="J373" s="132">
        <v>0.9</v>
      </c>
      <c r="K373" s="133">
        <v>0.666666666666667</v>
      </c>
      <c r="L373" s="133">
        <v>0.6875</v>
      </c>
      <c r="M373" s="134">
        <v>0.636363636363636</v>
      </c>
      <c r="N373" s="133">
        <v>0.679582712369598</v>
      </c>
      <c r="O373" s="135">
        <v>0.9</v>
      </c>
      <c r="P373" s="133">
        <v>0.973843058350101</v>
      </c>
      <c r="Q373" s="133">
        <v>0.968978102189781</v>
      </c>
      <c r="R373" s="133">
        <v>0.892040256175663</v>
      </c>
      <c r="S373" s="133">
        <v>0.728122102560445</v>
      </c>
      <c r="T373" s="135">
        <v>0.9</v>
      </c>
      <c r="U373" s="133">
        <v>0.728370221327968</v>
      </c>
      <c r="V373" s="133">
        <v>0.559306569343066</v>
      </c>
      <c r="W373" s="133">
        <v>0.52516010978957</v>
      </c>
      <c r="X373" s="133">
        <v>0.566436060195421</v>
      </c>
      <c r="Y373" s="135">
        <v>0.92</v>
      </c>
      <c r="Z373" s="135">
        <v>0.696</v>
      </c>
      <c r="AA373" s="135">
        <v>0.389189189189189</v>
      </c>
      <c r="AB373" s="135">
        <v>0.257246376811594</v>
      </c>
      <c r="AC373" s="135">
        <v>0.540347405452946</v>
      </c>
      <c r="AD373" s="135">
        <v>0.92</v>
      </c>
      <c r="AE373" s="133">
        <v>0.886792452830189</v>
      </c>
      <c r="AF373" s="133">
        <v>0.970059880239521</v>
      </c>
      <c r="AG373" s="133">
        <v>0.948717948717949</v>
      </c>
      <c r="AH373" s="133">
        <v>0.961</v>
      </c>
      <c r="AI373" s="135">
        <v>0.92</v>
      </c>
      <c r="AJ373" s="133">
        <v>0.811162079510703</v>
      </c>
      <c r="AK373" s="133">
        <v>0.632628398791541</v>
      </c>
      <c r="AL373" s="133">
        <v>0.601824817518248</v>
      </c>
      <c r="AM373" s="133">
        <v>0.751600809528549</v>
      </c>
      <c r="AN373" s="132">
        <v>0.99</v>
      </c>
      <c r="AO373" s="137">
        <v>1</v>
      </c>
      <c r="AP373" s="137">
        <v>1</v>
      </c>
      <c r="AQ373" s="137">
        <v>1</v>
      </c>
      <c r="AR373" s="137">
        <v>1</v>
      </c>
      <c r="AS373" s="158">
        <v>0.05</v>
      </c>
      <c r="AT373" s="141">
        <v>0.1</v>
      </c>
      <c r="AU373" s="141">
        <v>0.25</v>
      </c>
      <c r="AV373" s="141">
        <v>0</v>
      </c>
      <c r="AW373" s="141">
        <v>0.129807692307692</v>
      </c>
      <c r="AX373" s="95"/>
      <c r="AY373" s="93"/>
    </row>
    <row r="374" ht="15" spans="1:51">
      <c r="A374" s="91"/>
      <c r="B374" s="95"/>
      <c r="C374" s="152" t="s">
        <v>375</v>
      </c>
      <c r="D374" s="153" t="s">
        <v>25</v>
      </c>
      <c r="E374" s="130" t="s">
        <v>376</v>
      </c>
      <c r="F374" s="154" t="s">
        <v>400</v>
      </c>
      <c r="G374" s="154" t="s">
        <v>400</v>
      </c>
      <c r="H374" s="154" t="s">
        <v>400</v>
      </c>
      <c r="I374" s="154" t="s">
        <v>400</v>
      </c>
      <c r="J374" s="132">
        <v>0.9</v>
      </c>
      <c r="K374" s="133">
        <v>0.901639344262295</v>
      </c>
      <c r="L374" s="133">
        <v>0.82</v>
      </c>
      <c r="M374" s="134">
        <v>0.918367346938776</v>
      </c>
      <c r="N374" s="133">
        <v>0.8486328125</v>
      </c>
      <c r="O374" s="135">
        <v>0.9</v>
      </c>
      <c r="P374" s="133">
        <v>0</v>
      </c>
      <c r="Q374" s="133" t="s">
        <v>35</v>
      </c>
      <c r="R374" s="133" t="s">
        <v>35</v>
      </c>
      <c r="S374" s="133">
        <v>0.137931034482759</v>
      </c>
      <c r="T374" s="135">
        <v>0.9</v>
      </c>
      <c r="U374" s="133">
        <v>0</v>
      </c>
      <c r="V374" s="133" t="s">
        <v>35</v>
      </c>
      <c r="W374" s="133" t="s">
        <v>35</v>
      </c>
      <c r="X374" s="133">
        <v>0.0689655172413793</v>
      </c>
      <c r="Y374" s="135">
        <v>0.92</v>
      </c>
      <c r="Z374" s="135">
        <v>0</v>
      </c>
      <c r="AA374" s="135">
        <v>0</v>
      </c>
      <c r="AB374" s="135" t="s">
        <v>35</v>
      </c>
      <c r="AC374" s="135">
        <v>0.222222222222222</v>
      </c>
      <c r="AD374" s="135">
        <v>0.92</v>
      </c>
      <c r="AE374" s="133">
        <v>0.993808049535604</v>
      </c>
      <c r="AF374" s="133">
        <v>0.979338842975207</v>
      </c>
      <c r="AG374" s="133">
        <v>0.952054794520548</v>
      </c>
      <c r="AH374" s="133">
        <v>0.978970427163198</v>
      </c>
      <c r="AI374" s="135">
        <v>0.92</v>
      </c>
      <c r="AJ374" s="133">
        <v>0.952121871599565</v>
      </c>
      <c r="AK374" s="133">
        <v>0.944779982743745</v>
      </c>
      <c r="AL374" s="133">
        <v>0.888667992047714</v>
      </c>
      <c r="AM374" s="133">
        <v>0.948950036205648</v>
      </c>
      <c r="AN374" s="132">
        <v>0.99</v>
      </c>
      <c r="AO374" s="137">
        <v>1</v>
      </c>
      <c r="AP374" s="137">
        <v>1</v>
      </c>
      <c r="AQ374" s="137">
        <v>1</v>
      </c>
      <c r="AR374" s="137">
        <v>1</v>
      </c>
      <c r="AS374" s="158">
        <v>0.05</v>
      </c>
      <c r="AT374" s="141">
        <v>0.111111111111111</v>
      </c>
      <c r="AU374" s="141">
        <v>0</v>
      </c>
      <c r="AV374" s="141">
        <v>0.0909090909090909</v>
      </c>
      <c r="AW374" s="141">
        <v>0.0970464135021097</v>
      </c>
      <c r="AX374" s="95"/>
      <c r="AY374" s="93"/>
    </row>
    <row r="375" ht="15" spans="1:51">
      <c r="A375" s="91"/>
      <c r="B375" s="95"/>
      <c r="C375" s="152" t="s">
        <v>375</v>
      </c>
      <c r="D375" s="153" t="s">
        <v>25</v>
      </c>
      <c r="E375" s="130" t="s">
        <v>376</v>
      </c>
      <c r="F375" s="154" t="s">
        <v>401</v>
      </c>
      <c r="G375" s="154" t="s">
        <v>401</v>
      </c>
      <c r="H375" s="154" t="s">
        <v>401</v>
      </c>
      <c r="I375" s="154" t="s">
        <v>401</v>
      </c>
      <c r="J375" s="132">
        <v>0.9</v>
      </c>
      <c r="K375" s="133">
        <v>0.875</v>
      </c>
      <c r="L375" s="133">
        <v>0.685185185185185</v>
      </c>
      <c r="M375" s="134">
        <v>0.7</v>
      </c>
      <c r="N375" s="133">
        <v>0.687382297551789</v>
      </c>
      <c r="O375" s="135">
        <v>0.9</v>
      </c>
      <c r="P375" s="133">
        <v>0.4</v>
      </c>
      <c r="Q375" s="133" t="s">
        <v>35</v>
      </c>
      <c r="R375" s="133" t="s">
        <v>35</v>
      </c>
      <c r="S375" s="133">
        <v>0.454545454545455</v>
      </c>
      <c r="T375" s="135">
        <v>0.9</v>
      </c>
      <c r="U375" s="133">
        <v>0</v>
      </c>
      <c r="V375" s="133" t="s">
        <v>35</v>
      </c>
      <c r="W375" s="133" t="s">
        <v>35</v>
      </c>
      <c r="X375" s="133">
        <v>0.272727272727273</v>
      </c>
      <c r="Y375" s="135">
        <v>0.92</v>
      </c>
      <c r="Z375" s="135">
        <v>0.2</v>
      </c>
      <c r="AA375" s="135">
        <v>0</v>
      </c>
      <c r="AB375" s="135" t="s">
        <v>35</v>
      </c>
      <c r="AC375" s="135">
        <v>0.631578947368421</v>
      </c>
      <c r="AD375" s="135">
        <v>0.92</v>
      </c>
      <c r="AE375" s="133">
        <v>0.944444444444444</v>
      </c>
      <c r="AF375" s="133">
        <v>1</v>
      </c>
      <c r="AG375" s="133">
        <v>0.921875</v>
      </c>
      <c r="AH375" s="133">
        <v>0.978548728813559</v>
      </c>
      <c r="AI375" s="135">
        <v>0.92</v>
      </c>
      <c r="AJ375" s="133">
        <v>0.910663641520136</v>
      </c>
      <c r="AK375" s="133">
        <v>0.865272540281111</v>
      </c>
      <c r="AL375" s="133">
        <v>0.794785384888258</v>
      </c>
      <c r="AM375" s="133">
        <v>0.892018426953642</v>
      </c>
      <c r="AN375" s="132">
        <v>0.99</v>
      </c>
      <c r="AO375" s="137">
        <v>1</v>
      </c>
      <c r="AP375" s="137">
        <v>1</v>
      </c>
      <c r="AQ375" s="137">
        <v>1</v>
      </c>
      <c r="AR375" s="137">
        <v>1</v>
      </c>
      <c r="AS375" s="158">
        <v>0.05</v>
      </c>
      <c r="AT375" s="141">
        <v>0.25</v>
      </c>
      <c r="AU375" s="141">
        <v>0.0588235294117647</v>
      </c>
      <c r="AV375" s="141">
        <v>0.12</v>
      </c>
      <c r="AW375" s="141">
        <v>0.174224343675418</v>
      </c>
      <c r="AX375" s="95"/>
      <c r="AY375" s="93"/>
    </row>
    <row r="376" ht="15" spans="1:51">
      <c r="A376" s="91"/>
      <c r="B376" s="95"/>
      <c r="C376" s="152" t="s">
        <v>375</v>
      </c>
      <c r="D376" s="153" t="s">
        <v>25</v>
      </c>
      <c r="E376" s="130" t="s">
        <v>376</v>
      </c>
      <c r="F376" s="154" t="s">
        <v>402</v>
      </c>
      <c r="G376" s="154" t="s">
        <v>402</v>
      </c>
      <c r="H376" s="154" t="s">
        <v>402</v>
      </c>
      <c r="I376" s="154" t="s">
        <v>402</v>
      </c>
      <c r="J376" s="132">
        <v>0.9</v>
      </c>
      <c r="K376" s="133">
        <v>1</v>
      </c>
      <c r="L376" s="133">
        <v>1</v>
      </c>
      <c r="M376" s="134">
        <v>1</v>
      </c>
      <c r="N376" s="133">
        <v>0.992</v>
      </c>
      <c r="O376" s="135">
        <v>0.9</v>
      </c>
      <c r="P376" s="133">
        <v>0.981610337972167</v>
      </c>
      <c r="Q376" s="133">
        <v>0.979722518676628</v>
      </c>
      <c r="R376" s="133">
        <v>0.974215246636771</v>
      </c>
      <c r="S376" s="133">
        <v>0.98027769832809</v>
      </c>
      <c r="T376" s="135">
        <v>0.9</v>
      </c>
      <c r="U376" s="133">
        <v>0.932405566600398</v>
      </c>
      <c r="V376" s="133">
        <v>0.919957310565635</v>
      </c>
      <c r="W376" s="133">
        <v>0.922645739910314</v>
      </c>
      <c r="X376" s="133">
        <v>0.898788320029122</v>
      </c>
      <c r="Y376" s="135">
        <v>0.92</v>
      </c>
      <c r="Z376" s="135">
        <v>0.944642151047845</v>
      </c>
      <c r="AA376" s="135">
        <v>0.933172787477423</v>
      </c>
      <c r="AB376" s="135">
        <v>0.912028725314183</v>
      </c>
      <c r="AC376" s="135">
        <v>0.938306211549911</v>
      </c>
      <c r="AD376" s="135">
        <v>0.92</v>
      </c>
      <c r="AE376" s="133">
        <v>1</v>
      </c>
      <c r="AF376" s="133">
        <v>0.998938428874735</v>
      </c>
      <c r="AG376" s="133">
        <v>0.993827160493827</v>
      </c>
      <c r="AH376" s="133">
        <v>0.996421755725191</v>
      </c>
      <c r="AI376" s="135">
        <v>0.92</v>
      </c>
      <c r="AJ376" s="133">
        <v>0.961276127612761</v>
      </c>
      <c r="AK376" s="133">
        <v>0.958710407239819</v>
      </c>
      <c r="AL376" s="133">
        <v>0.96199829205807</v>
      </c>
      <c r="AM376" s="133">
        <v>0.968196975770343</v>
      </c>
      <c r="AN376" s="132">
        <v>0.99</v>
      </c>
      <c r="AO376" s="137">
        <v>1</v>
      </c>
      <c r="AP376" s="137">
        <v>1</v>
      </c>
      <c r="AQ376" s="137">
        <v>1</v>
      </c>
      <c r="AR376" s="137">
        <v>1</v>
      </c>
      <c r="AS376" s="158">
        <v>0.05</v>
      </c>
      <c r="AT376" s="141">
        <v>0.222222222222222</v>
      </c>
      <c r="AU376" s="141">
        <v>0.5</v>
      </c>
      <c r="AV376" s="141">
        <v>0.333333333333333</v>
      </c>
      <c r="AW376" s="141">
        <v>0.113564668769716</v>
      </c>
      <c r="AX376" s="95"/>
      <c r="AY376" s="93"/>
    </row>
    <row r="377" ht="15" spans="1:51">
      <c r="A377" s="91"/>
      <c r="B377" s="95"/>
      <c r="C377" s="152" t="s">
        <v>375</v>
      </c>
      <c r="D377" s="153" t="s">
        <v>25</v>
      </c>
      <c r="E377" s="130" t="s">
        <v>376</v>
      </c>
      <c r="F377" s="154" t="s">
        <v>403</v>
      </c>
      <c r="G377" s="154" t="s">
        <v>403</v>
      </c>
      <c r="H377" s="154" t="s">
        <v>403</v>
      </c>
      <c r="I377" s="154" t="s">
        <v>403</v>
      </c>
      <c r="J377" s="132">
        <v>0.9</v>
      </c>
      <c r="K377" s="133">
        <v>0.975609756097561</v>
      </c>
      <c r="L377" s="133">
        <v>0.903225806451613</v>
      </c>
      <c r="M377" s="134">
        <v>0.866666666666667</v>
      </c>
      <c r="N377" s="133">
        <v>0.889124293785311</v>
      </c>
      <c r="O377" s="135">
        <v>0.9</v>
      </c>
      <c r="P377" s="133">
        <v>0.967485299204427</v>
      </c>
      <c r="Q377" s="133">
        <v>0.94392523364486</v>
      </c>
      <c r="R377" s="133">
        <v>0.913534701406502</v>
      </c>
      <c r="S377" s="133">
        <v>0.908089778425785</v>
      </c>
      <c r="T377" s="135">
        <v>0.9</v>
      </c>
      <c r="U377" s="133">
        <v>0.85748875821515</v>
      </c>
      <c r="V377" s="133">
        <v>0.79305740987984</v>
      </c>
      <c r="W377" s="133">
        <v>0.754207977864884</v>
      </c>
      <c r="X377" s="133">
        <v>0.741743433406234</v>
      </c>
      <c r="Y377" s="135">
        <v>0.92</v>
      </c>
      <c r="Z377" s="135">
        <v>0.870378063980058</v>
      </c>
      <c r="AA377" s="135">
        <v>0.782495667244367</v>
      </c>
      <c r="AB377" s="135">
        <v>0.716798592788039</v>
      </c>
      <c r="AC377" s="135">
        <v>0.82163458619224</v>
      </c>
      <c r="AD377" s="135">
        <v>0.92</v>
      </c>
      <c r="AE377" s="133">
        <v>0.993865030674847</v>
      </c>
      <c r="AF377" s="133">
        <v>0.964285714285714</v>
      </c>
      <c r="AG377" s="133">
        <v>0.987341772151899</v>
      </c>
      <c r="AH377" s="133">
        <v>0.976549413735343</v>
      </c>
      <c r="AI377" s="135">
        <v>0.92</v>
      </c>
      <c r="AJ377" s="133">
        <v>0.918144096567333</v>
      </c>
      <c r="AK377" s="133">
        <v>0.8885949441505</v>
      </c>
      <c r="AL377" s="133">
        <v>0.884018264840183</v>
      </c>
      <c r="AM377" s="133">
        <v>0.921904607660539</v>
      </c>
      <c r="AN377" s="132">
        <v>0.99</v>
      </c>
      <c r="AO377" s="137">
        <v>1</v>
      </c>
      <c r="AP377" s="137">
        <v>1</v>
      </c>
      <c r="AQ377" s="137">
        <v>1</v>
      </c>
      <c r="AR377" s="137">
        <v>1</v>
      </c>
      <c r="AS377" s="158">
        <v>0.05</v>
      </c>
      <c r="AT377" s="141">
        <v>0.142857142857143</v>
      </c>
      <c r="AU377" s="141">
        <v>0</v>
      </c>
      <c r="AV377" s="141">
        <v>0.272727272727273</v>
      </c>
      <c r="AW377" s="141">
        <v>0.116379310344828</v>
      </c>
      <c r="AX377" s="95"/>
      <c r="AY377" s="93"/>
    </row>
    <row r="378" ht="15" spans="1:51">
      <c r="A378" s="91"/>
      <c r="B378" s="95"/>
      <c r="C378" s="152" t="s">
        <v>375</v>
      </c>
      <c r="D378" s="153" t="s">
        <v>25</v>
      </c>
      <c r="E378" s="130" t="s">
        <v>376</v>
      </c>
      <c r="F378" s="154" t="s">
        <v>404</v>
      </c>
      <c r="G378" s="154" t="s">
        <v>404</v>
      </c>
      <c r="H378" s="154" t="s">
        <v>404</v>
      </c>
      <c r="I378" s="154" t="s">
        <v>404</v>
      </c>
      <c r="J378" s="132">
        <v>0.9</v>
      </c>
      <c r="K378" s="133">
        <v>1</v>
      </c>
      <c r="L378" s="133">
        <v>0.891891891891892</v>
      </c>
      <c r="M378" s="134">
        <v>0.901234567901235</v>
      </c>
      <c r="N378" s="133">
        <v>0.943147815679234</v>
      </c>
      <c r="O378" s="135">
        <v>0.9</v>
      </c>
      <c r="P378" s="133">
        <v>0.990107652022112</v>
      </c>
      <c r="Q378" s="133">
        <v>0.976174268209666</v>
      </c>
      <c r="R378" s="133">
        <v>0.987090909090909</v>
      </c>
      <c r="S378" s="133">
        <v>0.95617419589252</v>
      </c>
      <c r="T378" s="135">
        <v>0.9</v>
      </c>
      <c r="U378" s="133">
        <v>0.853069537387256</v>
      </c>
      <c r="V378" s="133">
        <v>0.783526208304969</v>
      </c>
      <c r="W378" s="133">
        <v>0.766909090909091</v>
      </c>
      <c r="X378" s="133">
        <v>0.786762288700106</v>
      </c>
      <c r="Y378" s="135">
        <v>0.92</v>
      </c>
      <c r="Z378" s="135">
        <v>0.891323660053302</v>
      </c>
      <c r="AA378" s="135">
        <v>0.823327615780446</v>
      </c>
      <c r="AB378" s="135">
        <v>0.798808735936466</v>
      </c>
      <c r="AC378" s="135">
        <v>0.86127434267263</v>
      </c>
      <c r="AD378" s="135">
        <v>0.92</v>
      </c>
      <c r="AE378" s="133">
        <v>0.976</v>
      </c>
      <c r="AF378" s="133">
        <v>0.920754716981132</v>
      </c>
      <c r="AG378" s="133">
        <v>0.974603174603175</v>
      </c>
      <c r="AH378" s="133">
        <v>0.958878504672897</v>
      </c>
      <c r="AI378" s="135">
        <v>0.92</v>
      </c>
      <c r="AJ378" s="133">
        <v>0.9231220657277</v>
      </c>
      <c r="AK378" s="133">
        <v>0.893793985924504</v>
      </c>
      <c r="AL378" s="133">
        <v>0.911722760981175</v>
      </c>
      <c r="AM378" s="133">
        <v>0.931635656057191</v>
      </c>
      <c r="AN378" s="132">
        <v>0.99</v>
      </c>
      <c r="AO378" s="137">
        <v>1</v>
      </c>
      <c r="AP378" s="137">
        <v>1</v>
      </c>
      <c r="AQ378" s="137">
        <v>1</v>
      </c>
      <c r="AR378" s="137">
        <v>1</v>
      </c>
      <c r="AS378" s="158">
        <v>0.05</v>
      </c>
      <c r="AT378" s="141">
        <v>0.241379310344828</v>
      </c>
      <c r="AU378" s="141">
        <v>0.0882352941176471</v>
      </c>
      <c r="AV378" s="141">
        <v>0.111111111111111</v>
      </c>
      <c r="AW378" s="141">
        <v>0.127968337730871</v>
      </c>
      <c r="AX378" s="95"/>
      <c r="AY378" s="93"/>
    </row>
    <row r="379" ht="15" spans="1:51">
      <c r="A379" s="91"/>
      <c r="B379" s="95"/>
      <c r="C379" s="152" t="s">
        <v>375</v>
      </c>
      <c r="D379" s="153" t="s">
        <v>25</v>
      </c>
      <c r="E379" s="130" t="s">
        <v>376</v>
      </c>
      <c r="F379" s="154" t="s">
        <v>405</v>
      </c>
      <c r="G379" s="154" t="s">
        <v>405</v>
      </c>
      <c r="H379" s="154" t="s">
        <v>405</v>
      </c>
      <c r="I379" s="154" t="s">
        <v>405</v>
      </c>
      <c r="J379" s="132">
        <v>0.9</v>
      </c>
      <c r="K379" s="133">
        <v>0.942857142857143</v>
      </c>
      <c r="L379" s="133">
        <v>1</v>
      </c>
      <c r="M379" s="134">
        <v>0.814814814814815</v>
      </c>
      <c r="N379" s="133">
        <v>0.911717495987159</v>
      </c>
      <c r="O379" s="135">
        <v>0.9</v>
      </c>
      <c r="P379" s="133">
        <v>0</v>
      </c>
      <c r="Q379" s="133" t="s">
        <v>35</v>
      </c>
      <c r="R379" s="133" t="s">
        <v>35</v>
      </c>
      <c r="S379" s="133">
        <v>0.333333333333333</v>
      </c>
      <c r="T379" s="135">
        <v>0.9</v>
      </c>
      <c r="U379" s="133">
        <v>0</v>
      </c>
      <c r="V379" s="133" t="s">
        <v>35</v>
      </c>
      <c r="W379" s="133" t="s">
        <v>35</v>
      </c>
      <c r="X379" s="133">
        <v>0.666666666666667</v>
      </c>
      <c r="Y379" s="135">
        <v>0.92</v>
      </c>
      <c r="Z379" s="135">
        <v>0.111111111111111</v>
      </c>
      <c r="AA379" s="135" t="s">
        <v>35</v>
      </c>
      <c r="AB379" s="135" t="s">
        <v>35</v>
      </c>
      <c r="AC379" s="135">
        <v>0.641025641025641</v>
      </c>
      <c r="AD379" s="135">
        <v>0.92</v>
      </c>
      <c r="AE379" s="133">
        <v>1</v>
      </c>
      <c r="AF379" s="133">
        <v>0.997368421052632</v>
      </c>
      <c r="AG379" s="133">
        <v>1</v>
      </c>
      <c r="AH379" s="133">
        <v>0.989317134478425</v>
      </c>
      <c r="AI379" s="135">
        <v>0.92</v>
      </c>
      <c r="AJ379" s="133">
        <v>0.955586080586081</v>
      </c>
      <c r="AK379" s="133">
        <v>0.912427897220766</v>
      </c>
      <c r="AL379" s="133">
        <v>0.831677852348993</v>
      </c>
      <c r="AM379" s="133">
        <v>0.909052874558176</v>
      </c>
      <c r="AN379" s="132">
        <v>0.99</v>
      </c>
      <c r="AO379" s="137">
        <v>1</v>
      </c>
      <c r="AP379" s="137">
        <v>1</v>
      </c>
      <c r="AQ379" s="137">
        <v>1</v>
      </c>
      <c r="AR379" s="137">
        <v>1</v>
      </c>
      <c r="AS379" s="158">
        <v>0.05</v>
      </c>
      <c r="AT379" s="141">
        <v>0.111111111111111</v>
      </c>
      <c r="AU379" s="141">
        <v>0.2</v>
      </c>
      <c r="AV379" s="141">
        <v>0</v>
      </c>
      <c r="AW379" s="141">
        <v>0.150862068965517</v>
      </c>
      <c r="AX379" s="95"/>
      <c r="AY379" s="93"/>
    </row>
    <row r="380" ht="15" spans="1:51">
      <c r="A380" s="91"/>
      <c r="B380" s="95"/>
      <c r="C380" s="152" t="s">
        <v>375</v>
      </c>
      <c r="D380" s="153" t="s">
        <v>25</v>
      </c>
      <c r="E380" s="130" t="s">
        <v>376</v>
      </c>
      <c r="F380" s="154" t="s">
        <v>406</v>
      </c>
      <c r="G380" s="154" t="s">
        <v>406</v>
      </c>
      <c r="H380" s="154" t="s">
        <v>406</v>
      </c>
      <c r="I380" s="154" t="s">
        <v>406</v>
      </c>
      <c r="J380" s="132">
        <v>0.9</v>
      </c>
      <c r="K380" s="133">
        <v>0.98</v>
      </c>
      <c r="L380" s="133">
        <v>1</v>
      </c>
      <c r="M380" s="134">
        <v>0.977777777777778</v>
      </c>
      <c r="N380" s="133">
        <v>0.984216459977452</v>
      </c>
      <c r="O380" s="135">
        <v>0.9</v>
      </c>
      <c r="P380" s="133">
        <v>0.930114358322745</v>
      </c>
      <c r="Q380" s="133">
        <v>0.925438596491228</v>
      </c>
      <c r="R380" s="133">
        <v>0.938013442867812</v>
      </c>
      <c r="S380" s="133">
        <v>0.933709066526522</v>
      </c>
      <c r="T380" s="135">
        <v>0.9</v>
      </c>
      <c r="U380" s="133">
        <v>0.869123252858958</v>
      </c>
      <c r="V380" s="133">
        <v>0.858918128654971</v>
      </c>
      <c r="W380" s="133">
        <v>0.849887976101568</v>
      </c>
      <c r="X380" s="133">
        <v>0.866729490223084</v>
      </c>
      <c r="Y380" s="135">
        <v>0.92</v>
      </c>
      <c r="Z380" s="135">
        <v>0.887744034707158</v>
      </c>
      <c r="AA380" s="135">
        <v>0.880425155004429</v>
      </c>
      <c r="AB380" s="135">
        <v>0.833732057416268</v>
      </c>
      <c r="AC380" s="135">
        <v>0.904330985915493</v>
      </c>
      <c r="AD380" s="135">
        <v>0.92</v>
      </c>
      <c r="AE380" s="133">
        <v>0.965986394557823</v>
      </c>
      <c r="AF380" s="133">
        <v>0.993421052631579</v>
      </c>
      <c r="AG380" s="133">
        <v>0.984126984126984</v>
      </c>
      <c r="AH380" s="133">
        <v>0.98015873015873</v>
      </c>
      <c r="AI380" s="135">
        <v>0.92</v>
      </c>
      <c r="AJ380" s="133">
        <v>0.914569923932124</v>
      </c>
      <c r="AK380" s="133">
        <v>0.921505806968362</v>
      </c>
      <c r="AL380" s="133">
        <v>0.918872758326217</v>
      </c>
      <c r="AM380" s="133">
        <v>0.946129275383125</v>
      </c>
      <c r="AN380" s="132">
        <v>0.99</v>
      </c>
      <c r="AO380" s="137">
        <v>1</v>
      </c>
      <c r="AP380" s="137">
        <v>1</v>
      </c>
      <c r="AQ380" s="137">
        <v>1</v>
      </c>
      <c r="AR380" s="137">
        <v>1</v>
      </c>
      <c r="AS380" s="158">
        <v>0.05</v>
      </c>
      <c r="AT380" s="141">
        <v>0.0588235294117647</v>
      </c>
      <c r="AU380" s="141">
        <v>0.222222222222222</v>
      </c>
      <c r="AV380" s="141">
        <v>0</v>
      </c>
      <c r="AW380" s="141">
        <v>0.100649350649351</v>
      </c>
      <c r="AX380" s="95"/>
      <c r="AY380" s="93"/>
    </row>
    <row r="381" ht="15" spans="1:51">
      <c r="A381" s="91"/>
      <c r="B381" s="95"/>
      <c r="C381" s="152" t="s">
        <v>375</v>
      </c>
      <c r="D381" s="153" t="s">
        <v>25</v>
      </c>
      <c r="E381" s="130" t="s">
        <v>376</v>
      </c>
      <c r="F381" s="154" t="s">
        <v>407</v>
      </c>
      <c r="G381" s="154" t="s">
        <v>407</v>
      </c>
      <c r="H381" s="154" t="s">
        <v>407</v>
      </c>
      <c r="I381" s="154" t="s">
        <v>407</v>
      </c>
      <c r="J381" s="132">
        <v>0.9</v>
      </c>
      <c r="K381" s="133">
        <v>0.673076923076923</v>
      </c>
      <c r="L381" s="133">
        <v>0.58974358974359</v>
      </c>
      <c r="M381" s="134">
        <v>0.634146341463415</v>
      </c>
      <c r="N381" s="133">
        <v>0.729792147806005</v>
      </c>
      <c r="O381" s="135">
        <v>0.9</v>
      </c>
      <c r="P381" s="133">
        <v>1</v>
      </c>
      <c r="Q381" s="133">
        <v>1</v>
      </c>
      <c r="R381" s="133">
        <v>0.6</v>
      </c>
      <c r="S381" s="133">
        <v>0.8</v>
      </c>
      <c r="T381" s="135">
        <v>0.9</v>
      </c>
      <c r="U381" s="133">
        <v>0</v>
      </c>
      <c r="V381" s="133">
        <v>0</v>
      </c>
      <c r="W381" s="133">
        <v>0.2</v>
      </c>
      <c r="X381" s="133">
        <v>0.2</v>
      </c>
      <c r="Y381" s="135">
        <v>0.92</v>
      </c>
      <c r="Z381" s="135">
        <v>0.25</v>
      </c>
      <c r="AA381" s="135">
        <v>0.8</v>
      </c>
      <c r="AB381" s="135">
        <v>0</v>
      </c>
      <c r="AC381" s="135">
        <v>0.372093023255814</v>
      </c>
      <c r="AD381" s="135">
        <v>0.92</v>
      </c>
      <c r="AE381" s="133">
        <v>0.923076923076923</v>
      </c>
      <c r="AF381" s="133">
        <v>0.943396226415094</v>
      </c>
      <c r="AG381" s="133">
        <v>0.75</v>
      </c>
      <c r="AH381" s="133">
        <v>0.881615598885794</v>
      </c>
      <c r="AI381" s="135">
        <v>0.92</v>
      </c>
      <c r="AJ381" s="133">
        <v>0.897417242633685</v>
      </c>
      <c r="AK381" s="133">
        <v>0.788224121557455</v>
      </c>
      <c r="AL381" s="133">
        <v>0.741019417475728</v>
      </c>
      <c r="AM381" s="133">
        <v>0.846691058476154</v>
      </c>
      <c r="AN381" s="132">
        <v>0.99</v>
      </c>
      <c r="AO381" s="137">
        <v>1</v>
      </c>
      <c r="AP381" s="137">
        <v>1</v>
      </c>
      <c r="AQ381" s="137">
        <v>1</v>
      </c>
      <c r="AR381" s="137">
        <v>1</v>
      </c>
      <c r="AS381" s="158">
        <v>0.05</v>
      </c>
      <c r="AT381" s="141">
        <v>0.142857142857143</v>
      </c>
      <c r="AU381" s="141">
        <v>0</v>
      </c>
      <c r="AV381" s="141">
        <v>0.1875</v>
      </c>
      <c r="AW381" s="141">
        <v>0.142857142857143</v>
      </c>
      <c r="AX381" s="95"/>
      <c r="AY381" s="93"/>
    </row>
    <row r="382" ht="15" spans="1:51">
      <c r="A382" s="91"/>
      <c r="B382" s="95"/>
      <c r="C382" s="152" t="s">
        <v>375</v>
      </c>
      <c r="D382" s="153" t="s">
        <v>25</v>
      </c>
      <c r="E382" s="130" t="s">
        <v>376</v>
      </c>
      <c r="F382" s="154" t="s">
        <v>408</v>
      </c>
      <c r="G382" s="154" t="s">
        <v>408</v>
      </c>
      <c r="H382" s="154" t="s">
        <v>408</v>
      </c>
      <c r="I382" s="154" t="s">
        <v>408</v>
      </c>
      <c r="J382" s="132">
        <v>0.9</v>
      </c>
      <c r="K382" s="133">
        <v>0.683544303797468</v>
      </c>
      <c r="L382" s="133">
        <v>0.720588235294118</v>
      </c>
      <c r="M382" s="134">
        <v>0.567164179104478</v>
      </c>
      <c r="N382" s="133">
        <v>0.629329403095063</v>
      </c>
      <c r="O382" s="135">
        <v>0.9</v>
      </c>
      <c r="P382" s="133">
        <v>0.956435643564356</v>
      </c>
      <c r="Q382" s="133">
        <v>0.930016181229773</v>
      </c>
      <c r="R382" s="133">
        <v>0.677855274629468</v>
      </c>
      <c r="S382" s="133">
        <v>0.733459839418888</v>
      </c>
      <c r="T382" s="135">
        <v>0.9</v>
      </c>
      <c r="U382" s="133">
        <v>0.713531353135314</v>
      </c>
      <c r="V382" s="133">
        <v>0.642394822006472</v>
      </c>
      <c r="W382" s="133">
        <v>0.530950305143854</v>
      </c>
      <c r="X382" s="133">
        <v>0.513716728389394</v>
      </c>
      <c r="Y382" s="135">
        <v>0.92</v>
      </c>
      <c r="Z382" s="135">
        <v>0.862335913833726</v>
      </c>
      <c r="AA382" s="135">
        <v>0.799507995079951</v>
      </c>
      <c r="AB382" s="135">
        <v>0.516435354273192</v>
      </c>
      <c r="AC382" s="135">
        <v>0.686828792047573</v>
      </c>
      <c r="AD382" s="135">
        <v>0.92</v>
      </c>
      <c r="AE382" s="133">
        <v>0.994011976047904</v>
      </c>
      <c r="AF382" s="133">
        <v>0.995479658463084</v>
      </c>
      <c r="AG382" s="133">
        <v>0.985555555555556</v>
      </c>
      <c r="AH382" s="133">
        <v>0.937992939232329</v>
      </c>
      <c r="AI382" s="135">
        <v>0.92</v>
      </c>
      <c r="AJ382" s="133">
        <v>0.889388639013826</v>
      </c>
      <c r="AK382" s="133">
        <v>0.842850170815032</v>
      </c>
      <c r="AL382" s="133">
        <v>0.743920845212142</v>
      </c>
      <c r="AM382" s="133">
        <v>0.822380416786011</v>
      </c>
      <c r="AN382" s="132">
        <v>0.99</v>
      </c>
      <c r="AO382" s="137">
        <v>1</v>
      </c>
      <c r="AP382" s="137">
        <v>1</v>
      </c>
      <c r="AQ382" s="137">
        <v>1</v>
      </c>
      <c r="AR382" s="137">
        <v>1</v>
      </c>
      <c r="AS382" s="158">
        <v>0.05</v>
      </c>
      <c r="AT382" s="141">
        <v>0.0227272727272727</v>
      </c>
      <c r="AU382" s="141">
        <v>0.571428571428571</v>
      </c>
      <c r="AV382" s="141">
        <v>0</v>
      </c>
      <c r="AW382" s="141">
        <v>0.128072445019405</v>
      </c>
      <c r="AX382" s="95"/>
      <c r="AY382" s="93"/>
    </row>
    <row r="383" ht="15" spans="1:51">
      <c r="A383" s="91"/>
      <c r="B383" s="95"/>
      <c r="C383" s="152" t="s">
        <v>375</v>
      </c>
      <c r="D383" s="153" t="s">
        <v>125</v>
      </c>
      <c r="E383" s="130" t="s">
        <v>376</v>
      </c>
      <c r="F383" s="154" t="s">
        <v>409</v>
      </c>
      <c r="G383" s="154" t="s">
        <v>409</v>
      </c>
      <c r="H383" s="154" t="s">
        <v>409</v>
      </c>
      <c r="I383" s="154" t="s">
        <v>409</v>
      </c>
      <c r="J383" s="132">
        <v>0.9</v>
      </c>
      <c r="K383" s="133" t="s">
        <v>35</v>
      </c>
      <c r="L383" s="133" t="s">
        <v>35</v>
      </c>
      <c r="M383" s="134" t="s">
        <v>35</v>
      </c>
      <c r="N383" s="133" t="s">
        <v>35</v>
      </c>
      <c r="O383" s="135">
        <v>0.9</v>
      </c>
      <c r="P383" s="133">
        <v>0.714285714285714</v>
      </c>
      <c r="Q383" s="133">
        <v>1</v>
      </c>
      <c r="R383" s="133" t="s">
        <v>35</v>
      </c>
      <c r="S383" s="133">
        <v>0.963302752293578</v>
      </c>
      <c r="T383" s="135">
        <v>0.9</v>
      </c>
      <c r="U383" s="133">
        <v>0.714285714285714</v>
      </c>
      <c r="V383" s="133">
        <v>1</v>
      </c>
      <c r="W383" s="133" t="s">
        <v>35</v>
      </c>
      <c r="X383" s="133">
        <v>0.954128440366973</v>
      </c>
      <c r="Y383" s="135">
        <v>0.92</v>
      </c>
      <c r="Z383" s="135" t="s">
        <v>35</v>
      </c>
      <c r="AA383" s="135" t="s">
        <v>35</v>
      </c>
      <c r="AB383" s="135" t="s">
        <v>35</v>
      </c>
      <c r="AC383" s="135">
        <v>1</v>
      </c>
      <c r="AD383" s="135">
        <v>0.92</v>
      </c>
      <c r="AE383" s="133">
        <v>0.989847715736041</v>
      </c>
      <c r="AF383" s="133">
        <v>1</v>
      </c>
      <c r="AG383" s="133">
        <v>1</v>
      </c>
      <c r="AH383" s="133">
        <v>0.999147303346834</v>
      </c>
      <c r="AI383" s="135">
        <v>0.92</v>
      </c>
      <c r="AJ383" s="133">
        <v>0.727272727272727</v>
      </c>
      <c r="AK383" s="133">
        <v>1</v>
      </c>
      <c r="AL383" s="133" t="s">
        <v>35</v>
      </c>
      <c r="AM383" s="133">
        <v>0.966244725738397</v>
      </c>
      <c r="AN383" s="132">
        <v>0.99</v>
      </c>
      <c r="AO383" s="137">
        <v>1</v>
      </c>
      <c r="AP383" s="137">
        <v>1</v>
      </c>
      <c r="AQ383" s="137">
        <v>1</v>
      </c>
      <c r="AR383" s="137">
        <v>1</v>
      </c>
      <c r="AS383" s="158">
        <v>0.05</v>
      </c>
      <c r="AT383" s="141" t="s">
        <v>35</v>
      </c>
      <c r="AU383" s="141" t="s">
        <v>35</v>
      </c>
      <c r="AV383" s="141" t="s">
        <v>35</v>
      </c>
      <c r="AW383" s="141" t="s">
        <v>35</v>
      </c>
      <c r="AX383" s="95"/>
      <c r="AY383" s="93"/>
    </row>
    <row r="384" ht="15" spans="1:51">
      <c r="A384" s="91"/>
      <c r="B384" s="95"/>
      <c r="C384" s="152" t="s">
        <v>375</v>
      </c>
      <c r="D384" s="153" t="s">
        <v>25</v>
      </c>
      <c r="E384" s="130" t="s">
        <v>376</v>
      </c>
      <c r="F384" s="154" t="s">
        <v>410</v>
      </c>
      <c r="G384" s="154" t="s">
        <v>410</v>
      </c>
      <c r="H384" s="154" t="s">
        <v>410</v>
      </c>
      <c r="I384" s="154" t="s">
        <v>410</v>
      </c>
      <c r="J384" s="132">
        <v>0.9</v>
      </c>
      <c r="K384" s="133">
        <v>1</v>
      </c>
      <c r="L384" s="133">
        <v>0.96551724137931</v>
      </c>
      <c r="M384" s="134">
        <v>1</v>
      </c>
      <c r="N384" s="133">
        <v>0.947368421052632</v>
      </c>
      <c r="O384" s="135">
        <v>0.9</v>
      </c>
      <c r="P384" s="133">
        <v>0.990454545454545</v>
      </c>
      <c r="Q384" s="133">
        <v>0.948304613674263</v>
      </c>
      <c r="R384" s="133">
        <v>0.960526315789474</v>
      </c>
      <c r="S384" s="133">
        <v>0.974375548270927</v>
      </c>
      <c r="T384" s="135">
        <v>0.9</v>
      </c>
      <c r="U384" s="133">
        <v>0.938181818181818</v>
      </c>
      <c r="V384" s="133">
        <v>0.891606448026682</v>
      </c>
      <c r="W384" s="133">
        <v>0.776595744680851</v>
      </c>
      <c r="X384" s="133">
        <v>0.860258245225234</v>
      </c>
      <c r="Y384" s="135">
        <v>0.92</v>
      </c>
      <c r="Z384" s="135">
        <v>0</v>
      </c>
      <c r="AA384" s="135">
        <v>0</v>
      </c>
      <c r="AB384" s="135" t="s">
        <v>35</v>
      </c>
      <c r="AC384" s="135">
        <v>0.142857142857143</v>
      </c>
      <c r="AD384" s="135">
        <v>0.92</v>
      </c>
      <c r="AE384" s="133">
        <v>0.975</v>
      </c>
      <c r="AF384" s="133">
        <v>0.995619275189168</v>
      </c>
      <c r="AG384" s="133">
        <v>0.999627421758569</v>
      </c>
      <c r="AH384" s="133">
        <v>0.958961611745703</v>
      </c>
      <c r="AI384" s="135">
        <v>0.92</v>
      </c>
      <c r="AJ384" s="133">
        <v>0.969160997732426</v>
      </c>
      <c r="AK384" s="133">
        <v>0.940654464780921</v>
      </c>
      <c r="AL384" s="133">
        <v>0.919530595138307</v>
      </c>
      <c r="AM384" s="133">
        <v>0.954346389661478</v>
      </c>
      <c r="AN384" s="132">
        <v>0.99</v>
      </c>
      <c r="AO384" s="137">
        <v>1</v>
      </c>
      <c r="AP384" s="137">
        <v>1</v>
      </c>
      <c r="AQ384" s="137">
        <v>1</v>
      </c>
      <c r="AR384" s="137">
        <v>1</v>
      </c>
      <c r="AS384" s="158">
        <v>0.05</v>
      </c>
      <c r="AT384" s="141">
        <v>0</v>
      </c>
      <c r="AU384" s="141">
        <v>0</v>
      </c>
      <c r="AV384" s="141">
        <v>0.2</v>
      </c>
      <c r="AW384" s="141">
        <v>0.0397111913357401</v>
      </c>
      <c r="AX384" s="95"/>
      <c r="AY384" s="93"/>
    </row>
    <row r="385" ht="15" spans="1:51">
      <c r="A385" s="91"/>
      <c r="B385" s="95"/>
      <c r="C385" s="152" t="s">
        <v>375</v>
      </c>
      <c r="D385" s="153" t="s">
        <v>25</v>
      </c>
      <c r="E385" s="130" t="s">
        <v>376</v>
      </c>
      <c r="F385" s="154" t="s">
        <v>411</v>
      </c>
      <c r="G385" s="154" t="s">
        <v>411</v>
      </c>
      <c r="H385" s="154" t="s">
        <v>411</v>
      </c>
      <c r="I385" s="154" t="s">
        <v>411</v>
      </c>
      <c r="J385" s="132">
        <v>0.9</v>
      </c>
      <c r="K385" s="133">
        <v>0.967741935483871</v>
      </c>
      <c r="L385" s="133">
        <v>0.833333333333333</v>
      </c>
      <c r="M385" s="134">
        <v>0.857142857142857</v>
      </c>
      <c r="N385" s="133">
        <v>0.892857142857143</v>
      </c>
      <c r="O385" s="135">
        <v>0.9</v>
      </c>
      <c r="P385" s="133" t="s">
        <v>35</v>
      </c>
      <c r="Q385" s="133" t="s">
        <v>35</v>
      </c>
      <c r="R385" s="133">
        <v>1</v>
      </c>
      <c r="S385" s="133">
        <v>0.333333333333333</v>
      </c>
      <c r="T385" s="135">
        <v>0.9</v>
      </c>
      <c r="U385" s="133" t="s">
        <v>35</v>
      </c>
      <c r="V385" s="133" t="s">
        <v>35</v>
      </c>
      <c r="W385" s="133">
        <v>0</v>
      </c>
      <c r="X385" s="133">
        <v>0</v>
      </c>
      <c r="Y385" s="135">
        <v>0.92</v>
      </c>
      <c r="Z385" s="135">
        <v>0</v>
      </c>
      <c r="AA385" s="135">
        <v>0</v>
      </c>
      <c r="AB385" s="135" t="s">
        <v>35</v>
      </c>
      <c r="AC385" s="135">
        <v>0.333333333333333</v>
      </c>
      <c r="AD385" s="135">
        <v>0.92</v>
      </c>
      <c r="AE385" s="133">
        <v>0.99535288992158</v>
      </c>
      <c r="AF385" s="133">
        <v>0.989680082559339</v>
      </c>
      <c r="AG385" s="133">
        <v>0.999029597282872</v>
      </c>
      <c r="AH385" s="133">
        <v>0.996005929342008</v>
      </c>
      <c r="AI385" s="135">
        <v>0.92</v>
      </c>
      <c r="AJ385" s="133">
        <v>0.94332818134982</v>
      </c>
      <c r="AK385" s="133">
        <v>0.9588772845953</v>
      </c>
      <c r="AL385" s="133">
        <v>0.933785032337542</v>
      </c>
      <c r="AM385" s="133">
        <v>0.967396710515033</v>
      </c>
      <c r="AN385" s="132">
        <v>0.99</v>
      </c>
      <c r="AO385" s="137">
        <v>1</v>
      </c>
      <c r="AP385" s="137">
        <v>1</v>
      </c>
      <c r="AQ385" s="137">
        <v>1</v>
      </c>
      <c r="AR385" s="137">
        <v>1</v>
      </c>
      <c r="AS385" s="158">
        <v>0.05</v>
      </c>
      <c r="AT385" s="141">
        <v>0.222222222222222</v>
      </c>
      <c r="AU385" s="141">
        <v>0</v>
      </c>
      <c r="AV385" s="141">
        <v>0</v>
      </c>
      <c r="AW385" s="141">
        <v>0.0663507109004739</v>
      </c>
      <c r="AX385" s="95"/>
      <c r="AY385" s="93"/>
    </row>
    <row r="386" ht="15" spans="1:51">
      <c r="A386" s="91"/>
      <c r="B386" s="95"/>
      <c r="C386" s="152" t="s">
        <v>375</v>
      </c>
      <c r="D386" s="153" t="s">
        <v>25</v>
      </c>
      <c r="E386" s="130" t="s">
        <v>376</v>
      </c>
      <c r="F386" s="154" t="s">
        <v>412</v>
      </c>
      <c r="G386" s="154" t="s">
        <v>412</v>
      </c>
      <c r="H386" s="154" t="s">
        <v>412</v>
      </c>
      <c r="I386" s="154" t="s">
        <v>412</v>
      </c>
      <c r="J386" s="132">
        <v>0.9</v>
      </c>
      <c r="K386" s="133">
        <v>1</v>
      </c>
      <c r="L386" s="133">
        <v>0.8</v>
      </c>
      <c r="M386" s="134">
        <v>0.916666666666667</v>
      </c>
      <c r="N386" s="133">
        <v>0.891836734693878</v>
      </c>
      <c r="O386" s="135">
        <v>0.9</v>
      </c>
      <c r="P386" s="133" t="s">
        <v>35</v>
      </c>
      <c r="Q386" s="133" t="s">
        <v>35</v>
      </c>
      <c r="R386" s="133">
        <v>0</v>
      </c>
      <c r="S386" s="133">
        <v>0.4</v>
      </c>
      <c r="T386" s="135">
        <v>0.9</v>
      </c>
      <c r="U386" s="133" t="s">
        <v>35</v>
      </c>
      <c r="V386" s="133" t="s">
        <v>35</v>
      </c>
      <c r="W386" s="133">
        <v>0</v>
      </c>
      <c r="X386" s="133">
        <v>0.4</v>
      </c>
      <c r="Y386" s="135">
        <v>0.92</v>
      </c>
      <c r="Z386" s="135" t="s">
        <v>35</v>
      </c>
      <c r="AA386" s="135" t="s">
        <v>35</v>
      </c>
      <c r="AB386" s="135" t="s">
        <v>35</v>
      </c>
      <c r="AC386" s="135">
        <v>0.5</v>
      </c>
      <c r="AD386" s="135">
        <v>0.92</v>
      </c>
      <c r="AE386" s="133">
        <v>1</v>
      </c>
      <c r="AF386" s="133">
        <v>1</v>
      </c>
      <c r="AG386" s="133">
        <v>0.989795918367347</v>
      </c>
      <c r="AH386" s="133">
        <v>0.988439306358382</v>
      </c>
      <c r="AI386" s="135">
        <v>0.92</v>
      </c>
      <c r="AJ386" s="133">
        <v>0.916040955631399</v>
      </c>
      <c r="AK386" s="133">
        <v>0.825116761805916</v>
      </c>
      <c r="AL386" s="133">
        <v>0.82542845755281</v>
      </c>
      <c r="AM386" s="133">
        <v>0.890275053596679</v>
      </c>
      <c r="AN386" s="132">
        <v>0.99</v>
      </c>
      <c r="AO386" s="137">
        <v>1</v>
      </c>
      <c r="AP386" s="137">
        <v>1</v>
      </c>
      <c r="AQ386" s="137">
        <v>1</v>
      </c>
      <c r="AR386" s="137">
        <v>1</v>
      </c>
      <c r="AS386" s="158">
        <v>0.05</v>
      </c>
      <c r="AT386" s="141">
        <v>0</v>
      </c>
      <c r="AU386" s="141">
        <v>0.5</v>
      </c>
      <c r="AV386" s="141">
        <v>0</v>
      </c>
      <c r="AW386" s="141">
        <v>0.124031007751938</v>
      </c>
      <c r="AX386" s="95"/>
      <c r="AY386" s="93"/>
    </row>
    <row r="387" ht="15" spans="1:51">
      <c r="A387" s="91"/>
      <c r="B387" s="95"/>
      <c r="C387" s="152" t="s">
        <v>375</v>
      </c>
      <c r="D387" s="153" t="s">
        <v>25</v>
      </c>
      <c r="E387" s="130" t="s">
        <v>376</v>
      </c>
      <c r="F387" s="154" t="s">
        <v>413</v>
      </c>
      <c r="G387" s="154" t="s">
        <v>413</v>
      </c>
      <c r="H387" s="154" t="s">
        <v>413</v>
      </c>
      <c r="I387" s="154" t="s">
        <v>413</v>
      </c>
      <c r="J387" s="132">
        <v>0.9</v>
      </c>
      <c r="K387" s="133">
        <v>0.954545454545455</v>
      </c>
      <c r="L387" s="133">
        <v>0.871794871794872</v>
      </c>
      <c r="M387" s="134">
        <v>0.810810810810811</v>
      </c>
      <c r="N387" s="133">
        <v>0.912117177097204</v>
      </c>
      <c r="O387" s="135">
        <v>0.9</v>
      </c>
      <c r="P387" s="133" t="s">
        <v>35</v>
      </c>
      <c r="Q387" s="133" t="s">
        <v>35</v>
      </c>
      <c r="R387" s="133">
        <v>1</v>
      </c>
      <c r="S387" s="133">
        <v>0.315789473684211</v>
      </c>
      <c r="T387" s="135">
        <v>0.9</v>
      </c>
      <c r="U387" s="133" t="s">
        <v>35</v>
      </c>
      <c r="V387" s="133" t="s">
        <v>35</v>
      </c>
      <c r="W387" s="133">
        <v>1</v>
      </c>
      <c r="X387" s="133">
        <v>0.315789473684211</v>
      </c>
      <c r="Y387" s="135">
        <v>0.92</v>
      </c>
      <c r="Z387" s="135" t="s">
        <v>35</v>
      </c>
      <c r="AA387" s="135" t="s">
        <v>35</v>
      </c>
      <c r="AB387" s="135" t="s">
        <v>35</v>
      </c>
      <c r="AC387" s="135" t="s">
        <v>35</v>
      </c>
      <c r="AD387" s="135">
        <v>0.92</v>
      </c>
      <c r="AE387" s="133">
        <v>0.941655359565807</v>
      </c>
      <c r="AF387" s="133">
        <v>0.996523754345307</v>
      </c>
      <c r="AG387" s="133">
        <v>0.999372647427854</v>
      </c>
      <c r="AH387" s="133">
        <v>0.995159625582802</v>
      </c>
      <c r="AI387" s="135">
        <v>0.92</v>
      </c>
      <c r="AJ387" s="133">
        <v>0.937530742744712</v>
      </c>
      <c r="AK387" s="133">
        <v>0.921385376580539</v>
      </c>
      <c r="AL387" s="133">
        <v>0.891389688563203</v>
      </c>
      <c r="AM387" s="133">
        <v>0.931498905432246</v>
      </c>
      <c r="AN387" s="132">
        <v>0.99</v>
      </c>
      <c r="AO387" s="137">
        <v>1</v>
      </c>
      <c r="AP387" s="137">
        <v>1</v>
      </c>
      <c r="AQ387" s="137">
        <v>1</v>
      </c>
      <c r="AR387" s="137">
        <v>1</v>
      </c>
      <c r="AS387" s="158">
        <v>0.05</v>
      </c>
      <c r="AT387" s="141">
        <v>0.142857142857143</v>
      </c>
      <c r="AU387" s="141">
        <v>0</v>
      </c>
      <c r="AV387" s="141">
        <v>0</v>
      </c>
      <c r="AW387" s="141">
        <v>0.0642857142857143</v>
      </c>
      <c r="AX387" s="95"/>
      <c r="AY387" s="93"/>
    </row>
    <row r="388" ht="15" spans="1:51">
      <c r="A388" s="91"/>
      <c r="B388" s="95"/>
      <c r="C388" s="152" t="s">
        <v>375</v>
      </c>
      <c r="D388" s="153" t="s">
        <v>25</v>
      </c>
      <c r="E388" s="130" t="s">
        <v>376</v>
      </c>
      <c r="F388" s="154" t="s">
        <v>414</v>
      </c>
      <c r="G388" s="154" t="s">
        <v>414</v>
      </c>
      <c r="H388" s="154" t="s">
        <v>414</v>
      </c>
      <c r="I388" s="154" t="s">
        <v>414</v>
      </c>
      <c r="J388" s="132">
        <v>0.9</v>
      </c>
      <c r="K388" s="133">
        <v>0.953125</v>
      </c>
      <c r="L388" s="133">
        <v>0.947368421052632</v>
      </c>
      <c r="M388" s="134">
        <v>0.983333333333333</v>
      </c>
      <c r="N388" s="133">
        <v>0.970848056537102</v>
      </c>
      <c r="O388" s="135">
        <v>0.9</v>
      </c>
      <c r="P388" s="133">
        <v>0.142857142857143</v>
      </c>
      <c r="Q388" s="133">
        <v>0</v>
      </c>
      <c r="R388" s="133">
        <v>0.5</v>
      </c>
      <c r="S388" s="133">
        <v>0.434782608695652</v>
      </c>
      <c r="T388" s="135">
        <v>0.9</v>
      </c>
      <c r="U388" s="133">
        <v>0.142857142857143</v>
      </c>
      <c r="V388" s="133">
        <v>0</v>
      </c>
      <c r="W388" s="133">
        <v>0.5</v>
      </c>
      <c r="X388" s="133">
        <v>0.391304347826087</v>
      </c>
      <c r="Y388" s="135">
        <v>0.92</v>
      </c>
      <c r="Z388" s="135">
        <v>1</v>
      </c>
      <c r="AA388" s="135" t="s">
        <v>35</v>
      </c>
      <c r="AB388" s="135" t="s">
        <v>35</v>
      </c>
      <c r="AC388" s="135">
        <v>0.625</v>
      </c>
      <c r="AD388" s="135">
        <v>0.92</v>
      </c>
      <c r="AE388" s="133">
        <v>0.992395437262357</v>
      </c>
      <c r="AF388" s="133">
        <v>0.997818181818182</v>
      </c>
      <c r="AG388" s="133">
        <v>0.99066091954023</v>
      </c>
      <c r="AH388" s="133">
        <v>0.99502575945994</v>
      </c>
      <c r="AI388" s="135">
        <v>0.92</v>
      </c>
      <c r="AJ388" s="133">
        <v>0.940553467714383</v>
      </c>
      <c r="AK388" s="133">
        <v>0.942230183609494</v>
      </c>
      <c r="AL388" s="133">
        <v>0.94447691408533</v>
      </c>
      <c r="AM388" s="133">
        <v>0.952032266065632</v>
      </c>
      <c r="AN388" s="132">
        <v>0.99</v>
      </c>
      <c r="AO388" s="137">
        <v>1</v>
      </c>
      <c r="AP388" s="137">
        <v>1</v>
      </c>
      <c r="AQ388" s="137">
        <v>1</v>
      </c>
      <c r="AR388" s="137">
        <v>1</v>
      </c>
      <c r="AS388" s="158">
        <v>0.05</v>
      </c>
      <c r="AT388" s="141">
        <v>0</v>
      </c>
      <c r="AU388" s="141">
        <v>0</v>
      </c>
      <c r="AV388" s="141">
        <v>0.0714285714285714</v>
      </c>
      <c r="AW388" s="141">
        <v>0.0607734806629834</v>
      </c>
      <c r="AX388" s="95"/>
      <c r="AY388" s="93"/>
    </row>
    <row r="389" ht="15" spans="1:51">
      <c r="A389" s="91"/>
      <c r="B389" s="95"/>
      <c r="C389" s="152" t="s">
        <v>375</v>
      </c>
      <c r="D389" s="153" t="s">
        <v>25</v>
      </c>
      <c r="E389" s="130" t="s">
        <v>376</v>
      </c>
      <c r="F389" s="154" t="s">
        <v>415</v>
      </c>
      <c r="G389" s="154" t="s">
        <v>415</v>
      </c>
      <c r="H389" s="154" t="s">
        <v>415</v>
      </c>
      <c r="I389" s="154" t="s">
        <v>415</v>
      </c>
      <c r="J389" s="132">
        <v>0.9</v>
      </c>
      <c r="K389" s="133">
        <v>0.918367346938776</v>
      </c>
      <c r="L389" s="133">
        <v>0.893617021276596</v>
      </c>
      <c r="M389" s="134">
        <v>0.902439024390244</v>
      </c>
      <c r="N389" s="133">
        <v>0.918577981651376</v>
      </c>
      <c r="O389" s="135">
        <v>0.9</v>
      </c>
      <c r="P389" s="133" t="s">
        <v>35</v>
      </c>
      <c r="Q389" s="133" t="s">
        <v>35</v>
      </c>
      <c r="R389" s="133" t="s">
        <v>35</v>
      </c>
      <c r="S389" s="133">
        <v>0.25</v>
      </c>
      <c r="T389" s="135">
        <v>0.9</v>
      </c>
      <c r="U389" s="133" t="s">
        <v>35</v>
      </c>
      <c r="V389" s="133" t="s">
        <v>35</v>
      </c>
      <c r="W389" s="133" t="s">
        <v>35</v>
      </c>
      <c r="X389" s="133">
        <v>0.25</v>
      </c>
      <c r="Y389" s="135">
        <v>0.92</v>
      </c>
      <c r="Z389" s="135" t="s">
        <v>35</v>
      </c>
      <c r="AA389" s="135" t="s">
        <v>35</v>
      </c>
      <c r="AB389" s="135" t="s">
        <v>35</v>
      </c>
      <c r="AC389" s="135">
        <v>0.5</v>
      </c>
      <c r="AD389" s="135">
        <v>0.92</v>
      </c>
      <c r="AE389" s="133">
        <v>0.966101694915254</v>
      </c>
      <c r="AF389" s="133">
        <v>0.948529411764706</v>
      </c>
      <c r="AG389" s="133">
        <v>1</v>
      </c>
      <c r="AH389" s="133">
        <v>0.98314837648993</v>
      </c>
      <c r="AI389" s="135">
        <v>0.92</v>
      </c>
      <c r="AJ389" s="133">
        <v>0.928324270884824</v>
      </c>
      <c r="AK389" s="133">
        <v>0.945366898768077</v>
      </c>
      <c r="AL389" s="133">
        <v>0.799001940670918</v>
      </c>
      <c r="AM389" s="133">
        <v>0.920777171316471</v>
      </c>
      <c r="AN389" s="132">
        <v>0.99</v>
      </c>
      <c r="AO389" s="137">
        <v>1</v>
      </c>
      <c r="AP389" s="137">
        <v>1</v>
      </c>
      <c r="AQ389" s="137">
        <v>1</v>
      </c>
      <c r="AR389" s="137">
        <v>1</v>
      </c>
      <c r="AS389" s="158">
        <v>0.05</v>
      </c>
      <c r="AT389" s="141">
        <v>0.111111111111111</v>
      </c>
      <c r="AU389" s="141">
        <v>0.125</v>
      </c>
      <c r="AV389" s="141">
        <v>0</v>
      </c>
      <c r="AW389" s="141">
        <v>0.0377358490566038</v>
      </c>
      <c r="AX389" s="95"/>
      <c r="AY389" s="93"/>
    </row>
    <row r="390" ht="15" spans="1:51">
      <c r="A390" s="91"/>
      <c r="B390" s="95"/>
      <c r="C390" s="152" t="s">
        <v>375</v>
      </c>
      <c r="D390" s="153" t="s">
        <v>25</v>
      </c>
      <c r="E390" s="130" t="s">
        <v>376</v>
      </c>
      <c r="F390" s="154" t="s">
        <v>416</v>
      </c>
      <c r="G390" s="154" t="s">
        <v>416</v>
      </c>
      <c r="H390" s="154" t="s">
        <v>416</v>
      </c>
      <c r="I390" s="154" t="s">
        <v>416</v>
      </c>
      <c r="J390" s="132">
        <v>0.9</v>
      </c>
      <c r="K390" s="133">
        <v>0.91304347826087</v>
      </c>
      <c r="L390" s="133">
        <v>0.925</v>
      </c>
      <c r="M390" s="134">
        <v>0.928571428571429</v>
      </c>
      <c r="N390" s="133">
        <v>0.95088161209068</v>
      </c>
      <c r="O390" s="135">
        <v>0.9</v>
      </c>
      <c r="P390" s="133">
        <v>1</v>
      </c>
      <c r="Q390" s="133">
        <v>0</v>
      </c>
      <c r="R390" s="133" t="s">
        <v>35</v>
      </c>
      <c r="S390" s="133">
        <v>0.5</v>
      </c>
      <c r="T390" s="135">
        <v>0.9</v>
      </c>
      <c r="U390" s="133">
        <v>1</v>
      </c>
      <c r="V390" s="133">
        <v>0</v>
      </c>
      <c r="W390" s="133" t="s">
        <v>35</v>
      </c>
      <c r="X390" s="133">
        <v>0.571428571428571</v>
      </c>
      <c r="Y390" s="135">
        <v>0.92</v>
      </c>
      <c r="Z390" s="135" t="s">
        <v>35</v>
      </c>
      <c r="AA390" s="135" t="s">
        <v>35</v>
      </c>
      <c r="AB390" s="135">
        <v>0</v>
      </c>
      <c r="AC390" s="135">
        <v>0.857142857142857</v>
      </c>
      <c r="AD390" s="135">
        <v>0.92</v>
      </c>
      <c r="AE390" s="133">
        <v>0.998251748251748</v>
      </c>
      <c r="AF390" s="133">
        <v>0.998081747085731</v>
      </c>
      <c r="AG390" s="133">
        <v>0.997987927565392</v>
      </c>
      <c r="AH390" s="133">
        <v>0.998448914239968</v>
      </c>
      <c r="AI390" s="135">
        <v>0.92</v>
      </c>
      <c r="AJ390" s="133">
        <v>0.944363636363636</v>
      </c>
      <c r="AK390" s="133">
        <v>0.92129246064623</v>
      </c>
      <c r="AL390" s="133">
        <v>0.945601359966001</v>
      </c>
      <c r="AM390" s="133">
        <v>0.943950988160992</v>
      </c>
      <c r="AN390" s="132">
        <v>0.99</v>
      </c>
      <c r="AO390" s="137">
        <v>1</v>
      </c>
      <c r="AP390" s="137">
        <v>1</v>
      </c>
      <c r="AQ390" s="137">
        <v>1</v>
      </c>
      <c r="AR390" s="137">
        <v>1</v>
      </c>
      <c r="AS390" s="158">
        <v>0.05</v>
      </c>
      <c r="AT390" s="141">
        <v>0</v>
      </c>
      <c r="AU390" s="141">
        <v>0</v>
      </c>
      <c r="AV390" s="141">
        <v>0.111111111111111</v>
      </c>
      <c r="AW390" s="141">
        <v>0.0464135021097046</v>
      </c>
      <c r="AX390" s="95"/>
      <c r="AY390" s="93"/>
    </row>
    <row r="391" ht="15" spans="1:51">
      <c r="A391" s="91"/>
      <c r="B391" s="95"/>
      <c r="C391" s="152" t="s">
        <v>375</v>
      </c>
      <c r="D391" s="153" t="s">
        <v>25</v>
      </c>
      <c r="E391" s="130" t="s">
        <v>376</v>
      </c>
      <c r="F391" s="154" t="s">
        <v>417</v>
      </c>
      <c r="G391" s="154" t="s">
        <v>417</v>
      </c>
      <c r="H391" s="154" t="s">
        <v>417</v>
      </c>
      <c r="I391" s="154" t="s">
        <v>417</v>
      </c>
      <c r="J391" s="132">
        <v>0.9</v>
      </c>
      <c r="K391" s="133">
        <v>0.979166666666667</v>
      </c>
      <c r="L391" s="133">
        <v>0.975609756097561</v>
      </c>
      <c r="M391" s="134">
        <v>0.825</v>
      </c>
      <c r="N391" s="133">
        <v>0.935601458080194</v>
      </c>
      <c r="O391" s="135">
        <v>0.9</v>
      </c>
      <c r="P391" s="133">
        <v>0.978129713423831</v>
      </c>
      <c r="Q391" s="133">
        <v>0.979178082191781</v>
      </c>
      <c r="R391" s="133">
        <v>0.936636702477527</v>
      </c>
      <c r="S391" s="133">
        <v>0.954051509136255</v>
      </c>
      <c r="T391" s="135">
        <v>0.9</v>
      </c>
      <c r="U391" s="133">
        <v>0.892156862745098</v>
      </c>
      <c r="V391" s="133">
        <v>0.843287671232877</v>
      </c>
      <c r="W391" s="133">
        <v>0.851348388511291</v>
      </c>
      <c r="X391" s="133">
        <v>0.875082709828473</v>
      </c>
      <c r="Y391" s="135">
        <v>0.92</v>
      </c>
      <c r="Z391" s="135" t="s">
        <v>35</v>
      </c>
      <c r="AA391" s="135">
        <v>1</v>
      </c>
      <c r="AB391" s="135" t="s">
        <v>35</v>
      </c>
      <c r="AC391" s="135">
        <v>1</v>
      </c>
      <c r="AD391" s="135">
        <v>0.92</v>
      </c>
      <c r="AE391" s="133">
        <v>0.997351312304358</v>
      </c>
      <c r="AF391" s="133">
        <v>0.996976241900648</v>
      </c>
      <c r="AG391" s="133">
        <v>1</v>
      </c>
      <c r="AH391" s="133">
        <v>0.989400785980363</v>
      </c>
      <c r="AI391" s="135">
        <v>0.92</v>
      </c>
      <c r="AJ391" s="133">
        <v>0.961176027139088</v>
      </c>
      <c r="AK391" s="133">
        <v>0.95947426067908</v>
      </c>
      <c r="AL391" s="133">
        <v>0.920868040333187</v>
      </c>
      <c r="AM391" s="133">
        <v>0.964024475568955</v>
      </c>
      <c r="AN391" s="132">
        <v>0.99</v>
      </c>
      <c r="AO391" s="137">
        <v>1</v>
      </c>
      <c r="AP391" s="137">
        <v>1</v>
      </c>
      <c r="AQ391" s="137">
        <v>1</v>
      </c>
      <c r="AR391" s="137">
        <v>1</v>
      </c>
      <c r="AS391" s="158">
        <v>0.05</v>
      </c>
      <c r="AT391" s="141">
        <v>0</v>
      </c>
      <c r="AU391" s="141">
        <v>0.0909090909090909</v>
      </c>
      <c r="AV391" s="141">
        <v>0.0666666666666667</v>
      </c>
      <c r="AW391" s="141">
        <v>0.0608465608465608</v>
      </c>
      <c r="AX391" s="95"/>
      <c r="AY391" s="93"/>
    </row>
    <row r="392" ht="15" spans="1:51">
      <c r="A392" s="91"/>
      <c r="B392" s="95"/>
      <c r="C392" s="152" t="s">
        <v>375</v>
      </c>
      <c r="D392" s="153" t="s">
        <v>25</v>
      </c>
      <c r="E392" s="130" t="s">
        <v>376</v>
      </c>
      <c r="F392" s="154" t="s">
        <v>418</v>
      </c>
      <c r="G392" s="154" t="s">
        <v>418</v>
      </c>
      <c r="H392" s="154" t="s">
        <v>418</v>
      </c>
      <c r="I392" s="154" t="s">
        <v>418</v>
      </c>
      <c r="J392" s="132">
        <v>0.9</v>
      </c>
      <c r="K392" s="133">
        <v>0.956521739130435</v>
      </c>
      <c r="L392" s="133">
        <v>0.941176470588235</v>
      </c>
      <c r="M392" s="134">
        <v>0.945945945945946</v>
      </c>
      <c r="N392" s="133">
        <v>0.940182054616385</v>
      </c>
      <c r="O392" s="135">
        <v>0.9</v>
      </c>
      <c r="P392" s="133">
        <v>1</v>
      </c>
      <c r="Q392" s="133" t="s">
        <v>35</v>
      </c>
      <c r="R392" s="133" t="s">
        <v>35</v>
      </c>
      <c r="S392" s="133">
        <v>0.25</v>
      </c>
      <c r="T392" s="135">
        <v>0.9</v>
      </c>
      <c r="U392" s="133">
        <v>0</v>
      </c>
      <c r="V392" s="133" t="s">
        <v>35</v>
      </c>
      <c r="W392" s="133" t="s">
        <v>35</v>
      </c>
      <c r="X392" s="133">
        <v>0</v>
      </c>
      <c r="Y392" s="135">
        <v>0.92</v>
      </c>
      <c r="Z392" s="135" t="s">
        <v>35</v>
      </c>
      <c r="AA392" s="135" t="s">
        <v>35</v>
      </c>
      <c r="AB392" s="135" t="s">
        <v>35</v>
      </c>
      <c r="AC392" s="135">
        <v>0.5</v>
      </c>
      <c r="AD392" s="135">
        <v>0.92</v>
      </c>
      <c r="AE392" s="133">
        <v>1</v>
      </c>
      <c r="AF392" s="133">
        <v>1</v>
      </c>
      <c r="AG392" s="133">
        <v>1</v>
      </c>
      <c r="AH392" s="133">
        <v>0.98382126348228</v>
      </c>
      <c r="AI392" s="135">
        <v>0.92</v>
      </c>
      <c r="AJ392" s="133">
        <v>0.910150558523555</v>
      </c>
      <c r="AK392" s="133">
        <v>0.860827834433113</v>
      </c>
      <c r="AL392" s="133">
        <v>0.874323168994015</v>
      </c>
      <c r="AM392" s="133">
        <v>0.918452602807802</v>
      </c>
      <c r="AN392" s="132">
        <v>0.99</v>
      </c>
      <c r="AO392" s="137">
        <v>1</v>
      </c>
      <c r="AP392" s="137">
        <v>1</v>
      </c>
      <c r="AQ392" s="137">
        <v>1</v>
      </c>
      <c r="AR392" s="137">
        <v>1</v>
      </c>
      <c r="AS392" s="158">
        <v>0.05</v>
      </c>
      <c r="AT392" s="141">
        <v>0</v>
      </c>
      <c r="AU392" s="141">
        <v>0</v>
      </c>
      <c r="AV392" s="141">
        <v>0.125</v>
      </c>
      <c r="AW392" s="141">
        <v>0.0552147239263804</v>
      </c>
      <c r="AX392" s="95"/>
      <c r="AY392" s="93"/>
    </row>
    <row r="393" ht="15" spans="1:51">
      <c r="A393" s="91"/>
      <c r="B393" s="95"/>
      <c r="C393" s="152" t="s">
        <v>375</v>
      </c>
      <c r="D393" s="153" t="s">
        <v>25</v>
      </c>
      <c r="E393" s="130" t="s">
        <v>376</v>
      </c>
      <c r="F393" s="154" t="s">
        <v>419</v>
      </c>
      <c r="G393" s="154" t="s">
        <v>419</v>
      </c>
      <c r="H393" s="154" t="s">
        <v>419</v>
      </c>
      <c r="I393" s="154" t="s">
        <v>419</v>
      </c>
      <c r="J393" s="132">
        <v>0.9</v>
      </c>
      <c r="K393" s="133">
        <v>1</v>
      </c>
      <c r="L393" s="133">
        <v>0.947368421052632</v>
      </c>
      <c r="M393" s="134">
        <v>1</v>
      </c>
      <c r="N393" s="133">
        <v>0.974327628361858</v>
      </c>
      <c r="O393" s="135">
        <v>0.9</v>
      </c>
      <c r="P393" s="133" t="s">
        <v>35</v>
      </c>
      <c r="Q393" s="133" t="s">
        <v>35</v>
      </c>
      <c r="R393" s="133">
        <v>0</v>
      </c>
      <c r="S393" s="133">
        <v>0.140350877192982</v>
      </c>
      <c r="T393" s="135">
        <v>0.9</v>
      </c>
      <c r="U393" s="133" t="s">
        <v>35</v>
      </c>
      <c r="V393" s="133" t="s">
        <v>35</v>
      </c>
      <c r="W393" s="133">
        <v>0</v>
      </c>
      <c r="X393" s="133">
        <v>0.157894736842105</v>
      </c>
      <c r="Y393" s="135">
        <v>0.92</v>
      </c>
      <c r="Z393" s="135" t="s">
        <v>35</v>
      </c>
      <c r="AA393" s="135" t="s">
        <v>35</v>
      </c>
      <c r="AB393" s="135" t="s">
        <v>35</v>
      </c>
      <c r="AC393" s="135">
        <v>1</v>
      </c>
      <c r="AD393" s="135">
        <v>0.92</v>
      </c>
      <c r="AE393" s="133">
        <v>0.996825396825397</v>
      </c>
      <c r="AF393" s="133">
        <v>0.993957703927492</v>
      </c>
      <c r="AG393" s="133">
        <v>0.999760364246346</v>
      </c>
      <c r="AH393" s="133">
        <v>0.973053826194974</v>
      </c>
      <c r="AI393" s="135">
        <v>0.92</v>
      </c>
      <c r="AJ393" s="133">
        <v>0.975394321766561</v>
      </c>
      <c r="AK393" s="133">
        <v>0.944444444444444</v>
      </c>
      <c r="AL393" s="133">
        <v>0.926431080801819</v>
      </c>
      <c r="AM393" s="133">
        <v>0.96707621752969</v>
      </c>
      <c r="AN393" s="132">
        <v>0.99</v>
      </c>
      <c r="AO393" s="137">
        <v>1</v>
      </c>
      <c r="AP393" s="137">
        <v>1</v>
      </c>
      <c r="AQ393" s="137">
        <v>1</v>
      </c>
      <c r="AR393" s="137">
        <v>1</v>
      </c>
      <c r="AS393" s="158">
        <v>0.05</v>
      </c>
      <c r="AT393" s="141">
        <v>0.0714285714285714</v>
      </c>
      <c r="AU393" s="141">
        <v>0</v>
      </c>
      <c r="AV393" s="141">
        <v>0</v>
      </c>
      <c r="AW393" s="141">
        <v>0.0711974110032362</v>
      </c>
      <c r="AX393" s="95"/>
      <c r="AY393" s="93"/>
    </row>
    <row r="394" ht="15" spans="1:51">
      <c r="A394" s="91"/>
      <c r="B394" s="95"/>
      <c r="C394" s="152" t="s">
        <v>375</v>
      </c>
      <c r="D394" s="153" t="s">
        <v>25</v>
      </c>
      <c r="E394" s="130" t="s">
        <v>376</v>
      </c>
      <c r="F394" s="154" t="s">
        <v>420</v>
      </c>
      <c r="G394" s="154" t="s">
        <v>420</v>
      </c>
      <c r="H394" s="154" t="s">
        <v>420</v>
      </c>
      <c r="I394" s="154" t="s">
        <v>420</v>
      </c>
      <c r="J394" s="132">
        <v>0.9</v>
      </c>
      <c r="K394" s="133">
        <v>0.976190476190476</v>
      </c>
      <c r="L394" s="133">
        <v>0.96969696969697</v>
      </c>
      <c r="M394" s="134">
        <v>0.972222222222222</v>
      </c>
      <c r="N394" s="133">
        <v>0.968449931412894</v>
      </c>
      <c r="O394" s="135">
        <v>0.9</v>
      </c>
      <c r="P394" s="133">
        <v>0.979713603818616</v>
      </c>
      <c r="Q394" s="133">
        <v>0.986172218730358</v>
      </c>
      <c r="R394" s="133">
        <v>0.886650485436893</v>
      </c>
      <c r="S394" s="133">
        <v>0.96052359729642</v>
      </c>
      <c r="T394" s="135">
        <v>0.9</v>
      </c>
      <c r="U394" s="133">
        <v>0.939936356404137</v>
      </c>
      <c r="V394" s="133">
        <v>0.927089880578253</v>
      </c>
      <c r="W394" s="133">
        <v>0.873058252427184</v>
      </c>
      <c r="X394" s="133">
        <v>0.909108349812579</v>
      </c>
      <c r="Y394" s="135">
        <v>0.92</v>
      </c>
      <c r="Z394" s="135" t="s">
        <v>35</v>
      </c>
      <c r="AA394" s="135" t="s">
        <v>35</v>
      </c>
      <c r="AB394" s="135" t="s">
        <v>35</v>
      </c>
      <c r="AC394" s="135">
        <v>1</v>
      </c>
      <c r="AD394" s="135">
        <v>0.92</v>
      </c>
      <c r="AE394" s="133">
        <v>0.995089011663597</v>
      </c>
      <c r="AF394" s="133">
        <v>0.99702241028052</v>
      </c>
      <c r="AG394" s="133">
        <v>0.99981224183252</v>
      </c>
      <c r="AH394" s="133">
        <v>0.992236824198387</v>
      </c>
      <c r="AI394" s="135">
        <v>0.92</v>
      </c>
      <c r="AJ394" s="133">
        <v>0.959078267779102</v>
      </c>
      <c r="AK394" s="133">
        <v>0.954174513496547</v>
      </c>
      <c r="AL394" s="133">
        <v>0.926994906621392</v>
      </c>
      <c r="AM394" s="133">
        <v>0.954578959782993</v>
      </c>
      <c r="AN394" s="132">
        <v>0.99</v>
      </c>
      <c r="AO394" s="137">
        <v>1</v>
      </c>
      <c r="AP394" s="137">
        <v>1</v>
      </c>
      <c r="AQ394" s="137">
        <v>1</v>
      </c>
      <c r="AR394" s="137">
        <v>1</v>
      </c>
      <c r="AS394" s="158">
        <v>0.05</v>
      </c>
      <c r="AT394" s="141">
        <v>0</v>
      </c>
      <c r="AU394" s="141">
        <v>0.08</v>
      </c>
      <c r="AV394" s="141">
        <v>0.0416666666666667</v>
      </c>
      <c r="AW394" s="141">
        <v>0.0327868852459016</v>
      </c>
      <c r="AX394" s="95"/>
      <c r="AY394" s="93"/>
    </row>
    <row r="395" ht="15" spans="1:51">
      <c r="A395" s="91"/>
      <c r="B395" s="95"/>
      <c r="C395" s="152" t="s">
        <v>375</v>
      </c>
      <c r="D395" s="153" t="s">
        <v>25</v>
      </c>
      <c r="E395" s="130" t="s">
        <v>376</v>
      </c>
      <c r="F395" s="154" t="s">
        <v>421</v>
      </c>
      <c r="G395" s="154" t="s">
        <v>421</v>
      </c>
      <c r="H395" s="154" t="s">
        <v>421</v>
      </c>
      <c r="I395" s="154" t="s">
        <v>421</v>
      </c>
      <c r="J395" s="132">
        <v>0.9</v>
      </c>
      <c r="K395" s="133">
        <v>0.96875</v>
      </c>
      <c r="L395" s="133">
        <v>1</v>
      </c>
      <c r="M395" s="134">
        <v>0.96551724137931</v>
      </c>
      <c r="N395" s="133">
        <v>0.956293706293706</v>
      </c>
      <c r="O395" s="135">
        <v>0.9</v>
      </c>
      <c r="P395" s="133">
        <v>0</v>
      </c>
      <c r="Q395" s="133" t="s">
        <v>35</v>
      </c>
      <c r="R395" s="133" t="s">
        <v>35</v>
      </c>
      <c r="S395" s="133">
        <v>0.454545454545455</v>
      </c>
      <c r="T395" s="135">
        <v>0.9</v>
      </c>
      <c r="U395" s="133">
        <v>0</v>
      </c>
      <c r="V395" s="133" t="s">
        <v>35</v>
      </c>
      <c r="W395" s="133" t="s">
        <v>35</v>
      </c>
      <c r="X395" s="133">
        <v>0.545454545454545</v>
      </c>
      <c r="Y395" s="135">
        <v>0.92</v>
      </c>
      <c r="Z395" s="135" t="s">
        <v>35</v>
      </c>
      <c r="AA395" s="135" t="s">
        <v>35</v>
      </c>
      <c r="AB395" s="135" t="s">
        <v>35</v>
      </c>
      <c r="AC395" s="135" t="s">
        <v>35</v>
      </c>
      <c r="AD395" s="135">
        <v>0.92</v>
      </c>
      <c r="AE395" s="133">
        <v>0.984994138335287</v>
      </c>
      <c r="AF395" s="133">
        <v>0.989214175654854</v>
      </c>
      <c r="AG395" s="133">
        <v>0.997996794871795</v>
      </c>
      <c r="AH395" s="133">
        <v>0.993412874370443</v>
      </c>
      <c r="AI395" s="135">
        <v>0.92</v>
      </c>
      <c r="AJ395" s="133">
        <v>0.948917268184342</v>
      </c>
      <c r="AK395" s="133">
        <v>0.95827633378933</v>
      </c>
      <c r="AL395" s="133">
        <v>0.928618638466623</v>
      </c>
      <c r="AM395" s="133">
        <v>0.962133760797934</v>
      </c>
      <c r="AN395" s="132">
        <v>0.99</v>
      </c>
      <c r="AO395" s="137">
        <v>1</v>
      </c>
      <c r="AP395" s="137">
        <v>1</v>
      </c>
      <c r="AQ395" s="137">
        <v>1</v>
      </c>
      <c r="AR395" s="137">
        <v>1</v>
      </c>
      <c r="AS395" s="158">
        <v>0.05</v>
      </c>
      <c r="AT395" s="141">
        <v>0.0909090909090909</v>
      </c>
      <c r="AU395" s="141">
        <v>0.0714285714285714</v>
      </c>
      <c r="AV395" s="141">
        <v>0.153846153846154</v>
      </c>
      <c r="AW395" s="141">
        <v>0.0608974358974359</v>
      </c>
      <c r="AX395" s="95"/>
      <c r="AY395" s="93"/>
    </row>
    <row r="396" ht="15" spans="1:51">
      <c r="A396" s="91"/>
      <c r="B396" s="95"/>
      <c r="C396" s="152" t="s">
        <v>375</v>
      </c>
      <c r="D396" s="153" t="s">
        <v>25</v>
      </c>
      <c r="E396" s="130" t="s">
        <v>376</v>
      </c>
      <c r="F396" s="154" t="s">
        <v>422</v>
      </c>
      <c r="G396" s="154" t="s">
        <v>422</v>
      </c>
      <c r="H396" s="154" t="s">
        <v>422</v>
      </c>
      <c r="I396" s="154" t="s">
        <v>422</v>
      </c>
      <c r="J396" s="132">
        <v>0.9</v>
      </c>
      <c r="K396" s="133">
        <v>0.978723404255319</v>
      </c>
      <c r="L396" s="133">
        <v>0.973684210526316</v>
      </c>
      <c r="M396" s="134">
        <v>1</v>
      </c>
      <c r="N396" s="133">
        <v>0.978848413631022</v>
      </c>
      <c r="O396" s="135">
        <v>0.9</v>
      </c>
      <c r="P396" s="133">
        <v>0.333333333333333</v>
      </c>
      <c r="Q396" s="133" t="s">
        <v>35</v>
      </c>
      <c r="R396" s="133">
        <v>0.333333333333333</v>
      </c>
      <c r="S396" s="133">
        <v>0.379310344827586</v>
      </c>
      <c r="T396" s="135">
        <v>0.9</v>
      </c>
      <c r="U396" s="133">
        <v>0.333333333333333</v>
      </c>
      <c r="V396" s="133" t="s">
        <v>35</v>
      </c>
      <c r="W396" s="133">
        <v>0.333333333333333</v>
      </c>
      <c r="X396" s="133">
        <v>0.379310344827586</v>
      </c>
      <c r="Y396" s="135">
        <v>0.92</v>
      </c>
      <c r="Z396" s="135" t="s">
        <v>35</v>
      </c>
      <c r="AA396" s="135" t="s">
        <v>35</v>
      </c>
      <c r="AB396" s="135" t="s">
        <v>35</v>
      </c>
      <c r="AC396" s="135">
        <v>0</v>
      </c>
      <c r="AD396" s="135">
        <v>0.92</v>
      </c>
      <c r="AE396" s="133">
        <v>0.992982456140351</v>
      </c>
      <c r="AF396" s="133">
        <v>0.989162561576355</v>
      </c>
      <c r="AG396" s="133">
        <v>0.995983935742972</v>
      </c>
      <c r="AH396" s="133">
        <v>0.994442497371451</v>
      </c>
      <c r="AI396" s="135">
        <v>0.92</v>
      </c>
      <c r="AJ396" s="133">
        <v>0.935703479576399</v>
      </c>
      <c r="AK396" s="133">
        <v>0.916427889207259</v>
      </c>
      <c r="AL396" s="133">
        <v>0.900490091625826</v>
      </c>
      <c r="AM396" s="133">
        <v>0.945150501672241</v>
      </c>
      <c r="AN396" s="132">
        <v>0.99</v>
      </c>
      <c r="AO396" s="137">
        <v>1</v>
      </c>
      <c r="AP396" s="137">
        <v>1</v>
      </c>
      <c r="AQ396" s="137">
        <v>1</v>
      </c>
      <c r="AR396" s="137">
        <v>1</v>
      </c>
      <c r="AS396" s="158">
        <v>0.05</v>
      </c>
      <c r="AT396" s="141">
        <v>0</v>
      </c>
      <c r="AU396" s="141">
        <v>0</v>
      </c>
      <c r="AV396" s="141">
        <v>0</v>
      </c>
      <c r="AW396" s="141">
        <v>0.0774193548387097</v>
      </c>
      <c r="AX396" s="95"/>
      <c r="AY396" s="93"/>
    </row>
    <row r="397" ht="15" spans="1:51">
      <c r="A397" s="91"/>
      <c r="B397" s="95"/>
      <c r="C397" s="152" t="s">
        <v>375</v>
      </c>
      <c r="D397" s="153" t="s">
        <v>25</v>
      </c>
      <c r="E397" s="130" t="s">
        <v>376</v>
      </c>
      <c r="F397" s="154" t="s">
        <v>423</v>
      </c>
      <c r="G397" s="154" t="s">
        <v>423</v>
      </c>
      <c r="H397" s="154" t="s">
        <v>423</v>
      </c>
      <c r="I397" s="154" t="s">
        <v>423</v>
      </c>
      <c r="J397" s="132">
        <v>0.9</v>
      </c>
      <c r="K397" s="133">
        <v>0.92</v>
      </c>
      <c r="L397" s="133">
        <v>0.857142857142857</v>
      </c>
      <c r="M397" s="134">
        <v>0.818181818181818</v>
      </c>
      <c r="N397" s="133">
        <v>0.884875846501129</v>
      </c>
      <c r="O397" s="135">
        <v>0.9</v>
      </c>
      <c r="P397" s="133">
        <v>0.992857142857143</v>
      </c>
      <c r="Q397" s="133">
        <v>0.995429616087751</v>
      </c>
      <c r="R397" s="133">
        <v>0.986426999266324</v>
      </c>
      <c r="S397" s="133">
        <v>0.989958504321511</v>
      </c>
      <c r="T397" s="135">
        <v>0.9</v>
      </c>
      <c r="U397" s="133">
        <v>0.952380952380952</v>
      </c>
      <c r="V397" s="133">
        <v>0.968921389396709</v>
      </c>
      <c r="W397" s="133">
        <v>0.847395451210565</v>
      </c>
      <c r="X397" s="133">
        <v>0.898897269538504</v>
      </c>
      <c r="Y397" s="135">
        <v>0.92</v>
      </c>
      <c r="Z397" s="135" t="s">
        <v>35</v>
      </c>
      <c r="AA397" s="135">
        <v>0</v>
      </c>
      <c r="AB397" s="135" t="s">
        <v>35</v>
      </c>
      <c r="AC397" s="135">
        <v>0</v>
      </c>
      <c r="AD397" s="135">
        <v>0.92</v>
      </c>
      <c r="AE397" s="133">
        <v>0.990272373540856</v>
      </c>
      <c r="AF397" s="133">
        <v>0.997630331753555</v>
      </c>
      <c r="AG397" s="133">
        <v>0.99910394265233</v>
      </c>
      <c r="AH397" s="133">
        <v>0.990025748746443</v>
      </c>
      <c r="AI397" s="135">
        <v>0.92</v>
      </c>
      <c r="AJ397" s="133">
        <v>0.986317668054729</v>
      </c>
      <c r="AK397" s="133">
        <v>0.981751824817518</v>
      </c>
      <c r="AL397" s="133">
        <v>0.96993032636597</v>
      </c>
      <c r="AM397" s="133">
        <v>0.983845836579442</v>
      </c>
      <c r="AN397" s="132">
        <v>0.99</v>
      </c>
      <c r="AO397" s="137">
        <v>1</v>
      </c>
      <c r="AP397" s="137">
        <v>1</v>
      </c>
      <c r="AQ397" s="137">
        <v>1</v>
      </c>
      <c r="AR397" s="137">
        <v>1</v>
      </c>
      <c r="AS397" s="158">
        <v>0.05</v>
      </c>
      <c r="AT397" s="141">
        <v>0.1</v>
      </c>
      <c r="AU397" s="141">
        <v>0</v>
      </c>
      <c r="AV397" s="141">
        <v>0</v>
      </c>
      <c r="AW397" s="141">
        <v>0.0636942675159236</v>
      </c>
      <c r="AX397" s="95"/>
      <c r="AY397" s="93"/>
    </row>
    <row r="398" ht="15" spans="1:51">
      <c r="A398" s="91"/>
      <c r="B398" s="95"/>
      <c r="C398" s="152" t="s">
        <v>375</v>
      </c>
      <c r="D398" s="153" t="s">
        <v>25</v>
      </c>
      <c r="E398" s="130" t="s">
        <v>376</v>
      </c>
      <c r="F398" s="154" t="s">
        <v>424</v>
      </c>
      <c r="G398" s="154" t="s">
        <v>424</v>
      </c>
      <c r="H398" s="154" t="s">
        <v>424</v>
      </c>
      <c r="I398" s="154" t="s">
        <v>424</v>
      </c>
      <c r="J398" s="132">
        <v>0.9</v>
      </c>
      <c r="K398" s="133">
        <v>0.976190476190476</v>
      </c>
      <c r="L398" s="133">
        <v>1</v>
      </c>
      <c r="M398" s="134">
        <v>0.885714285714286</v>
      </c>
      <c r="N398" s="133">
        <v>0.93841642228739</v>
      </c>
      <c r="O398" s="135">
        <v>0.9</v>
      </c>
      <c r="P398" s="133">
        <v>0</v>
      </c>
      <c r="Q398" s="133">
        <v>0</v>
      </c>
      <c r="R398" s="133">
        <v>0</v>
      </c>
      <c r="S398" s="133">
        <v>0.0714285714285714</v>
      </c>
      <c r="T398" s="135">
        <v>0.9</v>
      </c>
      <c r="U398" s="133">
        <v>0</v>
      </c>
      <c r="V398" s="133">
        <v>0</v>
      </c>
      <c r="W398" s="133">
        <v>0</v>
      </c>
      <c r="X398" s="133">
        <v>0.357142857142857</v>
      </c>
      <c r="Y398" s="135">
        <v>0.92</v>
      </c>
      <c r="Z398" s="135">
        <v>0</v>
      </c>
      <c r="AA398" s="135" t="s">
        <v>35</v>
      </c>
      <c r="AB398" s="135" t="s">
        <v>35</v>
      </c>
      <c r="AC398" s="135">
        <v>0</v>
      </c>
      <c r="AD398" s="135">
        <v>0.92</v>
      </c>
      <c r="AE398" s="133">
        <v>0.990120746432492</v>
      </c>
      <c r="AF398" s="133">
        <v>0.99878197320341</v>
      </c>
      <c r="AG398" s="133">
        <v>1</v>
      </c>
      <c r="AH398" s="133">
        <v>0.986060292070071</v>
      </c>
      <c r="AI398" s="135">
        <v>0.92</v>
      </c>
      <c r="AJ398" s="133">
        <v>0.960881294964029</v>
      </c>
      <c r="AK398" s="133">
        <v>0.941281138790036</v>
      </c>
      <c r="AL398" s="133">
        <v>0.957688053097345</v>
      </c>
      <c r="AM398" s="133">
        <v>0.958842596722872</v>
      </c>
      <c r="AN398" s="132">
        <v>0.99</v>
      </c>
      <c r="AO398" s="137">
        <v>1</v>
      </c>
      <c r="AP398" s="137">
        <v>1</v>
      </c>
      <c r="AQ398" s="137">
        <v>1</v>
      </c>
      <c r="AR398" s="137">
        <v>1</v>
      </c>
      <c r="AS398" s="158">
        <v>0.05</v>
      </c>
      <c r="AT398" s="141">
        <v>0.222222222222222</v>
      </c>
      <c r="AU398" s="141">
        <v>1</v>
      </c>
      <c r="AV398" s="141">
        <v>0.181818181818182</v>
      </c>
      <c r="AW398" s="141">
        <v>0.0971223021582734</v>
      </c>
      <c r="AX398" s="95"/>
      <c r="AY398" s="93"/>
    </row>
    <row r="399" ht="15" spans="1:51">
      <c r="A399" s="91"/>
      <c r="B399" s="95"/>
      <c r="C399" s="152" t="s">
        <v>375</v>
      </c>
      <c r="D399" s="153" t="s">
        <v>25</v>
      </c>
      <c r="E399" s="130" t="s">
        <v>376</v>
      </c>
      <c r="F399" s="154" t="s">
        <v>425</v>
      </c>
      <c r="G399" s="154" t="s">
        <v>425</v>
      </c>
      <c r="H399" s="154" t="s">
        <v>425</v>
      </c>
      <c r="I399" s="154" t="s">
        <v>425</v>
      </c>
      <c r="J399" s="132">
        <v>0.9</v>
      </c>
      <c r="K399" s="133">
        <v>0.962962962962963</v>
      </c>
      <c r="L399" s="133">
        <v>0.8</v>
      </c>
      <c r="M399" s="134">
        <v>0.954545454545455</v>
      </c>
      <c r="N399" s="133">
        <v>0.894495412844037</v>
      </c>
      <c r="O399" s="135">
        <v>0.9</v>
      </c>
      <c r="P399" s="133" t="s">
        <v>35</v>
      </c>
      <c r="Q399" s="133">
        <v>0</v>
      </c>
      <c r="R399" s="133">
        <v>0</v>
      </c>
      <c r="S399" s="133">
        <v>0.25</v>
      </c>
      <c r="T399" s="135">
        <v>0.9</v>
      </c>
      <c r="U399" s="133" t="s">
        <v>35</v>
      </c>
      <c r="V399" s="133">
        <v>0</v>
      </c>
      <c r="W399" s="133">
        <v>0</v>
      </c>
      <c r="X399" s="133">
        <v>0</v>
      </c>
      <c r="Y399" s="135">
        <v>0.92</v>
      </c>
      <c r="Z399" s="135" t="s">
        <v>35</v>
      </c>
      <c r="AA399" s="135" t="s">
        <v>35</v>
      </c>
      <c r="AB399" s="135" t="s">
        <v>35</v>
      </c>
      <c r="AC399" s="135" t="s">
        <v>35</v>
      </c>
      <c r="AD399" s="135">
        <v>0.92</v>
      </c>
      <c r="AE399" s="133">
        <v>1</v>
      </c>
      <c r="AF399" s="133">
        <v>1</v>
      </c>
      <c r="AG399" s="133">
        <v>1</v>
      </c>
      <c r="AH399" s="133">
        <v>0.975481611208406</v>
      </c>
      <c r="AI399" s="135">
        <v>0.92</v>
      </c>
      <c r="AJ399" s="133">
        <v>0.974068071312804</v>
      </c>
      <c r="AK399" s="133">
        <v>0.921271763815291</v>
      </c>
      <c r="AL399" s="133">
        <v>0.901631477927063</v>
      </c>
      <c r="AM399" s="133">
        <v>0.937721464619349</v>
      </c>
      <c r="AN399" s="132">
        <v>0.99</v>
      </c>
      <c r="AO399" s="137">
        <v>1</v>
      </c>
      <c r="AP399" s="137">
        <v>1</v>
      </c>
      <c r="AQ399" s="137">
        <v>1</v>
      </c>
      <c r="AR399" s="137">
        <v>1</v>
      </c>
      <c r="AS399" s="158">
        <v>0.05</v>
      </c>
      <c r="AT399" s="141">
        <v>0</v>
      </c>
      <c r="AU399" s="141">
        <v>0</v>
      </c>
      <c r="AV399" s="141">
        <v>0.142857142857143</v>
      </c>
      <c r="AW399" s="141">
        <v>0.055045871559633</v>
      </c>
      <c r="AX399" s="95"/>
      <c r="AY399" s="93"/>
    </row>
    <row r="400" ht="15" spans="1:51">
      <c r="A400" s="91"/>
      <c r="B400" s="95"/>
      <c r="C400" s="152" t="s">
        <v>375</v>
      </c>
      <c r="D400" s="153" t="s">
        <v>25</v>
      </c>
      <c r="E400" s="130" t="s">
        <v>376</v>
      </c>
      <c r="F400" s="154" t="s">
        <v>426</v>
      </c>
      <c r="G400" s="154" t="s">
        <v>426</v>
      </c>
      <c r="H400" s="154" t="s">
        <v>426</v>
      </c>
      <c r="I400" s="154" t="s">
        <v>426</v>
      </c>
      <c r="J400" s="132">
        <v>0.9</v>
      </c>
      <c r="K400" s="133">
        <v>1</v>
      </c>
      <c r="L400" s="133">
        <v>0.947368421052632</v>
      </c>
      <c r="M400" s="134">
        <v>1</v>
      </c>
      <c r="N400" s="133">
        <v>0.909615384615385</v>
      </c>
      <c r="O400" s="135">
        <v>0.9</v>
      </c>
      <c r="P400" s="133" t="s">
        <v>35</v>
      </c>
      <c r="Q400" s="133">
        <v>0</v>
      </c>
      <c r="R400" s="133" t="s">
        <v>35</v>
      </c>
      <c r="S400" s="133">
        <v>0.333333333333333</v>
      </c>
      <c r="T400" s="135">
        <v>0.9</v>
      </c>
      <c r="U400" s="133" t="s">
        <v>35</v>
      </c>
      <c r="V400" s="133">
        <v>0</v>
      </c>
      <c r="W400" s="133" t="s">
        <v>35</v>
      </c>
      <c r="X400" s="133">
        <v>0.333333333333333</v>
      </c>
      <c r="Y400" s="135">
        <v>0.92</v>
      </c>
      <c r="Z400" s="135" t="s">
        <v>35</v>
      </c>
      <c r="AA400" s="135" t="s">
        <v>35</v>
      </c>
      <c r="AB400" s="135" t="s">
        <v>35</v>
      </c>
      <c r="AC400" s="135">
        <v>0</v>
      </c>
      <c r="AD400" s="135">
        <v>0.92</v>
      </c>
      <c r="AE400" s="133">
        <v>1</v>
      </c>
      <c r="AF400" s="133">
        <v>0.970588235294118</v>
      </c>
      <c r="AG400" s="133">
        <v>1</v>
      </c>
      <c r="AH400" s="133">
        <v>0.994944388270981</v>
      </c>
      <c r="AI400" s="135">
        <v>0.92</v>
      </c>
      <c r="AJ400" s="133">
        <v>0.95897903372835</v>
      </c>
      <c r="AK400" s="133">
        <v>0.92809667673716</v>
      </c>
      <c r="AL400" s="133">
        <v>0.951971001359311</v>
      </c>
      <c r="AM400" s="133">
        <v>0.955696539958416</v>
      </c>
      <c r="AN400" s="132">
        <v>0.99</v>
      </c>
      <c r="AO400" s="137">
        <v>1</v>
      </c>
      <c r="AP400" s="137">
        <v>1</v>
      </c>
      <c r="AQ400" s="137">
        <v>1</v>
      </c>
      <c r="AR400" s="137">
        <v>1</v>
      </c>
      <c r="AS400" s="158">
        <v>0.05</v>
      </c>
      <c r="AT400" s="141">
        <v>0</v>
      </c>
      <c r="AU400" s="141">
        <v>0</v>
      </c>
      <c r="AV400" s="141">
        <v>0</v>
      </c>
      <c r="AW400" s="141">
        <v>0.101449275362319</v>
      </c>
      <c r="AX400" s="95"/>
      <c r="AY400" s="93"/>
    </row>
    <row r="401" ht="15" spans="1:51">
      <c r="A401" s="91"/>
      <c r="B401" s="95"/>
      <c r="C401" s="152" t="s">
        <v>375</v>
      </c>
      <c r="D401" s="153" t="s">
        <v>25</v>
      </c>
      <c r="E401" s="130" t="s">
        <v>376</v>
      </c>
      <c r="F401" s="154" t="s">
        <v>427</v>
      </c>
      <c r="G401" s="154" t="s">
        <v>427</v>
      </c>
      <c r="H401" s="154" t="s">
        <v>427</v>
      </c>
      <c r="I401" s="154" t="s">
        <v>427</v>
      </c>
      <c r="J401" s="132">
        <v>0.9</v>
      </c>
      <c r="K401" s="133">
        <v>0.976744186046512</v>
      </c>
      <c r="L401" s="133">
        <v>0.941176470588235</v>
      </c>
      <c r="M401" s="134">
        <v>0.903225806451613</v>
      </c>
      <c r="N401" s="133">
        <v>0.9353507565337</v>
      </c>
      <c r="O401" s="135">
        <v>0.9</v>
      </c>
      <c r="P401" s="133">
        <v>0.972187104930468</v>
      </c>
      <c r="Q401" s="133">
        <v>0.90455396132252</v>
      </c>
      <c r="R401" s="133">
        <v>0.918716023815687</v>
      </c>
      <c r="S401" s="133">
        <v>0.966644014863439</v>
      </c>
      <c r="T401" s="135">
        <v>0.9</v>
      </c>
      <c r="U401" s="133">
        <v>0.916561314791403</v>
      </c>
      <c r="V401" s="133">
        <v>0.867747972551466</v>
      </c>
      <c r="W401" s="133">
        <v>0.794460264043489</v>
      </c>
      <c r="X401" s="133">
        <v>0.88499631305756</v>
      </c>
      <c r="Y401" s="135">
        <v>0.92</v>
      </c>
      <c r="Z401" s="135">
        <v>0.5</v>
      </c>
      <c r="AA401" s="135">
        <v>1</v>
      </c>
      <c r="AB401" s="135">
        <v>1</v>
      </c>
      <c r="AC401" s="135">
        <v>0.75</v>
      </c>
      <c r="AD401" s="135">
        <v>0.92</v>
      </c>
      <c r="AE401" s="133">
        <v>0.933388157894737</v>
      </c>
      <c r="AF401" s="133">
        <v>0.992302758178319</v>
      </c>
      <c r="AG401" s="133">
        <v>0.999297917154224</v>
      </c>
      <c r="AH401" s="133">
        <v>0.979053385057378</v>
      </c>
      <c r="AI401" s="135">
        <v>0.92</v>
      </c>
      <c r="AJ401" s="133">
        <v>0.968881412952061</v>
      </c>
      <c r="AK401" s="133">
        <v>0.93349906774394</v>
      </c>
      <c r="AL401" s="133">
        <v>0.915394566623545</v>
      </c>
      <c r="AM401" s="133">
        <v>0.962502709341811</v>
      </c>
      <c r="AN401" s="132">
        <v>0.99</v>
      </c>
      <c r="AO401" s="137">
        <v>1</v>
      </c>
      <c r="AP401" s="137">
        <v>1</v>
      </c>
      <c r="AQ401" s="137">
        <v>1</v>
      </c>
      <c r="AR401" s="137">
        <v>1</v>
      </c>
      <c r="AS401" s="158">
        <v>0.05</v>
      </c>
      <c r="AT401" s="141">
        <v>0.0588235294117647</v>
      </c>
      <c r="AU401" s="141">
        <v>0.266666666666667</v>
      </c>
      <c r="AV401" s="141">
        <v>0.0909090909090909</v>
      </c>
      <c r="AW401" s="141">
        <v>0.123456790123457</v>
      </c>
      <c r="AX401" s="95"/>
      <c r="AY401" s="93"/>
    </row>
    <row r="402" ht="15" spans="1:51">
      <c r="A402" s="91"/>
      <c r="B402" s="95"/>
      <c r="C402" s="152" t="s">
        <v>375</v>
      </c>
      <c r="D402" s="153" t="s">
        <v>25</v>
      </c>
      <c r="E402" s="130" t="s">
        <v>376</v>
      </c>
      <c r="F402" s="154" t="s">
        <v>428</v>
      </c>
      <c r="G402" s="154" t="s">
        <v>428</v>
      </c>
      <c r="H402" s="154" t="s">
        <v>428</v>
      </c>
      <c r="I402" s="154" t="s">
        <v>428</v>
      </c>
      <c r="J402" s="132">
        <v>0.9</v>
      </c>
      <c r="K402" s="133">
        <v>1</v>
      </c>
      <c r="L402" s="133">
        <v>0.971428571428571</v>
      </c>
      <c r="M402" s="134">
        <v>1</v>
      </c>
      <c r="N402" s="133">
        <v>0.971812080536913</v>
      </c>
      <c r="O402" s="135">
        <v>0.9</v>
      </c>
      <c r="P402" s="133">
        <v>1</v>
      </c>
      <c r="Q402" s="133">
        <v>0.75</v>
      </c>
      <c r="R402" s="133">
        <v>0.285714285714286</v>
      </c>
      <c r="S402" s="133">
        <v>0.555555555555556</v>
      </c>
      <c r="T402" s="135">
        <v>0.9</v>
      </c>
      <c r="U402" s="133">
        <v>1</v>
      </c>
      <c r="V402" s="133">
        <v>1</v>
      </c>
      <c r="W402" s="133">
        <v>0.857142857142857</v>
      </c>
      <c r="X402" s="133">
        <v>0.65359477124183</v>
      </c>
      <c r="Y402" s="135">
        <v>0.92</v>
      </c>
      <c r="Z402" s="135" t="s">
        <v>35</v>
      </c>
      <c r="AA402" s="135" t="s">
        <v>35</v>
      </c>
      <c r="AB402" s="135" t="s">
        <v>35</v>
      </c>
      <c r="AC402" s="135">
        <v>0.888888888888889</v>
      </c>
      <c r="AD402" s="135">
        <v>0.92</v>
      </c>
      <c r="AE402" s="133">
        <v>0.979200652528548</v>
      </c>
      <c r="AF402" s="133">
        <v>0.987300904003444</v>
      </c>
      <c r="AG402" s="133">
        <v>0.996863565081025</v>
      </c>
      <c r="AH402" s="133">
        <v>0.962637435715552</v>
      </c>
      <c r="AI402" s="135">
        <v>0.92</v>
      </c>
      <c r="AJ402" s="133">
        <v>0.95776213412375</v>
      </c>
      <c r="AK402" s="133">
        <v>0.960910440376051</v>
      </c>
      <c r="AL402" s="133">
        <v>0.908536585365854</v>
      </c>
      <c r="AM402" s="133">
        <v>0.952578534359566</v>
      </c>
      <c r="AN402" s="132">
        <v>0.99</v>
      </c>
      <c r="AO402" s="137">
        <v>1</v>
      </c>
      <c r="AP402" s="137">
        <v>1</v>
      </c>
      <c r="AQ402" s="137">
        <v>1</v>
      </c>
      <c r="AR402" s="137">
        <v>1</v>
      </c>
      <c r="AS402" s="158">
        <v>0.05</v>
      </c>
      <c r="AT402" s="141">
        <v>0</v>
      </c>
      <c r="AU402" s="141">
        <v>0.0588235294117647</v>
      </c>
      <c r="AV402" s="141">
        <v>0.0454545454545455</v>
      </c>
      <c r="AW402" s="141">
        <v>0.0650095602294455</v>
      </c>
      <c r="AX402" s="95"/>
      <c r="AY402" s="93"/>
    </row>
    <row r="403" ht="15" spans="1:51">
      <c r="A403" s="91"/>
      <c r="B403" s="95"/>
      <c r="C403" s="152" t="s">
        <v>375</v>
      </c>
      <c r="D403" s="153" t="s">
        <v>25</v>
      </c>
      <c r="E403" s="130" t="s">
        <v>376</v>
      </c>
      <c r="F403" s="154" t="s">
        <v>429</v>
      </c>
      <c r="G403" s="154" t="s">
        <v>429</v>
      </c>
      <c r="H403" s="154" t="s">
        <v>429</v>
      </c>
      <c r="I403" s="154" t="s">
        <v>429</v>
      </c>
      <c r="J403" s="132">
        <v>0.9</v>
      </c>
      <c r="K403" s="133">
        <v>1</v>
      </c>
      <c r="L403" s="133">
        <v>0.973684210526316</v>
      </c>
      <c r="M403" s="134">
        <v>0.931818181818182</v>
      </c>
      <c r="N403" s="133">
        <v>0.988970588235294</v>
      </c>
      <c r="O403" s="135">
        <v>0.9</v>
      </c>
      <c r="P403" s="133">
        <v>1</v>
      </c>
      <c r="Q403" s="133">
        <v>0</v>
      </c>
      <c r="R403" s="133">
        <v>1</v>
      </c>
      <c r="S403" s="133">
        <v>0.545454545454545</v>
      </c>
      <c r="T403" s="135">
        <v>0.9</v>
      </c>
      <c r="U403" s="133">
        <v>0</v>
      </c>
      <c r="V403" s="133">
        <v>0</v>
      </c>
      <c r="W403" s="133">
        <v>0</v>
      </c>
      <c r="X403" s="133">
        <v>0.454545454545455</v>
      </c>
      <c r="Y403" s="135">
        <v>0.92</v>
      </c>
      <c r="Z403" s="135">
        <v>1</v>
      </c>
      <c r="AA403" s="135" t="s">
        <v>35</v>
      </c>
      <c r="AB403" s="135">
        <v>0</v>
      </c>
      <c r="AC403" s="135">
        <v>0.666666666666667</v>
      </c>
      <c r="AD403" s="135">
        <v>0.92</v>
      </c>
      <c r="AE403" s="133">
        <v>0.973458904109589</v>
      </c>
      <c r="AF403" s="133">
        <v>0.991089108910891</v>
      </c>
      <c r="AG403" s="133">
        <v>0.994555353901996</v>
      </c>
      <c r="AH403" s="133">
        <v>0.981763399936568</v>
      </c>
      <c r="AI403" s="135">
        <v>0.92</v>
      </c>
      <c r="AJ403" s="133">
        <v>0.960193838698512</v>
      </c>
      <c r="AK403" s="133">
        <v>0.93173198482933</v>
      </c>
      <c r="AL403" s="133">
        <v>0.953659920559864</v>
      </c>
      <c r="AM403" s="133">
        <v>0.960051268794968</v>
      </c>
      <c r="AN403" s="132">
        <v>0.99</v>
      </c>
      <c r="AO403" s="137">
        <v>1</v>
      </c>
      <c r="AP403" s="137">
        <v>1</v>
      </c>
      <c r="AQ403" s="137">
        <v>1</v>
      </c>
      <c r="AR403" s="137">
        <v>1</v>
      </c>
      <c r="AS403" s="158">
        <v>0.05</v>
      </c>
      <c r="AT403" s="141">
        <v>0.2</v>
      </c>
      <c r="AU403" s="141">
        <v>0.25</v>
      </c>
      <c r="AV403" s="141">
        <v>0</v>
      </c>
      <c r="AW403" s="141">
        <v>0.0591715976331361</v>
      </c>
      <c r="AX403" s="95"/>
      <c r="AY403" s="93"/>
    </row>
    <row r="404" ht="15" spans="1:51">
      <c r="A404" s="91"/>
      <c r="B404" s="95"/>
      <c r="C404" s="152" t="s">
        <v>375</v>
      </c>
      <c r="D404" s="153" t="s">
        <v>25</v>
      </c>
      <c r="E404" s="130" t="s">
        <v>376</v>
      </c>
      <c r="F404" s="154" t="s">
        <v>430</v>
      </c>
      <c r="G404" s="154" t="s">
        <v>430</v>
      </c>
      <c r="H404" s="154" t="s">
        <v>430</v>
      </c>
      <c r="I404" s="154" t="s">
        <v>430</v>
      </c>
      <c r="J404" s="132">
        <v>0.9</v>
      </c>
      <c r="K404" s="133">
        <v>0.96551724137931</v>
      </c>
      <c r="L404" s="133">
        <v>0.9</v>
      </c>
      <c r="M404" s="134">
        <v>0.925925925925926</v>
      </c>
      <c r="N404" s="133">
        <v>0.92741935483871</v>
      </c>
      <c r="O404" s="135">
        <v>0.9</v>
      </c>
      <c r="P404" s="133">
        <v>0</v>
      </c>
      <c r="Q404" s="133" t="s">
        <v>35</v>
      </c>
      <c r="R404" s="133" t="s">
        <v>35</v>
      </c>
      <c r="S404" s="133">
        <v>0.411764705882353</v>
      </c>
      <c r="T404" s="135">
        <v>0.9</v>
      </c>
      <c r="U404" s="133">
        <v>0</v>
      </c>
      <c r="V404" s="133" t="s">
        <v>35</v>
      </c>
      <c r="W404" s="133" t="s">
        <v>35</v>
      </c>
      <c r="X404" s="133">
        <v>0.470588235294118</v>
      </c>
      <c r="Y404" s="135">
        <v>0.92</v>
      </c>
      <c r="Z404" s="135">
        <v>0</v>
      </c>
      <c r="AA404" s="135" t="s">
        <v>35</v>
      </c>
      <c r="AB404" s="135" t="s">
        <v>35</v>
      </c>
      <c r="AC404" s="135">
        <v>0.666666666666667</v>
      </c>
      <c r="AD404" s="135">
        <v>0.92</v>
      </c>
      <c r="AE404" s="133">
        <v>0.99790004199916</v>
      </c>
      <c r="AF404" s="133">
        <v>0.997389033942559</v>
      </c>
      <c r="AG404" s="133">
        <v>0.998664886515354</v>
      </c>
      <c r="AH404" s="133">
        <v>0.997439073028401</v>
      </c>
      <c r="AI404" s="135">
        <v>0.92</v>
      </c>
      <c r="AJ404" s="133">
        <v>0.970534069981584</v>
      </c>
      <c r="AK404" s="133">
        <v>0.89921875</v>
      </c>
      <c r="AL404" s="133">
        <v>0.947959183673469</v>
      </c>
      <c r="AM404" s="133">
        <v>0.960039230014807</v>
      </c>
      <c r="AN404" s="132">
        <v>0.99</v>
      </c>
      <c r="AO404" s="137">
        <v>1</v>
      </c>
      <c r="AP404" s="137">
        <v>1</v>
      </c>
      <c r="AQ404" s="137">
        <v>1</v>
      </c>
      <c r="AR404" s="137">
        <v>1</v>
      </c>
      <c r="AS404" s="158">
        <v>0.05</v>
      </c>
      <c r="AT404" s="141">
        <v>0</v>
      </c>
      <c r="AU404" s="141">
        <v>0</v>
      </c>
      <c r="AV404" s="141">
        <v>0</v>
      </c>
      <c r="AW404" s="141">
        <v>0.0506329113924051</v>
      </c>
      <c r="AX404" s="95"/>
      <c r="AY404" s="93"/>
    </row>
    <row r="405" ht="15" spans="1:51">
      <c r="A405" s="91"/>
      <c r="B405" s="95"/>
      <c r="C405" s="152" t="s">
        <v>375</v>
      </c>
      <c r="D405" s="153" t="s">
        <v>25</v>
      </c>
      <c r="E405" s="130" t="s">
        <v>376</v>
      </c>
      <c r="F405" s="154" t="s">
        <v>431</v>
      </c>
      <c r="G405" s="154" t="s">
        <v>431</v>
      </c>
      <c r="H405" s="154" t="s">
        <v>431</v>
      </c>
      <c r="I405" s="154" t="s">
        <v>431</v>
      </c>
      <c r="J405" s="132">
        <v>0.9</v>
      </c>
      <c r="K405" s="133">
        <v>0.944444444444444</v>
      </c>
      <c r="L405" s="133">
        <v>1</v>
      </c>
      <c r="M405" s="134">
        <v>1</v>
      </c>
      <c r="N405" s="133">
        <v>0.993630573248408</v>
      </c>
      <c r="O405" s="135">
        <v>0.9</v>
      </c>
      <c r="P405" s="133">
        <v>0</v>
      </c>
      <c r="Q405" s="133">
        <v>0</v>
      </c>
      <c r="R405" s="133">
        <v>0</v>
      </c>
      <c r="S405" s="133">
        <v>0</v>
      </c>
      <c r="T405" s="135">
        <v>0.9</v>
      </c>
      <c r="U405" s="133">
        <v>0</v>
      </c>
      <c r="V405" s="133">
        <v>1</v>
      </c>
      <c r="W405" s="133">
        <v>0</v>
      </c>
      <c r="X405" s="133">
        <v>0.529411764705882</v>
      </c>
      <c r="Y405" s="135">
        <v>0.92</v>
      </c>
      <c r="Z405" s="135" t="s">
        <v>35</v>
      </c>
      <c r="AA405" s="135">
        <v>0</v>
      </c>
      <c r="AB405" s="135">
        <v>0</v>
      </c>
      <c r="AC405" s="135">
        <v>0</v>
      </c>
      <c r="AD405" s="135">
        <v>0.92</v>
      </c>
      <c r="AE405" s="133">
        <v>0.939130434782609</v>
      </c>
      <c r="AF405" s="133">
        <v>0.6</v>
      </c>
      <c r="AG405" s="133">
        <v>1</v>
      </c>
      <c r="AH405" s="133">
        <v>0.975476839237057</v>
      </c>
      <c r="AI405" s="135">
        <v>0.92</v>
      </c>
      <c r="AJ405" s="133">
        <v>0.945218198700093</v>
      </c>
      <c r="AK405" s="133">
        <v>0.918050941306755</v>
      </c>
      <c r="AL405" s="133">
        <v>0.793513513513514</v>
      </c>
      <c r="AM405" s="133">
        <v>0.946261615028336</v>
      </c>
      <c r="AN405" s="132">
        <v>0.99</v>
      </c>
      <c r="AO405" s="137">
        <v>1</v>
      </c>
      <c r="AP405" s="137">
        <v>1</v>
      </c>
      <c r="AQ405" s="137">
        <v>1</v>
      </c>
      <c r="AR405" s="137">
        <v>1</v>
      </c>
      <c r="AS405" s="158">
        <v>0.05</v>
      </c>
      <c r="AT405" s="141" t="s">
        <v>35</v>
      </c>
      <c r="AU405" s="141">
        <v>0</v>
      </c>
      <c r="AV405" s="141">
        <v>0</v>
      </c>
      <c r="AW405" s="141">
        <v>0.141025641025641</v>
      </c>
      <c r="AX405" s="95"/>
      <c r="AY405" s="93"/>
    </row>
    <row r="406" ht="15" spans="1:51">
      <c r="A406" s="91"/>
      <c r="B406" s="95"/>
      <c r="C406" s="152" t="s">
        <v>375</v>
      </c>
      <c r="D406" s="153" t="s">
        <v>25</v>
      </c>
      <c r="E406" s="130" t="s">
        <v>376</v>
      </c>
      <c r="F406" s="154" t="s">
        <v>432</v>
      </c>
      <c r="G406" s="154" t="s">
        <v>432</v>
      </c>
      <c r="H406" s="154" t="s">
        <v>432</v>
      </c>
      <c r="I406" s="154" t="s">
        <v>432</v>
      </c>
      <c r="J406" s="132">
        <v>0.9</v>
      </c>
      <c r="K406" s="133">
        <v>1</v>
      </c>
      <c r="L406" s="133">
        <v>1</v>
      </c>
      <c r="M406" s="134">
        <v>1</v>
      </c>
      <c r="N406" s="133">
        <v>0.996055226824458</v>
      </c>
      <c r="O406" s="135">
        <v>0.9</v>
      </c>
      <c r="P406" s="133" t="s">
        <v>35</v>
      </c>
      <c r="Q406" s="133">
        <v>0</v>
      </c>
      <c r="R406" s="133" t="s">
        <v>35</v>
      </c>
      <c r="S406" s="133">
        <v>0</v>
      </c>
      <c r="T406" s="135">
        <v>0.9</v>
      </c>
      <c r="U406" s="133" t="s">
        <v>35</v>
      </c>
      <c r="V406" s="133">
        <v>0</v>
      </c>
      <c r="W406" s="133" t="s">
        <v>35</v>
      </c>
      <c r="X406" s="133">
        <v>0</v>
      </c>
      <c r="Y406" s="135">
        <v>0.92</v>
      </c>
      <c r="Z406" s="135" t="s">
        <v>35</v>
      </c>
      <c r="AA406" s="135">
        <v>0.25</v>
      </c>
      <c r="AB406" s="135" t="s">
        <v>35</v>
      </c>
      <c r="AC406" s="135">
        <v>0.25</v>
      </c>
      <c r="AD406" s="135">
        <v>0.92</v>
      </c>
      <c r="AE406" s="133">
        <v>0.886363636363636</v>
      </c>
      <c r="AF406" s="133">
        <v>1</v>
      </c>
      <c r="AG406" s="133">
        <v>1</v>
      </c>
      <c r="AH406" s="133">
        <v>0.990578734858681</v>
      </c>
      <c r="AI406" s="135">
        <v>0.92</v>
      </c>
      <c r="AJ406" s="133">
        <v>0.950432730133753</v>
      </c>
      <c r="AK406" s="133">
        <v>0.926949654491609</v>
      </c>
      <c r="AL406" s="133">
        <v>0.896285576459238</v>
      </c>
      <c r="AM406" s="133">
        <v>0.953999793024941</v>
      </c>
      <c r="AN406" s="132">
        <v>0.99</v>
      </c>
      <c r="AO406" s="137">
        <v>1</v>
      </c>
      <c r="AP406" s="137">
        <v>1</v>
      </c>
      <c r="AQ406" s="137">
        <v>1</v>
      </c>
      <c r="AR406" s="137">
        <v>1</v>
      </c>
      <c r="AS406" s="158">
        <v>0.05</v>
      </c>
      <c r="AT406" s="141">
        <v>0</v>
      </c>
      <c r="AU406" s="141">
        <v>0</v>
      </c>
      <c r="AV406" s="141">
        <v>0</v>
      </c>
      <c r="AW406" s="141">
        <v>0.0512820512820513</v>
      </c>
      <c r="AX406" s="95"/>
      <c r="AY406" s="93"/>
    </row>
    <row r="407" ht="15" spans="1:51">
      <c r="A407" s="91"/>
      <c r="B407" s="95"/>
      <c r="C407" s="152" t="s">
        <v>375</v>
      </c>
      <c r="D407" s="153" t="s">
        <v>25</v>
      </c>
      <c r="E407" s="130" t="s">
        <v>376</v>
      </c>
      <c r="F407" s="154" t="s">
        <v>433</v>
      </c>
      <c r="G407" s="154" t="s">
        <v>433</v>
      </c>
      <c r="H407" s="154" t="s">
        <v>433</v>
      </c>
      <c r="I407" s="154" t="s">
        <v>433</v>
      </c>
      <c r="J407" s="132">
        <v>0.9</v>
      </c>
      <c r="K407" s="133">
        <v>0.879310344827586</v>
      </c>
      <c r="L407" s="133">
        <v>0.869565217391304</v>
      </c>
      <c r="M407" s="134">
        <v>0.925</v>
      </c>
      <c r="N407" s="133">
        <v>0.885548011639185</v>
      </c>
      <c r="O407" s="135">
        <v>0.9</v>
      </c>
      <c r="P407" s="133">
        <v>0</v>
      </c>
      <c r="Q407" s="133">
        <v>0.5</v>
      </c>
      <c r="R407" s="133">
        <v>1</v>
      </c>
      <c r="S407" s="133">
        <v>0.235294117647059</v>
      </c>
      <c r="T407" s="135">
        <v>0.9</v>
      </c>
      <c r="U407" s="133">
        <v>0</v>
      </c>
      <c r="V407" s="133">
        <v>0.5</v>
      </c>
      <c r="W407" s="133">
        <v>1</v>
      </c>
      <c r="X407" s="133">
        <v>0.470588235294118</v>
      </c>
      <c r="Y407" s="135">
        <v>0.92</v>
      </c>
      <c r="Z407" s="135">
        <v>0</v>
      </c>
      <c r="AA407" s="135">
        <v>1</v>
      </c>
      <c r="AB407" s="135">
        <v>0</v>
      </c>
      <c r="AC407" s="135">
        <v>0.214285714285714</v>
      </c>
      <c r="AD407" s="135">
        <v>0.92</v>
      </c>
      <c r="AE407" s="133">
        <v>0.958821376281113</v>
      </c>
      <c r="AF407" s="133">
        <v>0.995191151719163</v>
      </c>
      <c r="AG407" s="133">
        <v>0.905660377358491</v>
      </c>
      <c r="AH407" s="133">
        <v>0.984677354755284</v>
      </c>
      <c r="AI407" s="135">
        <v>0.92</v>
      </c>
      <c r="AJ407" s="133">
        <v>0.945321992709599</v>
      </c>
      <c r="AK407" s="133">
        <v>0.864224137931034</v>
      </c>
      <c r="AL407" s="133">
        <v>0.74928870292887</v>
      </c>
      <c r="AM407" s="133">
        <v>0.922472046039784</v>
      </c>
      <c r="AN407" s="132">
        <v>0.99</v>
      </c>
      <c r="AO407" s="137">
        <v>1</v>
      </c>
      <c r="AP407" s="137">
        <v>1</v>
      </c>
      <c r="AQ407" s="137">
        <v>1</v>
      </c>
      <c r="AR407" s="137">
        <v>1</v>
      </c>
      <c r="AS407" s="158">
        <v>0.05</v>
      </c>
      <c r="AT407" s="141">
        <v>0.2</v>
      </c>
      <c r="AU407" s="141">
        <v>0</v>
      </c>
      <c r="AV407" s="141">
        <v>0</v>
      </c>
      <c r="AW407" s="141">
        <v>0.0917431192660551</v>
      </c>
      <c r="AX407" s="95"/>
      <c r="AY407" s="93"/>
    </row>
    <row r="408" ht="15" spans="1:51">
      <c r="A408" s="91"/>
      <c r="B408" s="95"/>
      <c r="C408" s="152" t="s">
        <v>375</v>
      </c>
      <c r="D408" s="153" t="s">
        <v>25</v>
      </c>
      <c r="E408" s="130" t="s">
        <v>376</v>
      </c>
      <c r="F408" s="154" t="s">
        <v>434</v>
      </c>
      <c r="G408" s="154" t="s">
        <v>434</v>
      </c>
      <c r="H408" s="154" t="s">
        <v>434</v>
      </c>
      <c r="I408" s="154" t="s">
        <v>434</v>
      </c>
      <c r="J408" s="132">
        <v>0.9</v>
      </c>
      <c r="K408" s="133">
        <v>1</v>
      </c>
      <c r="L408" s="133">
        <v>1</v>
      </c>
      <c r="M408" s="134">
        <v>0.96</v>
      </c>
      <c r="N408" s="133">
        <v>0.989708404802744</v>
      </c>
      <c r="O408" s="135">
        <v>0.9</v>
      </c>
      <c r="P408" s="133">
        <v>0.988593155893536</v>
      </c>
      <c r="Q408" s="133">
        <v>0.983128834355828</v>
      </c>
      <c r="R408" s="133">
        <v>0.873720136518771</v>
      </c>
      <c r="S408" s="133">
        <v>0.983674373938096</v>
      </c>
      <c r="T408" s="135">
        <v>0.9</v>
      </c>
      <c r="U408" s="133">
        <v>0.917300380228137</v>
      </c>
      <c r="V408" s="133">
        <v>0.929447852760736</v>
      </c>
      <c r="W408" s="133">
        <v>0.191126279863481</v>
      </c>
      <c r="X408" s="133">
        <v>0.910541478909655</v>
      </c>
      <c r="Y408" s="135">
        <v>0.92</v>
      </c>
      <c r="Z408" s="135">
        <v>0.941226941226941</v>
      </c>
      <c r="AA408" s="135">
        <v>0.940963855421687</v>
      </c>
      <c r="AB408" s="135">
        <v>0.497884344146685</v>
      </c>
      <c r="AC408" s="135">
        <v>0.936051693404635</v>
      </c>
      <c r="AD408" s="135">
        <v>0.92</v>
      </c>
      <c r="AE408" s="133">
        <v>0.999836414199248</v>
      </c>
      <c r="AF408" s="133">
        <v>0.998659517426273</v>
      </c>
      <c r="AG408" s="133">
        <v>0.997101449275362</v>
      </c>
      <c r="AH408" s="133">
        <v>0.998570164090692</v>
      </c>
      <c r="AI408" s="135">
        <v>0.92</v>
      </c>
      <c r="AJ408" s="133">
        <v>0.952198288580702</v>
      </c>
      <c r="AK408" s="133">
        <v>0.956140350877193</v>
      </c>
      <c r="AL408" s="133">
        <v>0.716624685138539</v>
      </c>
      <c r="AM408" s="133">
        <v>0.959676179740739</v>
      </c>
      <c r="AN408" s="132">
        <v>0.99</v>
      </c>
      <c r="AO408" s="137">
        <v>1</v>
      </c>
      <c r="AP408" s="137">
        <v>1</v>
      </c>
      <c r="AQ408" s="137">
        <v>1</v>
      </c>
      <c r="AR408" s="137">
        <v>1</v>
      </c>
      <c r="AS408" s="158">
        <v>0.05</v>
      </c>
      <c r="AT408" s="141">
        <v>0</v>
      </c>
      <c r="AU408" s="141">
        <v>0</v>
      </c>
      <c r="AV408" s="141">
        <v>0</v>
      </c>
      <c r="AW408" s="141">
        <v>0.0454545454545455</v>
      </c>
      <c r="AX408" s="95"/>
      <c r="AY408" s="93"/>
    </row>
    <row r="409" ht="15" spans="1:51">
      <c r="A409" s="91"/>
      <c r="B409" s="95"/>
      <c r="C409" s="152" t="s">
        <v>375</v>
      </c>
      <c r="D409" s="153" t="s">
        <v>25</v>
      </c>
      <c r="E409" s="130" t="s">
        <v>376</v>
      </c>
      <c r="F409" s="154" t="s">
        <v>435</v>
      </c>
      <c r="G409" s="154" t="s">
        <v>435</v>
      </c>
      <c r="H409" s="154" t="s">
        <v>435</v>
      </c>
      <c r="I409" s="154" t="s">
        <v>435</v>
      </c>
      <c r="J409" s="132">
        <v>0.9</v>
      </c>
      <c r="K409" s="133">
        <v>0.982758620689655</v>
      </c>
      <c r="L409" s="133">
        <v>0.947368421052632</v>
      </c>
      <c r="M409" s="134">
        <v>0.897959183673469</v>
      </c>
      <c r="N409" s="133">
        <v>0.948453608247423</v>
      </c>
      <c r="O409" s="135">
        <v>0.9</v>
      </c>
      <c r="P409" s="133">
        <v>0.978302796528447</v>
      </c>
      <c r="Q409" s="133">
        <v>0.979829325058185</v>
      </c>
      <c r="R409" s="133">
        <v>0.889710062535532</v>
      </c>
      <c r="S409" s="133">
        <v>0.951675977653631</v>
      </c>
      <c r="T409" s="135">
        <v>0.9</v>
      </c>
      <c r="U409" s="133">
        <v>0.891031822565092</v>
      </c>
      <c r="V409" s="133">
        <v>0.86733902249806</v>
      </c>
      <c r="W409" s="133">
        <v>0.773735076748152</v>
      </c>
      <c r="X409" s="133">
        <v>0.871268954509178</v>
      </c>
      <c r="Y409" s="135">
        <v>0.92</v>
      </c>
      <c r="Z409" s="135">
        <v>0.893465909090909</v>
      </c>
      <c r="AA409" s="135">
        <v>0.891013384321224</v>
      </c>
      <c r="AB409" s="135">
        <v>0.750809061488673</v>
      </c>
      <c r="AC409" s="135">
        <v>0.891875145225002</v>
      </c>
      <c r="AD409" s="135">
        <v>0.92</v>
      </c>
      <c r="AE409" s="133">
        <v>0.998858075040783</v>
      </c>
      <c r="AF409" s="133">
        <v>0.990367072903744</v>
      </c>
      <c r="AG409" s="133">
        <v>0.998548320199088</v>
      </c>
      <c r="AH409" s="133">
        <v>0.948839104660075</v>
      </c>
      <c r="AI409" s="135">
        <v>0.92</v>
      </c>
      <c r="AJ409" s="133">
        <v>0.916368834882059</v>
      </c>
      <c r="AK409" s="133">
        <v>0.92407277816655</v>
      </c>
      <c r="AL409" s="133">
        <v>0.832777036048064</v>
      </c>
      <c r="AM409" s="133">
        <v>0.923723818131803</v>
      </c>
      <c r="AN409" s="132">
        <v>0.99</v>
      </c>
      <c r="AO409" s="137">
        <v>1</v>
      </c>
      <c r="AP409" s="137">
        <v>1</v>
      </c>
      <c r="AQ409" s="137">
        <v>1</v>
      </c>
      <c r="AR409" s="137">
        <v>1</v>
      </c>
      <c r="AS409" s="158">
        <v>0.05</v>
      </c>
      <c r="AT409" s="141">
        <v>0.03125</v>
      </c>
      <c r="AU409" s="141">
        <v>0.1</v>
      </c>
      <c r="AV409" s="141">
        <v>0</v>
      </c>
      <c r="AW409" s="141">
        <v>0.0557491289198606</v>
      </c>
      <c r="AX409" s="95"/>
      <c r="AY409" s="93"/>
    </row>
    <row r="410" ht="15" spans="1:51">
      <c r="A410" s="91"/>
      <c r="B410" s="95"/>
      <c r="C410" s="152" t="s">
        <v>375</v>
      </c>
      <c r="D410" s="153" t="s">
        <v>25</v>
      </c>
      <c r="E410" s="130" t="s">
        <v>376</v>
      </c>
      <c r="F410" s="154" t="s">
        <v>436</v>
      </c>
      <c r="G410" s="154" t="s">
        <v>436</v>
      </c>
      <c r="H410" s="154" t="s">
        <v>436</v>
      </c>
      <c r="I410" s="154" t="s">
        <v>436</v>
      </c>
      <c r="J410" s="132">
        <v>0.9</v>
      </c>
      <c r="K410" s="133">
        <v>1</v>
      </c>
      <c r="L410" s="133">
        <v>0.980392156862745</v>
      </c>
      <c r="M410" s="134">
        <v>0.978723404255319</v>
      </c>
      <c r="N410" s="133">
        <v>0.980627306273063</v>
      </c>
      <c r="O410" s="135">
        <v>0.9</v>
      </c>
      <c r="P410" s="133">
        <v>0.973072666912578</v>
      </c>
      <c r="Q410" s="133">
        <v>0.96156086196855</v>
      </c>
      <c r="R410" s="133">
        <v>0.94475374732334</v>
      </c>
      <c r="S410" s="133">
        <v>0.966934934795133</v>
      </c>
      <c r="T410" s="135">
        <v>0.9</v>
      </c>
      <c r="U410" s="133">
        <v>0.940981187753596</v>
      </c>
      <c r="V410" s="133">
        <v>0.927198602213163</v>
      </c>
      <c r="W410" s="133">
        <v>0.919914346895075</v>
      </c>
      <c r="X410" s="133">
        <v>0.934638012604529</v>
      </c>
      <c r="Y410" s="135">
        <v>0.92</v>
      </c>
      <c r="Z410" s="135">
        <v>0.910376377625286</v>
      </c>
      <c r="AA410" s="135">
        <v>0.90676826535186</v>
      </c>
      <c r="AB410" s="135">
        <v>0.82129963898917</v>
      </c>
      <c r="AC410" s="135">
        <v>0.917308305617568</v>
      </c>
      <c r="AD410" s="135">
        <v>0.92</v>
      </c>
      <c r="AE410" s="133">
        <v>0.999802113428583</v>
      </c>
      <c r="AF410" s="133">
        <v>0.984933551275673</v>
      </c>
      <c r="AG410" s="133">
        <v>0.997195934104452</v>
      </c>
      <c r="AH410" s="133">
        <v>0.990848360702901</v>
      </c>
      <c r="AI410" s="135">
        <v>0.92</v>
      </c>
      <c r="AJ410" s="133">
        <v>0.932056907326153</v>
      </c>
      <c r="AK410" s="133">
        <v>0.935426690301342</v>
      </c>
      <c r="AL410" s="133">
        <v>0.898423817863398</v>
      </c>
      <c r="AM410" s="133">
        <v>0.945277549993099</v>
      </c>
      <c r="AN410" s="132">
        <v>0.99</v>
      </c>
      <c r="AO410" s="137">
        <v>1</v>
      </c>
      <c r="AP410" s="137">
        <v>1</v>
      </c>
      <c r="AQ410" s="137">
        <v>1</v>
      </c>
      <c r="AR410" s="137">
        <v>1</v>
      </c>
      <c r="AS410" s="158">
        <v>0.05</v>
      </c>
      <c r="AT410" s="141">
        <v>0</v>
      </c>
      <c r="AU410" s="141">
        <v>0</v>
      </c>
      <c r="AV410" s="141">
        <v>0.0588235294117647</v>
      </c>
      <c r="AW410" s="141">
        <v>0.0538243626062323</v>
      </c>
      <c r="AX410" s="95"/>
      <c r="AY410" s="93"/>
    </row>
    <row r="411" ht="15" spans="1:51">
      <c r="A411" s="91"/>
      <c r="B411" s="95"/>
      <c r="C411" s="152" t="s">
        <v>375</v>
      </c>
      <c r="D411" s="153" t="s">
        <v>25</v>
      </c>
      <c r="E411" s="130" t="s">
        <v>376</v>
      </c>
      <c r="F411" s="154" t="s">
        <v>437</v>
      </c>
      <c r="G411" s="154" t="s">
        <v>437</v>
      </c>
      <c r="H411" s="154" t="s">
        <v>437</v>
      </c>
      <c r="I411" s="154" t="s">
        <v>437</v>
      </c>
      <c r="J411" s="132">
        <v>0.9</v>
      </c>
      <c r="K411" s="133">
        <v>0.980392156862745</v>
      </c>
      <c r="L411" s="133">
        <v>0.979166666666667</v>
      </c>
      <c r="M411" s="134">
        <v>0.973684210526316</v>
      </c>
      <c r="N411" s="133">
        <v>0.978260869565217</v>
      </c>
      <c r="O411" s="135">
        <v>0.9</v>
      </c>
      <c r="P411" s="133">
        <v>0.985898468976632</v>
      </c>
      <c r="Q411" s="133">
        <v>0.949868073878628</v>
      </c>
      <c r="R411" s="133">
        <v>0.924503311258278</v>
      </c>
      <c r="S411" s="133">
        <v>0.951281960728916</v>
      </c>
      <c r="T411" s="135">
        <v>0.9</v>
      </c>
      <c r="U411" s="133">
        <v>0.956083803384367</v>
      </c>
      <c r="V411" s="133">
        <v>0.947229551451187</v>
      </c>
      <c r="W411" s="133">
        <v>0.829580573951435</v>
      </c>
      <c r="X411" s="133">
        <v>0.910262748975844</v>
      </c>
      <c r="Y411" s="135">
        <v>0.92</v>
      </c>
      <c r="Z411" s="135">
        <v>0.841988950276243</v>
      </c>
      <c r="AA411" s="135">
        <v>0.960021609940573</v>
      </c>
      <c r="AB411" s="135">
        <v>0.523255813953488</v>
      </c>
      <c r="AC411" s="135">
        <v>0.884604326888522</v>
      </c>
      <c r="AD411" s="135">
        <v>0.92</v>
      </c>
      <c r="AE411" s="133">
        <v>0.987385925775705</v>
      </c>
      <c r="AF411" s="133">
        <v>0.945908826792034</v>
      </c>
      <c r="AG411" s="133">
        <v>0.995538012699502</v>
      </c>
      <c r="AH411" s="133">
        <v>0.926914398809882</v>
      </c>
      <c r="AI411" s="135">
        <v>0.92</v>
      </c>
      <c r="AJ411" s="133">
        <v>0.897755202359495</v>
      </c>
      <c r="AK411" s="133">
        <v>0.972378972378972</v>
      </c>
      <c r="AL411" s="133">
        <v>0.76475321888412</v>
      </c>
      <c r="AM411" s="133">
        <v>0.930250986048416</v>
      </c>
      <c r="AN411" s="132">
        <v>0.99</v>
      </c>
      <c r="AO411" s="137">
        <v>1</v>
      </c>
      <c r="AP411" s="137">
        <v>1</v>
      </c>
      <c r="AQ411" s="137">
        <v>1</v>
      </c>
      <c r="AR411" s="137">
        <v>1</v>
      </c>
      <c r="AS411" s="158">
        <v>0.05</v>
      </c>
      <c r="AT411" s="141">
        <v>0.129032258064516</v>
      </c>
      <c r="AU411" s="141">
        <v>0.153846153846154</v>
      </c>
      <c r="AV411" s="141">
        <v>0</v>
      </c>
      <c r="AW411" s="141">
        <v>0.0620689655172414</v>
      </c>
      <c r="AX411" s="95"/>
      <c r="AY411" s="93"/>
    </row>
    <row r="412" ht="15" spans="1:51">
      <c r="A412" s="91"/>
      <c r="B412" s="95"/>
      <c r="C412" s="152" t="s">
        <v>375</v>
      </c>
      <c r="D412" s="153" t="s">
        <v>25</v>
      </c>
      <c r="E412" s="130" t="s">
        <v>376</v>
      </c>
      <c r="F412" s="154" t="s">
        <v>438</v>
      </c>
      <c r="G412" s="154" t="s">
        <v>438</v>
      </c>
      <c r="H412" s="154" t="s">
        <v>438</v>
      </c>
      <c r="I412" s="154" t="s">
        <v>438</v>
      </c>
      <c r="J412" s="132">
        <v>0.9</v>
      </c>
      <c r="K412" s="133">
        <v>0.966101694915254</v>
      </c>
      <c r="L412" s="133">
        <v>1</v>
      </c>
      <c r="M412" s="134">
        <v>0.958333333333333</v>
      </c>
      <c r="N412" s="133">
        <v>0.976503759398496</v>
      </c>
      <c r="O412" s="135">
        <v>0.9</v>
      </c>
      <c r="P412" s="133">
        <v>0.995431893687708</v>
      </c>
      <c r="Q412" s="133">
        <v>0.995238095238095</v>
      </c>
      <c r="R412" s="133">
        <v>0.989204545454546</v>
      </c>
      <c r="S412" s="133">
        <v>0.992685786603637</v>
      </c>
      <c r="T412" s="135">
        <v>0.9</v>
      </c>
      <c r="U412" s="133">
        <v>0.948920265780731</v>
      </c>
      <c r="V412" s="133">
        <v>0.948214285714286</v>
      </c>
      <c r="W412" s="133">
        <v>0.86875</v>
      </c>
      <c r="X412" s="133">
        <v>0.947199940444064</v>
      </c>
      <c r="Y412" s="135">
        <v>0.92</v>
      </c>
      <c r="Z412" s="135">
        <v>0.957209716960107</v>
      </c>
      <c r="AA412" s="135">
        <v>0.96004151530877</v>
      </c>
      <c r="AB412" s="135">
        <v>0.899216125419933</v>
      </c>
      <c r="AC412" s="135">
        <v>0.960354806446853</v>
      </c>
      <c r="AD412" s="135">
        <v>0.92</v>
      </c>
      <c r="AE412" s="133">
        <v>0.991861990113327</v>
      </c>
      <c r="AF412" s="133">
        <v>0.995522749273959</v>
      </c>
      <c r="AG412" s="133">
        <v>0.996442432082794</v>
      </c>
      <c r="AH412" s="133">
        <v>0.995659187564159</v>
      </c>
      <c r="AI412" s="135">
        <v>0.92</v>
      </c>
      <c r="AJ412" s="133">
        <v>0.964782608695652</v>
      </c>
      <c r="AK412" s="133">
        <v>0.971452328159645</v>
      </c>
      <c r="AL412" s="133">
        <v>0.926760563380282</v>
      </c>
      <c r="AM412" s="133">
        <v>0.973347965822686</v>
      </c>
      <c r="AN412" s="132">
        <v>0.99</v>
      </c>
      <c r="AO412" s="137">
        <v>1</v>
      </c>
      <c r="AP412" s="137">
        <v>1</v>
      </c>
      <c r="AQ412" s="137">
        <v>1</v>
      </c>
      <c r="AR412" s="137">
        <v>1</v>
      </c>
      <c r="AS412" s="158">
        <v>0.05</v>
      </c>
      <c r="AT412" s="141">
        <v>0.0833333333333333</v>
      </c>
      <c r="AU412" s="141">
        <v>0</v>
      </c>
      <c r="AV412" s="141">
        <v>0</v>
      </c>
      <c r="AW412" s="141">
        <v>0.055363321799308</v>
      </c>
      <c r="AX412" s="95"/>
      <c r="AY412" s="93"/>
    </row>
    <row r="413" ht="15" spans="1:51">
      <c r="A413" s="91"/>
      <c r="B413" s="95"/>
      <c r="C413" s="152" t="s">
        <v>375</v>
      </c>
      <c r="D413" s="153" t="s">
        <v>25</v>
      </c>
      <c r="E413" s="130" t="s">
        <v>376</v>
      </c>
      <c r="F413" s="154" t="s">
        <v>439</v>
      </c>
      <c r="G413" s="154" t="s">
        <v>439</v>
      </c>
      <c r="H413" s="154" t="s">
        <v>439</v>
      </c>
      <c r="I413" s="154" t="s">
        <v>439</v>
      </c>
      <c r="J413" s="132">
        <v>0.9</v>
      </c>
      <c r="K413" s="133">
        <v>1</v>
      </c>
      <c r="L413" s="133">
        <v>1</v>
      </c>
      <c r="M413" s="134">
        <v>1</v>
      </c>
      <c r="N413" s="133">
        <v>0.989462592202318</v>
      </c>
      <c r="O413" s="135">
        <v>0.9</v>
      </c>
      <c r="P413" s="133">
        <v>0.991492146596859</v>
      </c>
      <c r="Q413" s="133">
        <v>0.989873417721519</v>
      </c>
      <c r="R413" s="133">
        <v>0.988252569750367</v>
      </c>
      <c r="S413" s="133">
        <v>0.989308659737554</v>
      </c>
      <c r="T413" s="135">
        <v>0.9</v>
      </c>
      <c r="U413" s="133">
        <v>0.940445026178011</v>
      </c>
      <c r="V413" s="133">
        <v>0.929957805907173</v>
      </c>
      <c r="W413" s="133">
        <v>0.948604992657856</v>
      </c>
      <c r="X413" s="133">
        <v>0.961774117530325</v>
      </c>
      <c r="Y413" s="135">
        <v>0.92</v>
      </c>
      <c r="Z413" s="135">
        <v>0.971500419111484</v>
      </c>
      <c r="AA413" s="135">
        <v>0.968728755948335</v>
      </c>
      <c r="AB413" s="135">
        <v>0.945901639344262</v>
      </c>
      <c r="AC413" s="135">
        <v>0.977770910589205</v>
      </c>
      <c r="AD413" s="135">
        <v>0.92</v>
      </c>
      <c r="AE413" s="133">
        <v>0.99894482966536</v>
      </c>
      <c r="AF413" s="133">
        <v>0.998817966903073</v>
      </c>
      <c r="AG413" s="133">
        <v>0.999292786421499</v>
      </c>
      <c r="AH413" s="133">
        <v>0.998064183085262</v>
      </c>
      <c r="AI413" s="135">
        <v>0.92</v>
      </c>
      <c r="AJ413" s="133">
        <v>0.974955977303854</v>
      </c>
      <c r="AK413" s="133">
        <v>0.974397590361446</v>
      </c>
      <c r="AL413" s="133">
        <v>0.963235294117647</v>
      </c>
      <c r="AM413" s="133">
        <v>0.984922589132121</v>
      </c>
      <c r="AN413" s="132">
        <v>0.99</v>
      </c>
      <c r="AO413" s="137">
        <v>1</v>
      </c>
      <c r="AP413" s="137">
        <v>1</v>
      </c>
      <c r="AQ413" s="137">
        <v>1</v>
      </c>
      <c r="AR413" s="137">
        <v>1</v>
      </c>
      <c r="AS413" s="158">
        <v>0.05</v>
      </c>
      <c r="AT413" s="141">
        <v>0.2</v>
      </c>
      <c r="AU413" s="141">
        <v>0</v>
      </c>
      <c r="AV413" s="141">
        <v>0</v>
      </c>
      <c r="AW413" s="141">
        <v>0.0801282051282051</v>
      </c>
      <c r="AX413" s="95"/>
      <c r="AY413" s="93"/>
    </row>
    <row r="414" ht="15" spans="1:51">
      <c r="A414" s="91"/>
      <c r="B414" s="95"/>
      <c r="C414" s="152" t="s">
        <v>375</v>
      </c>
      <c r="D414" s="153" t="s">
        <v>25</v>
      </c>
      <c r="E414" s="130" t="s">
        <v>376</v>
      </c>
      <c r="F414" s="154" t="s">
        <v>440</v>
      </c>
      <c r="G414" s="154" t="s">
        <v>440</v>
      </c>
      <c r="H414" s="154" t="s">
        <v>440</v>
      </c>
      <c r="I414" s="154" t="s">
        <v>440</v>
      </c>
      <c r="J414" s="132">
        <v>0.9</v>
      </c>
      <c r="K414" s="133">
        <v>0.982758620689655</v>
      </c>
      <c r="L414" s="133">
        <v>0.980769230769231</v>
      </c>
      <c r="M414" s="134">
        <v>0.926829268292683</v>
      </c>
      <c r="N414" s="133">
        <v>0.963257199602781</v>
      </c>
      <c r="O414" s="135">
        <v>0.9</v>
      </c>
      <c r="P414" s="133">
        <v>0.971296027834155</v>
      </c>
      <c r="Q414" s="133">
        <v>0.97019691325173</v>
      </c>
      <c r="R414" s="133">
        <v>0.968132311415894</v>
      </c>
      <c r="S414" s="133">
        <v>0.977122205121998</v>
      </c>
      <c r="T414" s="135">
        <v>0.9</v>
      </c>
      <c r="U414" s="133">
        <v>0.951290229051899</v>
      </c>
      <c r="V414" s="133">
        <v>0.939861628525812</v>
      </c>
      <c r="W414" s="133">
        <v>0.931423961274708</v>
      </c>
      <c r="X414" s="133">
        <v>0.955316536685746</v>
      </c>
      <c r="Y414" s="135">
        <v>0.92</v>
      </c>
      <c r="Z414" s="135">
        <v>0.949182389937107</v>
      </c>
      <c r="AA414" s="135">
        <v>0.94739336492891</v>
      </c>
      <c r="AB414" s="135">
        <v>0.936925098554534</v>
      </c>
      <c r="AC414" s="135">
        <v>0.964274987190586</v>
      </c>
      <c r="AD414" s="135">
        <v>0.92</v>
      </c>
      <c r="AE414" s="133">
        <v>0.993892081390726</v>
      </c>
      <c r="AF414" s="133">
        <v>0.975778546712803</v>
      </c>
      <c r="AG414" s="133">
        <v>0.990032265498963</v>
      </c>
      <c r="AH414" s="133">
        <v>0.987739898273678</v>
      </c>
      <c r="AI414" s="135">
        <v>0.92</v>
      </c>
      <c r="AJ414" s="133">
        <v>0.960963790550545</v>
      </c>
      <c r="AK414" s="133">
        <v>0.955137844611529</v>
      </c>
      <c r="AL414" s="133">
        <v>0.94878840869348</v>
      </c>
      <c r="AM414" s="133">
        <v>0.973518318024657</v>
      </c>
      <c r="AN414" s="132">
        <v>0.99</v>
      </c>
      <c r="AO414" s="137">
        <v>1</v>
      </c>
      <c r="AP414" s="137">
        <v>1</v>
      </c>
      <c r="AQ414" s="137">
        <v>1</v>
      </c>
      <c r="AR414" s="137">
        <v>1</v>
      </c>
      <c r="AS414" s="158">
        <v>0.05</v>
      </c>
      <c r="AT414" s="141">
        <v>0.0357142857142857</v>
      </c>
      <c r="AU414" s="141">
        <v>0</v>
      </c>
      <c r="AV414" s="141">
        <v>0.176470588235294</v>
      </c>
      <c r="AW414" s="141">
        <v>0.0361702127659574</v>
      </c>
      <c r="AX414" s="95"/>
      <c r="AY414" s="93"/>
    </row>
    <row r="415" ht="15" spans="1:51">
      <c r="A415" s="91"/>
      <c r="B415" s="95"/>
      <c r="C415" s="152" t="s">
        <v>375</v>
      </c>
      <c r="D415" s="153" t="s">
        <v>25</v>
      </c>
      <c r="E415" s="130" t="s">
        <v>376</v>
      </c>
      <c r="F415" s="154" t="s">
        <v>441</v>
      </c>
      <c r="G415" s="154" t="s">
        <v>441</v>
      </c>
      <c r="H415" s="154" t="s">
        <v>441</v>
      </c>
      <c r="I415" s="154" t="s">
        <v>441</v>
      </c>
      <c r="J415" s="132">
        <v>0.9</v>
      </c>
      <c r="K415" s="133">
        <v>0.974358974358974</v>
      </c>
      <c r="L415" s="133">
        <v>0.972972972972973</v>
      </c>
      <c r="M415" s="134">
        <v>0.962962962962963</v>
      </c>
      <c r="N415" s="133">
        <v>0.965616045845272</v>
      </c>
      <c r="O415" s="135">
        <v>0.9</v>
      </c>
      <c r="P415" s="133">
        <v>0.91234804862444</v>
      </c>
      <c r="Q415" s="133">
        <v>0.834179357021997</v>
      </c>
      <c r="R415" s="133">
        <v>0.892255892255892</v>
      </c>
      <c r="S415" s="133">
        <v>0.929256974107472</v>
      </c>
      <c r="T415" s="135">
        <v>0.9</v>
      </c>
      <c r="U415" s="133">
        <v>0.924504158669226</v>
      </c>
      <c r="V415" s="133">
        <v>0.954314720812183</v>
      </c>
      <c r="W415" s="133">
        <v>0.90976430976431</v>
      </c>
      <c r="X415" s="133">
        <v>0.910773611770289</v>
      </c>
      <c r="Y415" s="135">
        <v>0.92</v>
      </c>
      <c r="Z415" s="135">
        <v>0.919083969465649</v>
      </c>
      <c r="AA415" s="135">
        <v>0.980189491817399</v>
      </c>
      <c r="AB415" s="135">
        <v>0.947033898305085</v>
      </c>
      <c r="AC415" s="135">
        <v>0.971513851860438</v>
      </c>
      <c r="AD415" s="135">
        <v>0.92</v>
      </c>
      <c r="AE415" s="133">
        <v>0.998610266655086</v>
      </c>
      <c r="AF415" s="133">
        <v>0.998925453324379</v>
      </c>
      <c r="AG415" s="133">
        <v>0.990166621141765</v>
      </c>
      <c r="AH415" s="133">
        <v>0.975328365671915</v>
      </c>
      <c r="AI415" s="135">
        <v>0.92</v>
      </c>
      <c r="AJ415" s="133">
        <v>0.937365527133636</v>
      </c>
      <c r="AK415" s="133">
        <v>0.985488689714042</v>
      </c>
      <c r="AL415" s="133">
        <v>0.954320987654321</v>
      </c>
      <c r="AM415" s="133">
        <v>0.978634130182742</v>
      </c>
      <c r="AN415" s="132">
        <v>0.99</v>
      </c>
      <c r="AO415" s="137">
        <v>1</v>
      </c>
      <c r="AP415" s="137">
        <v>1</v>
      </c>
      <c r="AQ415" s="137">
        <v>1</v>
      </c>
      <c r="AR415" s="137">
        <v>1</v>
      </c>
      <c r="AS415" s="158">
        <v>0.05</v>
      </c>
      <c r="AT415" s="141">
        <v>0.00338983050847458</v>
      </c>
      <c r="AU415" s="141">
        <v>0.00321543408360129</v>
      </c>
      <c r="AV415" s="141">
        <v>0.00276243093922652</v>
      </c>
      <c r="AW415" s="141">
        <v>0.00580190634065479</v>
      </c>
      <c r="AX415" s="95"/>
      <c r="AY415" s="93"/>
    </row>
    <row r="416" ht="15" spans="1:51">
      <c r="A416" s="91"/>
      <c r="B416" s="95"/>
      <c r="C416" s="152" t="s">
        <v>375</v>
      </c>
      <c r="D416" s="153" t="s">
        <v>25</v>
      </c>
      <c r="E416" s="130" t="s">
        <v>376</v>
      </c>
      <c r="F416" s="154" t="s">
        <v>442</v>
      </c>
      <c r="G416" s="154" t="s">
        <v>442</v>
      </c>
      <c r="H416" s="154" t="s">
        <v>442</v>
      </c>
      <c r="I416" s="154" t="s">
        <v>442</v>
      </c>
      <c r="J416" s="132">
        <v>0.9</v>
      </c>
      <c r="K416" s="133">
        <v>0.888888888888889</v>
      </c>
      <c r="L416" s="133">
        <v>0.96078431372549</v>
      </c>
      <c r="M416" s="134">
        <v>0.875</v>
      </c>
      <c r="N416" s="133">
        <v>0.930337078651685</v>
      </c>
      <c r="O416" s="135">
        <v>0.9</v>
      </c>
      <c r="P416" s="133">
        <v>0.987893462469734</v>
      </c>
      <c r="Q416" s="133">
        <v>0.980357142857143</v>
      </c>
      <c r="R416" s="133">
        <v>0.978597449908925</v>
      </c>
      <c r="S416" s="133">
        <v>0.982364202424922</v>
      </c>
      <c r="T416" s="135">
        <v>0.9</v>
      </c>
      <c r="U416" s="133">
        <v>0.925631269456935</v>
      </c>
      <c r="V416" s="133">
        <v>0.93452380952381</v>
      </c>
      <c r="W416" s="133">
        <v>0.897085610200364</v>
      </c>
      <c r="X416" s="133">
        <v>0.920194148473305</v>
      </c>
      <c r="Y416" s="135">
        <v>0.92</v>
      </c>
      <c r="Z416" s="135">
        <v>0.926829268292683</v>
      </c>
      <c r="AA416" s="135">
        <v>0.944770857814336</v>
      </c>
      <c r="AB416" s="135">
        <v>0.910266774454325</v>
      </c>
      <c r="AC416" s="135">
        <v>0.930794439129638</v>
      </c>
      <c r="AD416" s="135">
        <v>0.92</v>
      </c>
      <c r="AE416" s="133">
        <v>0.96294024598896</v>
      </c>
      <c r="AF416" s="133">
        <v>0.992375639237564</v>
      </c>
      <c r="AG416" s="133">
        <v>0.995723667464237</v>
      </c>
      <c r="AH416" s="133">
        <v>0.979010313567956</v>
      </c>
      <c r="AI416" s="135">
        <v>0.92</v>
      </c>
      <c r="AJ416" s="133">
        <v>0.949109815660942</v>
      </c>
      <c r="AK416" s="133">
        <v>0.960094590600059</v>
      </c>
      <c r="AL416" s="133">
        <v>0.935718440954043</v>
      </c>
      <c r="AM416" s="133">
        <v>0.95344897615486</v>
      </c>
      <c r="AN416" s="132">
        <v>0.99</v>
      </c>
      <c r="AO416" s="137">
        <v>1</v>
      </c>
      <c r="AP416" s="137">
        <v>1</v>
      </c>
      <c r="AQ416" s="137">
        <v>1</v>
      </c>
      <c r="AR416" s="137">
        <v>1</v>
      </c>
      <c r="AS416" s="158">
        <v>0.05</v>
      </c>
      <c r="AT416" s="141">
        <v>0</v>
      </c>
      <c r="AU416" s="141">
        <v>0</v>
      </c>
      <c r="AV416" s="141">
        <v>0.105263157894737</v>
      </c>
      <c r="AW416" s="141">
        <v>0.0641711229946524</v>
      </c>
      <c r="AX416" s="95"/>
      <c r="AY416" s="93"/>
    </row>
    <row r="417" ht="15" spans="1:51">
      <c r="A417" s="91"/>
      <c r="B417" s="95"/>
      <c r="C417" s="152" t="s">
        <v>375</v>
      </c>
      <c r="D417" s="153" t="s">
        <v>25</v>
      </c>
      <c r="E417" s="130" t="s">
        <v>376</v>
      </c>
      <c r="F417" s="154" t="s">
        <v>443</v>
      </c>
      <c r="G417" s="154" t="s">
        <v>443</v>
      </c>
      <c r="H417" s="154" t="s">
        <v>443</v>
      </c>
      <c r="I417" s="154" t="s">
        <v>443</v>
      </c>
      <c r="J417" s="132">
        <v>0.9</v>
      </c>
      <c r="K417" s="133">
        <v>0.991150442477876</v>
      </c>
      <c r="L417" s="133">
        <v>0.97979797979798</v>
      </c>
      <c r="M417" s="134">
        <v>0.9625</v>
      </c>
      <c r="N417" s="133">
        <v>0.977176220806794</v>
      </c>
      <c r="O417" s="135">
        <v>0.9</v>
      </c>
      <c r="P417" s="133">
        <v>0.985206447339368</v>
      </c>
      <c r="Q417" s="133">
        <v>0.982935153583618</v>
      </c>
      <c r="R417" s="133">
        <v>0.979783181951362</v>
      </c>
      <c r="S417" s="133">
        <v>0.982738088613371</v>
      </c>
      <c r="T417" s="135">
        <v>0.9</v>
      </c>
      <c r="U417" s="133">
        <v>0.962684919408258</v>
      </c>
      <c r="V417" s="133">
        <v>0.946150929086083</v>
      </c>
      <c r="W417" s="133">
        <v>0.92938763551128</v>
      </c>
      <c r="X417" s="133">
        <v>0.959622040934436</v>
      </c>
      <c r="Y417" s="135">
        <v>0.92</v>
      </c>
      <c r="Z417" s="135">
        <v>0.959261700725115</v>
      </c>
      <c r="AA417" s="135">
        <v>0.962195121951219</v>
      </c>
      <c r="AB417" s="135">
        <v>0.941221084565794</v>
      </c>
      <c r="AC417" s="135">
        <v>0.96456873109749</v>
      </c>
      <c r="AD417" s="135">
        <v>0.92</v>
      </c>
      <c r="AE417" s="133">
        <v>0.99357959166203</v>
      </c>
      <c r="AF417" s="133">
        <v>0.992878760904397</v>
      </c>
      <c r="AG417" s="133">
        <v>0.798089336431707</v>
      </c>
      <c r="AH417" s="133">
        <v>0.984345149364173</v>
      </c>
      <c r="AI417" s="135">
        <v>0.92</v>
      </c>
      <c r="AJ417" s="133">
        <v>0.968824742268041</v>
      </c>
      <c r="AK417" s="133">
        <v>0.971945242521548</v>
      </c>
      <c r="AL417" s="133">
        <v>0.961487603305785</v>
      </c>
      <c r="AM417" s="133">
        <v>0.975971085868615</v>
      </c>
      <c r="AN417" s="132">
        <v>0.99</v>
      </c>
      <c r="AO417" s="137">
        <v>1</v>
      </c>
      <c r="AP417" s="137">
        <v>1</v>
      </c>
      <c r="AQ417" s="137">
        <v>1</v>
      </c>
      <c r="AR417" s="137">
        <v>1</v>
      </c>
      <c r="AS417" s="158">
        <v>0.05</v>
      </c>
      <c r="AT417" s="141">
        <v>0.0512820512820513</v>
      </c>
      <c r="AU417" s="141">
        <v>0.0833333333333333</v>
      </c>
      <c r="AV417" s="141">
        <v>0.0555555555555556</v>
      </c>
      <c r="AW417" s="141">
        <v>0.0378096479791395</v>
      </c>
      <c r="AX417" s="95"/>
      <c r="AY417" s="93"/>
    </row>
    <row r="418" ht="15" spans="1:51">
      <c r="A418" s="91"/>
      <c r="B418" s="95"/>
      <c r="C418" s="152" t="s">
        <v>375</v>
      </c>
      <c r="D418" s="153" t="s">
        <v>25</v>
      </c>
      <c r="E418" s="130" t="s">
        <v>376</v>
      </c>
      <c r="F418" s="154" t="s">
        <v>444</v>
      </c>
      <c r="G418" s="154" t="s">
        <v>444</v>
      </c>
      <c r="H418" s="154" t="s">
        <v>444</v>
      </c>
      <c r="I418" s="154" t="s">
        <v>444</v>
      </c>
      <c r="J418" s="132">
        <v>0.9</v>
      </c>
      <c r="K418" s="133">
        <v>1</v>
      </c>
      <c r="L418" s="133">
        <v>0.985507246376812</v>
      </c>
      <c r="M418" s="134">
        <v>0.983606557377049</v>
      </c>
      <c r="N418" s="133">
        <v>0.992248062015504</v>
      </c>
      <c r="O418" s="135">
        <v>0.9</v>
      </c>
      <c r="P418" s="133">
        <v>0.994721883881445</v>
      </c>
      <c r="Q418" s="133">
        <v>0.992523364485981</v>
      </c>
      <c r="R418" s="133">
        <v>0.990894483128013</v>
      </c>
      <c r="S418" s="133">
        <v>0.991971022234092</v>
      </c>
      <c r="T418" s="135">
        <v>0.9</v>
      </c>
      <c r="U418" s="133">
        <v>0.962241169305725</v>
      </c>
      <c r="V418" s="133">
        <v>0.95202492211838</v>
      </c>
      <c r="W418" s="133">
        <v>0.931440814140332</v>
      </c>
      <c r="X418" s="133">
        <v>0.964796020564866</v>
      </c>
      <c r="Y418" s="135">
        <v>0.92</v>
      </c>
      <c r="Z418" s="135">
        <v>0.971529619805482</v>
      </c>
      <c r="AA418" s="135">
        <v>0.975574010747435</v>
      </c>
      <c r="AB418" s="135">
        <v>0.974123989218329</v>
      </c>
      <c r="AC418" s="135">
        <v>0.984031936127745</v>
      </c>
      <c r="AD418" s="135">
        <v>0.92</v>
      </c>
      <c r="AE418" s="133">
        <v>0.997797356828194</v>
      </c>
      <c r="AF418" s="133">
        <v>0.997010463378176</v>
      </c>
      <c r="AG418" s="133">
        <v>0.995176848874598</v>
      </c>
      <c r="AH418" s="133">
        <v>0.99325869748405</v>
      </c>
      <c r="AI418" s="135">
        <v>0.92</v>
      </c>
      <c r="AJ418" s="133">
        <v>0.977594484796258</v>
      </c>
      <c r="AK418" s="133">
        <v>0.981106243154436</v>
      </c>
      <c r="AL418" s="133">
        <v>0.981998925308974</v>
      </c>
      <c r="AM418" s="133">
        <v>0.989457774984475</v>
      </c>
      <c r="AN418" s="132">
        <v>0.99</v>
      </c>
      <c r="AO418" s="137">
        <v>1</v>
      </c>
      <c r="AP418" s="137">
        <v>1</v>
      </c>
      <c r="AQ418" s="137">
        <v>1</v>
      </c>
      <c r="AR418" s="137">
        <v>1</v>
      </c>
      <c r="AS418" s="158">
        <v>0.05</v>
      </c>
      <c r="AT418" s="141">
        <v>0</v>
      </c>
      <c r="AU418" s="141">
        <v>0.1</v>
      </c>
      <c r="AV418" s="141">
        <v>0.0833333333333333</v>
      </c>
      <c r="AW418" s="141">
        <v>0.0444015444015444</v>
      </c>
      <c r="AX418" s="95"/>
      <c r="AY418" s="93"/>
    </row>
    <row r="419" ht="15" spans="1:51">
      <c r="A419" s="91"/>
      <c r="B419" s="95"/>
      <c r="C419" s="152" t="s">
        <v>375</v>
      </c>
      <c r="D419" s="153" t="s">
        <v>25</v>
      </c>
      <c r="E419" s="130" t="s">
        <v>376</v>
      </c>
      <c r="F419" s="154" t="s">
        <v>445</v>
      </c>
      <c r="G419" s="154" t="s">
        <v>445</v>
      </c>
      <c r="H419" s="154" t="s">
        <v>445</v>
      </c>
      <c r="I419" s="154" t="s">
        <v>445</v>
      </c>
      <c r="J419" s="132">
        <v>0.9</v>
      </c>
      <c r="K419" s="133">
        <v>1</v>
      </c>
      <c r="L419" s="133">
        <v>1</v>
      </c>
      <c r="M419" s="134">
        <v>1</v>
      </c>
      <c r="N419" s="133">
        <v>0.990779547359598</v>
      </c>
      <c r="O419" s="135">
        <v>0.9</v>
      </c>
      <c r="P419" s="133">
        <v>0.847717373769963</v>
      </c>
      <c r="Q419" s="133">
        <v>0.979166666666667</v>
      </c>
      <c r="R419" s="133">
        <v>0.96626768226333</v>
      </c>
      <c r="S419" s="133">
        <v>0.94697948591993</v>
      </c>
      <c r="T419" s="135">
        <v>0.9</v>
      </c>
      <c r="U419" s="133">
        <v>0.971124374899177</v>
      </c>
      <c r="V419" s="133">
        <v>0.966944444444444</v>
      </c>
      <c r="W419" s="133">
        <v>0.954733405875952</v>
      </c>
      <c r="X419" s="133">
        <v>0.950257894343411</v>
      </c>
      <c r="Y419" s="135">
        <v>0.92</v>
      </c>
      <c r="Z419" s="135">
        <v>0.950408401400233</v>
      </c>
      <c r="AA419" s="135">
        <v>0.973137973137973</v>
      </c>
      <c r="AB419" s="135">
        <v>0.946762018275725</v>
      </c>
      <c r="AC419" s="135">
        <v>0.951271321181903</v>
      </c>
      <c r="AD419" s="135">
        <v>0.92</v>
      </c>
      <c r="AE419" s="133">
        <v>0.983965716486903</v>
      </c>
      <c r="AF419" s="133">
        <v>0.963225310038925</v>
      </c>
      <c r="AG419" s="133">
        <v>0.986192766791377</v>
      </c>
      <c r="AH419" s="133">
        <v>0.960537042081091</v>
      </c>
      <c r="AI419" s="135">
        <v>0.92</v>
      </c>
      <c r="AJ419" s="133">
        <v>0.971874448950802</v>
      </c>
      <c r="AK419" s="133">
        <v>0.98065735892961</v>
      </c>
      <c r="AL419" s="133">
        <v>0.96541057367829</v>
      </c>
      <c r="AM419" s="133">
        <v>0.969151312926157</v>
      </c>
      <c r="AN419" s="132">
        <v>0.99</v>
      </c>
      <c r="AO419" s="137">
        <v>1</v>
      </c>
      <c r="AP419" s="137">
        <v>1</v>
      </c>
      <c r="AQ419" s="137">
        <v>1</v>
      </c>
      <c r="AR419" s="137">
        <v>1</v>
      </c>
      <c r="AS419" s="158">
        <v>0.05</v>
      </c>
      <c r="AT419" s="141">
        <v>0.04</v>
      </c>
      <c r="AU419" s="141">
        <v>0</v>
      </c>
      <c r="AV419" s="141">
        <v>0.0375</v>
      </c>
      <c r="AW419" s="141">
        <v>0.0184262948207171</v>
      </c>
      <c r="AX419" s="95"/>
      <c r="AY419" s="93"/>
    </row>
    <row r="420" ht="15" spans="1:51">
      <c r="A420" s="91"/>
      <c r="B420" s="95"/>
      <c r="C420" s="152" t="s">
        <v>375</v>
      </c>
      <c r="D420" s="153" t="s">
        <v>25</v>
      </c>
      <c r="E420" s="130" t="s">
        <v>376</v>
      </c>
      <c r="F420" s="154" t="s">
        <v>446</v>
      </c>
      <c r="G420" s="154" t="s">
        <v>446</v>
      </c>
      <c r="H420" s="154" t="s">
        <v>446</v>
      </c>
      <c r="I420" s="154" t="s">
        <v>446</v>
      </c>
      <c r="J420" s="132">
        <v>0.9</v>
      </c>
      <c r="K420" s="133">
        <v>1</v>
      </c>
      <c r="L420" s="133">
        <v>0.918367346938776</v>
      </c>
      <c r="M420" s="134">
        <v>0.978260869565217</v>
      </c>
      <c r="N420" s="133">
        <v>0.938121546961326</v>
      </c>
      <c r="O420" s="135">
        <v>0.9</v>
      </c>
      <c r="P420" s="133">
        <v>0.922247023809524</v>
      </c>
      <c r="Q420" s="133">
        <v>0.884721456150028</v>
      </c>
      <c r="R420" s="133">
        <v>0.962666666666667</v>
      </c>
      <c r="S420" s="133">
        <v>0.928550174161138</v>
      </c>
      <c r="T420" s="135">
        <v>0.9</v>
      </c>
      <c r="U420" s="133">
        <v>0.922991071428571</v>
      </c>
      <c r="V420" s="133">
        <v>0.859349145063431</v>
      </c>
      <c r="W420" s="133">
        <v>0.869333333333333</v>
      </c>
      <c r="X420" s="133">
        <v>0.877702123190562</v>
      </c>
      <c r="Y420" s="135">
        <v>0.92</v>
      </c>
      <c r="Z420" s="135">
        <v>0.849974133471288</v>
      </c>
      <c r="AA420" s="135">
        <v>0.925381571509327</v>
      </c>
      <c r="AB420" s="135">
        <v>0.782324058919804</v>
      </c>
      <c r="AC420" s="135">
        <v>0.903446082466512</v>
      </c>
      <c r="AD420" s="135">
        <v>0.92</v>
      </c>
      <c r="AE420" s="133">
        <v>0.993088982709011</v>
      </c>
      <c r="AF420" s="133">
        <v>0.990487782887026</v>
      </c>
      <c r="AG420" s="133">
        <v>0.995401485673859</v>
      </c>
      <c r="AH420" s="133">
        <v>0.993137738998949</v>
      </c>
      <c r="AI420" s="135">
        <v>0.92</v>
      </c>
      <c r="AJ420" s="133">
        <v>0.896767307105825</v>
      </c>
      <c r="AK420" s="133">
        <v>0.936645269327379</v>
      </c>
      <c r="AL420" s="133">
        <v>0.877627411459833</v>
      </c>
      <c r="AM420" s="133">
        <v>0.934226211978903</v>
      </c>
      <c r="AN420" s="132">
        <v>0.99</v>
      </c>
      <c r="AO420" s="137">
        <v>1</v>
      </c>
      <c r="AP420" s="137">
        <v>1</v>
      </c>
      <c r="AQ420" s="137">
        <v>1</v>
      </c>
      <c r="AR420" s="137">
        <v>1</v>
      </c>
      <c r="AS420" s="158">
        <v>0.05</v>
      </c>
      <c r="AT420" s="141">
        <v>0.0681818181818182</v>
      </c>
      <c r="AU420" s="141">
        <v>0.0526315789473684</v>
      </c>
      <c r="AV420" s="141">
        <v>0.09375</v>
      </c>
      <c r="AW420" s="141">
        <v>0.0329557157569516</v>
      </c>
      <c r="AX420" s="95"/>
      <c r="AY420" s="93"/>
    </row>
    <row r="421" ht="15" spans="1:51">
      <c r="A421" s="91"/>
      <c r="B421" s="95"/>
      <c r="C421" s="152" t="s">
        <v>375</v>
      </c>
      <c r="D421" s="153" t="s">
        <v>25</v>
      </c>
      <c r="E421" s="130" t="s">
        <v>376</v>
      </c>
      <c r="F421" s="154" t="s">
        <v>447</v>
      </c>
      <c r="G421" s="154" t="s">
        <v>447</v>
      </c>
      <c r="H421" s="154" t="s">
        <v>447</v>
      </c>
      <c r="I421" s="154" t="s">
        <v>447</v>
      </c>
      <c r="J421" s="132">
        <v>0.9</v>
      </c>
      <c r="K421" s="133">
        <v>1</v>
      </c>
      <c r="L421" s="133">
        <v>1</v>
      </c>
      <c r="M421" s="134">
        <v>1</v>
      </c>
      <c r="N421" s="133">
        <v>0.98433734939759</v>
      </c>
      <c r="O421" s="135">
        <v>0.9</v>
      </c>
      <c r="P421" s="133">
        <v>0.988316151202749</v>
      </c>
      <c r="Q421" s="133">
        <v>0.988213961922031</v>
      </c>
      <c r="R421" s="133">
        <v>0.99923896499239</v>
      </c>
      <c r="S421" s="133">
        <v>0.990128075234458</v>
      </c>
      <c r="T421" s="135">
        <v>0.9</v>
      </c>
      <c r="U421" s="133">
        <v>0.969072164948454</v>
      </c>
      <c r="V421" s="133">
        <v>0.964641885766092</v>
      </c>
      <c r="W421" s="133">
        <v>0.780060882800609</v>
      </c>
      <c r="X421" s="133">
        <v>0.967084924531733</v>
      </c>
      <c r="Y421" s="135">
        <v>0.92</v>
      </c>
      <c r="Z421" s="135">
        <v>0.972095671981777</v>
      </c>
      <c r="AA421" s="135">
        <v>0.978260869565217</v>
      </c>
      <c r="AB421" s="135">
        <v>0.939146230699364</v>
      </c>
      <c r="AC421" s="135">
        <v>0.978345254710398</v>
      </c>
      <c r="AD421" s="135">
        <v>0.92</v>
      </c>
      <c r="AE421" s="133">
        <v>0.999501826635669</v>
      </c>
      <c r="AF421" s="133">
        <v>0.997819767441861</v>
      </c>
      <c r="AG421" s="133">
        <v>0.538461538461538</v>
      </c>
      <c r="AH421" s="133">
        <v>0.995801315059812</v>
      </c>
      <c r="AI421" s="135">
        <v>0.92</v>
      </c>
      <c r="AJ421" s="133">
        <v>0.976875125678665</v>
      </c>
      <c r="AK421" s="133">
        <v>0.984518828451883</v>
      </c>
      <c r="AL421" s="133">
        <v>0.959850993377483</v>
      </c>
      <c r="AM421" s="133">
        <v>0.984886530534894</v>
      </c>
      <c r="AN421" s="132">
        <v>0.99</v>
      </c>
      <c r="AO421" s="137">
        <v>1</v>
      </c>
      <c r="AP421" s="137">
        <v>1</v>
      </c>
      <c r="AQ421" s="137">
        <v>1</v>
      </c>
      <c r="AR421" s="137">
        <v>1</v>
      </c>
      <c r="AS421" s="158">
        <v>0.05</v>
      </c>
      <c r="AT421" s="141">
        <v>0.117647058823529</v>
      </c>
      <c r="AU421" s="141">
        <v>0.230769230769231</v>
      </c>
      <c r="AV421" s="141">
        <v>0</v>
      </c>
      <c r="AW421" s="141">
        <v>0.0342205323193916</v>
      </c>
      <c r="AX421" s="95"/>
      <c r="AY421" s="93"/>
    </row>
    <row r="422" ht="15" spans="1:51">
      <c r="A422" s="91"/>
      <c r="B422" s="95"/>
      <c r="C422" s="152" t="s">
        <v>375</v>
      </c>
      <c r="D422" s="153" t="s">
        <v>25</v>
      </c>
      <c r="E422" s="130" t="s">
        <v>376</v>
      </c>
      <c r="F422" s="154" t="s">
        <v>448</v>
      </c>
      <c r="G422" s="154" t="s">
        <v>448</v>
      </c>
      <c r="H422" s="154" t="s">
        <v>448</v>
      </c>
      <c r="I422" s="154" t="s">
        <v>448</v>
      </c>
      <c r="J422" s="132">
        <v>0.9</v>
      </c>
      <c r="K422" s="133">
        <v>1</v>
      </c>
      <c r="L422" s="133">
        <v>1</v>
      </c>
      <c r="M422" s="134">
        <v>1</v>
      </c>
      <c r="N422" s="133">
        <v>0.993368700265252</v>
      </c>
      <c r="O422" s="135">
        <v>0.9</v>
      </c>
      <c r="P422" s="133">
        <v>0.993055555555556</v>
      </c>
      <c r="Q422" s="133">
        <v>0.993404781533388</v>
      </c>
      <c r="R422" s="133">
        <v>0.992343032159265</v>
      </c>
      <c r="S422" s="133">
        <v>0.99280521054226</v>
      </c>
      <c r="T422" s="135">
        <v>0.9</v>
      </c>
      <c r="U422" s="133">
        <v>0.961226851851852</v>
      </c>
      <c r="V422" s="133">
        <v>0.967023907666941</v>
      </c>
      <c r="W422" s="133">
        <v>0.931852986217458</v>
      </c>
      <c r="X422" s="133">
        <v>0.970715944663233</v>
      </c>
      <c r="Y422" s="135">
        <v>0.92</v>
      </c>
      <c r="Z422" s="135">
        <v>0.974741326841144</v>
      </c>
      <c r="AA422" s="135">
        <v>0.970276008492569</v>
      </c>
      <c r="AB422" s="135">
        <v>0.9448</v>
      </c>
      <c r="AC422" s="135">
        <v>0.977382139914126</v>
      </c>
      <c r="AD422" s="135">
        <v>0.92</v>
      </c>
      <c r="AE422" s="133">
        <v>0.999227419581402</v>
      </c>
      <c r="AF422" s="133">
        <v>0.988509842344348</v>
      </c>
      <c r="AG422" s="133">
        <v>0.998970133882595</v>
      </c>
      <c r="AH422" s="133">
        <v>0.989538773649185</v>
      </c>
      <c r="AI422" s="135">
        <v>0.92</v>
      </c>
      <c r="AJ422" s="133">
        <v>0.979066985645933</v>
      </c>
      <c r="AK422" s="133">
        <v>0.980213089802131</v>
      </c>
      <c r="AL422" s="133">
        <v>0.958577569363032</v>
      </c>
      <c r="AM422" s="133">
        <v>0.984672766478233</v>
      </c>
      <c r="AN422" s="132">
        <v>0.99</v>
      </c>
      <c r="AO422" s="137">
        <v>1</v>
      </c>
      <c r="AP422" s="137">
        <v>1</v>
      </c>
      <c r="AQ422" s="137">
        <v>1</v>
      </c>
      <c r="AR422" s="137">
        <v>1</v>
      </c>
      <c r="AS422" s="158">
        <v>0.05</v>
      </c>
      <c r="AT422" s="141">
        <v>0</v>
      </c>
      <c r="AU422" s="141">
        <v>0</v>
      </c>
      <c r="AV422" s="141">
        <v>0</v>
      </c>
      <c r="AW422" s="141">
        <v>0.0253164556962025</v>
      </c>
      <c r="AX422" s="95"/>
      <c r="AY422" s="93"/>
    </row>
    <row r="423" ht="15" spans="1:51">
      <c r="A423" s="91"/>
      <c r="B423" s="95"/>
      <c r="C423" s="152" t="s">
        <v>375</v>
      </c>
      <c r="D423" s="153" t="s">
        <v>25</v>
      </c>
      <c r="E423" s="130" t="s">
        <v>376</v>
      </c>
      <c r="F423" s="154" t="s">
        <v>449</v>
      </c>
      <c r="G423" s="154" t="s">
        <v>449</v>
      </c>
      <c r="H423" s="154" t="s">
        <v>449</v>
      </c>
      <c r="I423" s="154" t="s">
        <v>449</v>
      </c>
      <c r="J423" s="132">
        <v>0.9</v>
      </c>
      <c r="K423" s="133">
        <v>0.971428571428571</v>
      </c>
      <c r="L423" s="133">
        <v>1</v>
      </c>
      <c r="M423" s="134">
        <v>0.846153846153846</v>
      </c>
      <c r="N423" s="133">
        <v>0.922033898305085</v>
      </c>
      <c r="O423" s="135">
        <v>0.9</v>
      </c>
      <c r="P423" s="133">
        <v>0.97052541648868</v>
      </c>
      <c r="Q423" s="133">
        <v>0.961401000714796</v>
      </c>
      <c r="R423" s="133">
        <v>0.955580865603645</v>
      </c>
      <c r="S423" s="133">
        <v>0.949612500946659</v>
      </c>
      <c r="T423" s="135">
        <v>0.9</v>
      </c>
      <c r="U423" s="133">
        <v>0.950021358393849</v>
      </c>
      <c r="V423" s="133">
        <v>0.945675482487491</v>
      </c>
      <c r="W423" s="133">
        <v>0.898063781321184</v>
      </c>
      <c r="X423" s="133">
        <v>0.924671193800015</v>
      </c>
      <c r="Y423" s="135">
        <v>0.92</v>
      </c>
      <c r="Z423" s="135">
        <v>0.941643509329099</v>
      </c>
      <c r="AA423" s="135">
        <v>0.933936022253129</v>
      </c>
      <c r="AB423" s="135">
        <v>0.897411313518696</v>
      </c>
      <c r="AC423" s="135">
        <v>0.933514246947083</v>
      </c>
      <c r="AD423" s="135">
        <v>0.92</v>
      </c>
      <c r="AE423" s="133">
        <v>0.999220914127424</v>
      </c>
      <c r="AF423" s="133">
        <v>0.990875101315136</v>
      </c>
      <c r="AG423" s="133">
        <v>0.999722991689751</v>
      </c>
      <c r="AH423" s="133">
        <v>0.996523728475221</v>
      </c>
      <c r="AI423" s="135">
        <v>0.92</v>
      </c>
      <c r="AJ423" s="133">
        <v>0.957983193277311</v>
      </c>
      <c r="AK423" s="133">
        <v>0.955407303370786</v>
      </c>
      <c r="AL423" s="133">
        <v>0.923789173789174</v>
      </c>
      <c r="AM423" s="133">
        <v>0.952372872507048</v>
      </c>
      <c r="AN423" s="132">
        <v>0.99</v>
      </c>
      <c r="AO423" s="137">
        <v>1</v>
      </c>
      <c r="AP423" s="137">
        <v>1</v>
      </c>
      <c r="AQ423" s="137">
        <v>1</v>
      </c>
      <c r="AR423" s="137">
        <v>1</v>
      </c>
      <c r="AS423" s="158">
        <v>0.05</v>
      </c>
      <c r="AT423" s="141">
        <v>0.0338983050847458</v>
      </c>
      <c r="AU423" s="141">
        <v>0.0202702702702703</v>
      </c>
      <c r="AV423" s="141">
        <v>0</v>
      </c>
      <c r="AW423" s="141">
        <v>0.00988319856244385</v>
      </c>
      <c r="AX423" s="95"/>
      <c r="AY423" s="93"/>
    </row>
    <row r="424" ht="15" spans="1:51">
      <c r="A424" s="91"/>
      <c r="B424" s="95"/>
      <c r="C424" s="152" t="s">
        <v>375</v>
      </c>
      <c r="D424" s="153" t="s">
        <v>25</v>
      </c>
      <c r="E424" s="130" t="s">
        <v>376</v>
      </c>
      <c r="F424" s="154" t="s">
        <v>450</v>
      </c>
      <c r="G424" s="154" t="s">
        <v>450</v>
      </c>
      <c r="H424" s="154" t="s">
        <v>450</v>
      </c>
      <c r="I424" s="154" t="s">
        <v>450</v>
      </c>
      <c r="J424" s="132">
        <v>0.9</v>
      </c>
      <c r="K424" s="133">
        <v>0.947368421052632</v>
      </c>
      <c r="L424" s="133">
        <v>0.971428571428571</v>
      </c>
      <c r="M424" s="134">
        <v>0.909090909090909</v>
      </c>
      <c r="N424" s="133">
        <v>0.911375661375661</v>
      </c>
      <c r="O424" s="135">
        <v>0.9</v>
      </c>
      <c r="P424" s="133">
        <v>0.963223140495868</v>
      </c>
      <c r="Q424" s="133">
        <v>0.964661654135338</v>
      </c>
      <c r="R424" s="133">
        <v>0.967131474103586</v>
      </c>
      <c r="S424" s="133">
        <v>0.962088452650605</v>
      </c>
      <c r="T424" s="135">
        <v>0.9</v>
      </c>
      <c r="U424" s="133">
        <v>0.927272727272727</v>
      </c>
      <c r="V424" s="133">
        <v>0.921052631578947</v>
      </c>
      <c r="W424" s="133">
        <v>0.89691235059761</v>
      </c>
      <c r="X424" s="133">
        <v>0.919349303315258</v>
      </c>
      <c r="Y424" s="135">
        <v>0.92</v>
      </c>
      <c r="Z424" s="135">
        <v>0.941682242990654</v>
      </c>
      <c r="AA424" s="135">
        <v>0.941255908170155</v>
      </c>
      <c r="AB424" s="135">
        <v>0.912155260469867</v>
      </c>
      <c r="AC424" s="135">
        <v>0.940657841552142</v>
      </c>
      <c r="AD424" s="135">
        <v>0.92</v>
      </c>
      <c r="AE424" s="133">
        <v>0.990612256872121</v>
      </c>
      <c r="AF424" s="133">
        <v>0.997353391837303</v>
      </c>
      <c r="AG424" s="133">
        <v>0.999076212471132</v>
      </c>
      <c r="AH424" s="133">
        <v>0.998033340110551</v>
      </c>
      <c r="AI424" s="135">
        <v>0.92</v>
      </c>
      <c r="AJ424" s="133">
        <v>0.956308777429467</v>
      </c>
      <c r="AK424" s="133">
        <v>0.953785993601138</v>
      </c>
      <c r="AL424" s="133">
        <v>0.947139511542322</v>
      </c>
      <c r="AM424" s="133">
        <v>0.957916576719196</v>
      </c>
      <c r="AN424" s="132">
        <v>0.99</v>
      </c>
      <c r="AO424" s="137">
        <v>1</v>
      </c>
      <c r="AP424" s="137">
        <v>1</v>
      </c>
      <c r="AQ424" s="137">
        <v>1</v>
      </c>
      <c r="AR424" s="137">
        <v>1</v>
      </c>
      <c r="AS424" s="158">
        <v>0.05</v>
      </c>
      <c r="AT424" s="141">
        <v>0.1</v>
      </c>
      <c r="AU424" s="141">
        <v>0.0625</v>
      </c>
      <c r="AV424" s="141">
        <v>0.222222222222222</v>
      </c>
      <c r="AW424" s="141">
        <v>0.0619195046439628</v>
      </c>
      <c r="AX424" s="95"/>
      <c r="AY424" s="93"/>
    </row>
    <row r="425" ht="15" spans="1:51">
      <c r="A425" s="91"/>
      <c r="B425" s="95"/>
      <c r="C425" s="152" t="s">
        <v>375</v>
      </c>
      <c r="D425" s="153" t="s">
        <v>25</v>
      </c>
      <c r="E425" s="130" t="s">
        <v>376</v>
      </c>
      <c r="F425" s="154" t="s">
        <v>451</v>
      </c>
      <c r="G425" s="154" t="s">
        <v>451</v>
      </c>
      <c r="H425" s="154" t="s">
        <v>451</v>
      </c>
      <c r="I425" s="154" t="s">
        <v>451</v>
      </c>
      <c r="J425" s="132">
        <v>0.9</v>
      </c>
      <c r="K425" s="133">
        <v>1</v>
      </c>
      <c r="L425" s="133">
        <v>1</v>
      </c>
      <c r="M425" s="134">
        <v>1</v>
      </c>
      <c r="N425" s="133">
        <v>0.976083707025411</v>
      </c>
      <c r="O425" s="135">
        <v>0.9</v>
      </c>
      <c r="P425" s="133">
        <v>0.986394557823129</v>
      </c>
      <c r="Q425" s="133">
        <v>0.993820803295572</v>
      </c>
      <c r="R425" s="133">
        <v>0.99025069637883</v>
      </c>
      <c r="S425" s="133">
        <v>0.991205993809482</v>
      </c>
      <c r="T425" s="135">
        <v>0.9</v>
      </c>
      <c r="U425" s="133">
        <v>0.918367346938776</v>
      </c>
      <c r="V425" s="133">
        <v>0.917610710607621</v>
      </c>
      <c r="W425" s="133">
        <v>0.942200557103064</v>
      </c>
      <c r="X425" s="133">
        <v>0.948190575370997</v>
      </c>
      <c r="Y425" s="135">
        <v>0.92</v>
      </c>
      <c r="Z425" s="135">
        <v>0.913081650570676</v>
      </c>
      <c r="AA425" s="135">
        <v>0.903381642512077</v>
      </c>
      <c r="AB425" s="135">
        <v>0.86</v>
      </c>
      <c r="AC425" s="135">
        <v>0.929287565980573</v>
      </c>
      <c r="AD425" s="135">
        <v>0.92</v>
      </c>
      <c r="AE425" s="133">
        <v>0.999365769683791</v>
      </c>
      <c r="AF425" s="133">
        <v>0.955338657202011</v>
      </c>
      <c r="AG425" s="133">
        <v>0.991189427312775</v>
      </c>
      <c r="AH425" s="133">
        <v>0.983127995141632</v>
      </c>
      <c r="AI425" s="135">
        <v>0.92</v>
      </c>
      <c r="AJ425" s="133">
        <v>0.933728981206726</v>
      </c>
      <c r="AK425" s="133">
        <v>0.932735426008969</v>
      </c>
      <c r="AL425" s="133">
        <v>0.930466605672461</v>
      </c>
      <c r="AM425" s="133">
        <v>0.956400366206907</v>
      </c>
      <c r="AN425" s="132">
        <v>0.99</v>
      </c>
      <c r="AO425" s="137">
        <v>1</v>
      </c>
      <c r="AP425" s="137">
        <v>1</v>
      </c>
      <c r="AQ425" s="137">
        <v>1</v>
      </c>
      <c r="AR425" s="137">
        <v>1</v>
      </c>
      <c r="AS425" s="158">
        <v>0.05</v>
      </c>
      <c r="AT425" s="141">
        <v>0</v>
      </c>
      <c r="AU425" s="141">
        <v>0.157894736842105</v>
      </c>
      <c r="AV425" s="141">
        <v>0.0526315789473684</v>
      </c>
      <c r="AW425" s="141">
        <v>0.0571428571428571</v>
      </c>
      <c r="AX425" s="95"/>
      <c r="AY425" s="93"/>
    </row>
    <row r="426" ht="15" spans="1:51">
      <c r="A426" s="91"/>
      <c r="B426" s="95"/>
      <c r="C426" s="152" t="s">
        <v>375</v>
      </c>
      <c r="D426" s="153" t="s">
        <v>25</v>
      </c>
      <c r="E426" s="130" t="s">
        <v>376</v>
      </c>
      <c r="F426" s="154" t="s">
        <v>452</v>
      </c>
      <c r="G426" s="154" t="s">
        <v>452</v>
      </c>
      <c r="H426" s="154" t="s">
        <v>452</v>
      </c>
      <c r="I426" s="154" t="s">
        <v>452</v>
      </c>
      <c r="J426" s="132">
        <v>0.9</v>
      </c>
      <c r="K426" s="133">
        <v>0.976744186046512</v>
      </c>
      <c r="L426" s="133">
        <v>0.902439024390244</v>
      </c>
      <c r="M426" s="134">
        <v>0.96969696969697</v>
      </c>
      <c r="N426" s="133">
        <v>0.937090432503277</v>
      </c>
      <c r="O426" s="135">
        <v>0.9</v>
      </c>
      <c r="P426" s="133">
        <v>0.99000999000999</v>
      </c>
      <c r="Q426" s="133">
        <v>0.973977695167286</v>
      </c>
      <c r="R426" s="133">
        <v>0.979890310786106</v>
      </c>
      <c r="S426" s="133">
        <v>0.985602051214622</v>
      </c>
      <c r="T426" s="135">
        <v>0.9</v>
      </c>
      <c r="U426" s="133">
        <v>0.898101898101898</v>
      </c>
      <c r="V426" s="133">
        <v>0.910780669144981</v>
      </c>
      <c r="W426" s="133">
        <v>0.880255941499086</v>
      </c>
      <c r="X426" s="133">
        <v>0.926202294467637</v>
      </c>
      <c r="Y426" s="135">
        <v>0.92</v>
      </c>
      <c r="Z426" s="135">
        <v>0.949638118214717</v>
      </c>
      <c r="AA426" s="135">
        <v>0.968373493975904</v>
      </c>
      <c r="AB426" s="135">
        <v>0.892045454545455</v>
      </c>
      <c r="AC426" s="135">
        <v>0.950895493013186</v>
      </c>
      <c r="AD426" s="135">
        <v>0.92</v>
      </c>
      <c r="AE426" s="133">
        <v>0.924731182795699</v>
      </c>
      <c r="AF426" s="133">
        <v>0.964601769911504</v>
      </c>
      <c r="AG426" s="133">
        <v>0.967741935483871</v>
      </c>
      <c r="AH426" s="133">
        <v>0.920430107526882</v>
      </c>
      <c r="AI426" s="135">
        <v>0.92</v>
      </c>
      <c r="AJ426" s="133">
        <v>0.952281677090572</v>
      </c>
      <c r="AK426" s="133">
        <v>0.971061093247588</v>
      </c>
      <c r="AL426" s="133">
        <v>0.926514825956167</v>
      </c>
      <c r="AM426" s="133">
        <v>0.962818461538462</v>
      </c>
      <c r="AN426" s="132">
        <v>0.99</v>
      </c>
      <c r="AO426" s="137">
        <v>1</v>
      </c>
      <c r="AP426" s="137">
        <v>1</v>
      </c>
      <c r="AQ426" s="137">
        <v>1</v>
      </c>
      <c r="AR426" s="137">
        <v>1</v>
      </c>
      <c r="AS426" s="158">
        <v>0.05</v>
      </c>
      <c r="AT426" s="141">
        <v>0</v>
      </c>
      <c r="AU426" s="141">
        <v>0</v>
      </c>
      <c r="AV426" s="141">
        <v>0</v>
      </c>
      <c r="AW426" s="141">
        <v>0.032520325203252</v>
      </c>
      <c r="AX426" s="95"/>
      <c r="AY426" s="93"/>
    </row>
    <row r="427" ht="15" spans="1:51">
      <c r="A427" s="91"/>
      <c r="B427" s="95"/>
      <c r="C427" s="152" t="s">
        <v>375</v>
      </c>
      <c r="D427" s="153" t="s">
        <v>25</v>
      </c>
      <c r="E427" s="130" t="s">
        <v>376</v>
      </c>
      <c r="F427" s="154" t="s">
        <v>453</v>
      </c>
      <c r="G427" s="154" t="s">
        <v>453</v>
      </c>
      <c r="H427" s="154" t="s">
        <v>453</v>
      </c>
      <c r="I427" s="154" t="s">
        <v>453</v>
      </c>
      <c r="J427" s="132">
        <v>0.9</v>
      </c>
      <c r="K427" s="133">
        <v>1</v>
      </c>
      <c r="L427" s="133">
        <v>0.985507246376812</v>
      </c>
      <c r="M427" s="134">
        <v>1</v>
      </c>
      <c r="N427" s="133">
        <v>0.987377279102384</v>
      </c>
      <c r="O427" s="135">
        <v>0.9</v>
      </c>
      <c r="P427" s="133">
        <v>0.988626790227464</v>
      </c>
      <c r="Q427" s="133">
        <v>0.984159779614325</v>
      </c>
      <c r="R427" s="133">
        <v>0.974812030075188</v>
      </c>
      <c r="S427" s="133">
        <v>0.984203672353171</v>
      </c>
      <c r="T427" s="135">
        <v>0.9</v>
      </c>
      <c r="U427" s="133">
        <v>0.915332771693345</v>
      </c>
      <c r="V427" s="133">
        <v>0.900137741046832</v>
      </c>
      <c r="W427" s="133">
        <v>0.881203007518797</v>
      </c>
      <c r="X427" s="133">
        <v>0.910431045709077</v>
      </c>
      <c r="Y427" s="135">
        <v>0.92</v>
      </c>
      <c r="Z427" s="135">
        <v>0.933323835304174</v>
      </c>
      <c r="AA427" s="135">
        <v>0.920013499831252</v>
      </c>
      <c r="AB427" s="135">
        <v>0.885553470919325</v>
      </c>
      <c r="AC427" s="135">
        <v>0.935226515319828</v>
      </c>
      <c r="AD427" s="135">
        <v>0.92</v>
      </c>
      <c r="AE427" s="133">
        <v>0.995294117647059</v>
      </c>
      <c r="AF427" s="133">
        <v>0.971929824561404</v>
      </c>
      <c r="AG427" s="133">
        <v>0.98</v>
      </c>
      <c r="AH427" s="133">
        <v>0.976333048189336</v>
      </c>
      <c r="AI427" s="135">
        <v>0.92</v>
      </c>
      <c r="AJ427" s="133">
        <v>0.941984245262934</v>
      </c>
      <c r="AK427" s="133">
        <v>0.935900339750849</v>
      </c>
      <c r="AL427" s="133">
        <v>0.923004694835681</v>
      </c>
      <c r="AM427" s="133">
        <v>0.955338458738968</v>
      </c>
      <c r="AN427" s="132">
        <v>0.99</v>
      </c>
      <c r="AO427" s="137">
        <v>1</v>
      </c>
      <c r="AP427" s="137">
        <v>1</v>
      </c>
      <c r="AQ427" s="137">
        <v>1</v>
      </c>
      <c r="AR427" s="137">
        <v>1</v>
      </c>
      <c r="AS427" s="158">
        <v>0.05</v>
      </c>
      <c r="AT427" s="141">
        <v>0.0454545454545455</v>
      </c>
      <c r="AU427" s="141">
        <v>0.0526315789473684</v>
      </c>
      <c r="AV427" s="141">
        <v>0.0909090909090909</v>
      </c>
      <c r="AW427" s="141">
        <v>0.0464285714285714</v>
      </c>
      <c r="AX427" s="95"/>
      <c r="AY427" s="93"/>
    </row>
    <row r="428" ht="15" spans="1:51">
      <c r="A428" s="91"/>
      <c r="B428" s="95"/>
      <c r="C428" s="152" t="s">
        <v>375</v>
      </c>
      <c r="D428" s="153" t="s">
        <v>25</v>
      </c>
      <c r="E428" s="130" t="s">
        <v>376</v>
      </c>
      <c r="F428" s="154" t="s">
        <v>454</v>
      </c>
      <c r="G428" s="154" t="s">
        <v>454</v>
      </c>
      <c r="H428" s="154" t="s">
        <v>454</v>
      </c>
      <c r="I428" s="154" t="s">
        <v>454</v>
      </c>
      <c r="J428" s="132">
        <v>0.9</v>
      </c>
      <c r="K428" s="133">
        <v>0.8125</v>
      </c>
      <c r="L428" s="133">
        <v>0.75</v>
      </c>
      <c r="M428" s="134">
        <v>0.8</v>
      </c>
      <c r="N428" s="133">
        <v>0.802736602052452</v>
      </c>
      <c r="O428" s="135">
        <v>0.9</v>
      </c>
      <c r="P428" s="133">
        <v>0.994285714285714</v>
      </c>
      <c r="Q428" s="133">
        <v>0.990694067468011</v>
      </c>
      <c r="R428" s="133">
        <v>0.98667462211615</v>
      </c>
      <c r="S428" s="133">
        <v>0.98099308839578</v>
      </c>
      <c r="T428" s="135">
        <v>0.9</v>
      </c>
      <c r="U428" s="133">
        <v>0.832698412698413</v>
      </c>
      <c r="V428" s="133">
        <v>0.79682047305157</v>
      </c>
      <c r="W428" s="133">
        <v>0.829355608591885</v>
      </c>
      <c r="X428" s="133">
        <v>0.80112970373065</v>
      </c>
      <c r="Y428" s="135">
        <v>0.92</v>
      </c>
      <c r="Z428" s="135" t="s">
        <v>35</v>
      </c>
      <c r="AA428" s="135" t="s">
        <v>35</v>
      </c>
      <c r="AB428" s="135" t="s">
        <v>35</v>
      </c>
      <c r="AC428" s="135">
        <v>1</v>
      </c>
      <c r="AD428" s="135">
        <v>0.92</v>
      </c>
      <c r="AE428" s="133">
        <v>0.988372093023256</v>
      </c>
      <c r="AF428" s="133">
        <v>0.993197278911565</v>
      </c>
      <c r="AG428" s="133">
        <v>1</v>
      </c>
      <c r="AH428" s="133">
        <v>0.976025572722429</v>
      </c>
      <c r="AI428" s="135">
        <v>0.92</v>
      </c>
      <c r="AJ428" s="133">
        <v>0.954285714285714</v>
      </c>
      <c r="AK428" s="133">
        <v>0.963551764249709</v>
      </c>
      <c r="AL428" s="133">
        <v>0.953659506762132</v>
      </c>
      <c r="AM428" s="133">
        <v>0.974152478148841</v>
      </c>
      <c r="AN428" s="132">
        <v>0.99</v>
      </c>
      <c r="AO428" s="137">
        <v>1</v>
      </c>
      <c r="AP428" s="137">
        <v>1</v>
      </c>
      <c r="AQ428" s="137">
        <v>1</v>
      </c>
      <c r="AR428" s="137">
        <v>1</v>
      </c>
      <c r="AS428" s="158">
        <v>0.05</v>
      </c>
      <c r="AT428" s="141">
        <v>0.0666666666666667</v>
      </c>
      <c r="AU428" s="141">
        <v>0.166666666666667</v>
      </c>
      <c r="AV428" s="141">
        <v>0.142857142857143</v>
      </c>
      <c r="AW428" s="141">
        <v>0.102857142857143</v>
      </c>
      <c r="AX428" s="95"/>
      <c r="AY428" s="93"/>
    </row>
    <row r="429" ht="15" spans="1:51">
      <c r="A429" s="91"/>
      <c r="B429" s="95"/>
      <c r="C429" s="152" t="s">
        <v>375</v>
      </c>
      <c r="D429" s="153" t="s">
        <v>25</v>
      </c>
      <c r="E429" s="130" t="s">
        <v>376</v>
      </c>
      <c r="F429" s="154" t="s">
        <v>455</v>
      </c>
      <c r="G429" s="154" t="s">
        <v>455</v>
      </c>
      <c r="H429" s="154" t="s">
        <v>455</v>
      </c>
      <c r="I429" s="154" t="s">
        <v>455</v>
      </c>
      <c r="J429" s="132">
        <v>0.9</v>
      </c>
      <c r="K429" s="133">
        <v>1</v>
      </c>
      <c r="L429" s="133">
        <v>1</v>
      </c>
      <c r="M429" s="134">
        <v>1</v>
      </c>
      <c r="N429" s="133">
        <v>0.972746331236897</v>
      </c>
      <c r="O429" s="135">
        <v>0.9</v>
      </c>
      <c r="P429" s="133">
        <v>0.994259471871412</v>
      </c>
      <c r="Q429" s="133">
        <v>0.989010989010989</v>
      </c>
      <c r="R429" s="133">
        <v>0.928492849284928</v>
      </c>
      <c r="S429" s="133">
        <v>0.976155119012262</v>
      </c>
      <c r="T429" s="135">
        <v>0.9</v>
      </c>
      <c r="U429" s="133">
        <v>0.926521239954076</v>
      </c>
      <c r="V429" s="133">
        <v>0.953846153846154</v>
      </c>
      <c r="W429" s="133">
        <v>0.920792079207921</v>
      </c>
      <c r="X429" s="133">
        <v>0.929313929313929</v>
      </c>
      <c r="Y429" s="135">
        <v>0.92</v>
      </c>
      <c r="Z429" s="135">
        <v>0.961552680221812</v>
      </c>
      <c r="AA429" s="135">
        <v>0.954051796157059</v>
      </c>
      <c r="AB429" s="135">
        <v>0.930731707317073</v>
      </c>
      <c r="AC429" s="135">
        <v>0.960239679073783</v>
      </c>
      <c r="AD429" s="135">
        <v>0.92</v>
      </c>
      <c r="AE429" s="133">
        <v>0.996376811594203</v>
      </c>
      <c r="AF429" s="133">
        <v>0.997340425531915</v>
      </c>
      <c r="AG429" s="133">
        <v>0.990147783251232</v>
      </c>
      <c r="AH429" s="133">
        <v>0.976251840942563</v>
      </c>
      <c r="AI429" s="135">
        <v>0.92</v>
      </c>
      <c r="AJ429" s="133">
        <v>0.965044742729307</v>
      </c>
      <c r="AK429" s="133">
        <v>0.961259079903148</v>
      </c>
      <c r="AL429" s="133">
        <v>0.955038759689922</v>
      </c>
      <c r="AM429" s="133">
        <v>0.970760048257032</v>
      </c>
      <c r="AN429" s="132">
        <v>0.99</v>
      </c>
      <c r="AO429" s="137">
        <v>1</v>
      </c>
      <c r="AP429" s="137">
        <v>1</v>
      </c>
      <c r="AQ429" s="137">
        <v>1</v>
      </c>
      <c r="AR429" s="137">
        <v>1</v>
      </c>
      <c r="AS429" s="158">
        <v>0.05</v>
      </c>
      <c r="AT429" s="141">
        <v>0</v>
      </c>
      <c r="AU429" s="141">
        <v>0</v>
      </c>
      <c r="AV429" s="141">
        <v>0.1</v>
      </c>
      <c r="AW429" s="141">
        <v>0.0344827586206897</v>
      </c>
      <c r="AX429" s="95"/>
      <c r="AY429" s="93"/>
    </row>
    <row r="430" ht="15" spans="1:51">
      <c r="A430" s="91"/>
      <c r="B430" s="95"/>
      <c r="C430" s="152" t="s">
        <v>375</v>
      </c>
      <c r="D430" s="153" t="s">
        <v>25</v>
      </c>
      <c r="E430" s="130" t="s">
        <v>376</v>
      </c>
      <c r="F430" s="154" t="s">
        <v>456</v>
      </c>
      <c r="G430" s="154" t="s">
        <v>456</v>
      </c>
      <c r="H430" s="154" t="s">
        <v>456</v>
      </c>
      <c r="I430" s="154" t="s">
        <v>456</v>
      </c>
      <c r="J430" s="132">
        <v>0.9</v>
      </c>
      <c r="K430" s="133">
        <v>0.80952380952381</v>
      </c>
      <c r="L430" s="133">
        <v>0.829268292682927</v>
      </c>
      <c r="M430" s="134">
        <v>0.777777777777778</v>
      </c>
      <c r="N430" s="133">
        <v>0.787994891443167</v>
      </c>
      <c r="O430" s="135">
        <v>0.9</v>
      </c>
      <c r="P430" s="133">
        <v>0.97329650092081</v>
      </c>
      <c r="Q430" s="133">
        <v>0.951534733441034</v>
      </c>
      <c r="R430" s="133">
        <v>0.913807531380753</v>
      </c>
      <c r="S430" s="133">
        <v>0.924519799470512</v>
      </c>
      <c r="T430" s="135">
        <v>0.9</v>
      </c>
      <c r="U430" s="133">
        <v>0.86279926335175</v>
      </c>
      <c r="V430" s="133">
        <v>0.81421647819063</v>
      </c>
      <c r="W430" s="133">
        <v>0.746443514644351</v>
      </c>
      <c r="X430" s="133">
        <v>0.828536022080775</v>
      </c>
      <c r="Y430" s="135">
        <v>0.92</v>
      </c>
      <c r="Z430" s="135">
        <v>0.898133748055988</v>
      </c>
      <c r="AA430" s="135">
        <v>0.90415785764623</v>
      </c>
      <c r="AB430" s="135">
        <v>0.807951987996999</v>
      </c>
      <c r="AC430" s="135">
        <v>0.872325493820821</v>
      </c>
      <c r="AD430" s="135">
        <v>0.92</v>
      </c>
      <c r="AE430" s="133">
        <v>0.971698113207547</v>
      </c>
      <c r="AF430" s="133">
        <v>0.979084967320261</v>
      </c>
      <c r="AG430" s="133">
        <v>0.977496483825598</v>
      </c>
      <c r="AH430" s="133">
        <v>0.963407027514034</v>
      </c>
      <c r="AI430" s="135">
        <v>0.92</v>
      </c>
      <c r="AJ430" s="133">
        <v>0.908392315470172</v>
      </c>
      <c r="AK430" s="133">
        <v>0.911678115799804</v>
      </c>
      <c r="AL430" s="133">
        <v>0.85098814229249</v>
      </c>
      <c r="AM430" s="133">
        <v>0.900933565838721</v>
      </c>
      <c r="AN430" s="132">
        <v>0.99</v>
      </c>
      <c r="AO430" s="137">
        <v>1</v>
      </c>
      <c r="AP430" s="137">
        <v>1</v>
      </c>
      <c r="AQ430" s="137">
        <v>1</v>
      </c>
      <c r="AR430" s="137">
        <v>1</v>
      </c>
      <c r="AS430" s="158">
        <v>0.05</v>
      </c>
      <c r="AT430" s="141">
        <v>0.285714285714286</v>
      </c>
      <c r="AU430" s="141">
        <v>0</v>
      </c>
      <c r="AV430" s="141">
        <v>0.166666666666667</v>
      </c>
      <c r="AW430" s="141">
        <v>0.0447284345047923</v>
      </c>
      <c r="AX430" s="95"/>
      <c r="AY430" s="93"/>
    </row>
    <row r="431" ht="15" spans="1:51">
      <c r="A431" s="91"/>
      <c r="B431" s="95"/>
      <c r="C431" s="152" t="s">
        <v>375</v>
      </c>
      <c r="D431" s="153" t="s">
        <v>25</v>
      </c>
      <c r="E431" s="130" t="s">
        <v>376</v>
      </c>
      <c r="F431" s="154" t="s">
        <v>457</v>
      </c>
      <c r="G431" s="154" t="s">
        <v>457</v>
      </c>
      <c r="H431" s="154" t="s">
        <v>457</v>
      </c>
      <c r="I431" s="154" t="s">
        <v>457</v>
      </c>
      <c r="J431" s="132">
        <v>0.9</v>
      </c>
      <c r="K431" s="133">
        <v>0.831168831168831</v>
      </c>
      <c r="L431" s="133">
        <v>0.82258064516129</v>
      </c>
      <c r="M431" s="134">
        <v>0.915254237288136</v>
      </c>
      <c r="N431" s="133">
        <v>0.903565640194489</v>
      </c>
      <c r="O431" s="135">
        <v>0.9</v>
      </c>
      <c r="P431" s="133">
        <v>0.986521181001284</v>
      </c>
      <c r="Q431" s="133">
        <v>0.978034682080925</v>
      </c>
      <c r="R431" s="133">
        <v>0.968456004427227</v>
      </c>
      <c r="S431" s="133">
        <v>0.962528894115739</v>
      </c>
      <c r="T431" s="135">
        <v>0.9</v>
      </c>
      <c r="U431" s="133">
        <v>0.890243902439024</v>
      </c>
      <c r="V431" s="133">
        <v>0.861271676300578</v>
      </c>
      <c r="W431" s="133">
        <v>0.898173768677366</v>
      </c>
      <c r="X431" s="133">
        <v>0.895920353623423</v>
      </c>
      <c r="Y431" s="135">
        <v>0.92</v>
      </c>
      <c r="Z431" s="135">
        <v>0.927929901423877</v>
      </c>
      <c r="AA431" s="135">
        <v>0.930965482741371</v>
      </c>
      <c r="AB431" s="135">
        <v>0.917707150964813</v>
      </c>
      <c r="AC431" s="135">
        <v>0.925522385628899</v>
      </c>
      <c r="AD431" s="135">
        <v>0.92</v>
      </c>
      <c r="AE431" s="133">
        <v>1</v>
      </c>
      <c r="AF431" s="133">
        <v>0.993243243243243</v>
      </c>
      <c r="AG431" s="133">
        <v>1</v>
      </c>
      <c r="AH431" s="133">
        <v>0.980636691828028</v>
      </c>
      <c r="AI431" s="135">
        <v>0.92</v>
      </c>
      <c r="AJ431" s="133">
        <v>0.941723800195886</v>
      </c>
      <c r="AK431" s="133">
        <v>0.946247818499127</v>
      </c>
      <c r="AL431" s="133">
        <v>0.942345368038063</v>
      </c>
      <c r="AM431" s="133">
        <v>0.948789227145139</v>
      </c>
      <c r="AN431" s="132">
        <v>0.99</v>
      </c>
      <c r="AO431" s="137">
        <v>1</v>
      </c>
      <c r="AP431" s="137">
        <v>1</v>
      </c>
      <c r="AQ431" s="137">
        <v>1</v>
      </c>
      <c r="AR431" s="137">
        <v>1</v>
      </c>
      <c r="AS431" s="158">
        <v>0.05</v>
      </c>
      <c r="AT431" s="141">
        <v>0.214285714285714</v>
      </c>
      <c r="AU431" s="141">
        <v>0.0909090909090909</v>
      </c>
      <c r="AV431" s="141">
        <v>0.2</v>
      </c>
      <c r="AW431" s="141">
        <v>0.111111111111111</v>
      </c>
      <c r="AX431" s="95"/>
      <c r="AY431" s="93"/>
    </row>
    <row r="432" ht="15" spans="1:51">
      <c r="A432" s="91"/>
      <c r="B432" s="95"/>
      <c r="C432" s="152" t="s">
        <v>375</v>
      </c>
      <c r="D432" s="153" t="s">
        <v>25</v>
      </c>
      <c r="E432" s="130" t="s">
        <v>376</v>
      </c>
      <c r="F432" s="154" t="s">
        <v>458</v>
      </c>
      <c r="G432" s="154" t="s">
        <v>458</v>
      </c>
      <c r="H432" s="154" t="s">
        <v>458</v>
      </c>
      <c r="I432" s="154" t="s">
        <v>458</v>
      </c>
      <c r="J432" s="132">
        <v>0.9</v>
      </c>
      <c r="K432" s="133">
        <v>0.980392156862745</v>
      </c>
      <c r="L432" s="133">
        <v>0.975</v>
      </c>
      <c r="M432" s="134">
        <v>0.973684210526316</v>
      </c>
      <c r="N432" s="133">
        <v>0.966161026837806</v>
      </c>
      <c r="O432" s="135">
        <v>0.9</v>
      </c>
      <c r="P432" s="133">
        <v>0.965263588067021</v>
      </c>
      <c r="Q432" s="133">
        <v>0.925658234383067</v>
      </c>
      <c r="R432" s="133">
        <v>0.962584243551011</v>
      </c>
      <c r="S432" s="133">
        <v>0.961203982187405</v>
      </c>
      <c r="T432" s="135">
        <v>0.9</v>
      </c>
      <c r="U432" s="133">
        <v>0.911319983653453</v>
      </c>
      <c r="V432" s="133">
        <v>0.889519876097057</v>
      </c>
      <c r="W432" s="133">
        <v>0.904020450848245</v>
      </c>
      <c r="X432" s="133">
        <v>0.902473712433844</v>
      </c>
      <c r="Y432" s="135">
        <v>0.92</v>
      </c>
      <c r="Z432" s="135">
        <v>0</v>
      </c>
      <c r="AA432" s="135">
        <v>0</v>
      </c>
      <c r="AB432" s="135">
        <v>0</v>
      </c>
      <c r="AC432" s="135">
        <v>0</v>
      </c>
      <c r="AD432" s="135">
        <v>0.92</v>
      </c>
      <c r="AE432" s="133">
        <v>0.968553459119497</v>
      </c>
      <c r="AF432" s="133">
        <v>0.982954545454545</v>
      </c>
      <c r="AG432" s="133">
        <v>0.996108949416342</v>
      </c>
      <c r="AH432" s="133">
        <v>0.981388478581979</v>
      </c>
      <c r="AI432" s="135">
        <v>0.92</v>
      </c>
      <c r="AJ432" s="133">
        <v>0.959200326397389</v>
      </c>
      <c r="AK432" s="133">
        <v>0.966477565755544</v>
      </c>
      <c r="AL432" s="133">
        <v>0.967936802973978</v>
      </c>
      <c r="AM432" s="133">
        <v>0.977959345424029</v>
      </c>
      <c r="AN432" s="132">
        <v>0.99</v>
      </c>
      <c r="AO432" s="137">
        <v>1</v>
      </c>
      <c r="AP432" s="137">
        <v>1</v>
      </c>
      <c r="AQ432" s="137">
        <v>1</v>
      </c>
      <c r="AR432" s="137">
        <v>1</v>
      </c>
      <c r="AS432" s="158">
        <v>0.05</v>
      </c>
      <c r="AT432" s="141">
        <v>0.1</v>
      </c>
      <c r="AU432" s="141">
        <v>0</v>
      </c>
      <c r="AV432" s="141">
        <v>0.333333333333333</v>
      </c>
      <c r="AW432" s="141">
        <v>0.0697674418604651</v>
      </c>
      <c r="AX432" s="95"/>
      <c r="AY432" s="93"/>
    </row>
    <row r="433" ht="15" spans="1:51">
      <c r="A433" s="91"/>
      <c r="B433" s="95"/>
      <c r="C433" s="152" t="s">
        <v>375</v>
      </c>
      <c r="D433" s="153" t="s">
        <v>25</v>
      </c>
      <c r="E433" s="130" t="s">
        <v>376</v>
      </c>
      <c r="F433" s="154" t="s">
        <v>459</v>
      </c>
      <c r="G433" s="154" t="s">
        <v>459</v>
      </c>
      <c r="H433" s="154" t="s">
        <v>459</v>
      </c>
      <c r="I433" s="154" t="s">
        <v>459</v>
      </c>
      <c r="J433" s="132">
        <v>0.9</v>
      </c>
      <c r="K433" s="133">
        <v>0.836065573770492</v>
      </c>
      <c r="L433" s="133">
        <v>0.894736842105263</v>
      </c>
      <c r="M433" s="134">
        <v>0.865384615384615</v>
      </c>
      <c r="N433" s="133">
        <v>0.886635944700461</v>
      </c>
      <c r="O433" s="135">
        <v>0.9</v>
      </c>
      <c r="P433" s="133">
        <v>0.951818611242324</v>
      </c>
      <c r="Q433" s="133">
        <v>0.95940347970174</v>
      </c>
      <c r="R433" s="133">
        <v>0.894878706199461</v>
      </c>
      <c r="S433" s="133">
        <v>0.923165068451842</v>
      </c>
      <c r="T433" s="135">
        <v>0.9</v>
      </c>
      <c r="U433" s="133">
        <v>0.88379782711384</v>
      </c>
      <c r="V433" s="133">
        <v>0.893123446561723</v>
      </c>
      <c r="W433" s="133">
        <v>0.855345911949686</v>
      </c>
      <c r="X433" s="133">
        <v>0.860110970387793</v>
      </c>
      <c r="Y433" s="135">
        <v>0.92</v>
      </c>
      <c r="Z433" s="135">
        <v>0.952360817477097</v>
      </c>
      <c r="AA433" s="135">
        <v>0.948756034162644</v>
      </c>
      <c r="AB433" s="135">
        <v>0.927038626609442</v>
      </c>
      <c r="AC433" s="135">
        <v>0.948417168026519</v>
      </c>
      <c r="AD433" s="135">
        <v>0.92</v>
      </c>
      <c r="AE433" s="133">
        <v>0.944525547445256</v>
      </c>
      <c r="AF433" s="133">
        <v>0.892518440463646</v>
      </c>
      <c r="AG433" s="133">
        <v>0.993677555321391</v>
      </c>
      <c r="AH433" s="133">
        <v>0.981579065891997</v>
      </c>
      <c r="AI433" s="135">
        <v>0.92</v>
      </c>
      <c r="AJ433" s="133">
        <v>0.955974842767296</v>
      </c>
      <c r="AK433" s="133">
        <v>0.95693411945655</v>
      </c>
      <c r="AL433" s="133">
        <v>0.939286459419987</v>
      </c>
      <c r="AM433" s="133">
        <v>0.959597281078468</v>
      </c>
      <c r="AN433" s="132">
        <v>0.99</v>
      </c>
      <c r="AO433" s="137">
        <v>1</v>
      </c>
      <c r="AP433" s="137">
        <v>1</v>
      </c>
      <c r="AQ433" s="137">
        <v>1</v>
      </c>
      <c r="AR433" s="137">
        <v>1</v>
      </c>
      <c r="AS433" s="158">
        <v>0.05</v>
      </c>
      <c r="AT433" s="141">
        <v>0</v>
      </c>
      <c r="AU433" s="141">
        <v>0.236842105263158</v>
      </c>
      <c r="AV433" s="141">
        <v>0.075</v>
      </c>
      <c r="AW433" s="141">
        <v>0.0679287305122494</v>
      </c>
      <c r="AX433" s="95"/>
      <c r="AY433" s="93"/>
    </row>
    <row r="434" ht="15" spans="1:51">
      <c r="A434" s="91"/>
      <c r="B434" s="95"/>
      <c r="C434" s="152" t="s">
        <v>375</v>
      </c>
      <c r="D434" s="153" t="s">
        <v>25</v>
      </c>
      <c r="E434" s="130" t="s">
        <v>376</v>
      </c>
      <c r="F434" s="154" t="s">
        <v>460</v>
      </c>
      <c r="G434" s="154" t="s">
        <v>460</v>
      </c>
      <c r="H434" s="154" t="s">
        <v>460</v>
      </c>
      <c r="I434" s="154" t="s">
        <v>460</v>
      </c>
      <c r="J434" s="132">
        <v>0.9</v>
      </c>
      <c r="K434" s="133">
        <v>0.866666666666667</v>
      </c>
      <c r="L434" s="133">
        <v>0.795454545454545</v>
      </c>
      <c r="M434" s="134">
        <v>0.787878787878788</v>
      </c>
      <c r="N434" s="133">
        <v>0.803973509933775</v>
      </c>
      <c r="O434" s="135">
        <v>0.9</v>
      </c>
      <c r="P434" s="133">
        <v>0.971039182282794</v>
      </c>
      <c r="Q434" s="133">
        <v>0.972368421052632</v>
      </c>
      <c r="R434" s="133">
        <v>0.884943181818182</v>
      </c>
      <c r="S434" s="133">
        <v>0.919107352858823</v>
      </c>
      <c r="T434" s="135">
        <v>0.9</v>
      </c>
      <c r="U434" s="133">
        <v>0.894378194207836</v>
      </c>
      <c r="V434" s="133">
        <v>0.884210526315789</v>
      </c>
      <c r="W434" s="133">
        <v>0.700994318181818</v>
      </c>
      <c r="X434" s="133">
        <v>0.812538500308002</v>
      </c>
      <c r="Y434" s="135">
        <v>0.92</v>
      </c>
      <c r="Z434" s="135">
        <v>0.936004451864218</v>
      </c>
      <c r="AA434" s="135">
        <v>0.939871152469578</v>
      </c>
      <c r="AB434" s="135">
        <v>0.804802478698683</v>
      </c>
      <c r="AC434" s="135">
        <v>0.897098845586012</v>
      </c>
      <c r="AD434" s="135">
        <v>0.92</v>
      </c>
      <c r="AE434" s="133">
        <v>0.998528600331065</v>
      </c>
      <c r="AF434" s="133">
        <v>0.986710650329877</v>
      </c>
      <c r="AG434" s="133">
        <v>0.96319018404908</v>
      </c>
      <c r="AH434" s="133">
        <v>0.987602983600593</v>
      </c>
      <c r="AI434" s="135">
        <v>0.92</v>
      </c>
      <c r="AJ434" s="133">
        <v>0.948857681827709</v>
      </c>
      <c r="AK434" s="133">
        <v>0.950880444856348</v>
      </c>
      <c r="AL434" s="133">
        <v>0.825620140688634</v>
      </c>
      <c r="AM434" s="133">
        <v>0.920512180023241</v>
      </c>
      <c r="AN434" s="132">
        <v>0.99</v>
      </c>
      <c r="AO434" s="137">
        <v>1</v>
      </c>
      <c r="AP434" s="137">
        <v>1</v>
      </c>
      <c r="AQ434" s="137">
        <v>1</v>
      </c>
      <c r="AR434" s="137">
        <v>1</v>
      </c>
      <c r="AS434" s="158">
        <v>0.05</v>
      </c>
      <c r="AT434" s="141">
        <v>0.0454545454545455</v>
      </c>
      <c r="AU434" s="141">
        <v>0</v>
      </c>
      <c r="AV434" s="141">
        <v>0.0769230769230769</v>
      </c>
      <c r="AW434" s="141">
        <v>0.0347826086956522</v>
      </c>
      <c r="AX434" s="95"/>
      <c r="AY434" s="93"/>
    </row>
    <row r="435" ht="15" spans="1:51">
      <c r="A435" s="91"/>
      <c r="B435" s="95"/>
      <c r="C435" s="152" t="s">
        <v>375</v>
      </c>
      <c r="D435" s="153" t="s">
        <v>25</v>
      </c>
      <c r="E435" s="130" t="s">
        <v>376</v>
      </c>
      <c r="F435" s="154" t="s">
        <v>461</v>
      </c>
      <c r="G435" s="154" t="s">
        <v>461</v>
      </c>
      <c r="H435" s="154" t="s">
        <v>461</v>
      </c>
      <c r="I435" s="154" t="s">
        <v>461</v>
      </c>
      <c r="J435" s="132">
        <v>0.9</v>
      </c>
      <c r="K435" s="133">
        <v>0.919354838709677</v>
      </c>
      <c r="L435" s="133">
        <v>0.819672131147541</v>
      </c>
      <c r="M435" s="134">
        <v>0.875</v>
      </c>
      <c r="N435" s="133">
        <v>0.866112650046168</v>
      </c>
      <c r="O435" s="135">
        <v>0.9</v>
      </c>
      <c r="P435" s="133">
        <v>0.93997668997669</v>
      </c>
      <c r="Q435" s="133">
        <v>0.919456066945607</v>
      </c>
      <c r="R435" s="133">
        <v>0.855627578078963</v>
      </c>
      <c r="S435" s="133">
        <v>0.882490140367245</v>
      </c>
      <c r="T435" s="135">
        <v>0.9</v>
      </c>
      <c r="U435" s="133">
        <v>0.916083916083916</v>
      </c>
      <c r="V435" s="133">
        <v>0.924686192468619</v>
      </c>
      <c r="W435" s="133">
        <v>0.83794932233353</v>
      </c>
      <c r="X435" s="133">
        <v>0.895742334930664</v>
      </c>
      <c r="Y435" s="135">
        <v>0.92</v>
      </c>
      <c r="Z435" s="135">
        <v>0.940306210218476</v>
      </c>
      <c r="AA435" s="135">
        <v>0.955650929899857</v>
      </c>
      <c r="AB435" s="135">
        <v>0.869135802469136</v>
      </c>
      <c r="AC435" s="135">
        <v>0.926581186825451</v>
      </c>
      <c r="AD435" s="135">
        <v>0.92</v>
      </c>
      <c r="AE435" s="133">
        <v>0.992616033755274</v>
      </c>
      <c r="AF435" s="133">
        <v>0.996144949884349</v>
      </c>
      <c r="AG435" s="133">
        <v>0.995923121723937</v>
      </c>
      <c r="AH435" s="133">
        <v>0.993263076849045</v>
      </c>
      <c r="AI435" s="135">
        <v>0.92</v>
      </c>
      <c r="AJ435" s="133">
        <v>0.946369308376477</v>
      </c>
      <c r="AK435" s="133">
        <v>0.961387434554974</v>
      </c>
      <c r="AL435" s="133">
        <v>0.891783029001074</v>
      </c>
      <c r="AM435" s="133">
        <v>0.943216040576954</v>
      </c>
      <c r="AN435" s="132">
        <v>0.99</v>
      </c>
      <c r="AO435" s="137">
        <v>1</v>
      </c>
      <c r="AP435" s="137">
        <v>1</v>
      </c>
      <c r="AQ435" s="137">
        <v>1</v>
      </c>
      <c r="AR435" s="137">
        <v>1</v>
      </c>
      <c r="AS435" s="158">
        <v>0.05</v>
      </c>
      <c r="AT435" s="141">
        <v>0.206896551724138</v>
      </c>
      <c r="AU435" s="141">
        <v>0.0384615384615385</v>
      </c>
      <c r="AV435" s="141">
        <v>0.1875</v>
      </c>
      <c r="AW435" s="141">
        <v>0.0900195694716243</v>
      </c>
      <c r="AX435" s="95"/>
      <c r="AY435" s="93"/>
    </row>
    <row r="436" ht="15" spans="1:51">
      <c r="A436" s="91"/>
      <c r="B436" s="95"/>
      <c r="C436" s="152" t="s">
        <v>375</v>
      </c>
      <c r="D436" s="153" t="s">
        <v>25</v>
      </c>
      <c r="E436" s="130" t="s">
        <v>376</v>
      </c>
      <c r="F436" s="154" t="s">
        <v>462</v>
      </c>
      <c r="G436" s="154" t="s">
        <v>462</v>
      </c>
      <c r="H436" s="154" t="s">
        <v>462</v>
      </c>
      <c r="I436" s="154" t="s">
        <v>462</v>
      </c>
      <c r="J436" s="132">
        <v>0.9</v>
      </c>
      <c r="K436" s="133">
        <v>0.585365853658537</v>
      </c>
      <c r="L436" s="133">
        <v>0.609756097560976</v>
      </c>
      <c r="M436" s="134">
        <v>0.588235294117647</v>
      </c>
      <c r="N436" s="133">
        <v>0.601298701298701</v>
      </c>
      <c r="O436" s="135">
        <v>0.9</v>
      </c>
      <c r="P436" s="133">
        <v>0.794975688816856</v>
      </c>
      <c r="Q436" s="133">
        <v>0.752223634053367</v>
      </c>
      <c r="R436" s="133">
        <v>0.552739726027397</v>
      </c>
      <c r="S436" s="133">
        <v>0.693518874104864</v>
      </c>
      <c r="T436" s="135">
        <v>0.9</v>
      </c>
      <c r="U436" s="133">
        <v>0.824149108589951</v>
      </c>
      <c r="V436" s="133">
        <v>0.776365946632783</v>
      </c>
      <c r="W436" s="133">
        <v>0.706849315068493</v>
      </c>
      <c r="X436" s="133">
        <v>0.730273115413288</v>
      </c>
      <c r="Y436" s="135">
        <v>0.92</v>
      </c>
      <c r="Z436" s="135">
        <v>0.860913705583756</v>
      </c>
      <c r="AA436" s="135">
        <v>0.875709779179811</v>
      </c>
      <c r="AB436" s="135">
        <v>0.599195710455764</v>
      </c>
      <c r="AC436" s="135">
        <v>0.771837826423594</v>
      </c>
      <c r="AD436" s="135">
        <v>0.92</v>
      </c>
      <c r="AE436" s="133">
        <v>0.838082901554404</v>
      </c>
      <c r="AF436" s="133">
        <v>0.954425942156004</v>
      </c>
      <c r="AG436" s="133">
        <v>0.59</v>
      </c>
      <c r="AH436" s="133">
        <v>0.883107088989442</v>
      </c>
      <c r="AI436" s="135">
        <v>0.92</v>
      </c>
      <c r="AJ436" s="133">
        <v>0.88231884057971</v>
      </c>
      <c r="AK436" s="133">
        <v>0.893760539629005</v>
      </c>
      <c r="AL436" s="133">
        <v>0.726472579553148</v>
      </c>
      <c r="AM436" s="133">
        <v>0.836317287170975</v>
      </c>
      <c r="AN436" s="132">
        <v>0.99</v>
      </c>
      <c r="AO436" s="137">
        <v>1</v>
      </c>
      <c r="AP436" s="137">
        <v>1</v>
      </c>
      <c r="AQ436" s="137">
        <v>1</v>
      </c>
      <c r="AR436" s="137">
        <v>0.999489795918367</v>
      </c>
      <c r="AS436" s="158">
        <v>0.05</v>
      </c>
      <c r="AT436" s="141">
        <v>0</v>
      </c>
      <c r="AU436" s="141">
        <v>0.2</v>
      </c>
      <c r="AV436" s="141">
        <v>0.111111111111111</v>
      </c>
      <c r="AW436" s="141">
        <v>0.0492307692307692</v>
      </c>
      <c r="AX436" s="95"/>
      <c r="AY436" s="93"/>
    </row>
    <row r="437" ht="15" spans="1:51">
      <c r="A437" s="91"/>
      <c r="B437" s="95"/>
      <c r="C437" s="152" t="s">
        <v>375</v>
      </c>
      <c r="D437" s="153" t="s">
        <v>25</v>
      </c>
      <c r="E437" s="130" t="s">
        <v>376</v>
      </c>
      <c r="F437" s="154" t="s">
        <v>463</v>
      </c>
      <c r="G437" s="154" t="s">
        <v>463</v>
      </c>
      <c r="H437" s="154" t="s">
        <v>463</v>
      </c>
      <c r="I437" s="154" t="s">
        <v>463</v>
      </c>
      <c r="J437" s="132">
        <v>0.9</v>
      </c>
      <c r="K437" s="133">
        <v>0.767857142857143</v>
      </c>
      <c r="L437" s="133">
        <v>0.781818181818182</v>
      </c>
      <c r="M437" s="134">
        <v>0.80952380952381</v>
      </c>
      <c r="N437" s="133">
        <v>0.793068297655454</v>
      </c>
      <c r="O437" s="135">
        <v>0.9</v>
      </c>
      <c r="P437" s="133">
        <v>0.907342657342657</v>
      </c>
      <c r="Q437" s="133">
        <v>0.871690427698574</v>
      </c>
      <c r="R437" s="133">
        <v>0.772426249247441</v>
      </c>
      <c r="S437" s="133">
        <v>0.841051688078877</v>
      </c>
      <c r="T437" s="135">
        <v>0.9</v>
      </c>
      <c r="U437" s="133">
        <v>0.866550116550117</v>
      </c>
      <c r="V437" s="133">
        <v>0.855397148676171</v>
      </c>
      <c r="W437" s="133">
        <v>0.738711619506321</v>
      </c>
      <c r="X437" s="133">
        <v>0.83541764479918</v>
      </c>
      <c r="Y437" s="135">
        <v>0.92</v>
      </c>
      <c r="Z437" s="135">
        <v>0.90980921179418</v>
      </c>
      <c r="AA437" s="135">
        <v>0.911453320500481</v>
      </c>
      <c r="AB437" s="135">
        <v>0.79106085083468</v>
      </c>
      <c r="AC437" s="135">
        <v>0.902137999305761</v>
      </c>
      <c r="AD437" s="135">
        <v>0.92</v>
      </c>
      <c r="AE437" s="133">
        <v>0.99897575964493</v>
      </c>
      <c r="AF437" s="133">
        <v>0.991563919532771</v>
      </c>
      <c r="AG437" s="133">
        <v>0.993257479983144</v>
      </c>
      <c r="AH437" s="133">
        <v>0.996006655574043</v>
      </c>
      <c r="AI437" s="135">
        <v>0.92</v>
      </c>
      <c r="AJ437" s="133">
        <v>0.922230267921796</v>
      </c>
      <c r="AK437" s="133">
        <v>0.933660130718954</v>
      </c>
      <c r="AL437" s="133">
        <v>0.846875</v>
      </c>
      <c r="AM437" s="133">
        <v>0.922231668778774</v>
      </c>
      <c r="AN437" s="132">
        <v>0.99</v>
      </c>
      <c r="AO437" s="137">
        <v>1</v>
      </c>
      <c r="AP437" s="137">
        <v>1</v>
      </c>
      <c r="AQ437" s="137">
        <v>1</v>
      </c>
      <c r="AR437" s="137">
        <v>1</v>
      </c>
      <c r="AS437" s="158">
        <v>0.05</v>
      </c>
      <c r="AT437" s="141">
        <v>0</v>
      </c>
      <c r="AU437" s="141">
        <v>0.2</v>
      </c>
      <c r="AV437" s="141">
        <v>0</v>
      </c>
      <c r="AW437" s="141">
        <v>0.0592592592592593</v>
      </c>
      <c r="AX437" s="95"/>
      <c r="AY437" s="93"/>
    </row>
    <row r="438" ht="15" spans="1:51">
      <c r="A438" s="91"/>
      <c r="B438" s="95"/>
      <c r="C438" s="152" t="s">
        <v>375</v>
      </c>
      <c r="D438" s="153" t="s">
        <v>25</v>
      </c>
      <c r="E438" s="130" t="s">
        <v>376</v>
      </c>
      <c r="F438" s="154" t="s">
        <v>464</v>
      </c>
      <c r="G438" s="154" t="s">
        <v>464</v>
      </c>
      <c r="H438" s="154" t="s">
        <v>464</v>
      </c>
      <c r="I438" s="154" t="s">
        <v>464</v>
      </c>
      <c r="J438" s="132">
        <v>0.9</v>
      </c>
      <c r="K438" s="133">
        <v>0.9375</v>
      </c>
      <c r="L438" s="133">
        <v>0.859649122807018</v>
      </c>
      <c r="M438" s="134">
        <v>0.901960784313726</v>
      </c>
      <c r="N438" s="133">
        <v>0.91542750929368</v>
      </c>
      <c r="O438" s="135">
        <v>0.9</v>
      </c>
      <c r="P438" s="133">
        <v>0.992980216975112</v>
      </c>
      <c r="Q438" s="133">
        <v>0.98696682464455</v>
      </c>
      <c r="R438" s="133">
        <v>0.94853875476493</v>
      </c>
      <c r="S438" s="133">
        <v>0.980958439355386</v>
      </c>
      <c r="T438" s="135">
        <v>0.9</v>
      </c>
      <c r="U438" s="133">
        <v>0.884492661135929</v>
      </c>
      <c r="V438" s="133">
        <v>0.90521327014218</v>
      </c>
      <c r="W438" s="133">
        <v>0.860864040660737</v>
      </c>
      <c r="X438" s="133">
        <v>0.904580152671756</v>
      </c>
      <c r="Y438" s="135">
        <v>0.92</v>
      </c>
      <c r="Z438" s="135">
        <v>0.907337442831577</v>
      </c>
      <c r="AA438" s="135">
        <v>0.936401240951396</v>
      </c>
      <c r="AB438" s="135">
        <v>0.90839243498818</v>
      </c>
      <c r="AC438" s="135">
        <v>0.932915677652827</v>
      </c>
      <c r="AD438" s="135">
        <v>0.92</v>
      </c>
      <c r="AE438" s="133">
        <v>0.995243757431629</v>
      </c>
      <c r="AF438" s="133">
        <v>0.952</v>
      </c>
      <c r="AG438" s="133">
        <v>0.939252336448598</v>
      </c>
      <c r="AH438" s="133">
        <v>0.961899062437662</v>
      </c>
      <c r="AI438" s="135">
        <v>0.92</v>
      </c>
      <c r="AJ438" s="133">
        <v>0.919374247894103</v>
      </c>
      <c r="AK438" s="133">
        <v>0.946402877697842</v>
      </c>
      <c r="AL438" s="133">
        <v>0.930517294153658</v>
      </c>
      <c r="AM438" s="133">
        <v>0.950290307814621</v>
      </c>
      <c r="AN438" s="132">
        <v>0.99</v>
      </c>
      <c r="AO438" s="137">
        <v>1</v>
      </c>
      <c r="AP438" s="137">
        <v>1</v>
      </c>
      <c r="AQ438" s="137">
        <v>1</v>
      </c>
      <c r="AR438" s="137">
        <v>1</v>
      </c>
      <c r="AS438" s="158">
        <v>0.05</v>
      </c>
      <c r="AT438" s="141">
        <v>0.125</v>
      </c>
      <c r="AU438" s="141">
        <v>0</v>
      </c>
      <c r="AV438" s="141">
        <v>0.142857142857143</v>
      </c>
      <c r="AW438" s="141">
        <v>0.0403071017274472</v>
      </c>
      <c r="AX438" s="95"/>
      <c r="AY438" s="93"/>
    </row>
    <row r="439" ht="15" spans="1:51">
      <c r="A439" s="91"/>
      <c r="B439" s="95"/>
      <c r="C439" s="152" t="s">
        <v>375</v>
      </c>
      <c r="D439" s="153" t="s">
        <v>25</v>
      </c>
      <c r="E439" s="130" t="s">
        <v>376</v>
      </c>
      <c r="F439" s="154" t="s">
        <v>465</v>
      </c>
      <c r="G439" s="154" t="s">
        <v>465</v>
      </c>
      <c r="H439" s="154" t="s">
        <v>465</v>
      </c>
      <c r="I439" s="154" t="s">
        <v>465</v>
      </c>
      <c r="J439" s="132">
        <v>0.9</v>
      </c>
      <c r="K439" s="133">
        <v>0.932203389830508</v>
      </c>
      <c r="L439" s="133">
        <v>0.905660377358491</v>
      </c>
      <c r="M439" s="134">
        <v>0.880952380952381</v>
      </c>
      <c r="N439" s="133">
        <v>0.781655034895314</v>
      </c>
      <c r="O439" s="135">
        <v>0.9</v>
      </c>
      <c r="P439" s="133">
        <v>0.939086294416244</v>
      </c>
      <c r="Q439" s="133">
        <v>0.9375</v>
      </c>
      <c r="R439" s="133">
        <v>0.948012232415902</v>
      </c>
      <c r="S439" s="133">
        <v>0.94609047550224</v>
      </c>
      <c r="T439" s="135">
        <v>0.9</v>
      </c>
      <c r="U439" s="133">
        <v>0.901015228426396</v>
      </c>
      <c r="V439" s="133">
        <v>0.809322033898305</v>
      </c>
      <c r="W439" s="133">
        <v>0.817125382262997</v>
      </c>
      <c r="X439" s="133">
        <v>0.838354014824603</v>
      </c>
      <c r="Y439" s="135">
        <v>0.92</v>
      </c>
      <c r="Z439" s="135">
        <v>0.962630255120374</v>
      </c>
      <c r="AA439" s="135">
        <v>0.964319248826291</v>
      </c>
      <c r="AB439" s="135">
        <v>0.878142076502732</v>
      </c>
      <c r="AC439" s="135">
        <v>0.933769917105888</v>
      </c>
      <c r="AD439" s="135">
        <v>0.92</v>
      </c>
      <c r="AE439" s="133">
        <v>0.997583568264197</v>
      </c>
      <c r="AF439" s="133">
        <v>0.998556165174704</v>
      </c>
      <c r="AG439" s="133">
        <v>0.996483001172333</v>
      </c>
      <c r="AH439" s="133">
        <v>0.992584352984798</v>
      </c>
      <c r="AI439" s="135">
        <v>0.92</v>
      </c>
      <c r="AJ439" s="133">
        <v>0.965990202939118</v>
      </c>
      <c r="AK439" s="133">
        <v>0.96520325203252</v>
      </c>
      <c r="AL439" s="133">
        <v>0.897835497835498</v>
      </c>
      <c r="AM439" s="133">
        <v>0.942626714005877</v>
      </c>
      <c r="AN439" s="132">
        <v>0.99</v>
      </c>
      <c r="AO439" s="137">
        <v>1</v>
      </c>
      <c r="AP439" s="137">
        <v>1</v>
      </c>
      <c r="AQ439" s="137">
        <v>1</v>
      </c>
      <c r="AR439" s="137">
        <v>1</v>
      </c>
      <c r="AS439" s="158">
        <v>0.05</v>
      </c>
      <c r="AT439" s="141">
        <v>0.103448275862069</v>
      </c>
      <c r="AU439" s="141">
        <v>0.0689655172413793</v>
      </c>
      <c r="AV439" s="141">
        <v>0.161290322580645</v>
      </c>
      <c r="AW439" s="141">
        <v>0.0590551181102362</v>
      </c>
      <c r="AX439" s="95"/>
      <c r="AY439" s="93"/>
    </row>
    <row r="440" ht="15" spans="1:51">
      <c r="A440" s="91"/>
      <c r="B440" s="95"/>
      <c r="C440" s="152" t="s">
        <v>375</v>
      </c>
      <c r="D440" s="153" t="s">
        <v>25</v>
      </c>
      <c r="E440" s="130" t="s">
        <v>376</v>
      </c>
      <c r="F440" s="154" t="s">
        <v>466</v>
      </c>
      <c r="G440" s="154" t="s">
        <v>466</v>
      </c>
      <c r="H440" s="154" t="s">
        <v>466</v>
      </c>
      <c r="I440" s="154" t="s">
        <v>466</v>
      </c>
      <c r="J440" s="132">
        <v>0.9</v>
      </c>
      <c r="K440" s="133">
        <v>0.637931034482759</v>
      </c>
      <c r="L440" s="133">
        <v>0.444444444444444</v>
      </c>
      <c r="M440" s="134">
        <v>0.463414634146341</v>
      </c>
      <c r="N440" s="133">
        <v>0.554455445544555</v>
      </c>
      <c r="O440" s="135">
        <v>0.9</v>
      </c>
      <c r="P440" s="133">
        <v>0.921250723798494</v>
      </c>
      <c r="Q440" s="133">
        <v>0.744705882352941</v>
      </c>
      <c r="R440" s="133">
        <v>0.599315068493151</v>
      </c>
      <c r="S440" s="133">
        <v>0.646821392532795</v>
      </c>
      <c r="T440" s="135">
        <v>0.9</v>
      </c>
      <c r="U440" s="133">
        <v>0.835552982049797</v>
      </c>
      <c r="V440" s="133">
        <v>0.734117647058824</v>
      </c>
      <c r="W440" s="133">
        <v>0.665753424657534</v>
      </c>
      <c r="X440" s="133">
        <v>0.693051416234482</v>
      </c>
      <c r="Y440" s="135">
        <v>0.92</v>
      </c>
      <c r="Z440" s="135">
        <v>0.905555555555556</v>
      </c>
      <c r="AA440" s="135">
        <v>0.917794486215539</v>
      </c>
      <c r="AB440" s="135">
        <v>0.71507454445058</v>
      </c>
      <c r="AC440" s="135">
        <v>0.774786887518193</v>
      </c>
      <c r="AD440" s="135">
        <v>0.92</v>
      </c>
      <c r="AE440" s="133">
        <v>0.998222538215428</v>
      </c>
      <c r="AF440" s="133">
        <v>0.992419456727732</v>
      </c>
      <c r="AG440" s="133">
        <v>0.98710271764164</v>
      </c>
      <c r="AH440" s="133">
        <v>0.987928471690464</v>
      </c>
      <c r="AI440" s="135">
        <v>0.92</v>
      </c>
      <c r="AJ440" s="133">
        <v>0.919159953970081</v>
      </c>
      <c r="AK440" s="133">
        <v>0.926238145416228</v>
      </c>
      <c r="AL440" s="133">
        <v>0.776862026862027</v>
      </c>
      <c r="AM440" s="133">
        <v>0.81017869732868</v>
      </c>
      <c r="AN440" s="132">
        <v>0.99</v>
      </c>
      <c r="AO440" s="137">
        <v>1</v>
      </c>
      <c r="AP440" s="137">
        <v>1</v>
      </c>
      <c r="AQ440" s="137">
        <v>1</v>
      </c>
      <c r="AR440" s="137">
        <v>1</v>
      </c>
      <c r="AS440" s="158">
        <v>0.05</v>
      </c>
      <c r="AT440" s="141">
        <v>0</v>
      </c>
      <c r="AU440" s="141">
        <v>0.0454545454545455</v>
      </c>
      <c r="AV440" s="141">
        <v>0.0526315789473684</v>
      </c>
      <c r="AW440" s="141">
        <v>0.0283185840707965</v>
      </c>
      <c r="AX440" s="95"/>
      <c r="AY440" s="93"/>
    </row>
    <row r="441" ht="15" spans="1:51">
      <c r="A441" s="91"/>
      <c r="B441" s="95"/>
      <c r="C441" s="152" t="s">
        <v>375</v>
      </c>
      <c r="D441" s="153" t="s">
        <v>25</v>
      </c>
      <c r="E441" s="130" t="s">
        <v>376</v>
      </c>
      <c r="F441" s="154" t="s">
        <v>467</v>
      </c>
      <c r="G441" s="154" t="s">
        <v>467</v>
      </c>
      <c r="H441" s="154" t="s">
        <v>467</v>
      </c>
      <c r="I441" s="154" t="s">
        <v>467</v>
      </c>
      <c r="J441" s="132">
        <v>0.9</v>
      </c>
      <c r="K441" s="133">
        <v>0.979591836734694</v>
      </c>
      <c r="L441" s="133">
        <v>0.946236559139785</v>
      </c>
      <c r="M441" s="134">
        <v>0.975</v>
      </c>
      <c r="N441" s="133">
        <v>0.954440599769319</v>
      </c>
      <c r="O441" s="135">
        <v>0.9</v>
      </c>
      <c r="P441" s="133">
        <v>0.984628167843789</v>
      </c>
      <c r="Q441" s="133">
        <v>0.973930481283422</v>
      </c>
      <c r="R441" s="133">
        <v>0.96411214953271</v>
      </c>
      <c r="S441" s="133">
        <v>0.97902837034841</v>
      </c>
      <c r="T441" s="135">
        <v>0.9</v>
      </c>
      <c r="U441" s="133">
        <v>0.926049023680931</v>
      </c>
      <c r="V441" s="133">
        <v>0.914438502673797</v>
      </c>
      <c r="W441" s="133">
        <v>0.901308411214953</v>
      </c>
      <c r="X441" s="133">
        <v>0.922571248114873</v>
      </c>
      <c r="Y441" s="135">
        <v>0.92</v>
      </c>
      <c r="Z441" s="135">
        <v>0.935658362989324</v>
      </c>
      <c r="AA441" s="135">
        <v>0.939507327720611</v>
      </c>
      <c r="AB441" s="135">
        <v>0.887769784172662</v>
      </c>
      <c r="AC441" s="135">
        <v>0.946175548589342</v>
      </c>
      <c r="AD441" s="135">
        <v>0.92</v>
      </c>
      <c r="AE441" s="133">
        <v>0.805986696230599</v>
      </c>
      <c r="AF441" s="133">
        <v>0.669745958429561</v>
      </c>
      <c r="AG441" s="133">
        <v>0.974522292993631</v>
      </c>
      <c r="AH441" s="133">
        <v>0.913419510834186</v>
      </c>
      <c r="AI441" s="135">
        <v>0.92</v>
      </c>
      <c r="AJ441" s="133">
        <v>0.945839957604663</v>
      </c>
      <c r="AK441" s="133">
        <v>0.951955782312925</v>
      </c>
      <c r="AL441" s="133">
        <v>0.927799157045996</v>
      </c>
      <c r="AM441" s="133">
        <v>0.963811160580406</v>
      </c>
      <c r="AN441" s="132">
        <v>0.99</v>
      </c>
      <c r="AO441" s="137">
        <v>1</v>
      </c>
      <c r="AP441" s="137">
        <v>1</v>
      </c>
      <c r="AQ441" s="137">
        <v>1</v>
      </c>
      <c r="AR441" s="137">
        <v>1</v>
      </c>
      <c r="AS441" s="158">
        <v>0.05</v>
      </c>
      <c r="AT441" s="141">
        <v>0</v>
      </c>
      <c r="AU441" s="141">
        <v>0.117647058823529</v>
      </c>
      <c r="AV441" s="141">
        <v>0.0769230769230769</v>
      </c>
      <c r="AW441" s="141">
        <v>0.0304761904761905</v>
      </c>
      <c r="AX441" s="95"/>
      <c r="AY441" s="93"/>
    </row>
    <row r="442" ht="15" spans="1:51">
      <c r="A442" s="91"/>
      <c r="B442" s="95"/>
      <c r="C442" s="152" t="s">
        <v>375</v>
      </c>
      <c r="D442" s="153" t="s">
        <v>25</v>
      </c>
      <c r="E442" s="130" t="s">
        <v>376</v>
      </c>
      <c r="F442" s="173" t="s">
        <v>468</v>
      </c>
      <c r="G442" s="173" t="s">
        <v>468</v>
      </c>
      <c r="H442" s="173" t="s">
        <v>468</v>
      </c>
      <c r="I442" s="173" t="s">
        <v>468</v>
      </c>
      <c r="J442" s="132">
        <v>0.9</v>
      </c>
      <c r="K442" s="133">
        <v>0.95</v>
      </c>
      <c r="L442" s="133">
        <v>0.933333333333333</v>
      </c>
      <c r="M442" s="134">
        <v>0.8</v>
      </c>
      <c r="N442" s="133">
        <v>0.878048780487805</v>
      </c>
      <c r="O442" s="135">
        <v>0.9</v>
      </c>
      <c r="P442" s="133">
        <v>0.993445692883895</v>
      </c>
      <c r="Q442" s="133">
        <v>0.969735182849937</v>
      </c>
      <c r="R442" s="133">
        <v>0.987529691211401</v>
      </c>
      <c r="S442" s="133">
        <v>0.978642650369894</v>
      </c>
      <c r="T442" s="135">
        <v>0.9</v>
      </c>
      <c r="U442" s="133">
        <v>0.942883895131086</v>
      </c>
      <c r="V442" s="133">
        <v>0.934426229508197</v>
      </c>
      <c r="W442" s="133">
        <v>0.965558194774347</v>
      </c>
      <c r="X442" s="133">
        <v>0.950369893856545</v>
      </c>
      <c r="Y442" s="135">
        <v>0.92</v>
      </c>
      <c r="Z442" s="135" t="s">
        <v>35</v>
      </c>
      <c r="AA442" s="135">
        <v>0</v>
      </c>
      <c r="AB442" s="135" t="s">
        <v>35</v>
      </c>
      <c r="AC442" s="135">
        <v>0</v>
      </c>
      <c r="AD442" s="135">
        <v>0.92</v>
      </c>
      <c r="AE442" s="133">
        <v>1</v>
      </c>
      <c r="AF442" s="133">
        <v>1</v>
      </c>
      <c r="AG442" s="133">
        <v>1</v>
      </c>
      <c r="AH442" s="133">
        <v>0.980246913580247</v>
      </c>
      <c r="AI442" s="135">
        <v>0.92</v>
      </c>
      <c r="AJ442" s="133">
        <v>0.98501872659176</v>
      </c>
      <c r="AK442" s="133">
        <v>0.969773299748111</v>
      </c>
      <c r="AL442" s="133">
        <v>0.991092636579572</v>
      </c>
      <c r="AM442" s="133">
        <v>0.987168355041003</v>
      </c>
      <c r="AN442" s="132">
        <v>0.99</v>
      </c>
      <c r="AO442" s="137">
        <v>1</v>
      </c>
      <c r="AP442" s="137">
        <v>1</v>
      </c>
      <c r="AQ442" s="137">
        <v>1</v>
      </c>
      <c r="AR442" s="137">
        <v>1</v>
      </c>
      <c r="AS442" s="158">
        <v>0.05</v>
      </c>
      <c r="AT442" s="141">
        <v>0</v>
      </c>
      <c r="AU442" s="141">
        <v>0</v>
      </c>
      <c r="AV442" s="141">
        <v>0</v>
      </c>
      <c r="AW442" s="141">
        <v>0.072289156626506</v>
      </c>
      <c r="AX442" s="95"/>
      <c r="AY442" s="93"/>
    </row>
    <row r="443" ht="15" spans="1:51">
      <c r="A443" s="91"/>
      <c r="B443" s="95"/>
      <c r="C443" s="152" t="s">
        <v>375</v>
      </c>
      <c r="D443" s="153" t="s">
        <v>25</v>
      </c>
      <c r="E443" s="130" t="s">
        <v>376</v>
      </c>
      <c r="F443" s="154" t="s">
        <v>469</v>
      </c>
      <c r="G443" s="154" t="s">
        <v>469</v>
      </c>
      <c r="H443" s="154" t="s">
        <v>469</v>
      </c>
      <c r="I443" s="154" t="s">
        <v>469</v>
      </c>
      <c r="J443" s="132">
        <v>0.9</v>
      </c>
      <c r="K443" s="133">
        <v>0.953125</v>
      </c>
      <c r="L443" s="133">
        <v>0.983050847457627</v>
      </c>
      <c r="M443" s="134">
        <v>0.901960784313726</v>
      </c>
      <c r="N443" s="133">
        <v>0.901088929219601</v>
      </c>
      <c r="O443" s="135">
        <v>0.9</v>
      </c>
      <c r="P443" s="133">
        <v>0.984126984126984</v>
      </c>
      <c r="Q443" s="133">
        <v>0.976614699331849</v>
      </c>
      <c r="R443" s="133">
        <v>0.919411764705882</v>
      </c>
      <c r="S443" s="133">
        <v>0.924660292964196</v>
      </c>
      <c r="T443" s="135">
        <v>0.9</v>
      </c>
      <c r="U443" s="133">
        <v>0.871746031746032</v>
      </c>
      <c r="V443" s="133">
        <v>0.888641425389755</v>
      </c>
      <c r="W443" s="133">
        <v>0.848823529411765</v>
      </c>
      <c r="X443" s="133">
        <v>0.859368706675429</v>
      </c>
      <c r="Y443" s="135">
        <v>0.92</v>
      </c>
      <c r="Z443" s="135">
        <v>0.899247249565721</v>
      </c>
      <c r="AA443" s="135">
        <v>0.916045702930949</v>
      </c>
      <c r="AB443" s="135">
        <v>0.812761506276151</v>
      </c>
      <c r="AC443" s="135">
        <v>0.89597578027786</v>
      </c>
      <c r="AD443" s="135">
        <v>0.92</v>
      </c>
      <c r="AE443" s="133">
        <v>0.994208494208494</v>
      </c>
      <c r="AF443" s="133">
        <v>0.993150684931507</v>
      </c>
      <c r="AG443" s="133">
        <v>0.992982456140351</v>
      </c>
      <c r="AH443" s="133">
        <v>0.994575211474807</v>
      </c>
      <c r="AI443" s="135">
        <v>0.92</v>
      </c>
      <c r="AJ443" s="133">
        <v>0.914027818881326</v>
      </c>
      <c r="AK443" s="133">
        <v>0.928546891102714</v>
      </c>
      <c r="AL443" s="133">
        <v>0.87375415282392</v>
      </c>
      <c r="AM443" s="133">
        <v>0.922357769013365</v>
      </c>
      <c r="AN443" s="132">
        <v>0.99</v>
      </c>
      <c r="AO443" s="137">
        <v>1</v>
      </c>
      <c r="AP443" s="137">
        <v>1</v>
      </c>
      <c r="AQ443" s="137">
        <v>1</v>
      </c>
      <c r="AR443" s="137">
        <v>1</v>
      </c>
      <c r="AS443" s="158">
        <v>0.05</v>
      </c>
      <c r="AT443" s="141">
        <v>0.133333333333333</v>
      </c>
      <c r="AU443" s="141">
        <v>0</v>
      </c>
      <c r="AV443" s="141">
        <v>0</v>
      </c>
      <c r="AW443" s="141">
        <v>0.0309278350515464</v>
      </c>
      <c r="AX443" s="95"/>
      <c r="AY443" s="93"/>
    </row>
    <row r="444" ht="15" spans="1:51">
      <c r="A444" s="91"/>
      <c r="B444" s="95"/>
      <c r="C444" s="152" t="s">
        <v>375</v>
      </c>
      <c r="D444" s="153" t="s">
        <v>25</v>
      </c>
      <c r="E444" s="130" t="s">
        <v>376</v>
      </c>
      <c r="F444" s="154" t="s">
        <v>470</v>
      </c>
      <c r="G444" s="154" t="s">
        <v>470</v>
      </c>
      <c r="H444" s="154" t="s">
        <v>470</v>
      </c>
      <c r="I444" s="154" t="s">
        <v>470</v>
      </c>
      <c r="J444" s="132">
        <v>0.9</v>
      </c>
      <c r="K444" s="133">
        <v>0.925925925925926</v>
      </c>
      <c r="L444" s="133">
        <v>0.836734693877551</v>
      </c>
      <c r="M444" s="134">
        <v>0.826086956521739</v>
      </c>
      <c r="N444" s="133">
        <v>0.85531914893617</v>
      </c>
      <c r="O444" s="135">
        <v>0.9</v>
      </c>
      <c r="P444" s="133">
        <v>0.959752321981424</v>
      </c>
      <c r="Q444" s="133">
        <v>0.944757609921082</v>
      </c>
      <c r="R444" s="133">
        <v>0.918632075471698</v>
      </c>
      <c r="S444" s="133">
        <v>0.942449947736592</v>
      </c>
      <c r="T444" s="135">
        <v>0.9</v>
      </c>
      <c r="U444" s="133">
        <v>0.902786377708978</v>
      </c>
      <c r="V444" s="133">
        <v>0.885005636978579</v>
      </c>
      <c r="W444" s="133">
        <v>0.862028301886792</v>
      </c>
      <c r="X444" s="133">
        <v>0.894166599662298</v>
      </c>
      <c r="Y444" s="135">
        <v>0.92</v>
      </c>
      <c r="Z444" s="135">
        <v>0.954317771989581</v>
      </c>
      <c r="AA444" s="135">
        <v>0.9541015625</v>
      </c>
      <c r="AB444" s="135">
        <v>0.897994269340974</v>
      </c>
      <c r="AC444" s="135">
        <v>0.953931408164522</v>
      </c>
      <c r="AD444" s="135">
        <v>0.92</v>
      </c>
      <c r="AE444" s="133">
        <v>0.99687255668491</v>
      </c>
      <c r="AF444" s="133">
        <v>0.999272727272727</v>
      </c>
      <c r="AG444" s="133">
        <v>0.936507936507937</v>
      </c>
      <c r="AH444" s="133">
        <v>0.990360174571963</v>
      </c>
      <c r="AI444" s="135">
        <v>0.92</v>
      </c>
      <c r="AJ444" s="133">
        <v>0.961904761904762</v>
      </c>
      <c r="AK444" s="133">
        <v>0.958787465940054</v>
      </c>
      <c r="AL444" s="133">
        <v>0.930273097036607</v>
      </c>
      <c r="AM444" s="133">
        <v>0.964471575734453</v>
      </c>
      <c r="AN444" s="132">
        <v>0.99</v>
      </c>
      <c r="AO444" s="137">
        <v>1</v>
      </c>
      <c r="AP444" s="137">
        <v>1</v>
      </c>
      <c r="AQ444" s="137">
        <v>1</v>
      </c>
      <c r="AR444" s="137">
        <v>1</v>
      </c>
      <c r="AS444" s="158">
        <v>0.05</v>
      </c>
      <c r="AT444" s="141">
        <v>0.04</v>
      </c>
      <c r="AU444" s="141">
        <v>0</v>
      </c>
      <c r="AV444" s="141">
        <v>0.333333333333333</v>
      </c>
      <c r="AW444" s="141">
        <v>0.0645833333333333</v>
      </c>
      <c r="AX444" s="95"/>
      <c r="AY444" s="93"/>
    </row>
    <row r="445" ht="15" spans="1:51">
      <c r="A445" s="91"/>
      <c r="B445" s="95"/>
      <c r="C445" s="152" t="s">
        <v>375</v>
      </c>
      <c r="D445" s="153" t="s">
        <v>25</v>
      </c>
      <c r="E445" s="130" t="s">
        <v>376</v>
      </c>
      <c r="F445" s="154" t="s">
        <v>471</v>
      </c>
      <c r="G445" s="154" t="s">
        <v>471</v>
      </c>
      <c r="H445" s="154" t="s">
        <v>471</v>
      </c>
      <c r="I445" s="154" t="s">
        <v>471</v>
      </c>
      <c r="J445" s="132">
        <v>0.9</v>
      </c>
      <c r="K445" s="133">
        <v>0.886792452830189</v>
      </c>
      <c r="L445" s="133">
        <v>0.888888888888889</v>
      </c>
      <c r="M445" s="134">
        <v>0.804347826086957</v>
      </c>
      <c r="N445" s="133">
        <v>0.908624229979466</v>
      </c>
      <c r="O445" s="135">
        <v>0.9</v>
      </c>
      <c r="P445" s="133">
        <v>0.979493365500603</v>
      </c>
      <c r="Q445" s="133">
        <v>0.975609756097561</v>
      </c>
      <c r="R445" s="133">
        <v>0.951967592592593</v>
      </c>
      <c r="S445" s="133">
        <v>0.974638387461499</v>
      </c>
      <c r="T445" s="135">
        <v>0.9</v>
      </c>
      <c r="U445" s="133">
        <v>0.896260554885404</v>
      </c>
      <c r="V445" s="133">
        <v>0.904656319290466</v>
      </c>
      <c r="W445" s="133">
        <v>0.854166666666667</v>
      </c>
      <c r="X445" s="133">
        <v>0.900366486022847</v>
      </c>
      <c r="Y445" s="135">
        <v>0.92</v>
      </c>
      <c r="Z445" s="135">
        <v>0.948102246320682</v>
      </c>
      <c r="AA445" s="135">
        <v>0.940639269406393</v>
      </c>
      <c r="AB445" s="135">
        <v>0.931638418079096</v>
      </c>
      <c r="AC445" s="135">
        <v>0.955775303915233</v>
      </c>
      <c r="AD445" s="135">
        <v>0.92</v>
      </c>
      <c r="AE445" s="133">
        <v>0.994818652849741</v>
      </c>
      <c r="AF445" s="133">
        <v>0.977099236641221</v>
      </c>
      <c r="AG445" s="133">
        <v>0.955223880597015</v>
      </c>
      <c r="AH445" s="133">
        <v>0.958242556281772</v>
      </c>
      <c r="AI445" s="135">
        <v>0.92</v>
      </c>
      <c r="AJ445" s="133">
        <v>0.95402635431918</v>
      </c>
      <c r="AK445" s="133">
        <v>0.95201668984701</v>
      </c>
      <c r="AL445" s="133">
        <v>0.947970268724986</v>
      </c>
      <c r="AM445" s="133">
        <v>0.966410281374744</v>
      </c>
      <c r="AN445" s="132">
        <v>0.99</v>
      </c>
      <c r="AO445" s="137">
        <v>1</v>
      </c>
      <c r="AP445" s="137">
        <v>1</v>
      </c>
      <c r="AQ445" s="137">
        <v>1</v>
      </c>
      <c r="AR445" s="137">
        <v>1</v>
      </c>
      <c r="AS445" s="158">
        <v>0.05</v>
      </c>
      <c r="AT445" s="141">
        <v>0.111111111111111</v>
      </c>
      <c r="AU445" s="141">
        <v>0</v>
      </c>
      <c r="AV445" s="141">
        <v>0.0625</v>
      </c>
      <c r="AW445" s="141">
        <v>0.037037037037037</v>
      </c>
      <c r="AX445" s="95"/>
      <c r="AY445" s="93"/>
    </row>
    <row r="446" ht="15" spans="1:51">
      <c r="A446" s="91"/>
      <c r="B446" s="95"/>
      <c r="C446" s="152" t="s">
        <v>375</v>
      </c>
      <c r="D446" s="153" t="s">
        <v>25</v>
      </c>
      <c r="E446" s="130" t="s">
        <v>376</v>
      </c>
      <c r="F446" s="154" t="s">
        <v>472</v>
      </c>
      <c r="G446" s="154" t="s">
        <v>472</v>
      </c>
      <c r="H446" s="154" t="s">
        <v>472</v>
      </c>
      <c r="I446" s="154" t="s">
        <v>472</v>
      </c>
      <c r="J446" s="132">
        <v>0.9</v>
      </c>
      <c r="K446" s="133">
        <v>0.977272727272727</v>
      </c>
      <c r="L446" s="133">
        <v>0.922077922077922</v>
      </c>
      <c r="M446" s="134">
        <v>0.935483870967742</v>
      </c>
      <c r="N446" s="133">
        <v>0.948666666666667</v>
      </c>
      <c r="O446" s="135">
        <v>0.9</v>
      </c>
      <c r="P446" s="133">
        <v>0.990437660904744</v>
      </c>
      <c r="Q446" s="133">
        <v>0.989627821842587</v>
      </c>
      <c r="R446" s="133">
        <v>0.991421568627451</v>
      </c>
      <c r="S446" s="133">
        <v>0.983829667824196</v>
      </c>
      <c r="T446" s="135">
        <v>0.9</v>
      </c>
      <c r="U446" s="133">
        <v>0.921294593600588</v>
      </c>
      <c r="V446" s="133">
        <v>0.87797437461867</v>
      </c>
      <c r="W446" s="133">
        <v>0.846813725490196</v>
      </c>
      <c r="X446" s="133">
        <v>0.921095092777719</v>
      </c>
      <c r="Y446" s="135">
        <v>0.92</v>
      </c>
      <c r="Z446" s="135">
        <v>0.885426746661506</v>
      </c>
      <c r="AA446" s="135">
        <v>0.927392739273927</v>
      </c>
      <c r="AB446" s="135">
        <v>0.846120502817512</v>
      </c>
      <c r="AC446" s="135">
        <v>0.908135956108658</v>
      </c>
      <c r="AD446" s="135">
        <v>0.92</v>
      </c>
      <c r="AE446" s="133">
        <v>0.996918701114008</v>
      </c>
      <c r="AF446" s="133">
        <v>0.996898022489337</v>
      </c>
      <c r="AG446" s="133">
        <v>0.997458703939009</v>
      </c>
      <c r="AH446" s="133">
        <v>0.995394888326042</v>
      </c>
      <c r="AI446" s="135">
        <v>0.92</v>
      </c>
      <c r="AJ446" s="133">
        <v>0.915082382762991</v>
      </c>
      <c r="AK446" s="133">
        <v>0.944148936170213</v>
      </c>
      <c r="AL446" s="133">
        <v>0.893373952779893</v>
      </c>
      <c r="AM446" s="133">
        <v>0.938705981440311</v>
      </c>
      <c r="AN446" s="132">
        <v>0.99</v>
      </c>
      <c r="AO446" s="137">
        <v>1</v>
      </c>
      <c r="AP446" s="137">
        <v>1</v>
      </c>
      <c r="AQ446" s="137">
        <v>1</v>
      </c>
      <c r="AR446" s="137">
        <v>1</v>
      </c>
      <c r="AS446" s="158">
        <v>0.05</v>
      </c>
      <c r="AT446" s="141">
        <v>0</v>
      </c>
      <c r="AU446" s="141">
        <v>0.0909090909090909</v>
      </c>
      <c r="AV446" s="141">
        <v>0</v>
      </c>
      <c r="AW446" s="141">
        <v>0.0649717514124294</v>
      </c>
      <c r="AX446" s="95"/>
      <c r="AY446" s="93"/>
    </row>
    <row r="447" ht="15" spans="1:51">
      <c r="A447" s="91"/>
      <c r="B447" s="95"/>
      <c r="C447" s="152" t="s">
        <v>375</v>
      </c>
      <c r="D447" s="153" t="s">
        <v>25</v>
      </c>
      <c r="E447" s="130" t="s">
        <v>376</v>
      </c>
      <c r="F447" s="154" t="s">
        <v>473</v>
      </c>
      <c r="G447" s="154" t="s">
        <v>473</v>
      </c>
      <c r="H447" s="154" t="s">
        <v>473</v>
      </c>
      <c r="I447" s="154" t="s">
        <v>473</v>
      </c>
      <c r="J447" s="132">
        <v>0.9</v>
      </c>
      <c r="K447" s="133">
        <v>0.91304347826087</v>
      </c>
      <c r="L447" s="133">
        <v>0.870967741935484</v>
      </c>
      <c r="M447" s="134">
        <v>0.826086956521739</v>
      </c>
      <c r="N447" s="133">
        <v>0.882303839732888</v>
      </c>
      <c r="O447" s="135">
        <v>0.9</v>
      </c>
      <c r="P447" s="133">
        <v>0.980902297259895</v>
      </c>
      <c r="Q447" s="133">
        <v>0.992273730684327</v>
      </c>
      <c r="R447" s="133">
        <v>0.942118464209917</v>
      </c>
      <c r="S447" s="133">
        <v>0.987890197214202</v>
      </c>
      <c r="T447" s="135">
        <v>0.9</v>
      </c>
      <c r="U447" s="133">
        <v>0.925546637143648</v>
      </c>
      <c r="V447" s="133">
        <v>0.888153053715968</v>
      </c>
      <c r="W447" s="133">
        <v>0.791433532703068</v>
      </c>
      <c r="X447" s="133">
        <v>0.905800577433048</v>
      </c>
      <c r="Y447" s="135">
        <v>0.92</v>
      </c>
      <c r="Z447" s="135">
        <v>1</v>
      </c>
      <c r="AA447" s="135" t="s">
        <v>35</v>
      </c>
      <c r="AB447" s="135">
        <v>0</v>
      </c>
      <c r="AC447" s="135">
        <v>0.827586206896552</v>
      </c>
      <c r="AD447" s="135">
        <v>0.92</v>
      </c>
      <c r="AE447" s="133">
        <v>0.99063670411985</v>
      </c>
      <c r="AF447" s="133">
        <v>0.994535519125683</v>
      </c>
      <c r="AG447" s="133">
        <v>0.982758620689655</v>
      </c>
      <c r="AH447" s="133">
        <v>0.989221293444787</v>
      </c>
      <c r="AI447" s="135">
        <v>0.92</v>
      </c>
      <c r="AJ447" s="133">
        <v>0.977310459324848</v>
      </c>
      <c r="AK447" s="133">
        <v>0.974990805443178</v>
      </c>
      <c r="AL447" s="133">
        <v>0.9055330634278</v>
      </c>
      <c r="AM447" s="133">
        <v>0.979488803438136</v>
      </c>
      <c r="AN447" s="132">
        <v>0.99</v>
      </c>
      <c r="AO447" s="137">
        <v>1</v>
      </c>
      <c r="AP447" s="137">
        <v>1</v>
      </c>
      <c r="AQ447" s="137">
        <v>1</v>
      </c>
      <c r="AR447" s="137">
        <v>1</v>
      </c>
      <c r="AS447" s="158">
        <v>0.05</v>
      </c>
      <c r="AT447" s="141">
        <v>0.142857142857143</v>
      </c>
      <c r="AU447" s="141">
        <v>0.0833333333333333</v>
      </c>
      <c r="AV447" s="141">
        <v>0</v>
      </c>
      <c r="AW447" s="141">
        <v>0.0316455696202532</v>
      </c>
      <c r="AX447" s="95"/>
      <c r="AY447" s="93"/>
    </row>
    <row r="448" ht="15" spans="1:51">
      <c r="A448" s="91"/>
      <c r="B448" s="95"/>
      <c r="C448" s="152" t="s">
        <v>375</v>
      </c>
      <c r="D448" s="153" t="s">
        <v>25</v>
      </c>
      <c r="E448" s="130" t="s">
        <v>376</v>
      </c>
      <c r="F448" s="154" t="s">
        <v>474</v>
      </c>
      <c r="G448" s="154" t="s">
        <v>474</v>
      </c>
      <c r="H448" s="154" t="s">
        <v>474</v>
      </c>
      <c r="I448" s="154" t="s">
        <v>474</v>
      </c>
      <c r="J448" s="132">
        <v>0.9</v>
      </c>
      <c r="K448" s="133">
        <v>1</v>
      </c>
      <c r="L448" s="133">
        <v>1</v>
      </c>
      <c r="M448" s="134">
        <v>0.978723404255319</v>
      </c>
      <c r="N448" s="133">
        <v>0.961</v>
      </c>
      <c r="O448" s="135">
        <v>0.9</v>
      </c>
      <c r="P448" s="133">
        <v>0.982253404869996</v>
      </c>
      <c r="Q448" s="133">
        <v>0.970588235294118</v>
      </c>
      <c r="R448" s="133">
        <v>0.960573476702509</v>
      </c>
      <c r="S448" s="133">
        <v>0.965120067460089</v>
      </c>
      <c r="T448" s="135">
        <v>0.9</v>
      </c>
      <c r="U448" s="133">
        <v>0.96079240610813</v>
      </c>
      <c r="V448" s="133">
        <v>0.94391244870041</v>
      </c>
      <c r="W448" s="133">
        <v>0.912186379928315</v>
      </c>
      <c r="X448" s="133">
        <v>0.948504187508385</v>
      </c>
      <c r="Y448" s="135">
        <v>0.92</v>
      </c>
      <c r="Z448" s="135">
        <v>0.952494533889883</v>
      </c>
      <c r="AA448" s="135">
        <v>0.967758710348414</v>
      </c>
      <c r="AB448" s="135">
        <v>0.908814589665654</v>
      </c>
      <c r="AC448" s="135">
        <v>0.946640034241689</v>
      </c>
      <c r="AD448" s="135">
        <v>0.92</v>
      </c>
      <c r="AE448" s="133">
        <v>0.997587736362929</v>
      </c>
      <c r="AF448" s="133">
        <v>0.99781181619256</v>
      </c>
      <c r="AG448" s="133">
        <v>0.997699827487062</v>
      </c>
      <c r="AH448" s="133">
        <v>0.99424677428364</v>
      </c>
      <c r="AI448" s="135">
        <v>0.92</v>
      </c>
      <c r="AJ448" s="133">
        <v>0.961780877028296</v>
      </c>
      <c r="AK448" s="133">
        <v>0.970753323485968</v>
      </c>
      <c r="AL448" s="133">
        <v>0.937933112383248</v>
      </c>
      <c r="AM448" s="133">
        <v>0.963054710749207</v>
      </c>
      <c r="AN448" s="132">
        <v>0.99</v>
      </c>
      <c r="AO448" s="137">
        <v>1</v>
      </c>
      <c r="AP448" s="137">
        <v>1</v>
      </c>
      <c r="AQ448" s="137">
        <v>1</v>
      </c>
      <c r="AR448" s="137">
        <v>1</v>
      </c>
      <c r="AS448" s="158">
        <v>0.05</v>
      </c>
      <c r="AT448" s="141">
        <v>0.0526315789473684</v>
      </c>
      <c r="AU448" s="141">
        <v>0.173913043478261</v>
      </c>
      <c r="AV448" s="141">
        <v>0</v>
      </c>
      <c r="AW448" s="141">
        <v>0.0490196078431373</v>
      </c>
      <c r="AX448" s="95"/>
      <c r="AY448" s="93"/>
    </row>
    <row r="449" ht="15" spans="1:51">
      <c r="A449" s="91"/>
      <c r="B449" s="95"/>
      <c r="C449" s="152" t="s">
        <v>375</v>
      </c>
      <c r="D449" s="153" t="s">
        <v>25</v>
      </c>
      <c r="E449" s="130" t="s">
        <v>376</v>
      </c>
      <c r="F449" s="154" t="s">
        <v>475</v>
      </c>
      <c r="G449" s="154" t="s">
        <v>475</v>
      </c>
      <c r="H449" s="154" t="s">
        <v>475</v>
      </c>
      <c r="I449" s="154" t="s">
        <v>475</v>
      </c>
      <c r="J449" s="132">
        <v>0.9</v>
      </c>
      <c r="K449" s="133">
        <v>0.882352941176471</v>
      </c>
      <c r="L449" s="133">
        <v>1</v>
      </c>
      <c r="M449" s="134">
        <v>1</v>
      </c>
      <c r="N449" s="133">
        <v>0.961538461538462</v>
      </c>
      <c r="O449" s="135">
        <v>0.9</v>
      </c>
      <c r="P449" s="133">
        <v>0.987583572110793</v>
      </c>
      <c r="Q449" s="133">
        <v>0.939704209328783</v>
      </c>
      <c r="R449" s="133">
        <v>0.971447994561523</v>
      </c>
      <c r="S449" s="133">
        <v>0.971930488535655</v>
      </c>
      <c r="T449" s="135">
        <v>0.9</v>
      </c>
      <c r="U449" s="133">
        <v>0.965616045845272</v>
      </c>
      <c r="V449" s="133">
        <v>0.872582480091012</v>
      </c>
      <c r="W449" s="133">
        <v>0.894629503738953</v>
      </c>
      <c r="X449" s="133">
        <v>0.935124735862743</v>
      </c>
      <c r="Y449" s="135">
        <v>0.92</v>
      </c>
      <c r="Z449" s="135">
        <v>0</v>
      </c>
      <c r="AA449" s="135" t="s">
        <v>35</v>
      </c>
      <c r="AB449" s="135" t="s">
        <v>35</v>
      </c>
      <c r="AC449" s="135">
        <v>0.444444444444444</v>
      </c>
      <c r="AD449" s="135">
        <v>0.92</v>
      </c>
      <c r="AE449" s="133">
        <v>1</v>
      </c>
      <c r="AF449" s="133">
        <v>0.923076923076923</v>
      </c>
      <c r="AG449" s="133">
        <v>0.979591836734694</v>
      </c>
      <c r="AH449" s="133">
        <v>0.992311916529379</v>
      </c>
      <c r="AI449" s="135">
        <v>0.92</v>
      </c>
      <c r="AJ449" s="133">
        <v>0.977142857142857</v>
      </c>
      <c r="AK449" s="133">
        <v>0.902161547212742</v>
      </c>
      <c r="AL449" s="133">
        <v>0.936097892590075</v>
      </c>
      <c r="AM449" s="133">
        <v>0.978591922312955</v>
      </c>
      <c r="AN449" s="132">
        <v>0.99</v>
      </c>
      <c r="AO449" s="137">
        <v>1</v>
      </c>
      <c r="AP449" s="137">
        <v>1</v>
      </c>
      <c r="AQ449" s="137">
        <v>1</v>
      </c>
      <c r="AR449" s="137">
        <v>1</v>
      </c>
      <c r="AS449" s="158">
        <v>0.05</v>
      </c>
      <c r="AT449" s="141">
        <v>0</v>
      </c>
      <c r="AU449" s="141">
        <v>0.25</v>
      </c>
      <c r="AV449" s="141">
        <v>0</v>
      </c>
      <c r="AW449" s="141">
        <v>0.0609756097560976</v>
      </c>
      <c r="AX449" s="95"/>
      <c r="AY449" s="93"/>
    </row>
    <row r="450" ht="15" spans="1:51">
      <c r="A450" s="91"/>
      <c r="B450" s="95"/>
      <c r="C450" s="152" t="s">
        <v>375</v>
      </c>
      <c r="D450" s="153" t="s">
        <v>25</v>
      </c>
      <c r="E450" s="130" t="s">
        <v>376</v>
      </c>
      <c r="F450" s="154" t="s">
        <v>476</v>
      </c>
      <c r="G450" s="154" t="s">
        <v>476</v>
      </c>
      <c r="H450" s="154" t="s">
        <v>476</v>
      </c>
      <c r="I450" s="154" t="s">
        <v>476</v>
      </c>
      <c r="J450" s="132">
        <v>0.9</v>
      </c>
      <c r="K450" s="133">
        <v>0.976190476190476</v>
      </c>
      <c r="L450" s="133">
        <v>0.96969696969697</v>
      </c>
      <c r="M450" s="134">
        <v>0.9</v>
      </c>
      <c r="N450" s="133">
        <v>0.925414364640884</v>
      </c>
      <c r="O450" s="135">
        <v>0.9</v>
      </c>
      <c r="P450" s="133">
        <v>0.976306196840826</v>
      </c>
      <c r="Q450" s="133">
        <v>0.947096774193548</v>
      </c>
      <c r="R450" s="133">
        <v>0.933349432504226</v>
      </c>
      <c r="S450" s="133">
        <v>0.974748364516167</v>
      </c>
      <c r="T450" s="135">
        <v>0.9</v>
      </c>
      <c r="U450" s="133">
        <v>0.955650060753341</v>
      </c>
      <c r="V450" s="133">
        <v>0.891182795698925</v>
      </c>
      <c r="W450" s="133">
        <v>0.802946148273364</v>
      </c>
      <c r="X450" s="133">
        <v>0.935614201989594</v>
      </c>
      <c r="Y450" s="135">
        <v>0.92</v>
      </c>
      <c r="Z450" s="135">
        <v>0</v>
      </c>
      <c r="AA450" s="135" t="s">
        <v>35</v>
      </c>
      <c r="AB450" s="135" t="s">
        <v>35</v>
      </c>
      <c r="AC450" s="135">
        <v>0.428571428571429</v>
      </c>
      <c r="AD450" s="135">
        <v>0.92</v>
      </c>
      <c r="AE450" s="133">
        <v>0.99779553596032</v>
      </c>
      <c r="AF450" s="133">
        <v>0.994366197183099</v>
      </c>
      <c r="AG450" s="133">
        <v>0.996336996336996</v>
      </c>
      <c r="AH450" s="133">
        <v>0.996569782066821</v>
      </c>
      <c r="AI450" s="135">
        <v>0.92</v>
      </c>
      <c r="AJ450" s="133">
        <v>0.97752808988764</v>
      </c>
      <c r="AK450" s="133">
        <v>0.937634408602151</v>
      </c>
      <c r="AL450" s="133">
        <v>0.897875422501207</v>
      </c>
      <c r="AM450" s="133">
        <v>0.969396263196834</v>
      </c>
      <c r="AN450" s="132">
        <v>0.99</v>
      </c>
      <c r="AO450" s="137">
        <v>1</v>
      </c>
      <c r="AP450" s="137">
        <v>1</v>
      </c>
      <c r="AQ450" s="137">
        <v>1</v>
      </c>
      <c r="AR450" s="137">
        <v>1</v>
      </c>
      <c r="AS450" s="158">
        <v>0.05</v>
      </c>
      <c r="AT450" s="141">
        <v>0.0833333333333333</v>
      </c>
      <c r="AU450" s="141">
        <v>0</v>
      </c>
      <c r="AV450" s="141">
        <v>0.166666666666667</v>
      </c>
      <c r="AW450" s="141">
        <v>0.0660377358490566</v>
      </c>
      <c r="AX450" s="95"/>
      <c r="AY450" s="93"/>
    </row>
    <row r="451" ht="15" spans="1:51">
      <c r="A451" s="91"/>
      <c r="B451" s="95"/>
      <c r="C451" s="152" t="s">
        <v>375</v>
      </c>
      <c r="D451" s="153" t="s">
        <v>25</v>
      </c>
      <c r="E451" s="130" t="s">
        <v>376</v>
      </c>
      <c r="F451" s="154" t="s">
        <v>477</v>
      </c>
      <c r="G451" s="154" t="s">
        <v>477</v>
      </c>
      <c r="H451" s="154" t="s">
        <v>477</v>
      </c>
      <c r="I451" s="154" t="s">
        <v>477</v>
      </c>
      <c r="J451" s="132">
        <v>0.9</v>
      </c>
      <c r="K451" s="133">
        <v>0.970588235294118</v>
      </c>
      <c r="L451" s="133">
        <v>0.924242424242424</v>
      </c>
      <c r="M451" s="134">
        <v>0.950819672131147</v>
      </c>
      <c r="N451" s="133">
        <v>0.970172684458399</v>
      </c>
      <c r="O451" s="135">
        <v>0.9</v>
      </c>
      <c r="P451" s="133">
        <v>0.993538913362702</v>
      </c>
      <c r="Q451" s="133">
        <v>0.988714228133817</v>
      </c>
      <c r="R451" s="133">
        <v>0.994106980961015</v>
      </c>
      <c r="S451" s="133">
        <v>0.989236750139581</v>
      </c>
      <c r="T451" s="135">
        <v>0.9</v>
      </c>
      <c r="U451" s="133">
        <v>0.953010279001468</v>
      </c>
      <c r="V451" s="133">
        <v>0.927851672712616</v>
      </c>
      <c r="W451" s="133">
        <v>0.940843155031732</v>
      </c>
      <c r="X451" s="133">
        <v>0.949027068384375</v>
      </c>
      <c r="Y451" s="135">
        <v>0.92</v>
      </c>
      <c r="Z451" s="135" t="s">
        <v>35</v>
      </c>
      <c r="AA451" s="135" t="s">
        <v>35</v>
      </c>
      <c r="AB451" s="135" t="s">
        <v>35</v>
      </c>
      <c r="AC451" s="135">
        <v>0.75</v>
      </c>
      <c r="AD451" s="135">
        <v>0.92</v>
      </c>
      <c r="AE451" s="133">
        <v>0.994666666666667</v>
      </c>
      <c r="AF451" s="133">
        <v>0.997536945812808</v>
      </c>
      <c r="AG451" s="133">
        <v>0.957894736842105</v>
      </c>
      <c r="AH451" s="133">
        <v>0.989382509080749</v>
      </c>
      <c r="AI451" s="135">
        <v>0.92</v>
      </c>
      <c r="AJ451" s="133">
        <v>0.973861967694567</v>
      </c>
      <c r="AK451" s="133">
        <v>0.971785570334542</v>
      </c>
      <c r="AL451" s="133">
        <v>0.970988213961922</v>
      </c>
      <c r="AM451" s="133">
        <v>0.982963766992299</v>
      </c>
      <c r="AN451" s="132">
        <v>0.99</v>
      </c>
      <c r="AO451" s="137">
        <v>1</v>
      </c>
      <c r="AP451" s="137">
        <v>1</v>
      </c>
      <c r="AQ451" s="137">
        <v>1</v>
      </c>
      <c r="AR451" s="137">
        <v>1</v>
      </c>
      <c r="AS451" s="158">
        <v>0.05</v>
      </c>
      <c r="AT451" s="141">
        <v>0</v>
      </c>
      <c r="AU451" s="141">
        <v>0</v>
      </c>
      <c r="AV451" s="141">
        <v>0.272727272727273</v>
      </c>
      <c r="AW451" s="141">
        <v>0.0728155339805825</v>
      </c>
      <c r="AX451" s="95"/>
      <c r="AY451" s="93"/>
    </row>
    <row r="452" ht="15" spans="1:51">
      <c r="A452" s="91"/>
      <c r="B452" s="95"/>
      <c r="C452" s="152" t="s">
        <v>375</v>
      </c>
      <c r="D452" s="153" t="s">
        <v>25</v>
      </c>
      <c r="E452" s="130" t="s">
        <v>376</v>
      </c>
      <c r="F452" s="154" t="s">
        <v>478</v>
      </c>
      <c r="G452" s="154" t="s">
        <v>478</v>
      </c>
      <c r="H452" s="154" t="s">
        <v>478</v>
      </c>
      <c r="I452" s="154" t="s">
        <v>478</v>
      </c>
      <c r="J452" s="132">
        <v>0.9</v>
      </c>
      <c r="K452" s="133">
        <v>0.931818181818182</v>
      </c>
      <c r="L452" s="133">
        <v>0.902777777777778</v>
      </c>
      <c r="M452" s="134">
        <v>0.915492957746479</v>
      </c>
      <c r="N452" s="133">
        <v>0.916559691912709</v>
      </c>
      <c r="O452" s="135">
        <v>0.9</v>
      </c>
      <c r="P452" s="133">
        <v>0.92182850960238</v>
      </c>
      <c r="Q452" s="133">
        <v>0.924287856071964</v>
      </c>
      <c r="R452" s="133">
        <v>0.9190128606187</v>
      </c>
      <c r="S452" s="133">
        <v>0.953167070368946</v>
      </c>
      <c r="T452" s="135">
        <v>0.9</v>
      </c>
      <c r="U452" s="133">
        <v>0.938869353529889</v>
      </c>
      <c r="V452" s="133">
        <v>0.91191904047976</v>
      </c>
      <c r="W452" s="133">
        <v>0.905804657629475</v>
      </c>
      <c r="X452" s="133">
        <v>0.901645649891364</v>
      </c>
      <c r="Y452" s="135">
        <v>0.92</v>
      </c>
      <c r="Z452" s="135">
        <v>0.905944488144735</v>
      </c>
      <c r="AA452" s="135">
        <v>0.924278137890395</v>
      </c>
      <c r="AB452" s="135">
        <v>0.877695167286245</v>
      </c>
      <c r="AC452" s="135">
        <v>0.883191853637985</v>
      </c>
      <c r="AD452" s="135">
        <v>0.92</v>
      </c>
      <c r="AE452" s="133">
        <v>0.981015328364506</v>
      </c>
      <c r="AF452" s="133">
        <v>0.933079344045055</v>
      </c>
      <c r="AG452" s="133">
        <v>0.992414390983962</v>
      </c>
      <c r="AH452" s="133">
        <v>0.961571471484358</v>
      </c>
      <c r="AI452" s="135">
        <v>0.92</v>
      </c>
      <c r="AJ452" s="133">
        <v>0.927517842981761</v>
      </c>
      <c r="AK452" s="133">
        <v>0.947602570439941</v>
      </c>
      <c r="AL452" s="133">
        <v>0.924027951979932</v>
      </c>
      <c r="AM452" s="133">
        <v>0.928097472785321</v>
      </c>
      <c r="AN452" s="132">
        <v>0.99</v>
      </c>
      <c r="AO452" s="137">
        <v>1</v>
      </c>
      <c r="AP452" s="137">
        <v>1</v>
      </c>
      <c r="AQ452" s="137">
        <v>1</v>
      </c>
      <c r="AR452" s="137">
        <v>1</v>
      </c>
      <c r="AS452" s="158">
        <v>0.05</v>
      </c>
      <c r="AT452" s="141">
        <v>0</v>
      </c>
      <c r="AU452" s="141">
        <v>0.0555555555555556</v>
      </c>
      <c r="AV452" s="141">
        <v>0.0625</v>
      </c>
      <c r="AW452" s="141">
        <v>0.0575635876840696</v>
      </c>
      <c r="AX452" s="95"/>
      <c r="AY452" s="93"/>
    </row>
    <row r="453" ht="15" spans="1:51">
      <c r="A453" s="91"/>
      <c r="B453" s="95"/>
      <c r="C453" s="152" t="s">
        <v>375</v>
      </c>
      <c r="D453" s="153" t="s">
        <v>25</v>
      </c>
      <c r="E453" s="130" t="s">
        <v>376</v>
      </c>
      <c r="F453" s="154" t="s">
        <v>479</v>
      </c>
      <c r="G453" s="154" t="s">
        <v>479</v>
      </c>
      <c r="H453" s="154" t="s">
        <v>479</v>
      </c>
      <c r="I453" s="154" t="s">
        <v>479</v>
      </c>
      <c r="J453" s="132">
        <v>0.9</v>
      </c>
      <c r="K453" s="133">
        <v>0.950819672131147</v>
      </c>
      <c r="L453" s="133">
        <v>0.905660377358491</v>
      </c>
      <c r="M453" s="134">
        <v>0.936170212765957</v>
      </c>
      <c r="N453" s="133">
        <v>0.963796477495108</v>
      </c>
      <c r="O453" s="135">
        <v>0.9</v>
      </c>
      <c r="P453" s="133">
        <v>0.963116452548695</v>
      </c>
      <c r="Q453" s="133">
        <v>0.967242406194163</v>
      </c>
      <c r="R453" s="133">
        <v>0.951781970649895</v>
      </c>
      <c r="S453" s="133">
        <v>0.96644503928849</v>
      </c>
      <c r="T453" s="135">
        <v>0.9</v>
      </c>
      <c r="U453" s="133">
        <v>0.941566514711977</v>
      </c>
      <c r="V453" s="133">
        <v>0.939845145920191</v>
      </c>
      <c r="W453" s="133">
        <v>0.884696016771488</v>
      </c>
      <c r="X453" s="133">
        <v>0.943234608410327</v>
      </c>
      <c r="Y453" s="135">
        <v>0.92</v>
      </c>
      <c r="Z453" s="135">
        <v>0.967807248430856</v>
      </c>
      <c r="AA453" s="135">
        <v>0.957191780821918</v>
      </c>
      <c r="AB453" s="135">
        <v>0.886577181208054</v>
      </c>
      <c r="AC453" s="135">
        <v>0.95197723452567</v>
      </c>
      <c r="AD453" s="135">
        <v>0.92</v>
      </c>
      <c r="AE453" s="133">
        <v>0.997317322432294</v>
      </c>
      <c r="AF453" s="133">
        <v>0.988372093023256</v>
      </c>
      <c r="AG453" s="133">
        <v>0.990752972258917</v>
      </c>
      <c r="AH453" s="133">
        <v>0.995949594959496</v>
      </c>
      <c r="AI453" s="135">
        <v>0.92</v>
      </c>
      <c r="AJ453" s="133">
        <v>0.969009106972951</v>
      </c>
      <c r="AK453" s="133">
        <v>0.966773535412416</v>
      </c>
      <c r="AL453" s="133">
        <v>0.914949970570924</v>
      </c>
      <c r="AM453" s="133">
        <v>0.965823992368233</v>
      </c>
      <c r="AN453" s="132">
        <v>0.99</v>
      </c>
      <c r="AO453" s="137">
        <v>1</v>
      </c>
      <c r="AP453" s="137">
        <v>1</v>
      </c>
      <c r="AQ453" s="137">
        <v>1</v>
      </c>
      <c r="AR453" s="137">
        <v>1</v>
      </c>
      <c r="AS453" s="158">
        <v>0.05</v>
      </c>
      <c r="AT453" s="141">
        <v>0.1</v>
      </c>
      <c r="AU453" s="141">
        <v>0</v>
      </c>
      <c r="AV453" s="141">
        <v>0</v>
      </c>
      <c r="AW453" s="141">
        <v>0.039832285115304</v>
      </c>
      <c r="AX453" s="95"/>
      <c r="AY453" s="93"/>
    </row>
    <row r="454" ht="15" spans="1:51">
      <c r="A454" s="91"/>
      <c r="B454" s="95"/>
      <c r="C454" s="152" t="s">
        <v>375</v>
      </c>
      <c r="D454" s="153" t="s">
        <v>25</v>
      </c>
      <c r="E454" s="130" t="s">
        <v>376</v>
      </c>
      <c r="F454" s="154" t="s">
        <v>480</v>
      </c>
      <c r="G454" s="154" t="s">
        <v>480</v>
      </c>
      <c r="H454" s="154" t="s">
        <v>480</v>
      </c>
      <c r="I454" s="154" t="s">
        <v>480</v>
      </c>
      <c r="J454" s="132">
        <v>0.9</v>
      </c>
      <c r="K454" s="133">
        <v>0.931818181818182</v>
      </c>
      <c r="L454" s="133">
        <v>0.846153846153846</v>
      </c>
      <c r="M454" s="134">
        <v>0.833333333333333</v>
      </c>
      <c r="N454" s="133">
        <v>0.930317848410758</v>
      </c>
      <c r="O454" s="135">
        <v>0.9</v>
      </c>
      <c r="P454" s="133">
        <v>0.934170342721412</v>
      </c>
      <c r="Q454" s="133">
        <v>0.934851936218679</v>
      </c>
      <c r="R454" s="133">
        <v>0.879328716036228</v>
      </c>
      <c r="S454" s="133">
        <v>0.967940873568789</v>
      </c>
      <c r="T454" s="135">
        <v>0.9</v>
      </c>
      <c r="U454" s="133">
        <v>0.894808279606379</v>
      </c>
      <c r="V454" s="133">
        <v>0.873348519362187</v>
      </c>
      <c r="W454" s="133">
        <v>0.789025039957379</v>
      </c>
      <c r="X454" s="133">
        <v>0.919864299993942</v>
      </c>
      <c r="Y454" s="135">
        <v>0.92</v>
      </c>
      <c r="Z454" s="135" t="s">
        <v>35</v>
      </c>
      <c r="AA454" s="135">
        <v>0.5</v>
      </c>
      <c r="AB454" s="135">
        <v>1</v>
      </c>
      <c r="AC454" s="135">
        <v>0.923076923076923</v>
      </c>
      <c r="AD454" s="135">
        <v>0.92</v>
      </c>
      <c r="AE454" s="133">
        <v>0.999503475670308</v>
      </c>
      <c r="AF454" s="133">
        <v>0.996150885296382</v>
      </c>
      <c r="AG454" s="133">
        <v>0.968253968253968</v>
      </c>
      <c r="AH454" s="133">
        <v>0.995257654966393</v>
      </c>
      <c r="AI454" s="135">
        <v>0.92</v>
      </c>
      <c r="AJ454" s="133">
        <v>0.932473702069902</v>
      </c>
      <c r="AK454" s="133">
        <v>0.913518434228493</v>
      </c>
      <c r="AL454" s="133">
        <v>0.849574014909478</v>
      </c>
      <c r="AM454" s="133">
        <v>0.968415060977825</v>
      </c>
      <c r="AN454" s="132">
        <v>0.99</v>
      </c>
      <c r="AO454" s="137">
        <v>1</v>
      </c>
      <c r="AP454" s="137">
        <v>1</v>
      </c>
      <c r="AQ454" s="137">
        <v>1</v>
      </c>
      <c r="AR454" s="137">
        <v>1</v>
      </c>
      <c r="AS454" s="158">
        <v>0.05</v>
      </c>
      <c r="AT454" s="141">
        <v>0</v>
      </c>
      <c r="AU454" s="141">
        <v>0.4</v>
      </c>
      <c r="AV454" s="141">
        <v>0</v>
      </c>
      <c r="AW454" s="141">
        <v>0.0358744394618834</v>
      </c>
      <c r="AX454" s="95"/>
      <c r="AY454" s="93"/>
    </row>
    <row r="455" ht="15" spans="1:51">
      <c r="A455" s="91"/>
      <c r="B455" s="95"/>
      <c r="C455" s="152" t="s">
        <v>375</v>
      </c>
      <c r="D455" s="153" t="s">
        <v>25</v>
      </c>
      <c r="E455" s="130" t="s">
        <v>376</v>
      </c>
      <c r="F455" s="154" t="s">
        <v>481</v>
      </c>
      <c r="G455" s="154" t="s">
        <v>481</v>
      </c>
      <c r="H455" s="154" t="s">
        <v>481</v>
      </c>
      <c r="I455" s="154" t="s">
        <v>481</v>
      </c>
      <c r="J455" s="132">
        <v>0.9</v>
      </c>
      <c r="K455" s="133">
        <v>1</v>
      </c>
      <c r="L455" s="133">
        <v>1</v>
      </c>
      <c r="M455" s="134">
        <v>1</v>
      </c>
      <c r="N455" s="133">
        <v>0.985057471264368</v>
      </c>
      <c r="O455" s="135">
        <v>0.9</v>
      </c>
      <c r="P455" s="133">
        <v>0.976635514018692</v>
      </c>
      <c r="Q455" s="133">
        <v>0.988106129917658</v>
      </c>
      <c r="R455" s="133">
        <v>0.991079393398751</v>
      </c>
      <c r="S455" s="133">
        <v>0.986804403559041</v>
      </c>
      <c r="T455" s="135">
        <v>0.9</v>
      </c>
      <c r="U455" s="133">
        <v>0.95911214953271</v>
      </c>
      <c r="V455" s="133">
        <v>0.966148215919488</v>
      </c>
      <c r="W455" s="133">
        <v>0.88314005352364</v>
      </c>
      <c r="X455" s="133">
        <v>0.958678932287739</v>
      </c>
      <c r="Y455" s="135">
        <v>0.92</v>
      </c>
      <c r="Z455" s="135">
        <v>0.97997138769671</v>
      </c>
      <c r="AA455" s="135">
        <v>0.982089552238806</v>
      </c>
      <c r="AB455" s="135">
        <v>0.953229398663697</v>
      </c>
      <c r="AC455" s="135">
        <v>0.974740142848847</v>
      </c>
      <c r="AD455" s="135">
        <v>0.92</v>
      </c>
      <c r="AE455" s="133">
        <v>0.997876857749469</v>
      </c>
      <c r="AF455" s="133">
        <v>0.997080291970803</v>
      </c>
      <c r="AG455" s="133">
        <v>0.994962216624685</v>
      </c>
      <c r="AH455" s="133">
        <v>0.994789509053918</v>
      </c>
      <c r="AI455" s="135">
        <v>0.92</v>
      </c>
      <c r="AJ455" s="133">
        <v>0.982153137593552</v>
      </c>
      <c r="AK455" s="133">
        <v>0.987679671457906</v>
      </c>
      <c r="AL455" s="133">
        <v>0.967990275526742</v>
      </c>
      <c r="AM455" s="133">
        <v>0.983176753331877</v>
      </c>
      <c r="AN455" s="132">
        <v>0.99</v>
      </c>
      <c r="AO455" s="137">
        <v>1</v>
      </c>
      <c r="AP455" s="137">
        <v>1</v>
      </c>
      <c r="AQ455" s="137">
        <v>1</v>
      </c>
      <c r="AR455" s="137">
        <v>1</v>
      </c>
      <c r="AS455" s="158">
        <v>0.05</v>
      </c>
      <c r="AT455" s="141">
        <v>0.0625</v>
      </c>
      <c r="AU455" s="141">
        <v>0</v>
      </c>
      <c r="AV455" s="141">
        <v>0</v>
      </c>
      <c r="AW455" s="141">
        <v>0.0699588477366255</v>
      </c>
      <c r="AX455" s="95"/>
      <c r="AY455" s="93"/>
    </row>
    <row r="456" ht="15" spans="1:51">
      <c r="A456" s="91"/>
      <c r="B456" s="95"/>
      <c r="C456" s="152" t="s">
        <v>375</v>
      </c>
      <c r="D456" s="153" t="s">
        <v>25</v>
      </c>
      <c r="E456" s="130" t="s">
        <v>376</v>
      </c>
      <c r="F456" s="154" t="s">
        <v>482</v>
      </c>
      <c r="G456" s="154" t="s">
        <v>482</v>
      </c>
      <c r="H456" s="154" t="s">
        <v>482</v>
      </c>
      <c r="I456" s="154" t="s">
        <v>482</v>
      </c>
      <c r="J456" s="132">
        <v>0.9</v>
      </c>
      <c r="K456" s="133">
        <v>0.975609756097561</v>
      </c>
      <c r="L456" s="133">
        <v>0.945945945945946</v>
      </c>
      <c r="M456" s="134">
        <v>0.935483870967742</v>
      </c>
      <c r="N456" s="133">
        <v>0.979010494752624</v>
      </c>
      <c r="O456" s="135">
        <v>0.9</v>
      </c>
      <c r="P456" s="133">
        <v>0.996628455832771</v>
      </c>
      <c r="Q456" s="133">
        <v>0.99703557312253</v>
      </c>
      <c r="R456" s="133">
        <v>0.998216409036861</v>
      </c>
      <c r="S456" s="133">
        <v>0.996217050103964</v>
      </c>
      <c r="T456" s="135">
        <v>0.9</v>
      </c>
      <c r="U456" s="133">
        <v>0.956169925826028</v>
      </c>
      <c r="V456" s="133">
        <v>0.966403162055336</v>
      </c>
      <c r="W456" s="133">
        <v>0.964625445897741</v>
      </c>
      <c r="X456" s="133">
        <v>0.96929371520558</v>
      </c>
      <c r="Y456" s="135">
        <v>0.92</v>
      </c>
      <c r="Z456" s="135">
        <v>0.987641606591143</v>
      </c>
      <c r="AA456" s="135">
        <v>0.994555353901996</v>
      </c>
      <c r="AB456" s="135">
        <v>0.974358974358974</v>
      </c>
      <c r="AC456" s="135">
        <v>0.986419013381266</v>
      </c>
      <c r="AD456" s="135">
        <v>0.92</v>
      </c>
      <c r="AE456" s="133">
        <v>0.999034749034749</v>
      </c>
      <c r="AF456" s="133">
        <v>1</v>
      </c>
      <c r="AG456" s="133">
        <v>1</v>
      </c>
      <c r="AH456" s="133">
        <v>0.986706229710475</v>
      </c>
      <c r="AI456" s="135">
        <v>0.92</v>
      </c>
      <c r="AJ456" s="133">
        <v>0.989538321582897</v>
      </c>
      <c r="AK456" s="133">
        <v>0.993856332703214</v>
      </c>
      <c r="AL456" s="133">
        <v>0.991246256622898</v>
      </c>
      <c r="AM456" s="133">
        <v>0.996933594731815</v>
      </c>
      <c r="AN456" s="132">
        <v>0.99</v>
      </c>
      <c r="AO456" s="137">
        <v>1</v>
      </c>
      <c r="AP456" s="137">
        <v>1</v>
      </c>
      <c r="AQ456" s="137">
        <v>1</v>
      </c>
      <c r="AR456" s="137">
        <v>1</v>
      </c>
      <c r="AS456" s="158">
        <v>0.05</v>
      </c>
      <c r="AT456" s="141">
        <v>0</v>
      </c>
      <c r="AU456" s="141">
        <v>0</v>
      </c>
      <c r="AV456" s="141">
        <v>0</v>
      </c>
      <c r="AW456" s="141">
        <v>0.05</v>
      </c>
      <c r="AX456" s="95"/>
      <c r="AY456" s="93"/>
    </row>
    <row r="457" ht="15" spans="1:51">
      <c r="A457" s="91"/>
      <c r="B457" s="95"/>
      <c r="C457" s="152" t="s">
        <v>375</v>
      </c>
      <c r="D457" s="153" t="s">
        <v>25</v>
      </c>
      <c r="E457" s="130" t="s">
        <v>376</v>
      </c>
      <c r="F457" s="154" t="s">
        <v>483</v>
      </c>
      <c r="G457" s="154" t="s">
        <v>483</v>
      </c>
      <c r="H457" s="154" t="s">
        <v>483</v>
      </c>
      <c r="I457" s="154" t="s">
        <v>483</v>
      </c>
      <c r="J457" s="132">
        <v>0.9</v>
      </c>
      <c r="K457" s="133">
        <v>0.951219512195122</v>
      </c>
      <c r="L457" s="133">
        <v>0.897058823529412</v>
      </c>
      <c r="M457" s="134">
        <v>0.967741935483871</v>
      </c>
      <c r="N457" s="133">
        <v>0.916363636363636</v>
      </c>
      <c r="O457" s="135">
        <v>0.9</v>
      </c>
      <c r="P457" s="133">
        <v>0.5</v>
      </c>
      <c r="Q457" s="133">
        <v>0.75</v>
      </c>
      <c r="R457" s="133" t="s">
        <v>35</v>
      </c>
      <c r="S457" s="133">
        <v>0.72972972972973</v>
      </c>
      <c r="T457" s="135">
        <v>0.9</v>
      </c>
      <c r="U457" s="133">
        <v>0.5</v>
      </c>
      <c r="V457" s="133">
        <v>0.75</v>
      </c>
      <c r="W457" s="133" t="s">
        <v>35</v>
      </c>
      <c r="X457" s="133">
        <v>0.72972972972973</v>
      </c>
      <c r="Y457" s="135">
        <v>0.92</v>
      </c>
      <c r="Z457" s="135">
        <v>0</v>
      </c>
      <c r="AA457" s="135">
        <v>1</v>
      </c>
      <c r="AB457" s="135">
        <v>0.333333333333333</v>
      </c>
      <c r="AC457" s="135">
        <v>0.363636363636364</v>
      </c>
      <c r="AD457" s="135">
        <v>0.92</v>
      </c>
      <c r="AE457" s="133">
        <v>0.998703823720026</v>
      </c>
      <c r="AF457" s="133">
        <v>0.993678887484197</v>
      </c>
      <c r="AG457" s="133">
        <v>0.991051454138702</v>
      </c>
      <c r="AH457" s="133">
        <v>0.993697798025816</v>
      </c>
      <c r="AI457" s="135">
        <v>0.92</v>
      </c>
      <c r="AJ457" s="133">
        <v>0.973038554866541</v>
      </c>
      <c r="AK457" s="133">
        <v>0.956164383561644</v>
      </c>
      <c r="AL457" s="133">
        <v>0.931755964020336</v>
      </c>
      <c r="AM457" s="133">
        <v>0.974852083456071</v>
      </c>
      <c r="AN457" s="132">
        <v>0.99</v>
      </c>
      <c r="AO457" s="137">
        <v>1</v>
      </c>
      <c r="AP457" s="137">
        <v>1</v>
      </c>
      <c r="AQ457" s="137">
        <v>1</v>
      </c>
      <c r="AR457" s="137">
        <v>1</v>
      </c>
      <c r="AS457" s="158">
        <v>0.05</v>
      </c>
      <c r="AT457" s="141">
        <v>0</v>
      </c>
      <c r="AU457" s="141">
        <v>0</v>
      </c>
      <c r="AV457" s="141">
        <v>0</v>
      </c>
      <c r="AW457" s="141">
        <v>0.0529100529100529</v>
      </c>
      <c r="AX457" s="95"/>
      <c r="AY457" s="93"/>
    </row>
    <row r="458" ht="15" spans="1:51">
      <c r="A458" s="91"/>
      <c r="B458" s="95"/>
      <c r="C458" s="152" t="s">
        <v>375</v>
      </c>
      <c r="D458" s="153" t="s">
        <v>25</v>
      </c>
      <c r="E458" s="130" t="s">
        <v>376</v>
      </c>
      <c r="F458" s="154" t="s">
        <v>484</v>
      </c>
      <c r="G458" s="154" t="s">
        <v>484</v>
      </c>
      <c r="H458" s="154" t="s">
        <v>484</v>
      </c>
      <c r="I458" s="154" t="s">
        <v>484</v>
      </c>
      <c r="J458" s="132">
        <v>0.9</v>
      </c>
      <c r="K458" s="133">
        <v>0.92</v>
      </c>
      <c r="L458" s="133">
        <v>0.903225806451613</v>
      </c>
      <c r="M458" s="134">
        <v>0.813559322033898</v>
      </c>
      <c r="N458" s="133">
        <v>0.899688958009331</v>
      </c>
      <c r="O458" s="135">
        <v>0.9</v>
      </c>
      <c r="P458" s="133">
        <v>0.983526769000374</v>
      </c>
      <c r="Q458" s="133">
        <v>0.977777777777778</v>
      </c>
      <c r="R458" s="133">
        <v>0.907567293042153</v>
      </c>
      <c r="S458" s="133">
        <v>0.966759626543798</v>
      </c>
      <c r="T458" s="135">
        <v>0.9</v>
      </c>
      <c r="U458" s="133">
        <v>0.948708348932984</v>
      </c>
      <c r="V458" s="133">
        <v>0.93993993993994</v>
      </c>
      <c r="W458" s="133">
        <v>0.866429659725749</v>
      </c>
      <c r="X458" s="133">
        <v>0.93187369004521</v>
      </c>
      <c r="Y458" s="135">
        <v>0.92</v>
      </c>
      <c r="Z458" s="135">
        <v>0.93537847159194</v>
      </c>
      <c r="AA458" s="135">
        <v>0.929456625357483</v>
      </c>
      <c r="AB458" s="135">
        <v>0.799682875264271</v>
      </c>
      <c r="AC458" s="135">
        <v>0.91936014312588</v>
      </c>
      <c r="AD458" s="135">
        <v>0.92</v>
      </c>
      <c r="AE458" s="133">
        <v>0.949896939908039</v>
      </c>
      <c r="AF458" s="133">
        <v>0.985643680866086</v>
      </c>
      <c r="AG458" s="133">
        <v>0.99972497249725</v>
      </c>
      <c r="AH458" s="133">
        <v>0.982869321680831</v>
      </c>
      <c r="AI458" s="135">
        <v>0.92</v>
      </c>
      <c r="AJ458" s="133">
        <v>0.950781631656082</v>
      </c>
      <c r="AK458" s="133">
        <v>0.94605368057401</v>
      </c>
      <c r="AL458" s="133">
        <v>0.867167270844122</v>
      </c>
      <c r="AM458" s="133">
        <v>0.943766158076423</v>
      </c>
      <c r="AN458" s="132">
        <v>0.99</v>
      </c>
      <c r="AO458" s="137">
        <v>1</v>
      </c>
      <c r="AP458" s="137">
        <v>1</v>
      </c>
      <c r="AQ458" s="137">
        <v>1</v>
      </c>
      <c r="AR458" s="137">
        <v>1</v>
      </c>
      <c r="AS458" s="158">
        <v>0.05</v>
      </c>
      <c r="AT458" s="141">
        <v>0.0555555555555556</v>
      </c>
      <c r="AU458" s="141">
        <v>0.0588235294117647</v>
      </c>
      <c r="AV458" s="141">
        <v>0</v>
      </c>
      <c r="AW458" s="141">
        <v>0.0472813238770686</v>
      </c>
      <c r="AX458" s="95"/>
      <c r="AY458" s="93"/>
    </row>
    <row r="459" ht="15" spans="1:51">
      <c r="A459" s="91"/>
      <c r="B459" s="95"/>
      <c r="C459" s="152" t="s">
        <v>375</v>
      </c>
      <c r="D459" s="153" t="s">
        <v>25</v>
      </c>
      <c r="E459" s="130" t="s">
        <v>376</v>
      </c>
      <c r="F459" s="154" t="s">
        <v>485</v>
      </c>
      <c r="G459" s="154" t="s">
        <v>485</v>
      </c>
      <c r="H459" s="154" t="s">
        <v>485</v>
      </c>
      <c r="I459" s="154" t="s">
        <v>485</v>
      </c>
      <c r="J459" s="132">
        <v>0.9</v>
      </c>
      <c r="K459" s="133">
        <v>0.983870967741935</v>
      </c>
      <c r="L459" s="133">
        <v>0.962962962962963</v>
      </c>
      <c r="M459" s="134">
        <v>0.957446808510638</v>
      </c>
      <c r="N459" s="133">
        <v>0.945386064030132</v>
      </c>
      <c r="O459" s="135">
        <v>0.9</v>
      </c>
      <c r="P459" s="133">
        <v>0.959590792838875</v>
      </c>
      <c r="Q459" s="133">
        <v>0.967207207207207</v>
      </c>
      <c r="R459" s="133">
        <v>0.949775418538179</v>
      </c>
      <c r="S459" s="133">
        <v>0.962935354660248</v>
      </c>
      <c r="T459" s="135">
        <v>0.9</v>
      </c>
      <c r="U459" s="133">
        <v>0.925319693094629</v>
      </c>
      <c r="V459" s="133">
        <v>0.930810810810811</v>
      </c>
      <c r="W459" s="133">
        <v>0.898530012249898</v>
      </c>
      <c r="X459" s="133">
        <v>0.929669678300074</v>
      </c>
      <c r="Y459" s="135">
        <v>0.92</v>
      </c>
      <c r="Z459" s="135">
        <v>0</v>
      </c>
      <c r="AA459" s="135">
        <v>0.5</v>
      </c>
      <c r="AB459" s="135">
        <v>1</v>
      </c>
      <c r="AC459" s="135">
        <v>0.5</v>
      </c>
      <c r="AD459" s="135">
        <v>0.92</v>
      </c>
      <c r="AE459" s="133">
        <v>0.972749793559042</v>
      </c>
      <c r="AF459" s="133">
        <v>0.978637200736648</v>
      </c>
      <c r="AG459" s="133">
        <v>0.991156462585034</v>
      </c>
      <c r="AH459" s="133">
        <v>0.986211792840595</v>
      </c>
      <c r="AI459" s="135">
        <v>0.92</v>
      </c>
      <c r="AJ459" s="133">
        <v>0.96551724137931</v>
      </c>
      <c r="AK459" s="133">
        <v>0.964350018005041</v>
      </c>
      <c r="AL459" s="133">
        <v>0.932857142857143</v>
      </c>
      <c r="AM459" s="133">
        <v>0.966615785220436</v>
      </c>
      <c r="AN459" s="132">
        <v>0.99</v>
      </c>
      <c r="AO459" s="137">
        <v>1</v>
      </c>
      <c r="AP459" s="137">
        <v>1</v>
      </c>
      <c r="AQ459" s="137">
        <v>1</v>
      </c>
      <c r="AR459" s="137">
        <v>1</v>
      </c>
      <c r="AS459" s="158">
        <v>0.05</v>
      </c>
      <c r="AT459" s="141">
        <v>0.0476190476190476</v>
      </c>
      <c r="AU459" s="141">
        <v>0.0769230769230769</v>
      </c>
      <c r="AV459" s="141">
        <v>0</v>
      </c>
      <c r="AW459" s="141">
        <v>0.052896725440806</v>
      </c>
      <c r="AX459" s="95"/>
      <c r="AY459" s="93"/>
    </row>
    <row r="460" ht="15" spans="1:51">
      <c r="A460" s="91"/>
      <c r="B460" s="95"/>
      <c r="C460" s="152" t="s">
        <v>375</v>
      </c>
      <c r="D460" s="153" t="s">
        <v>25</v>
      </c>
      <c r="E460" s="130" t="s">
        <v>376</v>
      </c>
      <c r="F460" s="154" t="s">
        <v>486</v>
      </c>
      <c r="G460" s="154" t="s">
        <v>486</v>
      </c>
      <c r="H460" s="154" t="s">
        <v>486</v>
      </c>
      <c r="I460" s="154" t="s">
        <v>486</v>
      </c>
      <c r="J460" s="132">
        <v>0.9</v>
      </c>
      <c r="K460" s="133">
        <v>0.933333333333333</v>
      </c>
      <c r="L460" s="133">
        <v>0.961538461538462</v>
      </c>
      <c r="M460" s="134">
        <v>0.80952380952381</v>
      </c>
      <c r="N460" s="133">
        <v>0.967806841046278</v>
      </c>
      <c r="O460" s="135">
        <v>0.9</v>
      </c>
      <c r="P460" s="133">
        <v>0.977362204724409</v>
      </c>
      <c r="Q460" s="133">
        <v>0.981727574750831</v>
      </c>
      <c r="R460" s="133">
        <v>0.988924050632911</v>
      </c>
      <c r="S460" s="133">
        <v>0.983632240775098</v>
      </c>
      <c r="T460" s="135">
        <v>0.9</v>
      </c>
      <c r="U460" s="133">
        <v>0.960629921259842</v>
      </c>
      <c r="V460" s="133">
        <v>0.965116279069767</v>
      </c>
      <c r="W460" s="133">
        <v>0.949367088607595</v>
      </c>
      <c r="X460" s="133">
        <v>0.967800453514739</v>
      </c>
      <c r="Y460" s="135">
        <v>0.92</v>
      </c>
      <c r="Z460" s="135">
        <v>0.967205750224618</v>
      </c>
      <c r="AA460" s="135">
        <v>0.969773299748111</v>
      </c>
      <c r="AB460" s="135">
        <v>0.954292084726867</v>
      </c>
      <c r="AC460" s="135">
        <v>0.975831364710158</v>
      </c>
      <c r="AD460" s="135">
        <v>0.92</v>
      </c>
      <c r="AE460" s="133">
        <v>0.993968636911942</v>
      </c>
      <c r="AF460" s="133">
        <v>0.940199335548173</v>
      </c>
      <c r="AG460" s="133">
        <v>0.972477064220184</v>
      </c>
      <c r="AH460" s="133">
        <v>0.985417628057222</v>
      </c>
      <c r="AI460" s="135">
        <v>0.92</v>
      </c>
      <c r="AJ460" s="133">
        <v>0.971965495995071</v>
      </c>
      <c r="AK460" s="133">
        <v>0.974928366762178</v>
      </c>
      <c r="AL460" s="133">
        <v>0.969281045751634</v>
      </c>
      <c r="AM460" s="133">
        <v>0.982326052062251</v>
      </c>
      <c r="AN460" s="132">
        <v>0.99</v>
      </c>
      <c r="AO460" s="137">
        <v>1</v>
      </c>
      <c r="AP460" s="137">
        <v>1</v>
      </c>
      <c r="AQ460" s="137">
        <v>1</v>
      </c>
      <c r="AR460" s="137">
        <v>1</v>
      </c>
      <c r="AS460" s="158">
        <v>0.05</v>
      </c>
      <c r="AT460" s="141">
        <v>0.2</v>
      </c>
      <c r="AU460" s="141">
        <v>0</v>
      </c>
      <c r="AV460" s="141">
        <v>0</v>
      </c>
      <c r="AW460" s="141">
        <v>0.0522088353413655</v>
      </c>
      <c r="AX460" s="95"/>
      <c r="AY460" s="93"/>
    </row>
    <row r="461" ht="15" spans="1:51">
      <c r="A461" s="91"/>
      <c r="B461" s="95"/>
      <c r="C461" s="152" t="s">
        <v>375</v>
      </c>
      <c r="D461" s="153" t="s">
        <v>25</v>
      </c>
      <c r="E461" s="130" t="s">
        <v>376</v>
      </c>
      <c r="F461" s="154" t="s">
        <v>487</v>
      </c>
      <c r="G461" s="154" t="s">
        <v>487</v>
      </c>
      <c r="H461" s="154" t="s">
        <v>487</v>
      </c>
      <c r="I461" s="154" t="s">
        <v>487</v>
      </c>
      <c r="J461" s="132">
        <v>0.9</v>
      </c>
      <c r="K461" s="133">
        <v>1</v>
      </c>
      <c r="L461" s="133">
        <v>1</v>
      </c>
      <c r="M461" s="134">
        <v>1</v>
      </c>
      <c r="N461" s="133">
        <v>0.997658079625293</v>
      </c>
      <c r="O461" s="135">
        <v>0.9</v>
      </c>
      <c r="P461" s="133">
        <v>0.984251968503937</v>
      </c>
      <c r="Q461" s="133">
        <v>0.994055784179241</v>
      </c>
      <c r="R461" s="133">
        <v>0.984567901234568</v>
      </c>
      <c r="S461" s="133">
        <v>0.989708617482951</v>
      </c>
      <c r="T461" s="135">
        <v>0.9</v>
      </c>
      <c r="U461" s="133">
        <v>0.933464566929134</v>
      </c>
      <c r="V461" s="133">
        <v>0.910379515317787</v>
      </c>
      <c r="W461" s="133">
        <v>0.72310405643739</v>
      </c>
      <c r="X461" s="133">
        <v>0.920334779913205</v>
      </c>
      <c r="Y461" s="135">
        <v>0.92</v>
      </c>
      <c r="Z461" s="135">
        <v>0.904549509366637</v>
      </c>
      <c r="AA461" s="135">
        <v>0.794630872483222</v>
      </c>
      <c r="AB461" s="135">
        <v>0.809840425531915</v>
      </c>
      <c r="AC461" s="135">
        <v>0.885132716207232</v>
      </c>
      <c r="AD461" s="135">
        <v>0.92</v>
      </c>
      <c r="AE461" s="133">
        <v>0.998416886543536</v>
      </c>
      <c r="AF461" s="133">
        <v>0.964474678760393</v>
      </c>
      <c r="AG461" s="133">
        <v>0.989539748953975</v>
      </c>
      <c r="AH461" s="133">
        <v>0.990815121937174</v>
      </c>
      <c r="AI461" s="135">
        <v>0.92</v>
      </c>
      <c r="AJ461" s="133">
        <v>0.961233961233961</v>
      </c>
      <c r="AK461" s="133">
        <v>0.933856120013638</v>
      </c>
      <c r="AL461" s="133">
        <v>0.947428139183056</v>
      </c>
      <c r="AM461" s="133">
        <v>0.969443274511995</v>
      </c>
      <c r="AN461" s="132">
        <v>0.99</v>
      </c>
      <c r="AO461" s="137">
        <v>1</v>
      </c>
      <c r="AP461" s="137">
        <v>1</v>
      </c>
      <c r="AQ461" s="137">
        <v>1</v>
      </c>
      <c r="AR461" s="137">
        <v>1</v>
      </c>
      <c r="AS461" s="158">
        <v>0.05</v>
      </c>
      <c r="AT461" s="141">
        <v>0.1</v>
      </c>
      <c r="AU461" s="141">
        <v>0</v>
      </c>
      <c r="AV461" s="141">
        <v>0.0769230769230769</v>
      </c>
      <c r="AW461" s="141">
        <v>0.0753424657534247</v>
      </c>
      <c r="AX461" s="95"/>
      <c r="AY461" s="93"/>
    </row>
    <row r="462" ht="15" spans="1:51">
      <c r="A462" s="91"/>
      <c r="B462" s="95"/>
      <c r="C462" s="152" t="s">
        <v>375</v>
      </c>
      <c r="D462" s="153" t="s">
        <v>25</v>
      </c>
      <c r="E462" s="130" t="s">
        <v>376</v>
      </c>
      <c r="F462" s="154" t="s">
        <v>488</v>
      </c>
      <c r="G462" s="154" t="s">
        <v>488</v>
      </c>
      <c r="H462" s="154" t="s">
        <v>488</v>
      </c>
      <c r="I462" s="154" t="s">
        <v>488</v>
      </c>
      <c r="J462" s="132">
        <v>0.9</v>
      </c>
      <c r="K462" s="133">
        <v>1</v>
      </c>
      <c r="L462" s="133">
        <v>1</v>
      </c>
      <c r="M462" s="134">
        <v>1</v>
      </c>
      <c r="N462" s="133">
        <v>0.998461538461539</v>
      </c>
      <c r="O462" s="135">
        <v>0.9</v>
      </c>
      <c r="P462" s="133">
        <v>0.992125984251969</v>
      </c>
      <c r="Q462" s="133">
        <v>0.997824904839587</v>
      </c>
      <c r="R462" s="133">
        <v>0.994991234660656</v>
      </c>
      <c r="S462" s="133">
        <v>0.992678209068578</v>
      </c>
      <c r="T462" s="135">
        <v>0.9</v>
      </c>
      <c r="U462" s="133">
        <v>0.951366373320982</v>
      </c>
      <c r="V462" s="133">
        <v>0.963567156063078</v>
      </c>
      <c r="W462" s="133">
        <v>0.694966190833959</v>
      </c>
      <c r="X462" s="133">
        <v>0.924301937841911</v>
      </c>
      <c r="Y462" s="135">
        <v>0.92</v>
      </c>
      <c r="Z462" s="135">
        <v>0.880490296220633</v>
      </c>
      <c r="AA462" s="135">
        <v>0.847761194029851</v>
      </c>
      <c r="AB462" s="135">
        <v>0.630872483221476</v>
      </c>
      <c r="AC462" s="135">
        <v>0.844683714670256</v>
      </c>
      <c r="AD462" s="135">
        <v>0.92</v>
      </c>
      <c r="AE462" s="133">
        <v>1</v>
      </c>
      <c r="AF462" s="133">
        <v>0.996913580246914</v>
      </c>
      <c r="AG462" s="133">
        <v>0.99875</v>
      </c>
      <c r="AH462" s="133">
        <v>0.994843737699756</v>
      </c>
      <c r="AI462" s="135">
        <v>0.92</v>
      </c>
      <c r="AJ462" s="133">
        <v>0.946781389420013</v>
      </c>
      <c r="AK462" s="133">
        <v>0.944599442008768</v>
      </c>
      <c r="AL462" s="133">
        <v>0.901110869091701</v>
      </c>
      <c r="AM462" s="133">
        <v>0.960418810143436</v>
      </c>
      <c r="AN462" s="132">
        <v>0.99</v>
      </c>
      <c r="AO462" s="137">
        <v>1</v>
      </c>
      <c r="AP462" s="137">
        <v>1</v>
      </c>
      <c r="AQ462" s="137">
        <v>1</v>
      </c>
      <c r="AR462" s="137">
        <v>1</v>
      </c>
      <c r="AS462" s="158">
        <v>0.05</v>
      </c>
      <c r="AT462" s="141">
        <v>0</v>
      </c>
      <c r="AU462" s="141">
        <v>0</v>
      </c>
      <c r="AV462" s="141">
        <v>0.25</v>
      </c>
      <c r="AW462" s="141">
        <v>0.0615942028985507</v>
      </c>
      <c r="AX462" s="95"/>
      <c r="AY462" s="93"/>
    </row>
    <row r="463" ht="15" spans="1:51">
      <c r="A463" s="91"/>
      <c r="B463" s="95"/>
      <c r="C463" s="152" t="s">
        <v>375</v>
      </c>
      <c r="D463" s="153" t="s">
        <v>25</v>
      </c>
      <c r="E463" s="130" t="s">
        <v>376</v>
      </c>
      <c r="F463" s="154" t="s">
        <v>489</v>
      </c>
      <c r="G463" s="154" t="s">
        <v>489</v>
      </c>
      <c r="H463" s="154" t="s">
        <v>489</v>
      </c>
      <c r="I463" s="154" t="s">
        <v>489</v>
      </c>
      <c r="J463" s="132">
        <v>0.9</v>
      </c>
      <c r="K463" s="133">
        <v>1</v>
      </c>
      <c r="L463" s="133">
        <v>1</v>
      </c>
      <c r="M463" s="134">
        <v>0.979591836734694</v>
      </c>
      <c r="N463" s="133">
        <v>0.995987963891675</v>
      </c>
      <c r="O463" s="135">
        <v>0.9</v>
      </c>
      <c r="P463" s="133">
        <v>0.99149740198394</v>
      </c>
      <c r="Q463" s="133">
        <v>0.987797791981406</v>
      </c>
      <c r="R463" s="133">
        <v>0.986746010278604</v>
      </c>
      <c r="S463" s="133">
        <v>0.984166791435844</v>
      </c>
      <c r="T463" s="135">
        <v>0.9</v>
      </c>
      <c r="U463" s="133">
        <v>0.942843646669816</v>
      </c>
      <c r="V463" s="133">
        <v>0.965717606042998</v>
      </c>
      <c r="W463" s="133">
        <v>0.847984852583176</v>
      </c>
      <c r="X463" s="133">
        <v>0.948195837700255</v>
      </c>
      <c r="Y463" s="135">
        <v>0.92</v>
      </c>
      <c r="Z463" s="135">
        <v>0.869186046511628</v>
      </c>
      <c r="AA463" s="135">
        <v>0.83743842364532</v>
      </c>
      <c r="AB463" s="135">
        <v>0.814102564102564</v>
      </c>
      <c r="AC463" s="135">
        <v>0.874919065277532</v>
      </c>
      <c r="AD463" s="135">
        <v>0.92</v>
      </c>
      <c r="AE463" s="133">
        <v>0.996849401386263</v>
      </c>
      <c r="AF463" s="133">
        <v>0.991457858769932</v>
      </c>
      <c r="AG463" s="133">
        <v>0.97029702970297</v>
      </c>
      <c r="AH463" s="133">
        <v>0.97424013434089</v>
      </c>
      <c r="AI463" s="135">
        <v>0.92</v>
      </c>
      <c r="AJ463" s="133">
        <v>0.94252143537631</v>
      </c>
      <c r="AK463" s="133">
        <v>0.948090948090948</v>
      </c>
      <c r="AL463" s="133">
        <v>0.952799629801018</v>
      </c>
      <c r="AM463" s="133">
        <v>0.968685662521617</v>
      </c>
      <c r="AN463" s="132">
        <v>0.99</v>
      </c>
      <c r="AO463" s="137">
        <v>1</v>
      </c>
      <c r="AP463" s="137">
        <v>1</v>
      </c>
      <c r="AQ463" s="137">
        <v>1</v>
      </c>
      <c r="AR463" s="137">
        <v>1</v>
      </c>
      <c r="AS463" s="158">
        <v>0.05</v>
      </c>
      <c r="AT463" s="141">
        <v>0</v>
      </c>
      <c r="AU463" s="141">
        <v>0.0909090909090909</v>
      </c>
      <c r="AV463" s="141">
        <v>0</v>
      </c>
      <c r="AW463" s="141">
        <v>0.0473186119873817</v>
      </c>
      <c r="AX463" s="95"/>
      <c r="AY463" s="93"/>
    </row>
    <row r="464" ht="15" spans="1:51">
      <c r="A464" s="91"/>
      <c r="B464" s="95"/>
      <c r="C464" s="152" t="s">
        <v>375</v>
      </c>
      <c r="D464" s="153" t="s">
        <v>25</v>
      </c>
      <c r="E464" s="130" t="s">
        <v>376</v>
      </c>
      <c r="F464" s="154" t="s">
        <v>490</v>
      </c>
      <c r="G464" s="154" t="s">
        <v>490</v>
      </c>
      <c r="H464" s="154" t="s">
        <v>490</v>
      </c>
      <c r="I464" s="154" t="s">
        <v>490</v>
      </c>
      <c r="J464" s="132">
        <v>0.9</v>
      </c>
      <c r="K464" s="133">
        <v>0.968253968253968</v>
      </c>
      <c r="L464" s="133">
        <v>1</v>
      </c>
      <c r="M464" s="134">
        <v>1</v>
      </c>
      <c r="N464" s="133">
        <v>0.993249758919961</v>
      </c>
      <c r="O464" s="135">
        <v>0.9</v>
      </c>
      <c r="P464" s="133">
        <v>0.988089566460219</v>
      </c>
      <c r="Q464" s="133">
        <v>0.987218502738892</v>
      </c>
      <c r="R464" s="133">
        <v>0.971805006587615</v>
      </c>
      <c r="S464" s="133">
        <v>0.981593766286593</v>
      </c>
      <c r="T464" s="135">
        <v>0.9</v>
      </c>
      <c r="U464" s="133">
        <v>0.961886612672701</v>
      </c>
      <c r="V464" s="133">
        <v>0.954960438222763</v>
      </c>
      <c r="W464" s="133">
        <v>0.749670619235837</v>
      </c>
      <c r="X464" s="133">
        <v>0.930747816802044</v>
      </c>
      <c r="Y464" s="135">
        <v>0.92</v>
      </c>
      <c r="Z464" s="135">
        <v>0.868635437881874</v>
      </c>
      <c r="AA464" s="135">
        <v>0.851622874806801</v>
      </c>
      <c r="AB464" s="135">
        <v>0.833089311859444</v>
      </c>
      <c r="AC464" s="135">
        <v>0.863833112901287</v>
      </c>
      <c r="AD464" s="135">
        <v>0.92</v>
      </c>
      <c r="AE464" s="133">
        <v>1</v>
      </c>
      <c r="AF464" s="133">
        <v>0.996307237813885</v>
      </c>
      <c r="AG464" s="133">
        <v>0.976939203354298</v>
      </c>
      <c r="AH464" s="133">
        <v>0.986773771716794</v>
      </c>
      <c r="AI464" s="135">
        <v>0.92</v>
      </c>
      <c r="AJ464" s="133">
        <v>0.943524829600779</v>
      </c>
      <c r="AK464" s="133">
        <v>0.94061135371179</v>
      </c>
      <c r="AL464" s="133">
        <v>0.946863139093548</v>
      </c>
      <c r="AM464" s="133">
        <v>0.963958575970285</v>
      </c>
      <c r="AN464" s="132">
        <v>0.99</v>
      </c>
      <c r="AO464" s="137">
        <v>1</v>
      </c>
      <c r="AP464" s="137">
        <v>1</v>
      </c>
      <c r="AQ464" s="137">
        <v>1</v>
      </c>
      <c r="AR464" s="137">
        <v>1</v>
      </c>
      <c r="AS464" s="158">
        <v>0.05</v>
      </c>
      <c r="AT464" s="141">
        <v>0</v>
      </c>
      <c r="AU464" s="141">
        <v>0.285714285714286</v>
      </c>
      <c r="AV464" s="141">
        <v>0.1</v>
      </c>
      <c r="AW464" s="141">
        <v>0.058641975308642</v>
      </c>
      <c r="AX464" s="95"/>
      <c r="AY464" s="93"/>
    </row>
    <row r="465" ht="15" spans="1:51">
      <c r="A465" s="91"/>
      <c r="B465" s="95"/>
      <c r="C465" s="152" t="s">
        <v>375</v>
      </c>
      <c r="D465" s="153" t="s">
        <v>25</v>
      </c>
      <c r="E465" s="130" t="s">
        <v>376</v>
      </c>
      <c r="F465" s="154" t="s">
        <v>491</v>
      </c>
      <c r="G465" s="154" t="s">
        <v>491</v>
      </c>
      <c r="H465" s="154" t="s">
        <v>491</v>
      </c>
      <c r="I465" s="154" t="s">
        <v>491</v>
      </c>
      <c r="J465" s="132">
        <v>0.9</v>
      </c>
      <c r="K465" s="133">
        <v>1</v>
      </c>
      <c r="L465" s="133">
        <v>1</v>
      </c>
      <c r="M465" s="134">
        <v>1</v>
      </c>
      <c r="N465" s="133">
        <v>0.994493392070485</v>
      </c>
      <c r="O465" s="135">
        <v>0.9</v>
      </c>
      <c r="P465" s="133">
        <v>0.986245954692557</v>
      </c>
      <c r="Q465" s="133">
        <v>0.980688935281837</v>
      </c>
      <c r="R465" s="133">
        <v>0.985290254793801</v>
      </c>
      <c r="S465" s="133">
        <v>0.985061446758408</v>
      </c>
      <c r="T465" s="135">
        <v>0.9</v>
      </c>
      <c r="U465" s="133">
        <v>0.959546925566343</v>
      </c>
      <c r="V465" s="133">
        <v>0.960855949895616</v>
      </c>
      <c r="W465" s="133">
        <v>0.908852114525873</v>
      </c>
      <c r="X465" s="133">
        <v>0.939068364118037</v>
      </c>
      <c r="Y465" s="135">
        <v>0.92</v>
      </c>
      <c r="Z465" s="135">
        <v>0.961858529819695</v>
      </c>
      <c r="AA465" s="135">
        <v>0.946632782719187</v>
      </c>
      <c r="AB465" s="135">
        <v>0.930473372781065</v>
      </c>
      <c r="AC465" s="135">
        <v>0.957987371351862</v>
      </c>
      <c r="AD465" s="135">
        <v>0.92</v>
      </c>
      <c r="AE465" s="133">
        <v>0.999435347261434</v>
      </c>
      <c r="AF465" s="133">
        <v>0.99912644682245</v>
      </c>
      <c r="AG465" s="133">
        <v>0.997291807718348</v>
      </c>
      <c r="AH465" s="133">
        <v>0.997549590168956</v>
      </c>
      <c r="AI465" s="135">
        <v>0.92</v>
      </c>
      <c r="AJ465" s="133">
        <v>0.979565772669221</v>
      </c>
      <c r="AK465" s="133">
        <v>0.970784023668639</v>
      </c>
      <c r="AL465" s="133">
        <v>0.963417354450145</v>
      </c>
      <c r="AM465" s="133">
        <v>0.980472976961064</v>
      </c>
      <c r="AN465" s="132">
        <v>0.99</v>
      </c>
      <c r="AO465" s="137">
        <v>1</v>
      </c>
      <c r="AP465" s="137">
        <v>1</v>
      </c>
      <c r="AQ465" s="137">
        <v>1</v>
      </c>
      <c r="AR465" s="137">
        <v>1</v>
      </c>
      <c r="AS465" s="158">
        <v>0.05</v>
      </c>
      <c r="AT465" s="141">
        <v>0.153846153846154</v>
      </c>
      <c r="AU465" s="141">
        <v>0</v>
      </c>
      <c r="AV465" s="141">
        <v>0.133333333333333</v>
      </c>
      <c r="AW465" s="141">
        <v>0.0804289544235925</v>
      </c>
      <c r="AX465" s="95"/>
      <c r="AY465" s="93"/>
    </row>
    <row r="466" ht="15" spans="1:51">
      <c r="A466" s="91"/>
      <c r="B466" s="95"/>
      <c r="C466" s="152" t="s">
        <v>375</v>
      </c>
      <c r="D466" s="153" t="s">
        <v>25</v>
      </c>
      <c r="E466" s="130" t="s">
        <v>376</v>
      </c>
      <c r="F466" s="154" t="s">
        <v>492</v>
      </c>
      <c r="G466" s="154" t="s">
        <v>492</v>
      </c>
      <c r="H466" s="154" t="s">
        <v>492</v>
      </c>
      <c r="I466" s="154" t="s">
        <v>492</v>
      </c>
      <c r="J466" s="132">
        <v>0.9</v>
      </c>
      <c r="K466" s="133">
        <v>1</v>
      </c>
      <c r="L466" s="133">
        <v>1</v>
      </c>
      <c r="M466" s="134">
        <v>1</v>
      </c>
      <c r="N466" s="133">
        <v>0.987012987012987</v>
      </c>
      <c r="O466" s="135">
        <v>0.9</v>
      </c>
      <c r="P466" s="133">
        <v>0.996374184191443</v>
      </c>
      <c r="Q466" s="133">
        <v>0.994285714285714</v>
      </c>
      <c r="R466" s="133">
        <v>0.994902687673772</v>
      </c>
      <c r="S466" s="133">
        <v>0.994539128902981</v>
      </c>
      <c r="T466" s="135">
        <v>0.9</v>
      </c>
      <c r="U466" s="133">
        <v>0.967367657722988</v>
      </c>
      <c r="V466" s="133">
        <v>0.95047619047619</v>
      </c>
      <c r="W466" s="133">
        <v>0.956441149212234</v>
      </c>
      <c r="X466" s="133">
        <v>0.960871097018541</v>
      </c>
      <c r="Y466" s="135">
        <v>0.92</v>
      </c>
      <c r="Z466" s="135">
        <v>0.969211822660099</v>
      </c>
      <c r="AA466" s="135">
        <v>0.95374449339207</v>
      </c>
      <c r="AB466" s="135">
        <v>0.951351351351351</v>
      </c>
      <c r="AC466" s="135">
        <v>0.965939183636198</v>
      </c>
      <c r="AD466" s="135">
        <v>0.92</v>
      </c>
      <c r="AE466" s="133">
        <v>0.998953427524856</v>
      </c>
      <c r="AF466" s="133">
        <v>0.989644304367402</v>
      </c>
      <c r="AG466" s="133">
        <v>0.997821350762527</v>
      </c>
      <c r="AH466" s="133">
        <v>0.996762151455127</v>
      </c>
      <c r="AI466" s="135">
        <v>0.92</v>
      </c>
      <c r="AJ466" s="133">
        <v>0.977179370150616</v>
      </c>
      <c r="AK466" s="133">
        <v>0.969414893617021</v>
      </c>
      <c r="AL466" s="133">
        <v>0.979430379746835</v>
      </c>
      <c r="AM466" s="133">
        <v>0.984618932727789</v>
      </c>
      <c r="AN466" s="132">
        <v>0.99</v>
      </c>
      <c r="AO466" s="137">
        <v>1</v>
      </c>
      <c r="AP466" s="137">
        <v>1</v>
      </c>
      <c r="AQ466" s="137">
        <v>1</v>
      </c>
      <c r="AR466" s="137">
        <v>1</v>
      </c>
      <c r="AS466" s="158">
        <v>0.05</v>
      </c>
      <c r="AT466" s="141">
        <v>0</v>
      </c>
      <c r="AU466" s="141">
        <v>0</v>
      </c>
      <c r="AV466" s="141">
        <v>0.0666666666666667</v>
      </c>
      <c r="AW466" s="141">
        <v>0.0327868852459016</v>
      </c>
      <c r="AX466" s="95"/>
      <c r="AY466" s="93"/>
    </row>
    <row r="467" ht="15" spans="1:51">
      <c r="A467" s="91"/>
      <c r="B467" s="95"/>
      <c r="C467" s="152" t="s">
        <v>375</v>
      </c>
      <c r="D467" s="153" t="s">
        <v>25</v>
      </c>
      <c r="E467" s="130" t="s">
        <v>376</v>
      </c>
      <c r="F467" s="154" t="s">
        <v>493</v>
      </c>
      <c r="G467" s="154" t="s">
        <v>493</v>
      </c>
      <c r="H467" s="154" t="s">
        <v>493</v>
      </c>
      <c r="I467" s="154" t="s">
        <v>493</v>
      </c>
      <c r="J467" s="132">
        <v>0.9</v>
      </c>
      <c r="K467" s="133">
        <v>0.96078431372549</v>
      </c>
      <c r="L467" s="133">
        <v>0.926829268292683</v>
      </c>
      <c r="M467" s="134">
        <v>0.91304347826087</v>
      </c>
      <c r="N467" s="133">
        <v>0.970588235294118</v>
      </c>
      <c r="O467" s="135">
        <v>0.9</v>
      </c>
      <c r="P467" s="133">
        <v>0.991807755324959</v>
      </c>
      <c r="Q467" s="133">
        <v>0.95916955017301</v>
      </c>
      <c r="R467" s="133">
        <v>0.974655117099775</v>
      </c>
      <c r="S467" s="133">
        <v>0.983505984109424</v>
      </c>
      <c r="T467" s="135">
        <v>0.9</v>
      </c>
      <c r="U467" s="133">
        <v>0.948115783724741</v>
      </c>
      <c r="V467" s="133">
        <v>0.939100346020761</v>
      </c>
      <c r="W467" s="133">
        <v>0.695540583894771</v>
      </c>
      <c r="X467" s="133">
        <v>0.886754500653726</v>
      </c>
      <c r="Y467" s="135">
        <v>0.92</v>
      </c>
      <c r="Z467" s="135">
        <v>0.830296127562642</v>
      </c>
      <c r="AA467" s="135">
        <v>0.761431411530815</v>
      </c>
      <c r="AB467" s="135">
        <v>0.748310810810811</v>
      </c>
      <c r="AC467" s="135">
        <v>0.803648754170512</v>
      </c>
      <c r="AD467" s="135">
        <v>0.92</v>
      </c>
      <c r="AE467" s="133">
        <v>0.997655334114889</v>
      </c>
      <c r="AF467" s="133">
        <v>0.998620689655172</v>
      </c>
      <c r="AG467" s="133">
        <v>0.976525821596244</v>
      </c>
      <c r="AH467" s="133">
        <v>0.994636498850678</v>
      </c>
      <c r="AI467" s="135">
        <v>0.92</v>
      </c>
      <c r="AJ467" s="133">
        <v>0.928386858619417</v>
      </c>
      <c r="AK467" s="133">
        <v>0.914784394250513</v>
      </c>
      <c r="AL467" s="133">
        <v>0.899973038554867</v>
      </c>
      <c r="AM467" s="133">
        <v>0.94490776142229</v>
      </c>
      <c r="AN467" s="132">
        <v>0.99</v>
      </c>
      <c r="AO467" s="137">
        <v>1</v>
      </c>
      <c r="AP467" s="137">
        <v>1</v>
      </c>
      <c r="AQ467" s="137">
        <v>1</v>
      </c>
      <c r="AR467" s="137">
        <v>1</v>
      </c>
      <c r="AS467" s="158">
        <v>0.05</v>
      </c>
      <c r="AT467" s="141">
        <v>0.133333333333333</v>
      </c>
      <c r="AU467" s="141">
        <v>0</v>
      </c>
      <c r="AV467" s="141">
        <v>0.0625</v>
      </c>
      <c r="AW467" s="141">
        <v>0.0489296636085627</v>
      </c>
      <c r="AX467" s="95"/>
      <c r="AY467" s="93"/>
    </row>
    <row r="468" ht="15" spans="1:51">
      <c r="A468" s="91"/>
      <c r="B468" s="95"/>
      <c r="C468" s="152" t="s">
        <v>375</v>
      </c>
      <c r="D468" s="153" t="s">
        <v>25</v>
      </c>
      <c r="E468" s="130" t="s">
        <v>376</v>
      </c>
      <c r="F468" s="154" t="s">
        <v>494</v>
      </c>
      <c r="G468" s="154" t="s">
        <v>494</v>
      </c>
      <c r="H468" s="154" t="s">
        <v>494</v>
      </c>
      <c r="I468" s="154" t="s">
        <v>494</v>
      </c>
      <c r="J468" s="132">
        <v>0.9</v>
      </c>
      <c r="K468" s="133">
        <v>1</v>
      </c>
      <c r="L468" s="133">
        <v>1</v>
      </c>
      <c r="M468" s="134">
        <v>0.977777777777778</v>
      </c>
      <c r="N468" s="133">
        <v>0.992545260915868</v>
      </c>
      <c r="O468" s="135">
        <v>0.9</v>
      </c>
      <c r="P468" s="133">
        <v>0.991285403050109</v>
      </c>
      <c r="Q468" s="133">
        <v>0.985274431057564</v>
      </c>
      <c r="R468" s="133">
        <v>0.986705577172503</v>
      </c>
      <c r="S468" s="133">
        <v>0.987813794784304</v>
      </c>
      <c r="T468" s="135">
        <v>0.9</v>
      </c>
      <c r="U468" s="133">
        <v>0.944989106753813</v>
      </c>
      <c r="V468" s="133">
        <v>0.910977242302544</v>
      </c>
      <c r="W468" s="133">
        <v>0.681582360570687</v>
      </c>
      <c r="X468" s="133">
        <v>0.921962588349988</v>
      </c>
      <c r="Y468" s="135">
        <v>0.92</v>
      </c>
      <c r="Z468" s="135">
        <v>0.933259176863181</v>
      </c>
      <c r="AA468" s="135">
        <v>0.890459363957597</v>
      </c>
      <c r="AB468" s="135">
        <v>0.850180505415162</v>
      </c>
      <c r="AC468" s="135">
        <v>0.915098436595252</v>
      </c>
      <c r="AD468" s="135">
        <v>0.92</v>
      </c>
      <c r="AE468" s="133">
        <v>0.989889263360616</v>
      </c>
      <c r="AF468" s="133">
        <v>0.985949612403101</v>
      </c>
      <c r="AG468" s="133">
        <v>0.995897435897436</v>
      </c>
      <c r="AH468" s="133">
        <v>0.989547381914998</v>
      </c>
      <c r="AI468" s="135">
        <v>0.92</v>
      </c>
      <c r="AJ468" s="133">
        <v>0.966374269005848</v>
      </c>
      <c r="AK468" s="133">
        <v>0.951456310679612</v>
      </c>
      <c r="AL468" s="133">
        <v>0.937053326003298</v>
      </c>
      <c r="AM468" s="133">
        <v>0.973399436279444</v>
      </c>
      <c r="AN468" s="132">
        <v>0.99</v>
      </c>
      <c r="AO468" s="137">
        <v>1</v>
      </c>
      <c r="AP468" s="137">
        <v>1</v>
      </c>
      <c r="AQ468" s="137">
        <v>1</v>
      </c>
      <c r="AR468" s="137">
        <v>1</v>
      </c>
      <c r="AS468" s="158">
        <v>0.05</v>
      </c>
      <c r="AT468" s="141">
        <v>0</v>
      </c>
      <c r="AU468" s="141">
        <v>0</v>
      </c>
      <c r="AV468" s="141">
        <v>0</v>
      </c>
      <c r="AW468" s="141">
        <v>0.024390243902439</v>
      </c>
      <c r="AX468" s="95"/>
      <c r="AY468" s="93"/>
    </row>
    <row r="469" ht="15" spans="1:51">
      <c r="A469" s="91"/>
      <c r="B469" s="95"/>
      <c r="C469" s="152" t="s">
        <v>375</v>
      </c>
      <c r="D469" s="153" t="s">
        <v>25</v>
      </c>
      <c r="E469" s="130" t="s">
        <v>376</v>
      </c>
      <c r="F469" s="154" t="s">
        <v>495</v>
      </c>
      <c r="G469" s="154" t="s">
        <v>495</v>
      </c>
      <c r="H469" s="154" t="s">
        <v>495</v>
      </c>
      <c r="I469" s="154" t="s">
        <v>495</v>
      </c>
      <c r="J469" s="132">
        <v>0.9</v>
      </c>
      <c r="K469" s="133">
        <v>0.967741935483871</v>
      </c>
      <c r="L469" s="133">
        <v>0.980769230769231</v>
      </c>
      <c r="M469" s="134">
        <v>0.944444444444444</v>
      </c>
      <c r="N469" s="133">
        <v>0.979303857008467</v>
      </c>
      <c r="O469" s="135">
        <v>0.9</v>
      </c>
      <c r="P469" s="133">
        <v>0.988630980577925</v>
      </c>
      <c r="Q469" s="133">
        <v>0.988783943329398</v>
      </c>
      <c r="R469" s="133">
        <v>0.989199667682083</v>
      </c>
      <c r="S469" s="133">
        <v>0.988816974189002</v>
      </c>
      <c r="T469" s="135">
        <v>0.9</v>
      </c>
      <c r="U469" s="133">
        <v>0.944576030317385</v>
      </c>
      <c r="V469" s="133">
        <v>0.936835891381346</v>
      </c>
      <c r="W469" s="133">
        <v>0.730822486845749</v>
      </c>
      <c r="X469" s="133">
        <v>0.931753529764856</v>
      </c>
      <c r="Y469" s="135">
        <v>0.92</v>
      </c>
      <c r="Z469" s="135">
        <v>0.89618320610687</v>
      </c>
      <c r="AA469" s="135">
        <v>0.874476987447699</v>
      </c>
      <c r="AB469" s="135">
        <v>0.821637426900585</v>
      </c>
      <c r="AC469" s="135">
        <v>0.9170559534932</v>
      </c>
      <c r="AD469" s="135">
        <v>0.92</v>
      </c>
      <c r="AE469" s="133">
        <v>0.999286733238231</v>
      </c>
      <c r="AF469" s="133">
        <v>0.996839887640449</v>
      </c>
      <c r="AG469" s="133">
        <v>0.998671096345515</v>
      </c>
      <c r="AH469" s="133">
        <v>0.996044947142751</v>
      </c>
      <c r="AI469" s="135">
        <v>0.92</v>
      </c>
      <c r="AJ469" s="133">
        <v>0.942740286298569</v>
      </c>
      <c r="AK469" s="133">
        <v>0.947324761509747</v>
      </c>
      <c r="AL469" s="133">
        <v>0.939711359404097</v>
      </c>
      <c r="AM469" s="133">
        <v>0.971066323285614</v>
      </c>
      <c r="AN469" s="132">
        <v>0.99</v>
      </c>
      <c r="AO469" s="137">
        <v>1</v>
      </c>
      <c r="AP469" s="137">
        <v>1</v>
      </c>
      <c r="AQ469" s="137">
        <v>1</v>
      </c>
      <c r="AR469" s="137">
        <v>1</v>
      </c>
      <c r="AS469" s="158">
        <v>0.05</v>
      </c>
      <c r="AT469" s="141">
        <v>0.0588235294117647</v>
      </c>
      <c r="AU469" s="141">
        <v>0.125</v>
      </c>
      <c r="AV469" s="141">
        <v>0</v>
      </c>
      <c r="AW469" s="141">
        <v>0.05</v>
      </c>
      <c r="AX469" s="95"/>
      <c r="AY469" s="93"/>
    </row>
    <row r="470" ht="15" spans="1:51">
      <c r="A470" s="91"/>
      <c r="B470" s="95"/>
      <c r="C470" s="152" t="s">
        <v>375</v>
      </c>
      <c r="D470" s="153" t="s">
        <v>25</v>
      </c>
      <c r="E470" s="130" t="s">
        <v>376</v>
      </c>
      <c r="F470" s="154" t="s">
        <v>496</v>
      </c>
      <c r="G470" s="154" t="s">
        <v>496</v>
      </c>
      <c r="H470" s="154" t="s">
        <v>496</v>
      </c>
      <c r="I470" s="154" t="s">
        <v>496</v>
      </c>
      <c r="J470" s="132">
        <v>0.9</v>
      </c>
      <c r="K470" s="133">
        <v>1</v>
      </c>
      <c r="L470" s="133">
        <v>1</v>
      </c>
      <c r="M470" s="134">
        <v>0.983606557377049</v>
      </c>
      <c r="N470" s="133">
        <v>0.978225806451613</v>
      </c>
      <c r="O470" s="135">
        <v>0.9</v>
      </c>
      <c r="P470" s="133">
        <v>0.988558352402746</v>
      </c>
      <c r="Q470" s="133">
        <v>0.990603363006924</v>
      </c>
      <c r="R470" s="133">
        <v>0.974907063197026</v>
      </c>
      <c r="S470" s="133">
        <v>0.987320727949815</v>
      </c>
      <c r="T470" s="135">
        <v>0.9</v>
      </c>
      <c r="U470" s="133">
        <v>0.923340961098398</v>
      </c>
      <c r="V470" s="133">
        <v>0.928288822947577</v>
      </c>
      <c r="W470" s="133">
        <v>0.785548327137547</v>
      </c>
      <c r="X470" s="133">
        <v>0.924722363841908</v>
      </c>
      <c r="Y470" s="135">
        <v>0.92</v>
      </c>
      <c r="Z470" s="135">
        <v>0.918918918918919</v>
      </c>
      <c r="AA470" s="135">
        <v>0.896067415730337</v>
      </c>
      <c r="AB470" s="135">
        <v>0.738396624472574</v>
      </c>
      <c r="AC470" s="135">
        <v>0.898928865696237</v>
      </c>
      <c r="AD470" s="135">
        <v>0.92</v>
      </c>
      <c r="AE470" s="133">
        <v>0.99922600619195</v>
      </c>
      <c r="AF470" s="133">
        <v>0.997345132743363</v>
      </c>
      <c r="AG470" s="133">
        <v>0.985281385281385</v>
      </c>
      <c r="AH470" s="133">
        <v>0.976144359722461</v>
      </c>
      <c r="AI470" s="135">
        <v>0.92</v>
      </c>
      <c r="AJ470" s="133">
        <v>0.955345416338324</v>
      </c>
      <c r="AK470" s="133">
        <v>0.958668617410388</v>
      </c>
      <c r="AL470" s="133">
        <v>0.928414755732802</v>
      </c>
      <c r="AM470" s="133">
        <v>0.970498455295799</v>
      </c>
      <c r="AN470" s="132">
        <v>0.99</v>
      </c>
      <c r="AO470" s="137">
        <v>1</v>
      </c>
      <c r="AP470" s="137">
        <v>1</v>
      </c>
      <c r="AQ470" s="137">
        <v>1</v>
      </c>
      <c r="AR470" s="137">
        <v>1</v>
      </c>
      <c r="AS470" s="158">
        <v>0.05</v>
      </c>
      <c r="AT470" s="141">
        <v>0</v>
      </c>
      <c r="AU470" s="141">
        <v>0.111111111111111</v>
      </c>
      <c r="AV470" s="141">
        <v>0</v>
      </c>
      <c r="AW470" s="141">
        <v>0.0282258064516129</v>
      </c>
      <c r="AX470" s="95"/>
      <c r="AY470" s="93"/>
    </row>
    <row r="471" ht="15" spans="1:51">
      <c r="A471" s="91"/>
      <c r="B471" s="95"/>
      <c r="C471" s="152" t="s">
        <v>375</v>
      </c>
      <c r="D471" s="153" t="s">
        <v>25</v>
      </c>
      <c r="E471" s="130" t="s">
        <v>376</v>
      </c>
      <c r="F471" s="154" t="s">
        <v>497</v>
      </c>
      <c r="G471" s="154" t="s">
        <v>497</v>
      </c>
      <c r="H471" s="154" t="s">
        <v>497</v>
      </c>
      <c r="I471" s="154" t="s">
        <v>497</v>
      </c>
      <c r="J471" s="132">
        <v>0.9</v>
      </c>
      <c r="K471" s="133">
        <v>1</v>
      </c>
      <c r="L471" s="133">
        <v>1</v>
      </c>
      <c r="M471" s="134">
        <v>1</v>
      </c>
      <c r="N471" s="133">
        <v>0.99344262295082</v>
      </c>
      <c r="O471" s="135">
        <v>0.9</v>
      </c>
      <c r="P471" s="133">
        <v>1</v>
      </c>
      <c r="Q471" s="133">
        <v>0.995901639344262</v>
      </c>
      <c r="R471" s="133">
        <v>0.999022482893451</v>
      </c>
      <c r="S471" s="133">
        <v>0.997457334942251</v>
      </c>
      <c r="T471" s="135">
        <v>0.9</v>
      </c>
      <c r="U471" s="133">
        <v>0.977235772357724</v>
      </c>
      <c r="V471" s="133">
        <v>0.969262295081967</v>
      </c>
      <c r="W471" s="133">
        <v>0.917888563049853</v>
      </c>
      <c r="X471" s="133">
        <v>0.958627822789174</v>
      </c>
      <c r="Y471" s="135">
        <v>0.92</v>
      </c>
      <c r="Z471" s="135">
        <v>0.929328621908127</v>
      </c>
      <c r="AA471" s="135">
        <v>0.856287425149701</v>
      </c>
      <c r="AB471" s="135">
        <v>0.888235294117647</v>
      </c>
      <c r="AC471" s="135">
        <v>0.922526041666667</v>
      </c>
      <c r="AD471" s="135">
        <v>0.92</v>
      </c>
      <c r="AE471" s="133">
        <v>1</v>
      </c>
      <c r="AF471" s="133">
        <v>1</v>
      </c>
      <c r="AG471" s="133">
        <v>1</v>
      </c>
      <c r="AH471" s="133">
        <v>0.996157540826129</v>
      </c>
      <c r="AI471" s="135">
        <v>0.92</v>
      </c>
      <c r="AJ471" s="133">
        <v>0.972160356347439</v>
      </c>
      <c r="AK471" s="133">
        <v>0.954198473282443</v>
      </c>
      <c r="AL471" s="133">
        <v>0.969849246231156</v>
      </c>
      <c r="AM471" s="133">
        <v>0.981123934850609</v>
      </c>
      <c r="AN471" s="132">
        <v>0.99</v>
      </c>
      <c r="AO471" s="137">
        <v>1</v>
      </c>
      <c r="AP471" s="137">
        <v>1</v>
      </c>
      <c r="AQ471" s="137">
        <v>1</v>
      </c>
      <c r="AR471" s="137">
        <v>1</v>
      </c>
      <c r="AS471" s="158">
        <v>0.05</v>
      </c>
      <c r="AT471" s="141">
        <v>0.333333333333333</v>
      </c>
      <c r="AU471" s="141">
        <v>0</v>
      </c>
      <c r="AV471" s="141">
        <v>1</v>
      </c>
      <c r="AW471" s="141">
        <v>0.04</v>
      </c>
      <c r="AX471" s="95"/>
      <c r="AY471" s="93"/>
    </row>
    <row r="472" ht="15" spans="1:51">
      <c r="A472" s="91"/>
      <c r="B472" s="95"/>
      <c r="C472" s="152" t="s">
        <v>375</v>
      </c>
      <c r="D472" s="153" t="s">
        <v>25</v>
      </c>
      <c r="E472" s="130" t="s">
        <v>376</v>
      </c>
      <c r="F472" s="154" t="s">
        <v>498</v>
      </c>
      <c r="G472" s="154" t="s">
        <v>498</v>
      </c>
      <c r="H472" s="154" t="s">
        <v>498</v>
      </c>
      <c r="I472" s="154" t="s">
        <v>498</v>
      </c>
      <c r="J472" s="132">
        <v>0.9</v>
      </c>
      <c r="K472" s="133">
        <v>0.987179487179487</v>
      </c>
      <c r="L472" s="133">
        <v>0.981818181818182</v>
      </c>
      <c r="M472" s="134">
        <v>0.985507246376812</v>
      </c>
      <c r="N472" s="133">
        <v>0.978723404255319</v>
      </c>
      <c r="O472" s="135">
        <v>0.9</v>
      </c>
      <c r="P472" s="133">
        <v>0.984697781178271</v>
      </c>
      <c r="Q472" s="133">
        <v>0.980372914622179</v>
      </c>
      <c r="R472" s="133">
        <v>0.977106227106227</v>
      </c>
      <c r="S472" s="133">
        <v>0.982602948424968</v>
      </c>
      <c r="T472" s="135">
        <v>0.9</v>
      </c>
      <c r="U472" s="133">
        <v>0.958684009181331</v>
      </c>
      <c r="V472" s="133">
        <v>0.938665358194308</v>
      </c>
      <c r="W472" s="133">
        <v>0.870421245421245</v>
      </c>
      <c r="X472" s="133">
        <v>0.933806067123717</v>
      </c>
      <c r="Y472" s="135">
        <v>0.92</v>
      </c>
      <c r="Z472" s="135">
        <v>0.86518771331058</v>
      </c>
      <c r="AA472" s="135">
        <v>0.84636488340192</v>
      </c>
      <c r="AB472" s="135">
        <v>0.776774193548387</v>
      </c>
      <c r="AC472" s="135">
        <v>0.839258199427691</v>
      </c>
      <c r="AD472" s="135">
        <v>0.92</v>
      </c>
      <c r="AE472" s="133">
        <v>0.99453125</v>
      </c>
      <c r="AF472" s="133">
        <v>0.995907230559345</v>
      </c>
      <c r="AG472" s="133">
        <v>0.996588195155237</v>
      </c>
      <c r="AH472" s="133">
        <v>0.989508431100458</v>
      </c>
      <c r="AI472" s="135">
        <v>0.92</v>
      </c>
      <c r="AJ472" s="133">
        <v>0.945853143159007</v>
      </c>
      <c r="AK472" s="133">
        <v>0.938923021322732</v>
      </c>
      <c r="AL472" s="133">
        <v>0.926905132192846</v>
      </c>
      <c r="AM472" s="133">
        <v>0.952497510400476</v>
      </c>
      <c r="AN472" s="132">
        <v>0.99</v>
      </c>
      <c r="AO472" s="137">
        <v>1</v>
      </c>
      <c r="AP472" s="137">
        <v>1</v>
      </c>
      <c r="AQ472" s="137">
        <v>1</v>
      </c>
      <c r="AR472" s="137">
        <v>1</v>
      </c>
      <c r="AS472" s="158">
        <v>0.05</v>
      </c>
      <c r="AT472" s="141">
        <v>0.111111111111111</v>
      </c>
      <c r="AU472" s="141">
        <v>0.0625</v>
      </c>
      <c r="AV472" s="141">
        <v>0</v>
      </c>
      <c r="AW472" s="141">
        <v>0.0415430267062315</v>
      </c>
      <c r="AX472" s="95"/>
      <c r="AY472" s="93"/>
    </row>
    <row r="473" ht="15" spans="1:51">
      <c r="A473" s="91"/>
      <c r="B473" s="95"/>
      <c r="C473" s="152" t="s">
        <v>375</v>
      </c>
      <c r="D473" s="153" t="s">
        <v>25</v>
      </c>
      <c r="E473" s="130" t="s">
        <v>376</v>
      </c>
      <c r="F473" s="154" t="s">
        <v>499</v>
      </c>
      <c r="G473" s="154" t="s">
        <v>499</v>
      </c>
      <c r="H473" s="154" t="s">
        <v>499</v>
      </c>
      <c r="I473" s="154" t="s">
        <v>499</v>
      </c>
      <c r="J473" s="132">
        <v>0.9</v>
      </c>
      <c r="K473" s="133">
        <v>0.983606557377049</v>
      </c>
      <c r="L473" s="133">
        <v>1</v>
      </c>
      <c r="M473" s="134">
        <v>1</v>
      </c>
      <c r="N473" s="133">
        <v>0.99500998003992</v>
      </c>
      <c r="O473" s="135">
        <v>0.9</v>
      </c>
      <c r="P473" s="133">
        <v>0.988095238095238</v>
      </c>
      <c r="Q473" s="133">
        <v>0.988080301129235</v>
      </c>
      <c r="R473" s="133">
        <v>0.983523447401774</v>
      </c>
      <c r="S473" s="133">
        <v>0.986232054601083</v>
      </c>
      <c r="T473" s="135">
        <v>0.9</v>
      </c>
      <c r="U473" s="133">
        <v>0.970238095238095</v>
      </c>
      <c r="V473" s="133">
        <v>0.962986198243413</v>
      </c>
      <c r="W473" s="133">
        <v>0.575158428390368</v>
      </c>
      <c r="X473" s="133">
        <v>0.928179179414764</v>
      </c>
      <c r="Y473" s="135">
        <v>0.92</v>
      </c>
      <c r="Z473" s="135">
        <v>0.918414918414918</v>
      </c>
      <c r="AA473" s="135">
        <v>0.890466531440162</v>
      </c>
      <c r="AB473" s="135">
        <v>0.916317991631799</v>
      </c>
      <c r="AC473" s="135">
        <v>0.919004459789958</v>
      </c>
      <c r="AD473" s="135">
        <v>0.92</v>
      </c>
      <c r="AE473" s="133">
        <v>0.995483870967742</v>
      </c>
      <c r="AF473" s="133">
        <v>0.998863636363636</v>
      </c>
      <c r="AG473" s="133">
        <v>0.967105263157895</v>
      </c>
      <c r="AH473" s="133">
        <v>0.991516310192377</v>
      </c>
      <c r="AI473" s="135">
        <v>0.92</v>
      </c>
      <c r="AJ473" s="133">
        <v>0.965811965811966</v>
      </c>
      <c r="AK473" s="133">
        <v>0.965979875419262</v>
      </c>
      <c r="AL473" s="133">
        <v>0.967669002939182</v>
      </c>
      <c r="AM473" s="133">
        <v>0.978613944637444</v>
      </c>
      <c r="AN473" s="132">
        <v>0.99</v>
      </c>
      <c r="AO473" s="137">
        <v>1</v>
      </c>
      <c r="AP473" s="137">
        <v>1</v>
      </c>
      <c r="AQ473" s="137">
        <v>1</v>
      </c>
      <c r="AR473" s="137">
        <v>1</v>
      </c>
      <c r="AS473" s="158">
        <v>0.05</v>
      </c>
      <c r="AT473" s="141">
        <v>0</v>
      </c>
      <c r="AU473" s="141">
        <v>0</v>
      </c>
      <c r="AV473" s="141">
        <v>0</v>
      </c>
      <c r="AW473" s="141">
        <v>0.0585774058577406</v>
      </c>
      <c r="AX473" s="95"/>
      <c r="AY473" s="93"/>
    </row>
    <row r="474" ht="15" spans="1:51">
      <c r="A474" s="91"/>
      <c r="B474" s="95"/>
      <c r="C474" s="152" t="s">
        <v>375</v>
      </c>
      <c r="D474" s="153" t="s">
        <v>25</v>
      </c>
      <c r="E474" s="130" t="s">
        <v>376</v>
      </c>
      <c r="F474" s="154" t="s">
        <v>500</v>
      </c>
      <c r="G474" s="154" t="s">
        <v>500</v>
      </c>
      <c r="H474" s="154" t="s">
        <v>500</v>
      </c>
      <c r="I474" s="154" t="s">
        <v>500</v>
      </c>
      <c r="J474" s="132">
        <v>0.9</v>
      </c>
      <c r="K474" s="133">
        <v>0.951219512195122</v>
      </c>
      <c r="L474" s="133">
        <v>0.971428571428571</v>
      </c>
      <c r="M474" s="134">
        <v>0.942857142857143</v>
      </c>
      <c r="N474" s="133">
        <v>0.957686882933709</v>
      </c>
      <c r="O474" s="135">
        <v>0.9</v>
      </c>
      <c r="P474" s="133">
        <v>0.991202346041056</v>
      </c>
      <c r="Q474" s="133">
        <v>0.9846547314578</v>
      </c>
      <c r="R474" s="133">
        <v>0.983375959079284</v>
      </c>
      <c r="S474" s="133">
        <v>0.982783218940387</v>
      </c>
      <c r="T474" s="135">
        <v>0.9</v>
      </c>
      <c r="U474" s="133">
        <v>0.946480938416422</v>
      </c>
      <c r="V474" s="133">
        <v>0.924126172208014</v>
      </c>
      <c r="W474" s="133">
        <v>0.531116794543904</v>
      </c>
      <c r="X474" s="133">
        <v>0.907939384591656</v>
      </c>
      <c r="Y474" s="135">
        <v>0.92</v>
      </c>
      <c r="Z474" s="135">
        <v>0.828655834564254</v>
      </c>
      <c r="AA474" s="135">
        <v>0.755555555555556</v>
      </c>
      <c r="AB474" s="135">
        <v>0.373493975903614</v>
      </c>
      <c r="AC474" s="135">
        <v>0.751741012610578</v>
      </c>
      <c r="AD474" s="135">
        <v>0.92</v>
      </c>
      <c r="AE474" s="133">
        <v>0.978260869565217</v>
      </c>
      <c r="AF474" s="133">
        <v>0.982758620689655</v>
      </c>
      <c r="AG474" s="133">
        <v>0.711111111111111</v>
      </c>
      <c r="AH474" s="133">
        <v>0.955771701229583</v>
      </c>
      <c r="AI474" s="135">
        <v>0.92</v>
      </c>
      <c r="AJ474" s="133">
        <v>0.921607055365017</v>
      </c>
      <c r="AK474" s="133">
        <v>0.904309252217998</v>
      </c>
      <c r="AL474" s="133">
        <v>0.847574221578566</v>
      </c>
      <c r="AM474" s="133">
        <v>0.938444060419867</v>
      </c>
      <c r="AN474" s="132">
        <v>0.99</v>
      </c>
      <c r="AO474" s="137">
        <v>1</v>
      </c>
      <c r="AP474" s="137">
        <v>1</v>
      </c>
      <c r="AQ474" s="137">
        <v>1</v>
      </c>
      <c r="AR474" s="137">
        <v>1</v>
      </c>
      <c r="AS474" s="158">
        <v>0.05</v>
      </c>
      <c r="AT474" s="141">
        <v>0</v>
      </c>
      <c r="AU474" s="141">
        <v>0.0833333333333333</v>
      </c>
      <c r="AV474" s="141">
        <v>0</v>
      </c>
      <c r="AW474" s="141">
        <v>0.0488599348534202</v>
      </c>
      <c r="AX474" s="95"/>
      <c r="AY474" s="93"/>
    </row>
    <row r="475" ht="15" spans="1:51">
      <c r="A475" s="91"/>
      <c r="B475" s="95"/>
      <c r="C475" s="152" t="s">
        <v>375</v>
      </c>
      <c r="D475" s="153" t="s">
        <v>25</v>
      </c>
      <c r="E475" s="130" t="s">
        <v>376</v>
      </c>
      <c r="F475" s="154" t="s">
        <v>501</v>
      </c>
      <c r="G475" s="154" t="s">
        <v>501</v>
      </c>
      <c r="H475" s="154" t="s">
        <v>501</v>
      </c>
      <c r="I475" s="154" t="s">
        <v>501</v>
      </c>
      <c r="J475" s="132">
        <v>0.9</v>
      </c>
      <c r="K475" s="133">
        <v>0.964285714285714</v>
      </c>
      <c r="L475" s="133">
        <v>0.958333333333333</v>
      </c>
      <c r="M475" s="134">
        <v>0.91304347826087</v>
      </c>
      <c r="N475" s="133">
        <v>0.979209979209979</v>
      </c>
      <c r="O475" s="135">
        <v>0.9</v>
      </c>
      <c r="P475" s="133">
        <v>0.978766430738119</v>
      </c>
      <c r="Q475" s="133">
        <v>0.962703962703963</v>
      </c>
      <c r="R475" s="133">
        <v>0.845394736842105</v>
      </c>
      <c r="S475" s="133">
        <v>0.973065412569474</v>
      </c>
      <c r="T475" s="135">
        <v>0.9</v>
      </c>
      <c r="U475" s="133">
        <v>0.922143579373104</v>
      </c>
      <c r="V475" s="133">
        <v>0.883449883449883</v>
      </c>
      <c r="W475" s="133">
        <v>0.485526315789474</v>
      </c>
      <c r="X475" s="133">
        <v>0.853875282477249</v>
      </c>
      <c r="Y475" s="135">
        <v>0.92</v>
      </c>
      <c r="Z475" s="135">
        <v>0</v>
      </c>
      <c r="AA475" s="135">
        <v>0</v>
      </c>
      <c r="AB475" s="135" t="s">
        <v>35</v>
      </c>
      <c r="AC475" s="135">
        <v>0.625</v>
      </c>
      <c r="AD475" s="135">
        <v>0.92</v>
      </c>
      <c r="AE475" s="133">
        <v>0.995913461538461</v>
      </c>
      <c r="AF475" s="133">
        <v>0.991771539206196</v>
      </c>
      <c r="AG475" s="133">
        <v>0.99136786188579</v>
      </c>
      <c r="AH475" s="133">
        <v>0.989037186267103</v>
      </c>
      <c r="AI475" s="135">
        <v>0.92</v>
      </c>
      <c r="AJ475" s="133">
        <v>0.943491422805247</v>
      </c>
      <c r="AK475" s="133">
        <v>0.93953488372093</v>
      </c>
      <c r="AL475" s="133">
        <v>0.811842105263158</v>
      </c>
      <c r="AM475" s="133">
        <v>0.954766047065287</v>
      </c>
      <c r="AN475" s="132">
        <v>0.99</v>
      </c>
      <c r="AO475" s="137">
        <v>1</v>
      </c>
      <c r="AP475" s="137">
        <v>1</v>
      </c>
      <c r="AQ475" s="137">
        <v>1</v>
      </c>
      <c r="AR475" s="137">
        <v>1</v>
      </c>
      <c r="AS475" s="158">
        <v>0.05</v>
      </c>
      <c r="AT475" s="141">
        <v>0</v>
      </c>
      <c r="AU475" s="141">
        <v>0</v>
      </c>
      <c r="AV475" s="141">
        <v>0</v>
      </c>
      <c r="AW475" s="141">
        <v>0.0754716981132075</v>
      </c>
      <c r="AX475" s="95"/>
      <c r="AY475" s="93"/>
    </row>
    <row r="476" ht="15" spans="1:51">
      <c r="A476" s="91"/>
      <c r="B476" s="95"/>
      <c r="C476" s="152" t="s">
        <v>375</v>
      </c>
      <c r="D476" s="153" t="s">
        <v>25</v>
      </c>
      <c r="E476" s="130" t="s">
        <v>376</v>
      </c>
      <c r="F476" s="154" t="s">
        <v>502</v>
      </c>
      <c r="G476" s="154" t="s">
        <v>502</v>
      </c>
      <c r="H476" s="154" t="s">
        <v>502</v>
      </c>
      <c r="I476" s="154" t="s">
        <v>502</v>
      </c>
      <c r="J476" s="132">
        <v>0.9</v>
      </c>
      <c r="K476" s="133">
        <v>1</v>
      </c>
      <c r="L476" s="133">
        <v>1</v>
      </c>
      <c r="M476" s="134">
        <v>1</v>
      </c>
      <c r="N476" s="133">
        <v>1</v>
      </c>
      <c r="O476" s="135">
        <v>0.9</v>
      </c>
      <c r="P476" s="133">
        <v>0.997313633310947</v>
      </c>
      <c r="Q476" s="133">
        <v>0.996463306808134</v>
      </c>
      <c r="R476" s="133">
        <v>0.971055088702148</v>
      </c>
      <c r="S476" s="133">
        <v>0.993226140828773</v>
      </c>
      <c r="T476" s="135">
        <v>0.9</v>
      </c>
      <c r="U476" s="133">
        <v>0.969778374748153</v>
      </c>
      <c r="V476" s="133">
        <v>0.967285587975243</v>
      </c>
      <c r="W476" s="133">
        <v>0.833800186741363</v>
      </c>
      <c r="X476" s="133">
        <v>0.951522310343996</v>
      </c>
      <c r="Y476" s="135">
        <v>0.92</v>
      </c>
      <c r="Z476" s="135">
        <v>0.954415954415954</v>
      </c>
      <c r="AA476" s="135">
        <v>0.836272040302267</v>
      </c>
      <c r="AB476" s="135">
        <v>0.933333333333333</v>
      </c>
      <c r="AC476" s="135">
        <v>0.951727804359383</v>
      </c>
      <c r="AD476" s="135">
        <v>0.92</v>
      </c>
      <c r="AE476" s="133">
        <v>0.998434237995825</v>
      </c>
      <c r="AF476" s="133">
        <v>0.97422841109841</v>
      </c>
      <c r="AG476" s="133">
        <v>0.986111111111111</v>
      </c>
      <c r="AH476" s="133">
        <v>0.994185695755784</v>
      </c>
      <c r="AI476" s="135">
        <v>0.92</v>
      </c>
      <c r="AJ476" s="133">
        <v>0.979461433135555</v>
      </c>
      <c r="AK476" s="133">
        <v>0.949640287769784</v>
      </c>
      <c r="AL476" s="133">
        <v>0.96011396011396</v>
      </c>
      <c r="AM476" s="133">
        <v>0.98215864657222</v>
      </c>
      <c r="AN476" s="132">
        <v>0.99</v>
      </c>
      <c r="AO476" s="137">
        <v>1</v>
      </c>
      <c r="AP476" s="137">
        <v>1</v>
      </c>
      <c r="AQ476" s="137">
        <v>1</v>
      </c>
      <c r="AR476" s="137">
        <v>1</v>
      </c>
      <c r="AS476" s="158">
        <v>0.05</v>
      </c>
      <c r="AT476" s="141">
        <v>0</v>
      </c>
      <c r="AU476" s="141">
        <v>0.125</v>
      </c>
      <c r="AV476" s="141">
        <v>0</v>
      </c>
      <c r="AW476" s="141">
        <v>0.0387931034482759</v>
      </c>
      <c r="AX476" s="95"/>
      <c r="AY476" s="93"/>
    </row>
    <row r="477" ht="15" spans="1:51">
      <c r="A477" s="91"/>
      <c r="B477" s="95"/>
      <c r="C477" s="152" t="s">
        <v>375</v>
      </c>
      <c r="D477" s="153" t="s">
        <v>25</v>
      </c>
      <c r="E477" s="130" t="s">
        <v>376</v>
      </c>
      <c r="F477" s="154" t="s">
        <v>503</v>
      </c>
      <c r="G477" s="154" t="s">
        <v>503</v>
      </c>
      <c r="H477" s="154" t="s">
        <v>503</v>
      </c>
      <c r="I477" s="154" t="s">
        <v>503</v>
      </c>
      <c r="J477" s="132">
        <v>0.9</v>
      </c>
      <c r="K477" s="133">
        <v>1</v>
      </c>
      <c r="L477" s="133">
        <v>1</v>
      </c>
      <c r="M477" s="134">
        <v>0.944444444444444</v>
      </c>
      <c r="N477" s="133">
        <v>0.907284768211921</v>
      </c>
      <c r="O477" s="135">
        <v>0.9</v>
      </c>
      <c r="P477" s="133">
        <v>0.989031950405341</v>
      </c>
      <c r="Q477" s="133">
        <v>0.984173505275498</v>
      </c>
      <c r="R477" s="133">
        <v>0.930006086427267</v>
      </c>
      <c r="S477" s="133">
        <v>0.982480825470397</v>
      </c>
      <c r="T477" s="135">
        <v>0.9</v>
      </c>
      <c r="U477" s="133">
        <v>0.961850262279447</v>
      </c>
      <c r="V477" s="133">
        <v>0.919109026963658</v>
      </c>
      <c r="W477" s="133">
        <v>0.431223371880706</v>
      </c>
      <c r="X477" s="133">
        <v>0.873586050874579</v>
      </c>
      <c r="Y477" s="135">
        <v>0.92</v>
      </c>
      <c r="Z477" s="135" t="s">
        <v>35</v>
      </c>
      <c r="AA477" s="135">
        <v>0</v>
      </c>
      <c r="AB477" s="135" t="s">
        <v>35</v>
      </c>
      <c r="AC477" s="135">
        <v>0</v>
      </c>
      <c r="AD477" s="135">
        <v>0.92</v>
      </c>
      <c r="AE477" s="133">
        <v>0.996860282574568</v>
      </c>
      <c r="AF477" s="133">
        <v>0.989316239316239</v>
      </c>
      <c r="AG477" s="133">
        <v>0.914110429447853</v>
      </c>
      <c r="AH477" s="133">
        <v>0.991201872628945</v>
      </c>
      <c r="AI477" s="135">
        <v>0.92</v>
      </c>
      <c r="AJ477" s="133">
        <v>0.971864568431092</v>
      </c>
      <c r="AK477" s="133">
        <v>0.9596018735363</v>
      </c>
      <c r="AL477" s="133">
        <v>0.952525867315886</v>
      </c>
      <c r="AM477" s="133">
        <v>0.975681081453893</v>
      </c>
      <c r="AN477" s="132">
        <v>0.99</v>
      </c>
      <c r="AO477" s="137">
        <v>1</v>
      </c>
      <c r="AP477" s="137">
        <v>1</v>
      </c>
      <c r="AQ477" s="137">
        <v>1</v>
      </c>
      <c r="AR477" s="137">
        <v>1</v>
      </c>
      <c r="AS477" s="158">
        <v>0.05</v>
      </c>
      <c r="AT477" s="141">
        <v>0.153846153846154</v>
      </c>
      <c r="AU477" s="141">
        <v>0</v>
      </c>
      <c r="AV477" s="141">
        <v>0</v>
      </c>
      <c r="AW477" s="141">
        <v>0.0625</v>
      </c>
      <c r="AX477" s="95"/>
      <c r="AY477" s="93"/>
    </row>
    <row r="478" ht="15" spans="1:51">
      <c r="A478" s="91"/>
      <c r="B478" s="95"/>
      <c r="C478" s="152" t="s">
        <v>375</v>
      </c>
      <c r="D478" s="153" t="s">
        <v>25</v>
      </c>
      <c r="E478" s="130" t="s">
        <v>376</v>
      </c>
      <c r="F478" s="154" t="s">
        <v>504</v>
      </c>
      <c r="G478" s="154" t="s">
        <v>504</v>
      </c>
      <c r="H478" s="154" t="s">
        <v>504</v>
      </c>
      <c r="I478" s="154" t="s">
        <v>504</v>
      </c>
      <c r="J478" s="132">
        <v>0.9</v>
      </c>
      <c r="K478" s="133">
        <v>1</v>
      </c>
      <c r="L478" s="133">
        <v>1</v>
      </c>
      <c r="M478" s="134">
        <v>0.961538461538462</v>
      </c>
      <c r="N478" s="133">
        <v>0.958568738229755</v>
      </c>
      <c r="O478" s="135">
        <v>0.9</v>
      </c>
      <c r="P478" s="133">
        <v>0.993130520117762</v>
      </c>
      <c r="Q478" s="133">
        <v>0.994782608695652</v>
      </c>
      <c r="R478" s="133">
        <v>0.991981672394044</v>
      </c>
      <c r="S478" s="133">
        <v>0.988482047635976</v>
      </c>
      <c r="T478" s="135">
        <v>0.9</v>
      </c>
      <c r="U478" s="133">
        <v>0.914622178606477</v>
      </c>
      <c r="V478" s="133">
        <v>0.907826086956522</v>
      </c>
      <c r="W478" s="133">
        <v>0.910652920962199</v>
      </c>
      <c r="X478" s="133">
        <v>0.880519018841095</v>
      </c>
      <c r="Y478" s="135">
        <v>0.92</v>
      </c>
      <c r="Z478" s="135">
        <v>0.910454344949272</v>
      </c>
      <c r="AA478" s="135">
        <v>0.917748917748918</v>
      </c>
      <c r="AB478" s="135">
        <v>0.927094668117519</v>
      </c>
      <c r="AC478" s="135">
        <v>0.910328959641813</v>
      </c>
      <c r="AD478" s="135">
        <v>0.92</v>
      </c>
      <c r="AE478" s="133">
        <v>1</v>
      </c>
      <c r="AF478" s="133">
        <v>1</v>
      </c>
      <c r="AG478" s="133">
        <v>1</v>
      </c>
      <c r="AH478" s="133">
        <v>0.998818804630286</v>
      </c>
      <c r="AI478" s="135">
        <v>0.92</v>
      </c>
      <c r="AJ478" s="133">
        <v>0.92665855143031</v>
      </c>
      <c r="AK478" s="133">
        <v>0.932621747831888</v>
      </c>
      <c r="AL478" s="133">
        <v>0.953125</v>
      </c>
      <c r="AM478" s="133">
        <v>0.941460340624534</v>
      </c>
      <c r="AN478" s="132">
        <v>0.99</v>
      </c>
      <c r="AO478" s="137">
        <v>1</v>
      </c>
      <c r="AP478" s="137">
        <v>1</v>
      </c>
      <c r="AQ478" s="137">
        <v>1</v>
      </c>
      <c r="AR478" s="137">
        <v>1</v>
      </c>
      <c r="AS478" s="158">
        <v>0.05</v>
      </c>
      <c r="AT478" s="141">
        <v>0</v>
      </c>
      <c r="AU478" s="141">
        <v>0</v>
      </c>
      <c r="AV478" s="141">
        <v>0</v>
      </c>
      <c r="AW478" s="141">
        <v>0.0602409638554217</v>
      </c>
      <c r="AX478" s="95"/>
      <c r="AY478" s="93"/>
    </row>
    <row r="479" ht="15" spans="1:51">
      <c r="A479" s="91"/>
      <c r="B479" s="95"/>
      <c r="C479" s="152" t="s">
        <v>375</v>
      </c>
      <c r="D479" s="153" t="s">
        <v>25</v>
      </c>
      <c r="E479" s="130" t="s">
        <v>376</v>
      </c>
      <c r="F479" s="154" t="s">
        <v>505</v>
      </c>
      <c r="G479" s="154" t="s">
        <v>505</v>
      </c>
      <c r="H479" s="154" t="s">
        <v>505</v>
      </c>
      <c r="I479" s="154" t="s">
        <v>505</v>
      </c>
      <c r="J479" s="132">
        <v>0.9</v>
      </c>
      <c r="K479" s="133">
        <v>0.793103448275862</v>
      </c>
      <c r="L479" s="133">
        <v>0.76</v>
      </c>
      <c r="M479" s="134">
        <v>0.923076923076923</v>
      </c>
      <c r="N479" s="133">
        <v>0.87992125984252</v>
      </c>
      <c r="O479" s="135">
        <v>0.9</v>
      </c>
      <c r="P479" s="133">
        <v>0.995640326975477</v>
      </c>
      <c r="Q479" s="133">
        <v>0.988599348534202</v>
      </c>
      <c r="R479" s="133">
        <v>0.996935201401051</v>
      </c>
      <c r="S479" s="133">
        <v>0.992456610176421</v>
      </c>
      <c r="T479" s="135">
        <v>0.9</v>
      </c>
      <c r="U479" s="133">
        <v>0.938964577656676</v>
      </c>
      <c r="V479" s="133">
        <v>0.924267100977199</v>
      </c>
      <c r="W479" s="133">
        <v>0.944395796847636</v>
      </c>
      <c r="X479" s="133">
        <v>0.911891571437333</v>
      </c>
      <c r="Y479" s="135">
        <v>0.92</v>
      </c>
      <c r="Z479" s="135">
        <v>0</v>
      </c>
      <c r="AA479" s="135" t="s">
        <v>35</v>
      </c>
      <c r="AB479" s="135" t="s">
        <v>35</v>
      </c>
      <c r="AC479" s="135">
        <v>0</v>
      </c>
      <c r="AD479" s="135">
        <v>0.92</v>
      </c>
      <c r="AE479" s="133">
        <v>1</v>
      </c>
      <c r="AF479" s="133">
        <v>1</v>
      </c>
      <c r="AG479" s="133">
        <v>1</v>
      </c>
      <c r="AH479" s="133">
        <v>0.994632837277385</v>
      </c>
      <c r="AI479" s="135">
        <v>0.92</v>
      </c>
      <c r="AJ479" s="133">
        <v>0.97875816993464</v>
      </c>
      <c r="AK479" s="133">
        <v>0.978013029315961</v>
      </c>
      <c r="AL479" s="133">
        <v>0.984238178633975</v>
      </c>
      <c r="AM479" s="133">
        <v>0.986815208503679</v>
      </c>
      <c r="AN479" s="132">
        <v>0.99</v>
      </c>
      <c r="AO479" s="137">
        <v>1</v>
      </c>
      <c r="AP479" s="137">
        <v>1</v>
      </c>
      <c r="AQ479" s="137">
        <v>1</v>
      </c>
      <c r="AR479" s="137">
        <v>1</v>
      </c>
      <c r="AS479" s="158">
        <v>0.05</v>
      </c>
      <c r="AT479" s="141">
        <v>0.111111111111111</v>
      </c>
      <c r="AU479" s="141">
        <v>0</v>
      </c>
      <c r="AV479" s="141">
        <v>0</v>
      </c>
      <c r="AW479" s="141">
        <v>0.0538461538461538</v>
      </c>
      <c r="AX479" s="95"/>
      <c r="AY479" s="93"/>
    </row>
    <row r="480" ht="15" spans="1:51">
      <c r="A480" s="91"/>
      <c r="B480" s="95"/>
      <c r="C480" s="152" t="s">
        <v>375</v>
      </c>
      <c r="D480" s="153" t="s">
        <v>25</v>
      </c>
      <c r="E480" s="130" t="s">
        <v>376</v>
      </c>
      <c r="F480" s="154" t="s">
        <v>506</v>
      </c>
      <c r="G480" s="154" t="s">
        <v>506</v>
      </c>
      <c r="H480" s="154" t="s">
        <v>506</v>
      </c>
      <c r="I480" s="154" t="s">
        <v>506</v>
      </c>
      <c r="J480" s="132">
        <v>0.9</v>
      </c>
      <c r="K480" s="133">
        <v>0.76</v>
      </c>
      <c r="L480" s="133">
        <v>0.816326530612245</v>
      </c>
      <c r="M480" s="134">
        <v>0.75609756097561</v>
      </c>
      <c r="N480" s="133">
        <v>0.776404494382023</v>
      </c>
      <c r="O480" s="135">
        <v>0.9</v>
      </c>
      <c r="P480" s="133">
        <v>0.984581497797357</v>
      </c>
      <c r="Q480" s="133">
        <v>0.986332574031891</v>
      </c>
      <c r="R480" s="133">
        <v>0.992565055762082</v>
      </c>
      <c r="S480" s="133">
        <v>0.985078394525005</v>
      </c>
      <c r="T480" s="135">
        <v>0.9</v>
      </c>
      <c r="U480" s="133">
        <v>0.853891336270191</v>
      </c>
      <c r="V480" s="133">
        <v>0.874715261958998</v>
      </c>
      <c r="W480" s="133">
        <v>0.904089219330855</v>
      </c>
      <c r="X480" s="133">
        <v>0.888789162202339</v>
      </c>
      <c r="Y480" s="135">
        <v>0.92</v>
      </c>
      <c r="Z480" s="135">
        <v>0.870462633451957</v>
      </c>
      <c r="AA480" s="135">
        <v>0.872527472527473</v>
      </c>
      <c r="AB480" s="135">
        <v>0.788298691301001</v>
      </c>
      <c r="AC480" s="135">
        <v>0.856855915181409</v>
      </c>
      <c r="AD480" s="135">
        <v>0.92</v>
      </c>
      <c r="AE480" s="133">
        <v>1</v>
      </c>
      <c r="AF480" s="133">
        <v>0.995771670190275</v>
      </c>
      <c r="AG480" s="133">
        <v>0.932203389830508</v>
      </c>
      <c r="AH480" s="133">
        <v>0.994923076923077</v>
      </c>
      <c r="AI480" s="135">
        <v>0.92</v>
      </c>
      <c r="AJ480" s="133">
        <v>0.89863407620417</v>
      </c>
      <c r="AK480" s="133">
        <v>0.905483727151137</v>
      </c>
      <c r="AL480" s="133">
        <v>0.872919818456883</v>
      </c>
      <c r="AM480" s="133">
        <v>0.911852158028774</v>
      </c>
      <c r="AN480" s="132">
        <v>0.99</v>
      </c>
      <c r="AO480" s="137">
        <v>1</v>
      </c>
      <c r="AP480" s="137">
        <v>1</v>
      </c>
      <c r="AQ480" s="137">
        <v>1</v>
      </c>
      <c r="AR480" s="137">
        <v>1</v>
      </c>
      <c r="AS480" s="158">
        <v>0.05</v>
      </c>
      <c r="AT480" s="141">
        <v>0.222222222222222</v>
      </c>
      <c r="AU480" s="141">
        <v>0</v>
      </c>
      <c r="AV480" s="141">
        <v>0.333333333333333</v>
      </c>
      <c r="AW480" s="141">
        <v>0.0607734806629834</v>
      </c>
      <c r="AX480" s="95"/>
      <c r="AY480" s="93"/>
    </row>
    <row r="481" ht="15" spans="1:51">
      <c r="A481" s="91"/>
      <c r="B481" s="95"/>
      <c r="C481" s="152" t="s">
        <v>375</v>
      </c>
      <c r="D481" s="153" t="s">
        <v>25</v>
      </c>
      <c r="E481" s="130" t="s">
        <v>376</v>
      </c>
      <c r="F481" s="154" t="s">
        <v>507</v>
      </c>
      <c r="G481" s="154" t="s">
        <v>507</v>
      </c>
      <c r="H481" s="154" t="s">
        <v>507</v>
      </c>
      <c r="I481" s="154" t="s">
        <v>507</v>
      </c>
      <c r="J481" s="132">
        <v>0.9</v>
      </c>
      <c r="K481" s="133">
        <v>0.974358974358974</v>
      </c>
      <c r="L481" s="133">
        <v>0.944444444444444</v>
      </c>
      <c r="M481" s="134">
        <v>0.967741935483871</v>
      </c>
      <c r="N481" s="133">
        <v>0.980451127819549</v>
      </c>
      <c r="O481" s="135">
        <v>0.9</v>
      </c>
      <c r="P481" s="133">
        <v>0.991922455573506</v>
      </c>
      <c r="Q481" s="133">
        <v>0.987654320987654</v>
      </c>
      <c r="R481" s="133">
        <v>0.994675186368477</v>
      </c>
      <c r="S481" s="133">
        <v>0.995610563430956</v>
      </c>
      <c r="T481" s="135">
        <v>0.9</v>
      </c>
      <c r="U481" s="133">
        <v>0.901453957996769</v>
      </c>
      <c r="V481" s="133">
        <v>0.875</v>
      </c>
      <c r="W481" s="133">
        <v>0.936102236421725</v>
      </c>
      <c r="X481" s="133">
        <v>0.920270561991797</v>
      </c>
      <c r="Y481" s="135">
        <v>0.92</v>
      </c>
      <c r="Z481" s="135">
        <v>0.949183303085299</v>
      </c>
      <c r="AA481" s="135">
        <v>0.939720129171152</v>
      </c>
      <c r="AB481" s="135">
        <v>0.937142857142857</v>
      </c>
      <c r="AC481" s="135">
        <v>0.952109918793503</v>
      </c>
      <c r="AD481" s="135">
        <v>0.92</v>
      </c>
      <c r="AE481" s="133">
        <v>0.998916576381365</v>
      </c>
      <c r="AF481" s="133">
        <v>0.986895986895987</v>
      </c>
      <c r="AG481" s="133">
        <v>0.907915993537964</v>
      </c>
      <c r="AH481" s="133">
        <v>0.989508321808384</v>
      </c>
      <c r="AI481" s="135">
        <v>0.92</v>
      </c>
      <c r="AJ481" s="133">
        <v>0.959325973271354</v>
      </c>
      <c r="AK481" s="133">
        <v>0.95434369055168</v>
      </c>
      <c r="AL481" s="133">
        <v>0.964002440512508</v>
      </c>
      <c r="AM481" s="133">
        <v>0.967931819002564</v>
      </c>
      <c r="AN481" s="132">
        <v>0.99</v>
      </c>
      <c r="AO481" s="137">
        <v>1</v>
      </c>
      <c r="AP481" s="137">
        <v>1</v>
      </c>
      <c r="AQ481" s="137">
        <v>1</v>
      </c>
      <c r="AR481" s="137">
        <v>1</v>
      </c>
      <c r="AS481" s="158">
        <v>0.05</v>
      </c>
      <c r="AT481" s="141">
        <v>0.272727272727273</v>
      </c>
      <c r="AU481" s="141">
        <v>0</v>
      </c>
      <c r="AV481" s="141">
        <v>0</v>
      </c>
      <c r="AW481" s="141">
        <v>0.0479704797047971</v>
      </c>
      <c r="AX481" s="95"/>
      <c r="AY481" s="93"/>
    </row>
    <row r="482" ht="15" spans="1:51">
      <c r="A482" s="91"/>
      <c r="B482" s="95"/>
      <c r="C482" s="152" t="s">
        <v>375</v>
      </c>
      <c r="D482" s="153" t="s">
        <v>25</v>
      </c>
      <c r="E482" s="130" t="s">
        <v>376</v>
      </c>
      <c r="F482" s="154" t="s">
        <v>508</v>
      </c>
      <c r="G482" s="154" t="s">
        <v>508</v>
      </c>
      <c r="H482" s="154" t="s">
        <v>508</v>
      </c>
      <c r="I482" s="154" t="s">
        <v>508</v>
      </c>
      <c r="J482" s="132">
        <v>0.9</v>
      </c>
      <c r="K482" s="133">
        <v>1</v>
      </c>
      <c r="L482" s="133">
        <v>0.947368421052632</v>
      </c>
      <c r="M482" s="134">
        <v>0.947368421052632</v>
      </c>
      <c r="N482" s="133">
        <v>0.941018766756032</v>
      </c>
      <c r="O482" s="135">
        <v>0.9</v>
      </c>
      <c r="P482" s="133">
        <v>0.987786259541985</v>
      </c>
      <c r="Q482" s="133">
        <v>0.994413407821229</v>
      </c>
      <c r="R482" s="133">
        <v>0.994454713493531</v>
      </c>
      <c r="S482" s="133">
        <v>0.994086767634104</v>
      </c>
      <c r="T482" s="135">
        <v>0.9</v>
      </c>
      <c r="U482" s="133">
        <v>0.906870229007634</v>
      </c>
      <c r="V482" s="133">
        <v>0.916201117318436</v>
      </c>
      <c r="W482" s="133">
        <v>0.909426987060998</v>
      </c>
      <c r="X482" s="133">
        <v>0.929825619984312</v>
      </c>
      <c r="Y482" s="135">
        <v>0.92</v>
      </c>
      <c r="Z482" s="135">
        <v>0.968306922435363</v>
      </c>
      <c r="AA482" s="135">
        <v>0.969639468690702</v>
      </c>
      <c r="AB482" s="135">
        <v>0.971544715447154</v>
      </c>
      <c r="AC482" s="135">
        <v>0.964092014213578</v>
      </c>
      <c r="AD482" s="135">
        <v>0.92</v>
      </c>
      <c r="AE482" s="133">
        <v>1</v>
      </c>
      <c r="AF482" s="133">
        <v>0.985611510791367</v>
      </c>
      <c r="AG482" s="133">
        <v>1</v>
      </c>
      <c r="AH482" s="133">
        <v>0.988534396809571</v>
      </c>
      <c r="AI482" s="135">
        <v>0.92</v>
      </c>
      <c r="AJ482" s="133">
        <v>0.976819407008086</v>
      </c>
      <c r="AK482" s="133">
        <v>0.979661016949153</v>
      </c>
      <c r="AL482" s="133">
        <v>0.984526112185687</v>
      </c>
      <c r="AM482" s="133">
        <v>0.978572085466417</v>
      </c>
      <c r="AN482" s="132">
        <v>0.99</v>
      </c>
      <c r="AO482" s="137">
        <v>1</v>
      </c>
      <c r="AP482" s="137">
        <v>1</v>
      </c>
      <c r="AQ482" s="137">
        <v>1</v>
      </c>
      <c r="AR482" s="137">
        <v>1</v>
      </c>
      <c r="AS482" s="158">
        <v>0.05</v>
      </c>
      <c r="AT482" s="141">
        <v>0</v>
      </c>
      <c r="AU482" s="141">
        <v>0.2</v>
      </c>
      <c r="AV482" s="141">
        <v>0.333333333333333</v>
      </c>
      <c r="AW482" s="141">
        <v>0.0967741935483871</v>
      </c>
      <c r="AX482" s="95"/>
      <c r="AY482" s="93"/>
    </row>
    <row r="483" ht="15" spans="1:51">
      <c r="A483" s="91"/>
      <c r="B483" s="95"/>
      <c r="C483" s="152" t="s">
        <v>375</v>
      </c>
      <c r="D483" s="153" t="s">
        <v>25</v>
      </c>
      <c r="E483" s="130" t="s">
        <v>376</v>
      </c>
      <c r="F483" s="154" t="s">
        <v>509</v>
      </c>
      <c r="G483" s="154" t="s">
        <v>509</v>
      </c>
      <c r="H483" s="154" t="s">
        <v>509</v>
      </c>
      <c r="I483" s="154" t="s">
        <v>509</v>
      </c>
      <c r="J483" s="132">
        <v>0.9</v>
      </c>
      <c r="K483" s="133">
        <v>0.923076923076923</v>
      </c>
      <c r="L483" s="133">
        <v>0.957446808510638</v>
      </c>
      <c r="M483" s="134">
        <v>0.923076923076923</v>
      </c>
      <c r="N483" s="133">
        <v>0.892624728850325</v>
      </c>
      <c r="O483" s="135">
        <v>0.9</v>
      </c>
      <c r="P483" s="133">
        <v>0.99025069637883</v>
      </c>
      <c r="Q483" s="133">
        <v>0.983416252072968</v>
      </c>
      <c r="R483" s="133">
        <v>0.961061946902655</v>
      </c>
      <c r="S483" s="133">
        <v>0.954473649567774</v>
      </c>
      <c r="T483" s="135">
        <v>0.9</v>
      </c>
      <c r="U483" s="133">
        <v>0.895543175487465</v>
      </c>
      <c r="V483" s="133">
        <v>0.886401326699834</v>
      </c>
      <c r="W483" s="133">
        <v>0.873746312684366</v>
      </c>
      <c r="X483" s="133">
        <v>0.854425380666111</v>
      </c>
      <c r="Y483" s="135">
        <v>0.92</v>
      </c>
      <c r="Z483" s="135">
        <v>0.910177975528365</v>
      </c>
      <c r="AA483" s="135">
        <v>0.882541720154044</v>
      </c>
      <c r="AB483" s="135">
        <v>0.838735177865613</v>
      </c>
      <c r="AC483" s="135">
        <v>0.885739837744607</v>
      </c>
      <c r="AD483" s="135">
        <v>0.92</v>
      </c>
      <c r="AE483" s="133">
        <v>0.97427652733119</v>
      </c>
      <c r="AF483" s="133">
        <v>0.980337702732726</v>
      </c>
      <c r="AG483" s="133">
        <v>0.998258345428157</v>
      </c>
      <c r="AH483" s="133">
        <v>0.937695953877472</v>
      </c>
      <c r="AI483" s="135">
        <v>0.92</v>
      </c>
      <c r="AJ483" s="133">
        <v>0.932185706833594</v>
      </c>
      <c r="AK483" s="133">
        <v>0.918234442836469</v>
      </c>
      <c r="AL483" s="133">
        <v>0.909459459459459</v>
      </c>
      <c r="AM483" s="133">
        <v>0.927236971484759</v>
      </c>
      <c r="AN483" s="132">
        <v>0.99</v>
      </c>
      <c r="AO483" s="137">
        <v>1</v>
      </c>
      <c r="AP483" s="137">
        <v>1</v>
      </c>
      <c r="AQ483" s="137">
        <v>1</v>
      </c>
      <c r="AR483" s="137">
        <v>1</v>
      </c>
      <c r="AS483" s="158">
        <v>0.05</v>
      </c>
      <c r="AT483" s="141">
        <v>0.103448275862069</v>
      </c>
      <c r="AU483" s="141">
        <v>0.111111111111111</v>
      </c>
      <c r="AV483" s="141">
        <v>0.0476190476190476</v>
      </c>
      <c r="AW483" s="141">
        <v>0.0652557319223986</v>
      </c>
      <c r="AX483" s="95"/>
      <c r="AY483" s="93"/>
    </row>
    <row r="484" ht="15" spans="1:51">
      <c r="A484" s="91"/>
      <c r="B484" s="95"/>
      <c r="C484" s="152" t="s">
        <v>375</v>
      </c>
      <c r="D484" s="153" t="s">
        <v>25</v>
      </c>
      <c r="E484" s="130" t="s">
        <v>376</v>
      </c>
      <c r="F484" s="154" t="s">
        <v>510</v>
      </c>
      <c r="G484" s="154" t="s">
        <v>510</v>
      </c>
      <c r="H484" s="154" t="s">
        <v>510</v>
      </c>
      <c r="I484" s="154" t="s">
        <v>510</v>
      </c>
      <c r="J484" s="132">
        <v>0.9</v>
      </c>
      <c r="K484" s="133">
        <v>1</v>
      </c>
      <c r="L484" s="133">
        <v>0.818181818181818</v>
      </c>
      <c r="M484" s="134">
        <v>0.838709677419355</v>
      </c>
      <c r="N484" s="133">
        <v>0.85233918128655</v>
      </c>
      <c r="O484" s="135">
        <v>0.9</v>
      </c>
      <c r="P484" s="133">
        <v>0.966552315608919</v>
      </c>
      <c r="Q484" s="133">
        <v>0.943028485757121</v>
      </c>
      <c r="R484" s="133">
        <v>0.932362122788762</v>
      </c>
      <c r="S484" s="133">
        <v>0.942740717321811</v>
      </c>
      <c r="T484" s="135">
        <v>0.9</v>
      </c>
      <c r="U484" s="133">
        <v>0.880789022298456</v>
      </c>
      <c r="V484" s="133">
        <v>0.866566716641679</v>
      </c>
      <c r="W484" s="133">
        <v>0.831425598335068</v>
      </c>
      <c r="X484" s="133">
        <v>0.889907612323041</v>
      </c>
      <c r="Y484" s="135">
        <v>0.92</v>
      </c>
      <c r="Z484" s="135">
        <v>0.917467495760317</v>
      </c>
      <c r="AA484" s="135">
        <v>0.900123304562269</v>
      </c>
      <c r="AB484" s="135">
        <v>0.860433604336043</v>
      </c>
      <c r="AC484" s="135">
        <v>0.894327472686492</v>
      </c>
      <c r="AD484" s="135">
        <v>0.92</v>
      </c>
      <c r="AE484" s="133">
        <v>0.99848828420257</v>
      </c>
      <c r="AF484" s="133">
        <v>0.995085066162571</v>
      </c>
      <c r="AG484" s="133">
        <v>0.993870402802102</v>
      </c>
      <c r="AH484" s="133">
        <v>0.996389121657652</v>
      </c>
      <c r="AI484" s="135">
        <v>0.92</v>
      </c>
      <c r="AJ484" s="133">
        <v>0.933265236636023</v>
      </c>
      <c r="AK484" s="133">
        <v>0.92489851150203</v>
      </c>
      <c r="AL484" s="133">
        <v>0.894643908181283</v>
      </c>
      <c r="AM484" s="133">
        <v>0.93059267971061</v>
      </c>
      <c r="AN484" s="132">
        <v>0.99</v>
      </c>
      <c r="AO484" s="137">
        <v>1</v>
      </c>
      <c r="AP484" s="137">
        <v>1</v>
      </c>
      <c r="AQ484" s="137">
        <v>1</v>
      </c>
      <c r="AR484" s="137">
        <v>1</v>
      </c>
      <c r="AS484" s="158">
        <v>0.05</v>
      </c>
      <c r="AT484" s="141">
        <v>0.0526315789473684</v>
      </c>
      <c r="AU484" s="141">
        <v>0.1</v>
      </c>
      <c r="AV484" s="141">
        <v>0.142857142857143</v>
      </c>
      <c r="AW484" s="141">
        <v>0.060377358490566</v>
      </c>
      <c r="AX484" s="95"/>
      <c r="AY484" s="93"/>
    </row>
    <row r="485" ht="15" spans="1:51">
      <c r="A485" s="91"/>
      <c r="B485" s="95"/>
      <c r="C485" s="152" t="s">
        <v>375</v>
      </c>
      <c r="D485" s="153" t="s">
        <v>25</v>
      </c>
      <c r="E485" s="130" t="s">
        <v>376</v>
      </c>
      <c r="F485" s="154" t="s">
        <v>511</v>
      </c>
      <c r="G485" s="154" t="s">
        <v>511</v>
      </c>
      <c r="H485" s="154" t="s">
        <v>511</v>
      </c>
      <c r="I485" s="154" t="s">
        <v>511</v>
      </c>
      <c r="J485" s="132">
        <v>0.9</v>
      </c>
      <c r="K485" s="133">
        <v>0.75</v>
      </c>
      <c r="L485" s="133">
        <v>0.736842105263158</v>
      </c>
      <c r="M485" s="134">
        <v>0.666666666666667</v>
      </c>
      <c r="N485" s="133">
        <v>0.754863813229572</v>
      </c>
      <c r="O485" s="135">
        <v>0.9</v>
      </c>
      <c r="P485" s="133">
        <v>0.975586854460094</v>
      </c>
      <c r="Q485" s="133">
        <v>0.966903073286052</v>
      </c>
      <c r="R485" s="133">
        <v>0.882783882783883</v>
      </c>
      <c r="S485" s="133">
        <v>0.950532177662011</v>
      </c>
      <c r="T485" s="135">
        <v>0.9</v>
      </c>
      <c r="U485" s="133">
        <v>0.880281690140845</v>
      </c>
      <c r="V485" s="133">
        <v>0.846335697399527</v>
      </c>
      <c r="W485" s="133">
        <v>0.797313797313797</v>
      </c>
      <c r="X485" s="133">
        <v>0.829186688822024</v>
      </c>
      <c r="Y485" s="135">
        <v>0.92</v>
      </c>
      <c r="Z485" s="135">
        <v>0.878160301237224</v>
      </c>
      <c r="AA485" s="135">
        <v>0.883116883116883</v>
      </c>
      <c r="AB485" s="135">
        <v>0.801093643198906</v>
      </c>
      <c r="AC485" s="135">
        <v>0.861822832858852</v>
      </c>
      <c r="AD485" s="135">
        <v>0.92</v>
      </c>
      <c r="AE485" s="133">
        <v>0.983198924731183</v>
      </c>
      <c r="AF485" s="133">
        <v>0.986767485822306</v>
      </c>
      <c r="AG485" s="133">
        <v>0.942341292952825</v>
      </c>
      <c r="AH485" s="133">
        <v>0.977694385584653</v>
      </c>
      <c r="AI485" s="135">
        <v>0.92</v>
      </c>
      <c r="AJ485" s="133">
        <v>0.910396716826265</v>
      </c>
      <c r="AK485" s="133">
        <v>0.907925801011804</v>
      </c>
      <c r="AL485" s="133">
        <v>0.861012576588197</v>
      </c>
      <c r="AM485" s="133">
        <v>0.908556379662474</v>
      </c>
      <c r="AN485" s="132">
        <v>0.99</v>
      </c>
      <c r="AO485" s="137">
        <v>1</v>
      </c>
      <c r="AP485" s="137">
        <v>1</v>
      </c>
      <c r="AQ485" s="137">
        <v>1</v>
      </c>
      <c r="AR485" s="137">
        <v>1</v>
      </c>
      <c r="AS485" s="158">
        <v>0.05</v>
      </c>
      <c r="AT485" s="141">
        <v>0</v>
      </c>
      <c r="AU485" s="141">
        <v>0.00233644859813084</v>
      </c>
      <c r="AV485" s="141">
        <v>0.00222222222222222</v>
      </c>
      <c r="AW485" s="141">
        <v>0.00462519936204147</v>
      </c>
      <c r="AX485" s="95"/>
      <c r="AY485" s="93"/>
    </row>
    <row r="486" ht="15" spans="1:51">
      <c r="A486" s="91"/>
      <c r="B486" s="95"/>
      <c r="C486" s="152" t="s">
        <v>375</v>
      </c>
      <c r="D486" s="153" t="s">
        <v>25</v>
      </c>
      <c r="E486" s="130" t="s">
        <v>376</v>
      </c>
      <c r="F486" s="154" t="s">
        <v>512</v>
      </c>
      <c r="G486" s="154" t="s">
        <v>512</v>
      </c>
      <c r="H486" s="154" t="s">
        <v>512</v>
      </c>
      <c r="I486" s="154" t="s">
        <v>512</v>
      </c>
      <c r="J486" s="132">
        <v>0.9</v>
      </c>
      <c r="K486" s="133">
        <v>0.975</v>
      </c>
      <c r="L486" s="133">
        <v>0.974358974358974</v>
      </c>
      <c r="M486" s="134">
        <v>1</v>
      </c>
      <c r="N486" s="133">
        <v>0.985443959243086</v>
      </c>
      <c r="O486" s="135">
        <v>0.9</v>
      </c>
      <c r="P486" s="133">
        <v>0.998025016458196</v>
      </c>
      <c r="Q486" s="133">
        <v>1</v>
      </c>
      <c r="R486" s="133">
        <v>1</v>
      </c>
      <c r="S486" s="133">
        <v>0.994533930336687</v>
      </c>
      <c r="T486" s="135">
        <v>0.9</v>
      </c>
      <c r="U486" s="133">
        <v>0.919025674786043</v>
      </c>
      <c r="V486" s="133">
        <v>0.906288532675709</v>
      </c>
      <c r="W486" s="133">
        <v>0.930626057529611</v>
      </c>
      <c r="X486" s="133">
        <v>0.925161365354422</v>
      </c>
      <c r="Y486" s="135">
        <v>0.92</v>
      </c>
      <c r="Z486" s="135">
        <v>0.937747819191118</v>
      </c>
      <c r="AA486" s="135">
        <v>0.931326434619003</v>
      </c>
      <c r="AB486" s="135">
        <v>0.918069584736251</v>
      </c>
      <c r="AC486" s="135">
        <v>0.937268711949385</v>
      </c>
      <c r="AD486" s="135">
        <v>0.92</v>
      </c>
      <c r="AE486" s="133">
        <v>0.999007936507937</v>
      </c>
      <c r="AF486" s="133">
        <v>1</v>
      </c>
      <c r="AG486" s="133">
        <v>1</v>
      </c>
      <c r="AH486" s="133">
        <v>0.997601592904335</v>
      </c>
      <c r="AI486" s="135">
        <v>0.92</v>
      </c>
      <c r="AJ486" s="133">
        <v>0.952239544667162</v>
      </c>
      <c r="AK486" s="133">
        <v>0.949333333333333</v>
      </c>
      <c r="AL486" s="133">
        <v>0.955619874577906</v>
      </c>
      <c r="AM486" s="133">
        <v>0.962389738907624</v>
      </c>
      <c r="AN486" s="132">
        <v>0.99</v>
      </c>
      <c r="AO486" s="137">
        <v>1</v>
      </c>
      <c r="AP486" s="137">
        <v>1</v>
      </c>
      <c r="AQ486" s="137">
        <v>1</v>
      </c>
      <c r="AR486" s="137">
        <v>1</v>
      </c>
      <c r="AS486" s="158">
        <v>0.05</v>
      </c>
      <c r="AT486" s="141">
        <v>0.0714285714285714</v>
      </c>
      <c r="AU486" s="141">
        <v>0</v>
      </c>
      <c r="AV486" s="141">
        <v>0.142857142857143</v>
      </c>
      <c r="AW486" s="141">
        <v>0.0664335664335664</v>
      </c>
      <c r="AX486" s="95"/>
      <c r="AY486" s="93"/>
    </row>
    <row r="487" ht="15" spans="1:51">
      <c r="A487" s="91"/>
      <c r="B487" s="95"/>
      <c r="C487" s="152" t="s">
        <v>375</v>
      </c>
      <c r="D487" s="153" t="s">
        <v>25</v>
      </c>
      <c r="E487" s="130" t="s">
        <v>376</v>
      </c>
      <c r="F487" s="154" t="s">
        <v>513</v>
      </c>
      <c r="G487" s="154" t="s">
        <v>513</v>
      </c>
      <c r="H487" s="154" t="s">
        <v>513</v>
      </c>
      <c r="I487" s="154" t="s">
        <v>513</v>
      </c>
      <c r="J487" s="132">
        <v>0.9</v>
      </c>
      <c r="K487" s="133">
        <v>0.961538461538462</v>
      </c>
      <c r="L487" s="133">
        <v>0.916666666666667</v>
      </c>
      <c r="M487" s="134">
        <v>1</v>
      </c>
      <c r="N487" s="133">
        <v>0.951434878587196</v>
      </c>
      <c r="O487" s="135">
        <v>0.9</v>
      </c>
      <c r="P487" s="133">
        <v>0.960132890365448</v>
      </c>
      <c r="Q487" s="133">
        <v>0.867572156196944</v>
      </c>
      <c r="R487" s="133">
        <v>0.975069252077562</v>
      </c>
      <c r="S487" s="133">
        <v>0.927229066610983</v>
      </c>
      <c r="T487" s="135">
        <v>0.9</v>
      </c>
      <c r="U487" s="133">
        <v>0.893687707641196</v>
      </c>
      <c r="V487" s="133">
        <v>0.806451612903226</v>
      </c>
      <c r="W487" s="133">
        <v>0.89196675900277</v>
      </c>
      <c r="X487" s="133">
        <v>0.86557736479432</v>
      </c>
      <c r="Y487" s="135">
        <v>0.92</v>
      </c>
      <c r="Z487" s="135">
        <v>0.921484653818701</v>
      </c>
      <c r="AA487" s="135">
        <v>0.837209302325581</v>
      </c>
      <c r="AB487" s="135">
        <v>0.867588932806324</v>
      </c>
      <c r="AC487" s="135">
        <v>0.897086746595779</v>
      </c>
      <c r="AD487" s="135">
        <v>0.92</v>
      </c>
      <c r="AE487" s="133">
        <v>0.993710691823899</v>
      </c>
      <c r="AF487" s="133">
        <v>0.994535519125683</v>
      </c>
      <c r="AG487" s="133">
        <v>0.98780487804878</v>
      </c>
      <c r="AH487" s="133">
        <v>0.993069592838579</v>
      </c>
      <c r="AI487" s="135">
        <v>0.92</v>
      </c>
      <c r="AJ487" s="133">
        <v>0.938368055555556</v>
      </c>
      <c r="AK487" s="133">
        <v>0.901134521880065</v>
      </c>
      <c r="AL487" s="133">
        <v>0.927524429967427</v>
      </c>
      <c r="AM487" s="133">
        <v>0.933285452078845</v>
      </c>
      <c r="AN487" s="132">
        <v>0.99</v>
      </c>
      <c r="AO487" s="137">
        <v>1</v>
      </c>
      <c r="AP487" s="137">
        <v>1</v>
      </c>
      <c r="AQ487" s="137">
        <v>1</v>
      </c>
      <c r="AR487" s="137">
        <v>1</v>
      </c>
      <c r="AS487" s="158">
        <v>0.05</v>
      </c>
      <c r="AT487" s="141">
        <v>0</v>
      </c>
      <c r="AU487" s="141">
        <v>0</v>
      </c>
      <c r="AV487" s="141">
        <v>0</v>
      </c>
      <c r="AW487" s="141">
        <v>0.00509832483612527</v>
      </c>
      <c r="AX487" s="95"/>
      <c r="AY487" s="93"/>
    </row>
    <row r="488" ht="15" spans="1:51">
      <c r="A488" s="91"/>
      <c r="B488" s="95"/>
      <c r="C488" s="152" t="s">
        <v>375</v>
      </c>
      <c r="D488" s="153" t="s">
        <v>25</v>
      </c>
      <c r="E488" s="130" t="s">
        <v>376</v>
      </c>
      <c r="F488" s="154" t="s">
        <v>514</v>
      </c>
      <c r="G488" s="154" t="s">
        <v>514</v>
      </c>
      <c r="H488" s="154" t="s">
        <v>514</v>
      </c>
      <c r="I488" s="154" t="s">
        <v>514</v>
      </c>
      <c r="J488" s="132">
        <v>0.9</v>
      </c>
      <c r="K488" s="133">
        <v>0.783783783783784</v>
      </c>
      <c r="L488" s="133">
        <v>0.705882352941177</v>
      </c>
      <c r="M488" s="134">
        <v>0.794117647058823</v>
      </c>
      <c r="N488" s="133">
        <v>0.729357798165138</v>
      </c>
      <c r="O488" s="135">
        <v>0.9</v>
      </c>
      <c r="P488" s="133">
        <v>0.988967691095351</v>
      </c>
      <c r="Q488" s="133">
        <v>0.964432284541724</v>
      </c>
      <c r="R488" s="133">
        <v>0.929411764705882</v>
      </c>
      <c r="S488" s="133">
        <v>0.961820339219655</v>
      </c>
      <c r="T488" s="135">
        <v>0.9</v>
      </c>
      <c r="U488" s="133">
        <v>0.911741528762805</v>
      </c>
      <c r="V488" s="133">
        <v>0.803009575923393</v>
      </c>
      <c r="W488" s="133">
        <v>0.913368983957219</v>
      </c>
      <c r="X488" s="133">
        <v>0.839917638026105</v>
      </c>
      <c r="Y488" s="135">
        <v>0.92</v>
      </c>
      <c r="Z488" s="135">
        <v>0.855475763016158</v>
      </c>
      <c r="AA488" s="135">
        <v>0.862461220268873</v>
      </c>
      <c r="AB488" s="135">
        <v>0.869239013933548</v>
      </c>
      <c r="AC488" s="135">
        <v>0.865327625946658</v>
      </c>
      <c r="AD488" s="135">
        <v>0.92</v>
      </c>
      <c r="AE488" s="133">
        <v>0.993265993265993</v>
      </c>
      <c r="AF488" s="133">
        <v>0.996932515337423</v>
      </c>
      <c r="AG488" s="133">
        <v>0.96078431372549</v>
      </c>
      <c r="AH488" s="133">
        <v>0.986056489095459</v>
      </c>
      <c r="AI488" s="135">
        <v>0.92</v>
      </c>
      <c r="AJ488" s="133">
        <v>0.895910780669145</v>
      </c>
      <c r="AK488" s="133">
        <v>0.902826855123675</v>
      </c>
      <c r="AL488" s="133">
        <v>0.922912205567452</v>
      </c>
      <c r="AM488" s="133">
        <v>0.916692070589032</v>
      </c>
      <c r="AN488" s="132">
        <v>0.99</v>
      </c>
      <c r="AO488" s="137">
        <v>1</v>
      </c>
      <c r="AP488" s="137">
        <v>1</v>
      </c>
      <c r="AQ488" s="137">
        <v>1</v>
      </c>
      <c r="AR488" s="137">
        <v>1</v>
      </c>
      <c r="AS488" s="158">
        <v>0.05</v>
      </c>
      <c r="AT488" s="141">
        <v>0.0769230769230769</v>
      </c>
      <c r="AU488" s="141">
        <v>0.333333333333333</v>
      </c>
      <c r="AV488" s="141">
        <v>0.25</v>
      </c>
      <c r="AW488" s="141">
        <v>0.103225806451613</v>
      </c>
      <c r="AX488" s="95"/>
      <c r="AY488" s="93"/>
    </row>
    <row r="489" ht="15" spans="1:51">
      <c r="A489" s="91"/>
      <c r="B489" s="95"/>
      <c r="C489" s="152" t="s">
        <v>375</v>
      </c>
      <c r="D489" s="153" t="s">
        <v>25</v>
      </c>
      <c r="E489" s="130" t="s">
        <v>376</v>
      </c>
      <c r="F489" s="154" t="s">
        <v>515</v>
      </c>
      <c r="G489" s="154" t="s">
        <v>515</v>
      </c>
      <c r="H489" s="154" t="s">
        <v>515</v>
      </c>
      <c r="I489" s="154" t="s">
        <v>515</v>
      </c>
      <c r="J489" s="132">
        <v>0.9</v>
      </c>
      <c r="K489" s="133">
        <v>0.955555555555556</v>
      </c>
      <c r="L489" s="133">
        <v>0.951219512195122</v>
      </c>
      <c r="M489" s="134">
        <v>0.971428571428571</v>
      </c>
      <c r="N489" s="133">
        <v>0.966442953020134</v>
      </c>
      <c r="O489" s="135">
        <v>0.9</v>
      </c>
      <c r="P489" s="133">
        <v>0.995082974800246</v>
      </c>
      <c r="Q489" s="133">
        <v>0.990055248618785</v>
      </c>
      <c r="R489" s="133">
        <v>0.983648881239243</v>
      </c>
      <c r="S489" s="133">
        <v>0.982169006805065</v>
      </c>
      <c r="T489" s="135">
        <v>0.9</v>
      </c>
      <c r="U489" s="133">
        <v>0.947141979102643</v>
      </c>
      <c r="V489" s="133">
        <v>0.948066298342541</v>
      </c>
      <c r="W489" s="133">
        <v>0.891566265060241</v>
      </c>
      <c r="X489" s="133">
        <v>0.920837281419588</v>
      </c>
      <c r="Y489" s="135">
        <v>0.92</v>
      </c>
      <c r="Z489" s="135">
        <v>0.948071216617211</v>
      </c>
      <c r="AA489" s="135">
        <v>0.929527207850134</v>
      </c>
      <c r="AB489" s="135">
        <v>0.908690869086909</v>
      </c>
      <c r="AC489" s="135">
        <v>0.919544559045081</v>
      </c>
      <c r="AD489" s="135">
        <v>0.92</v>
      </c>
      <c r="AE489" s="133">
        <v>0.99859437751004</v>
      </c>
      <c r="AF489" s="133">
        <v>0.985237974039196</v>
      </c>
      <c r="AG489" s="133">
        <v>0.98705656759348</v>
      </c>
      <c r="AH489" s="133">
        <v>0.989906764007389</v>
      </c>
      <c r="AI489" s="135">
        <v>0.92</v>
      </c>
      <c r="AJ489" s="133">
        <v>0.959518852648624</v>
      </c>
      <c r="AK489" s="133">
        <v>0.955083909180652</v>
      </c>
      <c r="AL489" s="133">
        <v>0.942539835828102</v>
      </c>
      <c r="AM489" s="133">
        <v>0.950150687104356</v>
      </c>
      <c r="AN489" s="132">
        <v>0.99</v>
      </c>
      <c r="AO489" s="137">
        <v>1</v>
      </c>
      <c r="AP489" s="137">
        <v>1</v>
      </c>
      <c r="AQ489" s="137">
        <v>1</v>
      </c>
      <c r="AR489" s="137">
        <v>1</v>
      </c>
      <c r="AS489" s="158">
        <v>0.05</v>
      </c>
      <c r="AT489" s="141">
        <v>0.166666666666667</v>
      </c>
      <c r="AU489" s="141">
        <v>0.0833333333333333</v>
      </c>
      <c r="AV489" s="141">
        <v>0</v>
      </c>
      <c r="AW489" s="141">
        <v>0.056047197640118</v>
      </c>
      <c r="AX489" s="95"/>
      <c r="AY489" s="93"/>
    </row>
    <row r="490" ht="15" spans="1:51">
      <c r="A490" s="91"/>
      <c r="B490" s="95"/>
      <c r="C490" s="152" t="s">
        <v>375</v>
      </c>
      <c r="D490" s="153" t="s">
        <v>25</v>
      </c>
      <c r="E490" s="130" t="s">
        <v>376</v>
      </c>
      <c r="F490" s="154" t="s">
        <v>516</v>
      </c>
      <c r="G490" s="154" t="s">
        <v>516</v>
      </c>
      <c r="H490" s="154" t="s">
        <v>516</v>
      </c>
      <c r="I490" s="154" t="s">
        <v>516</v>
      </c>
      <c r="J490" s="132">
        <v>0.9</v>
      </c>
      <c r="K490" s="133">
        <v>0.959183673469388</v>
      </c>
      <c r="L490" s="133">
        <v>0.926829268292683</v>
      </c>
      <c r="M490" s="134">
        <v>0.923076923076923</v>
      </c>
      <c r="N490" s="133">
        <v>0.914191419141914</v>
      </c>
      <c r="O490" s="135">
        <v>0.9</v>
      </c>
      <c r="P490" s="133">
        <v>0.968936678614098</v>
      </c>
      <c r="Q490" s="133">
        <v>0.931114551083591</v>
      </c>
      <c r="R490" s="133">
        <v>0.962686567164179</v>
      </c>
      <c r="S490" s="133">
        <v>0.958221111724048</v>
      </c>
      <c r="T490" s="135">
        <v>0.9</v>
      </c>
      <c r="U490" s="133">
        <v>0.957586618876941</v>
      </c>
      <c r="V490" s="133">
        <v>0.952786377708978</v>
      </c>
      <c r="W490" s="133">
        <v>0.921952736318408</v>
      </c>
      <c r="X490" s="133">
        <v>0.935522601161696</v>
      </c>
      <c r="Y490" s="135">
        <v>0.92</v>
      </c>
      <c r="Z490" s="135">
        <v>0.935750636132316</v>
      </c>
      <c r="AA490" s="135">
        <v>0.931155192532089</v>
      </c>
      <c r="AB490" s="135">
        <v>0.919811320754717</v>
      </c>
      <c r="AC490" s="135">
        <v>0.946112285647169</v>
      </c>
      <c r="AD490" s="135">
        <v>0.92</v>
      </c>
      <c r="AE490" s="133">
        <v>0.997755331088664</v>
      </c>
      <c r="AF490" s="133">
        <v>0.992768595041322</v>
      </c>
      <c r="AG490" s="133">
        <v>0.990328820116054</v>
      </c>
      <c r="AH490" s="133">
        <v>0.993889889374839</v>
      </c>
      <c r="AI490" s="135">
        <v>0.92</v>
      </c>
      <c r="AJ490" s="133">
        <v>0.962118878965199</v>
      </c>
      <c r="AK490" s="133">
        <v>0.964169381107492</v>
      </c>
      <c r="AL490" s="133">
        <v>0.969987699876999</v>
      </c>
      <c r="AM490" s="133">
        <v>0.979682149230695</v>
      </c>
      <c r="AN490" s="132">
        <v>0.99</v>
      </c>
      <c r="AO490" s="137">
        <v>1</v>
      </c>
      <c r="AP490" s="137">
        <v>1</v>
      </c>
      <c r="AQ490" s="137">
        <v>1</v>
      </c>
      <c r="AR490" s="137">
        <v>1</v>
      </c>
      <c r="AS490" s="158">
        <v>0.05</v>
      </c>
      <c r="AT490" s="141">
        <v>0</v>
      </c>
      <c r="AU490" s="141">
        <v>0.2</v>
      </c>
      <c r="AV490" s="141">
        <v>0.214285714285714</v>
      </c>
      <c r="AW490" s="141">
        <v>0.0877742946708464</v>
      </c>
      <c r="AX490" s="95"/>
      <c r="AY490" s="93"/>
    </row>
    <row r="491" ht="15" spans="1:51">
      <c r="A491" s="91"/>
      <c r="B491" s="95"/>
      <c r="C491" s="152" t="s">
        <v>375</v>
      </c>
      <c r="D491" s="153" t="s">
        <v>25</v>
      </c>
      <c r="E491" s="130" t="s">
        <v>376</v>
      </c>
      <c r="F491" s="154" t="s">
        <v>517</v>
      </c>
      <c r="G491" s="154" t="s">
        <v>517</v>
      </c>
      <c r="H491" s="154" t="s">
        <v>517</v>
      </c>
      <c r="I491" s="154" t="s">
        <v>517</v>
      </c>
      <c r="J491" s="132">
        <v>0.9</v>
      </c>
      <c r="K491" s="133">
        <v>0.928571428571429</v>
      </c>
      <c r="L491" s="133">
        <v>0.818181818181818</v>
      </c>
      <c r="M491" s="134">
        <v>0.810810810810811</v>
      </c>
      <c r="N491" s="133">
        <v>0.875</v>
      </c>
      <c r="O491" s="135">
        <v>0.9</v>
      </c>
      <c r="P491" s="133">
        <v>0.966089466089466</v>
      </c>
      <c r="Q491" s="133">
        <v>0.992761116856256</v>
      </c>
      <c r="R491" s="133">
        <v>0.95011424219345</v>
      </c>
      <c r="S491" s="133">
        <v>0.961148681009215</v>
      </c>
      <c r="T491" s="135">
        <v>0.9</v>
      </c>
      <c r="U491" s="133">
        <v>0.936507936507937</v>
      </c>
      <c r="V491" s="133">
        <v>0.928645294725957</v>
      </c>
      <c r="W491" s="133">
        <v>0.891469916222391</v>
      </c>
      <c r="X491" s="133">
        <v>0.91183739152091</v>
      </c>
      <c r="Y491" s="135">
        <v>0.92</v>
      </c>
      <c r="Z491" s="135">
        <v>0.911402789171452</v>
      </c>
      <c r="AA491" s="135">
        <v>0.871641791044776</v>
      </c>
      <c r="AB491" s="135">
        <v>0.890501319261214</v>
      </c>
      <c r="AC491" s="135">
        <v>0.910711215542438</v>
      </c>
      <c r="AD491" s="135">
        <v>0.92</v>
      </c>
      <c r="AE491" s="133">
        <v>1</v>
      </c>
      <c r="AF491" s="133">
        <v>0.99912010558733</v>
      </c>
      <c r="AG491" s="133">
        <v>0.999172185430464</v>
      </c>
      <c r="AH491" s="133">
        <v>0.998656312712678</v>
      </c>
      <c r="AI491" s="135">
        <v>0.92</v>
      </c>
      <c r="AJ491" s="133">
        <v>0.940973553085473</v>
      </c>
      <c r="AK491" s="133">
        <v>0.923687423687424</v>
      </c>
      <c r="AL491" s="133">
        <v>0.929985228951256</v>
      </c>
      <c r="AM491" s="133">
        <v>0.954253150747854</v>
      </c>
      <c r="AN491" s="132">
        <v>0.99</v>
      </c>
      <c r="AO491" s="137">
        <v>1</v>
      </c>
      <c r="AP491" s="137">
        <v>1</v>
      </c>
      <c r="AQ491" s="137">
        <v>1</v>
      </c>
      <c r="AR491" s="137">
        <v>1</v>
      </c>
      <c r="AS491" s="158">
        <v>0.05</v>
      </c>
      <c r="AT491" s="141">
        <v>0.111111111111111</v>
      </c>
      <c r="AU491" s="141">
        <v>0.0454545454545455</v>
      </c>
      <c r="AV491" s="141">
        <v>0.0666666666666667</v>
      </c>
      <c r="AW491" s="141">
        <v>0.0426065162907268</v>
      </c>
      <c r="AX491" s="95"/>
      <c r="AY491" s="93"/>
    </row>
    <row r="492" ht="15" spans="1:51">
      <c r="A492" s="91"/>
      <c r="B492" s="95"/>
      <c r="C492" s="152" t="s">
        <v>375</v>
      </c>
      <c r="D492" s="153" t="s">
        <v>25</v>
      </c>
      <c r="E492" s="130" t="s">
        <v>376</v>
      </c>
      <c r="F492" s="154" t="s">
        <v>518</v>
      </c>
      <c r="G492" s="154" t="s">
        <v>518</v>
      </c>
      <c r="H492" s="154" t="s">
        <v>518</v>
      </c>
      <c r="I492" s="154" t="s">
        <v>518</v>
      </c>
      <c r="J492" s="132">
        <v>0.9</v>
      </c>
      <c r="K492" s="133">
        <v>0.938775510204082</v>
      </c>
      <c r="L492" s="133">
        <v>0.976744186046512</v>
      </c>
      <c r="M492" s="134">
        <v>0.953488372093023</v>
      </c>
      <c r="N492" s="133">
        <v>0.964244521337947</v>
      </c>
      <c r="O492" s="135">
        <v>0.9</v>
      </c>
      <c r="P492" s="133">
        <v>0.5</v>
      </c>
      <c r="Q492" s="133">
        <v>1</v>
      </c>
      <c r="R492" s="133">
        <v>1</v>
      </c>
      <c r="S492" s="133">
        <v>0.75</v>
      </c>
      <c r="T492" s="135">
        <v>0.9</v>
      </c>
      <c r="U492" s="133">
        <v>0</v>
      </c>
      <c r="V492" s="133">
        <v>0</v>
      </c>
      <c r="W492" s="133">
        <v>0</v>
      </c>
      <c r="X492" s="133">
        <v>0.333333333333333</v>
      </c>
      <c r="Y492" s="135">
        <v>0.92</v>
      </c>
      <c r="Z492" s="135" t="s">
        <v>35</v>
      </c>
      <c r="AA492" s="135" t="s">
        <v>35</v>
      </c>
      <c r="AB492" s="135" t="s">
        <v>35</v>
      </c>
      <c r="AC492" s="135" t="s">
        <v>35</v>
      </c>
      <c r="AD492" s="135">
        <v>0.92</v>
      </c>
      <c r="AE492" s="133">
        <v>1</v>
      </c>
      <c r="AF492" s="133">
        <v>0.997389033942559</v>
      </c>
      <c r="AG492" s="133">
        <v>0.996884735202492</v>
      </c>
      <c r="AH492" s="133">
        <v>0.990820561941252</v>
      </c>
      <c r="AI492" s="135">
        <v>0.92</v>
      </c>
      <c r="AJ492" s="133">
        <v>0.951891447368421</v>
      </c>
      <c r="AK492" s="133">
        <v>0.964655984919887</v>
      </c>
      <c r="AL492" s="133">
        <v>0.952858118879526</v>
      </c>
      <c r="AM492" s="133">
        <v>0.971355647079297</v>
      </c>
      <c r="AN492" s="132">
        <v>0.99</v>
      </c>
      <c r="AO492" s="137">
        <v>1</v>
      </c>
      <c r="AP492" s="137">
        <v>1</v>
      </c>
      <c r="AQ492" s="137">
        <v>1</v>
      </c>
      <c r="AR492" s="137">
        <v>1</v>
      </c>
      <c r="AS492" s="158">
        <v>0.05</v>
      </c>
      <c r="AT492" s="141">
        <v>0</v>
      </c>
      <c r="AU492" s="141">
        <v>0.111111111111111</v>
      </c>
      <c r="AV492" s="141">
        <v>0</v>
      </c>
      <c r="AW492" s="141">
        <v>0.0610932475884244</v>
      </c>
      <c r="AX492" s="95"/>
      <c r="AY492" s="93"/>
    </row>
    <row r="493" ht="15" spans="1:51">
      <c r="A493" s="91"/>
      <c r="B493" s="95"/>
      <c r="C493" s="152" t="s">
        <v>375</v>
      </c>
      <c r="D493" s="153" t="s">
        <v>25</v>
      </c>
      <c r="E493" s="130" t="s">
        <v>376</v>
      </c>
      <c r="F493" s="154" t="s">
        <v>519</v>
      </c>
      <c r="G493" s="154" t="s">
        <v>519</v>
      </c>
      <c r="H493" s="154" t="s">
        <v>519</v>
      </c>
      <c r="I493" s="154" t="s">
        <v>519</v>
      </c>
      <c r="J493" s="132">
        <v>0.9</v>
      </c>
      <c r="K493" s="133">
        <v>0.886792452830189</v>
      </c>
      <c r="L493" s="133">
        <v>0.888888888888889</v>
      </c>
      <c r="M493" s="134">
        <v>0.880952380952381</v>
      </c>
      <c r="N493" s="133">
        <v>0.901063829787234</v>
      </c>
      <c r="O493" s="135">
        <v>0.9</v>
      </c>
      <c r="P493" s="133">
        <v>0.0588235294117647</v>
      </c>
      <c r="Q493" s="133">
        <v>0</v>
      </c>
      <c r="R493" s="133">
        <v>0</v>
      </c>
      <c r="S493" s="133">
        <v>0.0571428571428571</v>
      </c>
      <c r="T493" s="135">
        <v>0.9</v>
      </c>
      <c r="U493" s="133">
        <v>0.0588235294117647</v>
      </c>
      <c r="V493" s="133">
        <v>0</v>
      </c>
      <c r="W493" s="133">
        <v>0</v>
      </c>
      <c r="X493" s="133">
        <v>0.228571428571429</v>
      </c>
      <c r="Y493" s="135">
        <v>0.92</v>
      </c>
      <c r="Z493" s="135">
        <v>0</v>
      </c>
      <c r="AA493" s="135">
        <v>0</v>
      </c>
      <c r="AB493" s="135" t="s">
        <v>35</v>
      </c>
      <c r="AC493" s="135">
        <v>0.214285714285714</v>
      </c>
      <c r="AD493" s="135">
        <v>0.92</v>
      </c>
      <c r="AE493" s="133">
        <v>0.992424242424242</v>
      </c>
      <c r="AF493" s="133">
        <v>0.997464074387151</v>
      </c>
      <c r="AG493" s="133">
        <v>0.99</v>
      </c>
      <c r="AH493" s="133">
        <v>0.989347247132996</v>
      </c>
      <c r="AI493" s="135">
        <v>0.92</v>
      </c>
      <c r="AJ493" s="133">
        <v>0.866947368421053</v>
      </c>
      <c r="AK493" s="133">
        <v>0.818493150684932</v>
      </c>
      <c r="AL493" s="133">
        <v>0.806669776119403</v>
      </c>
      <c r="AM493" s="133">
        <v>0.91227128628841</v>
      </c>
      <c r="AN493" s="132">
        <v>0.99</v>
      </c>
      <c r="AO493" s="137">
        <v>1</v>
      </c>
      <c r="AP493" s="137">
        <v>1</v>
      </c>
      <c r="AQ493" s="137">
        <v>1</v>
      </c>
      <c r="AR493" s="137">
        <v>1</v>
      </c>
      <c r="AS493" s="158">
        <v>0.05</v>
      </c>
      <c r="AT493" s="141">
        <v>0.153846153846154</v>
      </c>
      <c r="AU493" s="141">
        <v>0.125</v>
      </c>
      <c r="AV493" s="141">
        <v>0.0769230769230769</v>
      </c>
      <c r="AW493" s="141">
        <v>0.0640569395017794</v>
      </c>
      <c r="AX493" s="95"/>
      <c r="AY493" s="93"/>
    </row>
    <row r="494" ht="15" spans="1:51">
      <c r="A494" s="91"/>
      <c r="B494" s="95"/>
      <c r="C494" s="152" t="s">
        <v>375</v>
      </c>
      <c r="D494" s="153" t="s">
        <v>25</v>
      </c>
      <c r="E494" s="130" t="s">
        <v>376</v>
      </c>
      <c r="F494" s="154" t="s">
        <v>520</v>
      </c>
      <c r="G494" s="154" t="s">
        <v>520</v>
      </c>
      <c r="H494" s="154" t="s">
        <v>520</v>
      </c>
      <c r="I494" s="154" t="s">
        <v>520</v>
      </c>
      <c r="J494" s="132">
        <v>0.9</v>
      </c>
      <c r="K494" s="133">
        <v>1</v>
      </c>
      <c r="L494" s="133">
        <v>0.928571428571429</v>
      </c>
      <c r="M494" s="134">
        <v>0.875</v>
      </c>
      <c r="N494" s="133">
        <v>0.928902627511592</v>
      </c>
      <c r="O494" s="135">
        <v>0.9</v>
      </c>
      <c r="P494" s="133">
        <v>0.942913385826772</v>
      </c>
      <c r="Q494" s="133">
        <v>0.796007485963818</v>
      </c>
      <c r="R494" s="133">
        <v>0.881107998755058</v>
      </c>
      <c r="S494" s="133">
        <v>0.929443198311123</v>
      </c>
      <c r="T494" s="135">
        <v>0.9</v>
      </c>
      <c r="U494" s="133">
        <v>0.87746062992126</v>
      </c>
      <c r="V494" s="133">
        <v>0.835308796007486</v>
      </c>
      <c r="W494" s="133">
        <v>0.838779956427015</v>
      </c>
      <c r="X494" s="133">
        <v>0.871651932972688</v>
      </c>
      <c r="Y494" s="135">
        <v>0.92</v>
      </c>
      <c r="Z494" s="135">
        <v>1</v>
      </c>
      <c r="AA494" s="135">
        <v>0.5</v>
      </c>
      <c r="AB494" s="135" t="s">
        <v>35</v>
      </c>
      <c r="AC494" s="135">
        <v>0.6</v>
      </c>
      <c r="AD494" s="135">
        <v>0.92</v>
      </c>
      <c r="AE494" s="133">
        <v>1</v>
      </c>
      <c r="AF494" s="133">
        <v>0.996724379971923</v>
      </c>
      <c r="AG494" s="133">
        <v>0.951014695591323</v>
      </c>
      <c r="AH494" s="133">
        <v>0.99461591615801</v>
      </c>
      <c r="AI494" s="135">
        <v>0.92</v>
      </c>
      <c r="AJ494" s="133">
        <v>0.955304518664047</v>
      </c>
      <c r="AK494" s="133">
        <v>0.909034267912773</v>
      </c>
      <c r="AL494" s="133">
        <v>0.935262994086523</v>
      </c>
      <c r="AM494" s="133">
        <v>0.961892355385529</v>
      </c>
      <c r="AN494" s="132">
        <v>0.99</v>
      </c>
      <c r="AO494" s="137">
        <v>1</v>
      </c>
      <c r="AP494" s="137">
        <v>1</v>
      </c>
      <c r="AQ494" s="137">
        <v>1</v>
      </c>
      <c r="AR494" s="137">
        <v>1</v>
      </c>
      <c r="AS494" s="158">
        <v>0.05</v>
      </c>
      <c r="AT494" s="141">
        <v>0</v>
      </c>
      <c r="AU494" s="141">
        <v>0</v>
      </c>
      <c r="AV494" s="141">
        <v>0</v>
      </c>
      <c r="AW494" s="141">
        <v>0.0599078341013825</v>
      </c>
      <c r="AX494" s="95"/>
      <c r="AY494" s="93"/>
    </row>
    <row r="495" ht="15" spans="1:51">
      <c r="A495" s="91"/>
      <c r="B495" s="95"/>
      <c r="C495" s="152" t="s">
        <v>375</v>
      </c>
      <c r="D495" s="153" t="s">
        <v>25</v>
      </c>
      <c r="E495" s="130" t="s">
        <v>376</v>
      </c>
      <c r="F495" s="154" t="s">
        <v>521</v>
      </c>
      <c r="G495" s="154" t="s">
        <v>521</v>
      </c>
      <c r="H495" s="154" t="s">
        <v>521</v>
      </c>
      <c r="I495" s="154" t="s">
        <v>521</v>
      </c>
      <c r="J495" s="132">
        <v>0.9</v>
      </c>
      <c r="K495" s="133">
        <v>0.9</v>
      </c>
      <c r="L495" s="133">
        <v>0.909090909090909</v>
      </c>
      <c r="M495" s="134">
        <v>0.930232558139535</v>
      </c>
      <c r="N495" s="133">
        <v>0.953181272509004</v>
      </c>
      <c r="O495" s="135">
        <v>0.9</v>
      </c>
      <c r="P495" s="133">
        <v>0.94944799535154</v>
      </c>
      <c r="Q495" s="133">
        <v>0.982215036378335</v>
      </c>
      <c r="R495" s="133">
        <v>0.964855286473715</v>
      </c>
      <c r="S495" s="133">
        <v>0.965343287311801</v>
      </c>
      <c r="T495" s="135">
        <v>0.9</v>
      </c>
      <c r="U495" s="133">
        <v>0.929692039511912</v>
      </c>
      <c r="V495" s="133">
        <v>0.934518997574778</v>
      </c>
      <c r="W495" s="133">
        <v>0.912285883047844</v>
      </c>
      <c r="X495" s="133">
        <v>0.921487474230024</v>
      </c>
      <c r="Y495" s="135">
        <v>0.92</v>
      </c>
      <c r="Z495" s="135">
        <v>0.948947032546267</v>
      </c>
      <c r="AA495" s="135">
        <v>0.930444697833523</v>
      </c>
      <c r="AB495" s="135">
        <v>0.873526259378349</v>
      </c>
      <c r="AC495" s="135">
        <v>0.910771306498763</v>
      </c>
      <c r="AD495" s="135">
        <v>0.92</v>
      </c>
      <c r="AE495" s="133">
        <v>0.998771498771499</v>
      </c>
      <c r="AF495" s="133">
        <v>0.997809419496167</v>
      </c>
      <c r="AG495" s="133">
        <v>0.992237120677488</v>
      </c>
      <c r="AH495" s="133">
        <v>0.992411595082714</v>
      </c>
      <c r="AI495" s="135">
        <v>0.92</v>
      </c>
      <c r="AJ495" s="133">
        <v>0.955427531837477</v>
      </c>
      <c r="AK495" s="133">
        <v>0.955534531693472</v>
      </c>
      <c r="AL495" s="133">
        <v>0.941666666666667</v>
      </c>
      <c r="AM495" s="133">
        <v>0.95767416524692</v>
      </c>
      <c r="AN495" s="132">
        <v>0.99</v>
      </c>
      <c r="AO495" s="137">
        <v>1</v>
      </c>
      <c r="AP495" s="137">
        <v>1</v>
      </c>
      <c r="AQ495" s="137">
        <v>1</v>
      </c>
      <c r="AR495" s="137">
        <v>1</v>
      </c>
      <c r="AS495" s="158">
        <v>0.05</v>
      </c>
      <c r="AT495" s="141">
        <v>0.25</v>
      </c>
      <c r="AU495" s="141">
        <v>0.125</v>
      </c>
      <c r="AV495" s="141">
        <v>0.0588235294117647</v>
      </c>
      <c r="AW495" s="141">
        <v>0.0508083140877598</v>
      </c>
      <c r="AX495" s="95"/>
      <c r="AY495" s="93"/>
    </row>
    <row r="496" ht="15" spans="1:51">
      <c r="A496" s="91"/>
      <c r="B496" s="95"/>
      <c r="C496" s="152" t="s">
        <v>375</v>
      </c>
      <c r="D496" s="153" t="s">
        <v>25</v>
      </c>
      <c r="E496" s="130" t="s">
        <v>376</v>
      </c>
      <c r="F496" s="154" t="s">
        <v>522</v>
      </c>
      <c r="G496" s="154" t="s">
        <v>522</v>
      </c>
      <c r="H496" s="154" t="s">
        <v>522</v>
      </c>
      <c r="I496" s="154" t="s">
        <v>522</v>
      </c>
      <c r="J496" s="132">
        <v>0.9</v>
      </c>
      <c r="K496" s="133">
        <v>0.977272727272727</v>
      </c>
      <c r="L496" s="133">
        <v>0.952380952380952</v>
      </c>
      <c r="M496" s="134">
        <v>0.951219512195122</v>
      </c>
      <c r="N496" s="133">
        <v>0.97051597051597</v>
      </c>
      <c r="O496" s="135">
        <v>0.9</v>
      </c>
      <c r="P496" s="133">
        <v>0.968933177022274</v>
      </c>
      <c r="Q496" s="133">
        <v>0.97972972972973</v>
      </c>
      <c r="R496" s="133">
        <v>0.976344782890473</v>
      </c>
      <c r="S496" s="133">
        <v>0.974429950520743</v>
      </c>
      <c r="T496" s="135">
        <v>0.9</v>
      </c>
      <c r="U496" s="133">
        <v>0.919695193434936</v>
      </c>
      <c r="V496" s="133">
        <v>0.910472972972973</v>
      </c>
      <c r="W496" s="133">
        <v>0.917692806221646</v>
      </c>
      <c r="X496" s="133">
        <v>0.919968167191447</v>
      </c>
      <c r="Y496" s="135">
        <v>0.92</v>
      </c>
      <c r="Z496" s="135">
        <v>0.943055555555556</v>
      </c>
      <c r="AA496" s="135">
        <v>0.943536404160475</v>
      </c>
      <c r="AB496" s="135">
        <v>0.914285714285714</v>
      </c>
      <c r="AC496" s="135">
        <v>0.933165906411768</v>
      </c>
      <c r="AD496" s="135">
        <v>0.92</v>
      </c>
      <c r="AE496" s="133">
        <v>1</v>
      </c>
      <c r="AF496" s="133">
        <v>0.999390243902439</v>
      </c>
      <c r="AG496" s="133">
        <v>0.998734977862113</v>
      </c>
      <c r="AH496" s="133">
        <v>0.998471934530884</v>
      </c>
      <c r="AI496" s="135">
        <v>0.92</v>
      </c>
      <c r="AJ496" s="133">
        <v>0.959313413858868</v>
      </c>
      <c r="AK496" s="133">
        <v>0.971997845988153</v>
      </c>
      <c r="AL496" s="133">
        <v>0.964085583290881</v>
      </c>
      <c r="AM496" s="133">
        <v>0.971921156781086</v>
      </c>
      <c r="AN496" s="132">
        <v>0.99</v>
      </c>
      <c r="AO496" s="137">
        <v>1</v>
      </c>
      <c r="AP496" s="137">
        <v>1</v>
      </c>
      <c r="AQ496" s="137">
        <v>1</v>
      </c>
      <c r="AR496" s="137">
        <v>1</v>
      </c>
      <c r="AS496" s="158">
        <v>0.05</v>
      </c>
      <c r="AT496" s="141">
        <v>0.166666666666667</v>
      </c>
      <c r="AU496" s="141">
        <v>0.4</v>
      </c>
      <c r="AV496" s="141">
        <v>0.142857142857143</v>
      </c>
      <c r="AW496" s="141">
        <v>0.0638297872340425</v>
      </c>
      <c r="AX496" s="95"/>
      <c r="AY496" s="93"/>
    </row>
    <row r="497" ht="15" spans="1:51">
      <c r="A497" s="91"/>
      <c r="B497" s="95"/>
      <c r="C497" s="152" t="s">
        <v>375</v>
      </c>
      <c r="D497" s="153" t="s">
        <v>25</v>
      </c>
      <c r="E497" s="130" t="s">
        <v>376</v>
      </c>
      <c r="F497" s="154" t="s">
        <v>523</v>
      </c>
      <c r="G497" s="154" t="s">
        <v>523</v>
      </c>
      <c r="H497" s="154" t="s">
        <v>523</v>
      </c>
      <c r="I497" s="154" t="s">
        <v>523</v>
      </c>
      <c r="J497" s="132">
        <v>0.9</v>
      </c>
      <c r="K497" s="133">
        <v>0.989010989010989</v>
      </c>
      <c r="L497" s="133">
        <v>0.952380952380952</v>
      </c>
      <c r="M497" s="134">
        <v>0.987341772151899</v>
      </c>
      <c r="N497" s="133">
        <v>0.977695167286245</v>
      </c>
      <c r="O497" s="135">
        <v>0.9</v>
      </c>
      <c r="P497" s="133">
        <v>0.975182087941732</v>
      </c>
      <c r="Q497" s="133">
        <v>0.978127136021873</v>
      </c>
      <c r="R497" s="133">
        <v>0.976854690374004</v>
      </c>
      <c r="S497" s="133">
        <v>0.979598104598105</v>
      </c>
      <c r="T497" s="135">
        <v>0.9</v>
      </c>
      <c r="U497" s="133">
        <v>0.930401942271379</v>
      </c>
      <c r="V497" s="133">
        <v>0.927546138072454</v>
      </c>
      <c r="W497" s="133">
        <v>0.947118332311465</v>
      </c>
      <c r="X497" s="133">
        <v>0.950307125307125</v>
      </c>
      <c r="Y497" s="135">
        <v>0.92</v>
      </c>
      <c r="Z497" s="135">
        <v>0.936708860759494</v>
      </c>
      <c r="AA497" s="135">
        <v>0.94066882416397</v>
      </c>
      <c r="AB497" s="135">
        <v>0.810422960725076</v>
      </c>
      <c r="AC497" s="135">
        <v>0.940422766240599</v>
      </c>
      <c r="AD497" s="135">
        <v>0.92</v>
      </c>
      <c r="AE497" s="133">
        <v>0.990476190476191</v>
      </c>
      <c r="AF497" s="133">
        <v>0.998427672955975</v>
      </c>
      <c r="AG497" s="133">
        <v>0.98972602739726</v>
      </c>
      <c r="AH497" s="133">
        <v>0.98534832288979</v>
      </c>
      <c r="AI497" s="135">
        <v>0.92</v>
      </c>
      <c r="AJ497" s="133">
        <v>0.95940240337772</v>
      </c>
      <c r="AK497" s="133">
        <v>0.973295307233601</v>
      </c>
      <c r="AL497" s="133">
        <v>0.958874458874459</v>
      </c>
      <c r="AM497" s="133">
        <v>0.980491472709252</v>
      </c>
      <c r="AN497" s="132">
        <v>0.99</v>
      </c>
      <c r="AO497" s="137">
        <v>1</v>
      </c>
      <c r="AP497" s="137">
        <v>1</v>
      </c>
      <c r="AQ497" s="137">
        <v>1</v>
      </c>
      <c r="AR497" s="137">
        <v>1</v>
      </c>
      <c r="AS497" s="158">
        <v>0.05</v>
      </c>
      <c r="AT497" s="141">
        <v>0</v>
      </c>
      <c r="AU497" s="141">
        <v>0.0588235294117647</v>
      </c>
      <c r="AV497" s="141">
        <v>0.05</v>
      </c>
      <c r="AW497" s="141">
        <v>0.0491803278688525</v>
      </c>
      <c r="AX497" s="95"/>
      <c r="AY497" s="93"/>
    </row>
    <row r="498" ht="15" spans="1:51">
      <c r="A498" s="91"/>
      <c r="B498" s="95"/>
      <c r="C498" s="152" t="s">
        <v>375</v>
      </c>
      <c r="D498" s="153" t="s">
        <v>25</v>
      </c>
      <c r="E498" s="130" t="s">
        <v>376</v>
      </c>
      <c r="F498" s="154" t="s">
        <v>524</v>
      </c>
      <c r="G498" s="154" t="s">
        <v>524</v>
      </c>
      <c r="H498" s="154" t="s">
        <v>524</v>
      </c>
      <c r="I498" s="154" t="s">
        <v>524</v>
      </c>
      <c r="J498" s="132">
        <v>0.9</v>
      </c>
      <c r="K498" s="133">
        <v>0.96875</v>
      </c>
      <c r="L498" s="133">
        <v>1</v>
      </c>
      <c r="M498" s="134">
        <v>1</v>
      </c>
      <c r="N498" s="133">
        <v>0.974048442906574</v>
      </c>
      <c r="O498" s="135">
        <v>0.9</v>
      </c>
      <c r="P498" s="133">
        <v>1</v>
      </c>
      <c r="Q498" s="133" t="s">
        <v>35</v>
      </c>
      <c r="R498" s="133">
        <v>0</v>
      </c>
      <c r="S498" s="133">
        <v>0.25</v>
      </c>
      <c r="T498" s="135">
        <v>0.9</v>
      </c>
      <c r="U498" s="133">
        <v>0</v>
      </c>
      <c r="V498" s="133" t="s">
        <v>35</v>
      </c>
      <c r="W498" s="133">
        <v>0</v>
      </c>
      <c r="X498" s="133">
        <v>0.25</v>
      </c>
      <c r="Y498" s="135">
        <v>0.92</v>
      </c>
      <c r="Z498" s="135" t="s">
        <v>35</v>
      </c>
      <c r="AA498" s="135" t="s">
        <v>35</v>
      </c>
      <c r="AB498" s="135" t="s">
        <v>35</v>
      </c>
      <c r="AC498" s="135">
        <v>1</v>
      </c>
      <c r="AD498" s="135">
        <v>0.92</v>
      </c>
      <c r="AE498" s="133">
        <v>0.983606557377049</v>
      </c>
      <c r="AF498" s="133">
        <v>0.933333333333333</v>
      </c>
      <c r="AG498" s="133">
        <v>0.978260869565217</v>
      </c>
      <c r="AH498" s="133">
        <v>0.962609970674487</v>
      </c>
      <c r="AI498" s="135">
        <v>0.92</v>
      </c>
      <c r="AJ498" s="133">
        <v>0.973456790123457</v>
      </c>
      <c r="AK498" s="133">
        <v>0.972032742155525</v>
      </c>
      <c r="AL498" s="133">
        <v>0.981903485254692</v>
      </c>
      <c r="AM498" s="133">
        <v>0.984495031362323</v>
      </c>
      <c r="AN498" s="132">
        <v>0.99</v>
      </c>
      <c r="AO498" s="137">
        <v>1</v>
      </c>
      <c r="AP498" s="137">
        <v>1</v>
      </c>
      <c r="AQ498" s="137">
        <v>1</v>
      </c>
      <c r="AR498" s="137">
        <v>1</v>
      </c>
      <c r="AS498" s="158">
        <v>0.05</v>
      </c>
      <c r="AT498" s="141">
        <v>0</v>
      </c>
      <c r="AU498" s="141">
        <v>0</v>
      </c>
      <c r="AV498" s="141">
        <v>0</v>
      </c>
      <c r="AW498" s="141">
        <v>0.0403225806451613</v>
      </c>
      <c r="AX498" s="95"/>
      <c r="AY498" s="93"/>
    </row>
    <row r="499" ht="15" spans="1:51">
      <c r="A499" s="91"/>
      <c r="B499" s="95"/>
      <c r="C499" s="152" t="s">
        <v>375</v>
      </c>
      <c r="D499" s="153" t="s">
        <v>25</v>
      </c>
      <c r="E499" s="130" t="s">
        <v>376</v>
      </c>
      <c r="F499" s="154" t="s">
        <v>525</v>
      </c>
      <c r="G499" s="154" t="s">
        <v>525</v>
      </c>
      <c r="H499" s="154" t="s">
        <v>525</v>
      </c>
      <c r="I499" s="154" t="s">
        <v>525</v>
      </c>
      <c r="J499" s="132">
        <v>0.9</v>
      </c>
      <c r="K499" s="133">
        <v>1</v>
      </c>
      <c r="L499" s="133">
        <v>0.866666666666667</v>
      </c>
      <c r="M499" s="134">
        <v>0.892857142857143</v>
      </c>
      <c r="N499" s="133">
        <v>0.92725509214355</v>
      </c>
      <c r="O499" s="135">
        <v>0.9</v>
      </c>
      <c r="P499" s="133">
        <v>0.5</v>
      </c>
      <c r="Q499" s="133">
        <v>0</v>
      </c>
      <c r="R499" s="133">
        <v>1</v>
      </c>
      <c r="S499" s="133">
        <v>0.545454545454545</v>
      </c>
      <c r="T499" s="135">
        <v>0.9</v>
      </c>
      <c r="U499" s="133">
        <v>0</v>
      </c>
      <c r="V499" s="133">
        <v>1</v>
      </c>
      <c r="W499" s="133">
        <v>0</v>
      </c>
      <c r="X499" s="133">
        <v>0.454545454545455</v>
      </c>
      <c r="Y499" s="135">
        <v>0.92</v>
      </c>
      <c r="Z499" s="135" t="s">
        <v>35</v>
      </c>
      <c r="AA499" s="135" t="s">
        <v>35</v>
      </c>
      <c r="AB499" s="135" t="s">
        <v>35</v>
      </c>
      <c r="AC499" s="135" t="s">
        <v>35</v>
      </c>
      <c r="AD499" s="135">
        <v>0.92</v>
      </c>
      <c r="AE499" s="133">
        <v>1</v>
      </c>
      <c r="AF499" s="133">
        <v>1</v>
      </c>
      <c r="AG499" s="133">
        <v>0.97841726618705</v>
      </c>
      <c r="AH499" s="133">
        <v>0.989204412109833</v>
      </c>
      <c r="AI499" s="135">
        <v>0.92</v>
      </c>
      <c r="AJ499" s="133">
        <v>0.965014577259475</v>
      </c>
      <c r="AK499" s="133">
        <v>0.942460317460317</v>
      </c>
      <c r="AL499" s="133">
        <v>0.96875</v>
      </c>
      <c r="AM499" s="133">
        <v>0.967615212747674</v>
      </c>
      <c r="AN499" s="132">
        <v>0.99</v>
      </c>
      <c r="AO499" s="137">
        <v>1</v>
      </c>
      <c r="AP499" s="137">
        <v>1</v>
      </c>
      <c r="AQ499" s="137">
        <v>1</v>
      </c>
      <c r="AR499" s="137">
        <v>1</v>
      </c>
      <c r="AS499" s="158">
        <v>0.05</v>
      </c>
      <c r="AT499" s="141">
        <v>0.125</v>
      </c>
      <c r="AU499" s="141">
        <v>0.142857142857143</v>
      </c>
      <c r="AV499" s="141">
        <v>0</v>
      </c>
      <c r="AW499" s="141">
        <v>0.0510204081632653</v>
      </c>
      <c r="AX499" s="95"/>
      <c r="AY499" s="93"/>
    </row>
    <row r="500" ht="15" spans="1:51">
      <c r="A500" s="91"/>
      <c r="B500" s="95"/>
      <c r="C500" s="152" t="s">
        <v>375</v>
      </c>
      <c r="D500" s="153" t="s">
        <v>25</v>
      </c>
      <c r="E500" s="130" t="s">
        <v>376</v>
      </c>
      <c r="F500" s="154" t="s">
        <v>526</v>
      </c>
      <c r="G500" s="154" t="s">
        <v>526</v>
      </c>
      <c r="H500" s="154" t="s">
        <v>526</v>
      </c>
      <c r="I500" s="154" t="s">
        <v>526</v>
      </c>
      <c r="J500" s="132">
        <v>0.9</v>
      </c>
      <c r="K500" s="133">
        <v>0.958333333333333</v>
      </c>
      <c r="L500" s="133">
        <v>0.894736842105263</v>
      </c>
      <c r="M500" s="134">
        <v>0.8125</v>
      </c>
      <c r="N500" s="133">
        <v>0.921951219512195</v>
      </c>
      <c r="O500" s="135">
        <v>0.9</v>
      </c>
      <c r="P500" s="133">
        <v>0</v>
      </c>
      <c r="Q500" s="133" t="s">
        <v>35</v>
      </c>
      <c r="R500" s="133" t="s">
        <v>35</v>
      </c>
      <c r="S500" s="133">
        <v>0.4</v>
      </c>
      <c r="T500" s="135">
        <v>0.9</v>
      </c>
      <c r="U500" s="133">
        <v>0</v>
      </c>
      <c r="V500" s="133" t="s">
        <v>35</v>
      </c>
      <c r="W500" s="133" t="s">
        <v>35</v>
      </c>
      <c r="X500" s="133">
        <v>0.2</v>
      </c>
      <c r="Y500" s="135">
        <v>0.92</v>
      </c>
      <c r="Z500" s="135" t="s">
        <v>35</v>
      </c>
      <c r="AA500" s="135" t="s">
        <v>35</v>
      </c>
      <c r="AB500" s="135" t="s">
        <v>35</v>
      </c>
      <c r="AC500" s="135">
        <v>1</v>
      </c>
      <c r="AD500" s="135">
        <v>0.92</v>
      </c>
      <c r="AE500" s="133">
        <v>0.983050847457627</v>
      </c>
      <c r="AF500" s="133">
        <v>1</v>
      </c>
      <c r="AG500" s="133">
        <v>0.96875</v>
      </c>
      <c r="AH500" s="133">
        <v>0.937448559670782</v>
      </c>
      <c r="AI500" s="135">
        <v>0.92</v>
      </c>
      <c r="AJ500" s="133">
        <v>0.957649092480553</v>
      </c>
      <c r="AK500" s="133">
        <v>0.870242214532872</v>
      </c>
      <c r="AL500" s="133">
        <v>0.847971466785555</v>
      </c>
      <c r="AM500" s="133">
        <v>0.956648855731425</v>
      </c>
      <c r="AN500" s="132">
        <v>0.99</v>
      </c>
      <c r="AO500" s="137">
        <v>1</v>
      </c>
      <c r="AP500" s="137">
        <v>1</v>
      </c>
      <c r="AQ500" s="137">
        <v>1</v>
      </c>
      <c r="AR500" s="137">
        <v>1</v>
      </c>
      <c r="AS500" s="158">
        <v>0.05</v>
      </c>
      <c r="AT500" s="141">
        <v>0</v>
      </c>
      <c r="AU500" s="141">
        <v>0</v>
      </c>
      <c r="AV500" s="141">
        <v>0</v>
      </c>
      <c r="AW500" s="141">
        <v>0.0638297872340425</v>
      </c>
      <c r="AX500" s="95"/>
      <c r="AY500" s="93"/>
    </row>
    <row r="501" ht="15" spans="1:51">
      <c r="A501" s="91"/>
      <c r="B501" s="95"/>
      <c r="C501" s="152" t="s">
        <v>375</v>
      </c>
      <c r="D501" s="153" t="s">
        <v>25</v>
      </c>
      <c r="E501" s="130" t="s">
        <v>376</v>
      </c>
      <c r="F501" s="154" t="s">
        <v>527</v>
      </c>
      <c r="G501" s="154" t="s">
        <v>527</v>
      </c>
      <c r="H501" s="154" t="s">
        <v>527</v>
      </c>
      <c r="I501" s="154" t="s">
        <v>527</v>
      </c>
      <c r="J501" s="132">
        <v>0.9</v>
      </c>
      <c r="K501" s="133">
        <v>0.95</v>
      </c>
      <c r="L501" s="133">
        <v>0.9375</v>
      </c>
      <c r="M501" s="134">
        <v>0.961538461538462</v>
      </c>
      <c r="N501" s="133">
        <v>0.930491195551437</v>
      </c>
      <c r="O501" s="135">
        <v>0.9</v>
      </c>
      <c r="P501" s="133">
        <v>0.96057171020207</v>
      </c>
      <c r="Q501" s="133">
        <v>0.955363570914327</v>
      </c>
      <c r="R501" s="133">
        <v>0.960769230769231</v>
      </c>
      <c r="S501" s="133">
        <v>0.961260194685609</v>
      </c>
      <c r="T501" s="135">
        <v>0.9</v>
      </c>
      <c r="U501" s="133">
        <v>0.931493346476097</v>
      </c>
      <c r="V501" s="133">
        <v>0.946724262059035</v>
      </c>
      <c r="W501" s="133">
        <v>0.915384615384615</v>
      </c>
      <c r="X501" s="133">
        <v>0.892173112338858</v>
      </c>
      <c r="Y501" s="135">
        <v>0.92</v>
      </c>
      <c r="Z501" s="135">
        <v>0.949759486905398</v>
      </c>
      <c r="AA501" s="135">
        <v>0.94421906693712</v>
      </c>
      <c r="AB501" s="135">
        <v>0.913718723037101</v>
      </c>
      <c r="AC501" s="135">
        <v>0.925072897058281</v>
      </c>
      <c r="AD501" s="135">
        <v>0.92</v>
      </c>
      <c r="AE501" s="133">
        <v>1</v>
      </c>
      <c r="AF501" s="133">
        <v>0.995253164556962</v>
      </c>
      <c r="AG501" s="133">
        <v>0.996840442338073</v>
      </c>
      <c r="AH501" s="133">
        <v>0.994896681277395</v>
      </c>
      <c r="AI501" s="135">
        <v>0.92</v>
      </c>
      <c r="AJ501" s="133">
        <v>0.968733982573039</v>
      </c>
      <c r="AK501" s="133">
        <v>0.971789473684211</v>
      </c>
      <c r="AL501" s="133">
        <v>0.95850622406639</v>
      </c>
      <c r="AM501" s="133">
        <v>0.96655742155684</v>
      </c>
      <c r="AN501" s="132">
        <v>0.99</v>
      </c>
      <c r="AO501" s="137">
        <v>1</v>
      </c>
      <c r="AP501" s="137">
        <v>1</v>
      </c>
      <c r="AQ501" s="137">
        <v>1</v>
      </c>
      <c r="AR501" s="137">
        <v>1</v>
      </c>
      <c r="AS501" s="158">
        <v>0.05</v>
      </c>
      <c r="AT501" s="141">
        <v>0.0645161290322581</v>
      </c>
      <c r="AU501" s="141">
        <v>0.0555555555555556</v>
      </c>
      <c r="AV501" s="141">
        <v>0.272727272727273</v>
      </c>
      <c r="AW501" s="141">
        <v>0.0883458646616541</v>
      </c>
      <c r="AX501" s="95"/>
      <c r="AY501" s="93"/>
    </row>
    <row r="502" ht="15" spans="1:51">
      <c r="A502" s="91"/>
      <c r="B502" s="95"/>
      <c r="C502" s="152" t="s">
        <v>375</v>
      </c>
      <c r="D502" s="153" t="s">
        <v>25</v>
      </c>
      <c r="E502" s="130" t="s">
        <v>376</v>
      </c>
      <c r="F502" s="154" t="s">
        <v>528</v>
      </c>
      <c r="G502" s="154" t="s">
        <v>528</v>
      </c>
      <c r="H502" s="154" t="s">
        <v>528</v>
      </c>
      <c r="I502" s="154" t="s">
        <v>528</v>
      </c>
      <c r="J502" s="132">
        <v>0.9</v>
      </c>
      <c r="K502" s="133">
        <v>0.967741935483871</v>
      </c>
      <c r="L502" s="133">
        <v>0.962962962962963</v>
      </c>
      <c r="M502" s="134">
        <v>0.96875</v>
      </c>
      <c r="N502" s="133">
        <v>0.972508591065292</v>
      </c>
      <c r="O502" s="135">
        <v>0.9</v>
      </c>
      <c r="P502" s="133">
        <v>0.988700564971751</v>
      </c>
      <c r="Q502" s="133">
        <v>0.984074319840743</v>
      </c>
      <c r="R502" s="133">
        <v>0.984263769201948</v>
      </c>
      <c r="S502" s="133">
        <v>0.981032278403419</v>
      </c>
      <c r="T502" s="135">
        <v>0.9</v>
      </c>
      <c r="U502" s="133">
        <v>0.940364092906466</v>
      </c>
      <c r="V502" s="133">
        <v>0.936960849369608</v>
      </c>
      <c r="W502" s="133">
        <v>0.925065567628325</v>
      </c>
      <c r="X502" s="133">
        <v>0.923095784366954</v>
      </c>
      <c r="Y502" s="135">
        <v>0.92</v>
      </c>
      <c r="Z502" s="135" t="s">
        <v>35</v>
      </c>
      <c r="AA502" s="135" t="s">
        <v>35</v>
      </c>
      <c r="AB502" s="135" t="s">
        <v>35</v>
      </c>
      <c r="AC502" s="135">
        <v>0</v>
      </c>
      <c r="AD502" s="135">
        <v>0.92</v>
      </c>
      <c r="AE502" s="133">
        <v>1</v>
      </c>
      <c r="AF502" s="133">
        <v>0.995828988529718</v>
      </c>
      <c r="AG502" s="133">
        <v>0.983974358974359</v>
      </c>
      <c r="AH502" s="133">
        <v>0.991259468908682</v>
      </c>
      <c r="AI502" s="135">
        <v>0.92</v>
      </c>
      <c r="AJ502" s="133">
        <v>0.974937343358396</v>
      </c>
      <c r="AK502" s="133">
        <v>0.972240581625909</v>
      </c>
      <c r="AL502" s="133">
        <v>0.982777985773119</v>
      </c>
      <c r="AM502" s="133">
        <v>0.986992069188886</v>
      </c>
      <c r="AN502" s="132">
        <v>0.99</v>
      </c>
      <c r="AO502" s="137">
        <v>1</v>
      </c>
      <c r="AP502" s="137">
        <v>1</v>
      </c>
      <c r="AQ502" s="137">
        <v>1</v>
      </c>
      <c r="AR502" s="137">
        <v>1</v>
      </c>
      <c r="AS502" s="158">
        <v>0.05</v>
      </c>
      <c r="AT502" s="141">
        <v>0.1</v>
      </c>
      <c r="AU502" s="141">
        <v>0</v>
      </c>
      <c r="AV502" s="141">
        <v>0.117647058823529</v>
      </c>
      <c r="AW502" s="141">
        <v>0.0339506172839506</v>
      </c>
      <c r="AX502" s="95"/>
      <c r="AY502" s="93"/>
    </row>
    <row r="503" ht="15" spans="1:51">
      <c r="A503" s="91"/>
      <c r="B503" s="95"/>
      <c r="C503" s="152" t="s">
        <v>375</v>
      </c>
      <c r="D503" s="153" t="s">
        <v>25</v>
      </c>
      <c r="E503" s="130" t="s">
        <v>376</v>
      </c>
      <c r="F503" s="154" t="s">
        <v>529</v>
      </c>
      <c r="G503" s="154" t="s">
        <v>529</v>
      </c>
      <c r="H503" s="154" t="s">
        <v>529</v>
      </c>
      <c r="I503" s="154" t="s">
        <v>529</v>
      </c>
      <c r="J503" s="132">
        <v>0.9</v>
      </c>
      <c r="K503" s="133">
        <v>0.962962962962963</v>
      </c>
      <c r="L503" s="133">
        <v>0.96</v>
      </c>
      <c r="M503" s="134">
        <v>0.96</v>
      </c>
      <c r="N503" s="133">
        <v>0.982591876208897</v>
      </c>
      <c r="O503" s="135">
        <v>0.9</v>
      </c>
      <c r="P503" s="133">
        <v>0</v>
      </c>
      <c r="Q503" s="133" t="s">
        <v>35</v>
      </c>
      <c r="R503" s="133" t="s">
        <v>35</v>
      </c>
      <c r="S503" s="133">
        <v>0.375</v>
      </c>
      <c r="T503" s="135">
        <v>0.9</v>
      </c>
      <c r="U503" s="133">
        <v>0</v>
      </c>
      <c r="V503" s="133" t="s">
        <v>35</v>
      </c>
      <c r="W503" s="133" t="s">
        <v>35</v>
      </c>
      <c r="X503" s="133">
        <v>0.375</v>
      </c>
      <c r="Y503" s="135">
        <v>0.92</v>
      </c>
      <c r="Z503" s="135">
        <v>0</v>
      </c>
      <c r="AA503" s="135">
        <v>0</v>
      </c>
      <c r="AB503" s="135" t="s">
        <v>35</v>
      </c>
      <c r="AC503" s="135">
        <v>0</v>
      </c>
      <c r="AD503" s="135">
        <v>0.92</v>
      </c>
      <c r="AE503" s="133">
        <v>0.996666666666667</v>
      </c>
      <c r="AF503" s="133">
        <v>0.994718309859155</v>
      </c>
      <c r="AG503" s="133">
        <v>1</v>
      </c>
      <c r="AH503" s="133">
        <v>0.99417055296469</v>
      </c>
      <c r="AI503" s="135">
        <v>0.92</v>
      </c>
      <c r="AJ503" s="133">
        <v>0.962913014160485</v>
      </c>
      <c r="AK503" s="133">
        <v>0.977272727272727</v>
      </c>
      <c r="AL503" s="133">
        <v>0.984745082296267</v>
      </c>
      <c r="AM503" s="133">
        <v>0.982969805485472</v>
      </c>
      <c r="AN503" s="132">
        <v>0.99</v>
      </c>
      <c r="AO503" s="137">
        <v>1</v>
      </c>
      <c r="AP503" s="137">
        <v>1</v>
      </c>
      <c r="AQ503" s="137">
        <v>1</v>
      </c>
      <c r="AR503" s="137">
        <v>1</v>
      </c>
      <c r="AS503" s="158">
        <v>0.05</v>
      </c>
      <c r="AT503" s="141">
        <v>0</v>
      </c>
      <c r="AU503" s="141">
        <v>0</v>
      </c>
      <c r="AV503" s="141">
        <v>0.285714285714286</v>
      </c>
      <c r="AW503" s="141">
        <v>0.106060606060606</v>
      </c>
      <c r="AX503" s="95"/>
      <c r="AY503" s="93"/>
    </row>
    <row r="504" ht="15" spans="1:51">
      <c r="A504" s="91"/>
      <c r="B504" s="95"/>
      <c r="C504" s="152" t="s">
        <v>375</v>
      </c>
      <c r="D504" s="153" t="s">
        <v>25</v>
      </c>
      <c r="E504" s="130" t="s">
        <v>376</v>
      </c>
      <c r="F504" s="154" t="s">
        <v>530</v>
      </c>
      <c r="G504" s="154" t="s">
        <v>530</v>
      </c>
      <c r="H504" s="154" t="s">
        <v>530</v>
      </c>
      <c r="I504" s="154" t="s">
        <v>530</v>
      </c>
      <c r="J504" s="132">
        <v>0.9</v>
      </c>
      <c r="K504" s="133">
        <v>1</v>
      </c>
      <c r="L504" s="133">
        <v>0.883720930232558</v>
      </c>
      <c r="M504" s="134">
        <v>0.972972972972973</v>
      </c>
      <c r="N504" s="133">
        <v>0.970886075949367</v>
      </c>
      <c r="O504" s="135">
        <v>0.9</v>
      </c>
      <c r="P504" s="133">
        <v>0</v>
      </c>
      <c r="Q504" s="133">
        <v>0</v>
      </c>
      <c r="R504" s="133" t="s">
        <v>35</v>
      </c>
      <c r="S504" s="133">
        <v>0.2</v>
      </c>
      <c r="T504" s="135">
        <v>0.9</v>
      </c>
      <c r="U504" s="133">
        <v>0</v>
      </c>
      <c r="V504" s="133">
        <v>0</v>
      </c>
      <c r="W504" s="133" t="s">
        <v>35</v>
      </c>
      <c r="X504" s="133">
        <v>0.2</v>
      </c>
      <c r="Y504" s="135">
        <v>0.92</v>
      </c>
      <c r="Z504" s="135">
        <v>0</v>
      </c>
      <c r="AA504" s="135" t="s">
        <v>35</v>
      </c>
      <c r="AB504" s="135" t="s">
        <v>35</v>
      </c>
      <c r="AC504" s="135">
        <v>0.666666666666667</v>
      </c>
      <c r="AD504" s="135">
        <v>0.92</v>
      </c>
      <c r="AE504" s="133">
        <v>0.994535519125683</v>
      </c>
      <c r="AF504" s="133">
        <v>0.997175141242938</v>
      </c>
      <c r="AG504" s="133">
        <v>1</v>
      </c>
      <c r="AH504" s="133">
        <v>0.990547339533466</v>
      </c>
      <c r="AI504" s="135">
        <v>0.92</v>
      </c>
      <c r="AJ504" s="133">
        <v>0.945630081300813</v>
      </c>
      <c r="AK504" s="133">
        <v>0.962732919254658</v>
      </c>
      <c r="AL504" s="133">
        <v>0.920043219881145</v>
      </c>
      <c r="AM504" s="133">
        <v>0.959342083699587</v>
      </c>
      <c r="AN504" s="132">
        <v>0.99</v>
      </c>
      <c r="AO504" s="137">
        <v>1</v>
      </c>
      <c r="AP504" s="137">
        <v>1</v>
      </c>
      <c r="AQ504" s="137">
        <v>1</v>
      </c>
      <c r="AR504" s="137">
        <v>1</v>
      </c>
      <c r="AS504" s="158">
        <v>0.05</v>
      </c>
      <c r="AT504" s="141">
        <v>0</v>
      </c>
      <c r="AU504" s="141">
        <v>0</v>
      </c>
      <c r="AV504" s="141">
        <v>0</v>
      </c>
      <c r="AW504" s="141">
        <v>0.0308641975308642</v>
      </c>
      <c r="AX504" s="95"/>
      <c r="AY504" s="93"/>
    </row>
    <row r="505" ht="15" spans="1:51">
      <c r="A505" s="91"/>
      <c r="B505" s="95"/>
      <c r="C505" s="152" t="s">
        <v>375</v>
      </c>
      <c r="D505" s="153" t="s">
        <v>25</v>
      </c>
      <c r="E505" s="130" t="s">
        <v>376</v>
      </c>
      <c r="F505" s="154" t="s">
        <v>531</v>
      </c>
      <c r="G505" s="154" t="s">
        <v>531</v>
      </c>
      <c r="H505" s="154" t="s">
        <v>531</v>
      </c>
      <c r="I505" s="154" t="s">
        <v>531</v>
      </c>
      <c r="J505" s="132">
        <v>0.9</v>
      </c>
      <c r="K505" s="133">
        <v>1</v>
      </c>
      <c r="L505" s="133">
        <v>0.909090909090909</v>
      </c>
      <c r="M505" s="134">
        <v>0.906976744186046</v>
      </c>
      <c r="N505" s="133">
        <v>0.955097087378641</v>
      </c>
      <c r="O505" s="135">
        <v>0.9</v>
      </c>
      <c r="P505" s="133">
        <v>0</v>
      </c>
      <c r="Q505" s="133" t="s">
        <v>35</v>
      </c>
      <c r="R505" s="133" t="s">
        <v>35</v>
      </c>
      <c r="S505" s="133">
        <v>0.333333333333333</v>
      </c>
      <c r="T505" s="135">
        <v>0.9</v>
      </c>
      <c r="U505" s="133">
        <v>0</v>
      </c>
      <c r="V505" s="133" t="s">
        <v>35</v>
      </c>
      <c r="W505" s="133" t="s">
        <v>35</v>
      </c>
      <c r="X505" s="133">
        <v>0.666666666666667</v>
      </c>
      <c r="Y505" s="135">
        <v>0.92</v>
      </c>
      <c r="Z505" s="135" t="s">
        <v>35</v>
      </c>
      <c r="AA505" s="135" t="s">
        <v>35</v>
      </c>
      <c r="AB505" s="135" t="s">
        <v>35</v>
      </c>
      <c r="AC505" s="135" t="s">
        <v>35</v>
      </c>
      <c r="AD505" s="135">
        <v>0.92</v>
      </c>
      <c r="AE505" s="133">
        <v>0.983606557377049</v>
      </c>
      <c r="AF505" s="133">
        <v>0.867647058823529</v>
      </c>
      <c r="AG505" s="133">
        <v>0.9</v>
      </c>
      <c r="AH505" s="133">
        <v>0.962670495333812</v>
      </c>
      <c r="AI505" s="135">
        <v>0.92</v>
      </c>
      <c r="AJ505" s="133">
        <v>0.976765375854214</v>
      </c>
      <c r="AK505" s="133">
        <v>0.974572555896537</v>
      </c>
      <c r="AL505" s="133">
        <v>0.975161761636402</v>
      </c>
      <c r="AM505" s="133">
        <v>0.987443606264748</v>
      </c>
      <c r="AN505" s="132">
        <v>0.99</v>
      </c>
      <c r="AO505" s="137">
        <v>1</v>
      </c>
      <c r="AP505" s="137">
        <v>1</v>
      </c>
      <c r="AQ505" s="137">
        <v>1</v>
      </c>
      <c r="AR505" s="137">
        <v>1</v>
      </c>
      <c r="AS505" s="158">
        <v>0.05</v>
      </c>
      <c r="AT505" s="141">
        <v>0</v>
      </c>
      <c r="AU505" s="141">
        <v>0.2</v>
      </c>
      <c r="AV505" s="141">
        <v>0.0666666666666667</v>
      </c>
      <c r="AW505" s="141">
        <v>0.103448275862069</v>
      </c>
      <c r="AX505" s="95"/>
      <c r="AY505" s="93"/>
    </row>
    <row r="506" ht="15" spans="1:51">
      <c r="A506" s="91"/>
      <c r="B506" s="95"/>
      <c r="C506" s="152" t="s">
        <v>375</v>
      </c>
      <c r="D506" s="153" t="s">
        <v>25</v>
      </c>
      <c r="E506" s="130" t="s">
        <v>376</v>
      </c>
      <c r="F506" s="154" t="s">
        <v>532</v>
      </c>
      <c r="G506" s="154" t="s">
        <v>532</v>
      </c>
      <c r="H506" s="154" t="s">
        <v>532</v>
      </c>
      <c r="I506" s="154" t="s">
        <v>532</v>
      </c>
      <c r="J506" s="132">
        <v>0.9</v>
      </c>
      <c r="K506" s="133">
        <v>1</v>
      </c>
      <c r="L506" s="133">
        <v>1</v>
      </c>
      <c r="M506" s="134">
        <v>0.964285714285714</v>
      </c>
      <c r="N506" s="133">
        <v>0.99618320610687</v>
      </c>
      <c r="O506" s="135">
        <v>0.9</v>
      </c>
      <c r="P506" s="133">
        <v>0.993220338983051</v>
      </c>
      <c r="Q506" s="133">
        <v>0.997226074895978</v>
      </c>
      <c r="R506" s="133">
        <v>0.994452149791956</v>
      </c>
      <c r="S506" s="133">
        <v>0.994284458122664</v>
      </c>
      <c r="T506" s="135">
        <v>0.9</v>
      </c>
      <c r="U506" s="133">
        <v>0.945762711864407</v>
      </c>
      <c r="V506" s="133">
        <v>0.950069348127601</v>
      </c>
      <c r="W506" s="133">
        <v>0.955617198335645</v>
      </c>
      <c r="X506" s="133">
        <v>0.961994089054982</v>
      </c>
      <c r="Y506" s="135">
        <v>0.92</v>
      </c>
      <c r="Z506" s="135">
        <v>0.936279547790339</v>
      </c>
      <c r="AA506" s="135">
        <v>0.957142857142857</v>
      </c>
      <c r="AB506" s="135">
        <v>0.945686900958466</v>
      </c>
      <c r="AC506" s="135">
        <v>0.95102523659306</v>
      </c>
      <c r="AD506" s="135">
        <v>0.92</v>
      </c>
      <c r="AE506" s="133">
        <v>1</v>
      </c>
      <c r="AF506" s="133">
        <v>0.99937106918239</v>
      </c>
      <c r="AG506" s="133">
        <v>1</v>
      </c>
      <c r="AH506" s="133">
        <v>0.999018260357353</v>
      </c>
      <c r="AI506" s="135">
        <v>0.92</v>
      </c>
      <c r="AJ506" s="133">
        <v>0.964235949837436</v>
      </c>
      <c r="AK506" s="133">
        <v>0.975019516003123</v>
      </c>
      <c r="AL506" s="133">
        <v>0.981003584229391</v>
      </c>
      <c r="AM506" s="133">
        <v>0.984056241375452</v>
      </c>
      <c r="AN506" s="132">
        <v>0.99</v>
      </c>
      <c r="AO506" s="137">
        <v>1</v>
      </c>
      <c r="AP506" s="137">
        <v>1</v>
      </c>
      <c r="AQ506" s="137">
        <v>1</v>
      </c>
      <c r="AR506" s="137">
        <v>1</v>
      </c>
      <c r="AS506" s="158">
        <v>0.05</v>
      </c>
      <c r="AT506" s="141">
        <v>0.111111111111111</v>
      </c>
      <c r="AU506" s="141">
        <v>0.333333333333333</v>
      </c>
      <c r="AV506" s="141">
        <v>0.1</v>
      </c>
      <c r="AW506" s="141">
        <v>0.069620253164557</v>
      </c>
      <c r="AX506" s="95"/>
      <c r="AY506" s="93"/>
    </row>
    <row r="507" ht="15" spans="1:51">
      <c r="A507" s="91"/>
      <c r="B507" s="95"/>
      <c r="C507" s="152" t="s">
        <v>375</v>
      </c>
      <c r="D507" s="153" t="s">
        <v>25</v>
      </c>
      <c r="E507" s="130" t="s">
        <v>376</v>
      </c>
      <c r="F507" s="154" t="s">
        <v>533</v>
      </c>
      <c r="G507" s="154" t="s">
        <v>533</v>
      </c>
      <c r="H507" s="154" t="s">
        <v>533</v>
      </c>
      <c r="I507" s="154" t="s">
        <v>533</v>
      </c>
      <c r="J507" s="132">
        <v>0.9</v>
      </c>
      <c r="K507" s="133">
        <v>0.968253968253968</v>
      </c>
      <c r="L507" s="133">
        <v>0.979591836734694</v>
      </c>
      <c r="M507" s="134">
        <v>0.963636363636364</v>
      </c>
      <c r="N507" s="133">
        <v>0.980751604032997</v>
      </c>
      <c r="O507" s="135">
        <v>0.9</v>
      </c>
      <c r="P507" s="133">
        <v>0.977215189873418</v>
      </c>
      <c r="Q507" s="133">
        <v>0.986146095717884</v>
      </c>
      <c r="R507" s="133">
        <v>0.979835212489159</v>
      </c>
      <c r="S507" s="133">
        <v>0.983978181045373</v>
      </c>
      <c r="T507" s="135">
        <v>0.9</v>
      </c>
      <c r="U507" s="133">
        <v>0.929113924050633</v>
      </c>
      <c r="V507" s="133">
        <v>0.901343408900084</v>
      </c>
      <c r="W507" s="133">
        <v>0.931699913269731</v>
      </c>
      <c r="X507" s="133">
        <v>0.938569252748031</v>
      </c>
      <c r="Y507" s="135">
        <v>0.92</v>
      </c>
      <c r="Z507" s="135" t="s">
        <v>35</v>
      </c>
      <c r="AA507" s="135" t="s">
        <v>35</v>
      </c>
      <c r="AB507" s="135" t="s">
        <v>35</v>
      </c>
      <c r="AC507" s="135">
        <v>0</v>
      </c>
      <c r="AD507" s="135">
        <v>0.92</v>
      </c>
      <c r="AE507" s="133">
        <v>0.99236641221374</v>
      </c>
      <c r="AF507" s="133">
        <v>0.978021978021978</v>
      </c>
      <c r="AG507" s="133">
        <v>1</v>
      </c>
      <c r="AH507" s="133">
        <v>0.95414847161572</v>
      </c>
      <c r="AI507" s="135">
        <v>0.92</v>
      </c>
      <c r="AJ507" s="133">
        <v>0.976617954070981</v>
      </c>
      <c r="AK507" s="133">
        <v>0.981985756179305</v>
      </c>
      <c r="AL507" s="133">
        <v>0.985255854293148</v>
      </c>
      <c r="AM507" s="133">
        <v>0.990052275704188</v>
      </c>
      <c r="AN507" s="132">
        <v>0.99</v>
      </c>
      <c r="AO507" s="137">
        <v>1</v>
      </c>
      <c r="AP507" s="137">
        <v>1</v>
      </c>
      <c r="AQ507" s="137">
        <v>1</v>
      </c>
      <c r="AR507" s="137">
        <v>1</v>
      </c>
      <c r="AS507" s="158">
        <v>0.05</v>
      </c>
      <c r="AT507" s="141">
        <v>0</v>
      </c>
      <c r="AU507" s="141">
        <v>0</v>
      </c>
      <c r="AV507" s="141">
        <v>0</v>
      </c>
      <c r="AW507" s="141">
        <v>0.0232558139534884</v>
      </c>
      <c r="AX507" s="95"/>
      <c r="AY507" s="93"/>
    </row>
    <row r="508" ht="15" spans="1:51">
      <c r="A508" s="91"/>
      <c r="B508" s="95"/>
      <c r="C508" s="152" t="s">
        <v>375</v>
      </c>
      <c r="D508" s="153" t="s">
        <v>25</v>
      </c>
      <c r="E508" s="130" t="s">
        <v>376</v>
      </c>
      <c r="F508" s="154" t="s">
        <v>534</v>
      </c>
      <c r="G508" s="154" t="s">
        <v>534</v>
      </c>
      <c r="H508" s="154" t="s">
        <v>534</v>
      </c>
      <c r="I508" s="154" t="s">
        <v>534</v>
      </c>
      <c r="J508" s="132">
        <v>0.9</v>
      </c>
      <c r="K508" s="133">
        <v>0.916666666666667</v>
      </c>
      <c r="L508" s="133">
        <v>0.894736842105263</v>
      </c>
      <c r="M508" s="134">
        <v>0.904761904761905</v>
      </c>
      <c r="N508" s="133">
        <v>0.915690866510539</v>
      </c>
      <c r="O508" s="135">
        <v>0.9</v>
      </c>
      <c r="P508" s="133">
        <v>0.978860294117647</v>
      </c>
      <c r="Q508" s="133">
        <v>0.966292134831461</v>
      </c>
      <c r="R508" s="133">
        <v>0.963032581453634</v>
      </c>
      <c r="S508" s="133">
        <v>0.973819621147865</v>
      </c>
      <c r="T508" s="135">
        <v>0.9</v>
      </c>
      <c r="U508" s="133">
        <v>0.931985294117647</v>
      </c>
      <c r="V508" s="133">
        <v>0.90838375108038</v>
      </c>
      <c r="W508" s="133">
        <v>0.867167919799499</v>
      </c>
      <c r="X508" s="133">
        <v>0.939383658467628</v>
      </c>
      <c r="Y508" s="135">
        <v>0.92</v>
      </c>
      <c r="Z508" s="135">
        <v>0</v>
      </c>
      <c r="AA508" s="135">
        <v>0</v>
      </c>
      <c r="AB508" s="135" t="s">
        <v>35</v>
      </c>
      <c r="AC508" s="135">
        <v>0.333333333333333</v>
      </c>
      <c r="AD508" s="135">
        <v>0.92</v>
      </c>
      <c r="AE508" s="133">
        <v>1</v>
      </c>
      <c r="AF508" s="133">
        <v>0.953488372093023</v>
      </c>
      <c r="AG508" s="133">
        <v>1</v>
      </c>
      <c r="AH508" s="133">
        <v>0.987002437043054</v>
      </c>
      <c r="AI508" s="135">
        <v>0.92</v>
      </c>
      <c r="AJ508" s="133">
        <v>0.967032967032967</v>
      </c>
      <c r="AK508" s="133">
        <v>0.976704055220017</v>
      </c>
      <c r="AL508" s="133">
        <v>0.975579211020664</v>
      </c>
      <c r="AM508" s="133">
        <v>0.984030977078093</v>
      </c>
      <c r="AN508" s="132">
        <v>0.99</v>
      </c>
      <c r="AO508" s="137">
        <v>1</v>
      </c>
      <c r="AP508" s="137">
        <v>1</v>
      </c>
      <c r="AQ508" s="137">
        <v>1</v>
      </c>
      <c r="AR508" s="137">
        <v>1</v>
      </c>
      <c r="AS508" s="158">
        <v>0.05</v>
      </c>
      <c r="AT508" s="141">
        <v>0</v>
      </c>
      <c r="AU508" s="141">
        <v>0</v>
      </c>
      <c r="AV508" s="141" t="s">
        <v>35</v>
      </c>
      <c r="AW508" s="141">
        <v>0.0348837209302326</v>
      </c>
      <c r="AX508" s="95"/>
      <c r="AY508" s="93"/>
    </row>
    <row r="509" ht="15" spans="1:51">
      <c r="A509" s="91"/>
      <c r="B509" s="95"/>
      <c r="C509" s="152" t="s">
        <v>375</v>
      </c>
      <c r="D509" s="153" t="s">
        <v>25</v>
      </c>
      <c r="E509" s="130" t="s">
        <v>376</v>
      </c>
      <c r="F509" s="154" t="s">
        <v>535</v>
      </c>
      <c r="G509" s="154" t="s">
        <v>535</v>
      </c>
      <c r="H509" s="154" t="s">
        <v>535</v>
      </c>
      <c r="I509" s="154" t="s">
        <v>535</v>
      </c>
      <c r="J509" s="132">
        <v>0.9</v>
      </c>
      <c r="K509" s="133">
        <v>1</v>
      </c>
      <c r="L509" s="133">
        <v>1</v>
      </c>
      <c r="M509" s="134">
        <v>0.947368421052632</v>
      </c>
      <c r="N509" s="133">
        <v>0.91673894189072</v>
      </c>
      <c r="O509" s="135">
        <v>0.9</v>
      </c>
      <c r="P509" s="133">
        <v>0.5</v>
      </c>
      <c r="Q509" s="133" t="s">
        <v>35</v>
      </c>
      <c r="R509" s="133" t="s">
        <v>35</v>
      </c>
      <c r="S509" s="133">
        <v>0.538461538461538</v>
      </c>
      <c r="T509" s="135">
        <v>0.9</v>
      </c>
      <c r="U509" s="133">
        <v>0</v>
      </c>
      <c r="V509" s="133" t="s">
        <v>35</v>
      </c>
      <c r="W509" s="133" t="s">
        <v>35</v>
      </c>
      <c r="X509" s="133">
        <v>0.384615384615385</v>
      </c>
      <c r="Y509" s="135">
        <v>0.92</v>
      </c>
      <c r="Z509" s="135" t="s">
        <v>35</v>
      </c>
      <c r="AA509" s="135" t="s">
        <v>35</v>
      </c>
      <c r="AB509" s="135" t="s">
        <v>35</v>
      </c>
      <c r="AC509" s="135">
        <v>0.333333333333333</v>
      </c>
      <c r="AD509" s="135">
        <v>0.92</v>
      </c>
      <c r="AE509" s="133">
        <v>1</v>
      </c>
      <c r="AF509" s="133">
        <v>0.996515679442509</v>
      </c>
      <c r="AG509" s="133">
        <v>0.990929705215419</v>
      </c>
      <c r="AH509" s="133">
        <v>0.992011834319527</v>
      </c>
      <c r="AI509" s="135">
        <v>0.92</v>
      </c>
      <c r="AJ509" s="133">
        <v>0.944092827004219</v>
      </c>
      <c r="AK509" s="133">
        <v>0.959866220735786</v>
      </c>
      <c r="AL509" s="133">
        <v>0.977087729876394</v>
      </c>
      <c r="AM509" s="133">
        <v>0.968914367333546</v>
      </c>
      <c r="AN509" s="132">
        <v>0.99</v>
      </c>
      <c r="AO509" s="137">
        <v>1</v>
      </c>
      <c r="AP509" s="137">
        <v>1</v>
      </c>
      <c r="AQ509" s="137">
        <v>1</v>
      </c>
      <c r="AR509" s="137">
        <v>1</v>
      </c>
      <c r="AS509" s="158">
        <v>0.05</v>
      </c>
      <c r="AT509" s="141">
        <v>0.2</v>
      </c>
      <c r="AU509" s="141">
        <v>0</v>
      </c>
      <c r="AV509" s="141">
        <v>0</v>
      </c>
      <c r="AW509" s="141">
        <v>0.0643776824034335</v>
      </c>
      <c r="AX509" s="95"/>
      <c r="AY509" s="93"/>
    </row>
    <row r="510" ht="15" spans="1:51">
      <c r="A510" s="91"/>
      <c r="B510" s="95"/>
      <c r="C510" s="152" t="s">
        <v>375</v>
      </c>
      <c r="D510" s="153" t="s">
        <v>25</v>
      </c>
      <c r="E510" s="130" t="s">
        <v>376</v>
      </c>
      <c r="F510" s="154" t="s">
        <v>536</v>
      </c>
      <c r="G510" s="154" t="s">
        <v>536</v>
      </c>
      <c r="H510" s="154" t="s">
        <v>536</v>
      </c>
      <c r="I510" s="154" t="s">
        <v>536</v>
      </c>
      <c r="J510" s="132">
        <v>0.9</v>
      </c>
      <c r="K510" s="133">
        <v>0.953125</v>
      </c>
      <c r="L510" s="133">
        <v>0.912280701754386</v>
      </c>
      <c r="M510" s="134">
        <v>0.88135593220339</v>
      </c>
      <c r="N510" s="133">
        <v>0.937165775401069</v>
      </c>
      <c r="O510" s="135">
        <v>0.9</v>
      </c>
      <c r="P510" s="133" t="s">
        <v>35</v>
      </c>
      <c r="Q510" s="133">
        <v>1</v>
      </c>
      <c r="R510" s="133" t="s">
        <v>35</v>
      </c>
      <c r="S510" s="133">
        <v>0.666666666666667</v>
      </c>
      <c r="T510" s="135">
        <v>0.9</v>
      </c>
      <c r="U510" s="133" t="s">
        <v>35</v>
      </c>
      <c r="V510" s="133">
        <v>1</v>
      </c>
      <c r="W510" s="133" t="s">
        <v>35</v>
      </c>
      <c r="X510" s="133">
        <v>0.333333333333333</v>
      </c>
      <c r="Y510" s="135">
        <v>0.92</v>
      </c>
      <c r="Z510" s="135" t="s">
        <v>35</v>
      </c>
      <c r="AA510" s="135" t="s">
        <v>35</v>
      </c>
      <c r="AB510" s="135" t="s">
        <v>35</v>
      </c>
      <c r="AC510" s="135" t="s">
        <v>35</v>
      </c>
      <c r="AD510" s="135">
        <v>0.92</v>
      </c>
      <c r="AE510" s="133">
        <v>0.995689655172414</v>
      </c>
      <c r="AF510" s="133">
        <v>0.997222222222222</v>
      </c>
      <c r="AG510" s="133">
        <v>0.993220338983051</v>
      </c>
      <c r="AH510" s="133">
        <v>0.98769744835966</v>
      </c>
      <c r="AI510" s="135">
        <v>0.92</v>
      </c>
      <c r="AJ510" s="133">
        <v>0.950195659907506</v>
      </c>
      <c r="AK510" s="133">
        <v>0.950369588173178</v>
      </c>
      <c r="AL510" s="133">
        <v>0.884153210664664</v>
      </c>
      <c r="AM510" s="133">
        <v>0.948881157586779</v>
      </c>
      <c r="AN510" s="132">
        <v>0.99</v>
      </c>
      <c r="AO510" s="137">
        <v>1</v>
      </c>
      <c r="AP510" s="137">
        <v>1</v>
      </c>
      <c r="AQ510" s="137">
        <v>1</v>
      </c>
      <c r="AR510" s="137">
        <v>1</v>
      </c>
      <c r="AS510" s="158">
        <v>0.05</v>
      </c>
      <c r="AT510" s="141">
        <v>0.142857142857143</v>
      </c>
      <c r="AU510" s="141">
        <v>0</v>
      </c>
      <c r="AV510" s="141">
        <v>0.125</v>
      </c>
      <c r="AW510" s="141">
        <v>0.0835820895522388</v>
      </c>
      <c r="AX510" s="95"/>
      <c r="AY510" s="93"/>
    </row>
    <row r="511" ht="15" spans="1:51">
      <c r="A511" s="91"/>
      <c r="B511" s="95"/>
      <c r="C511" s="152" t="s">
        <v>375</v>
      </c>
      <c r="D511" s="153" t="s">
        <v>25</v>
      </c>
      <c r="E511" s="130" t="s">
        <v>376</v>
      </c>
      <c r="F511" s="154" t="s">
        <v>537</v>
      </c>
      <c r="G511" s="154" t="s">
        <v>537</v>
      </c>
      <c r="H511" s="154" t="s">
        <v>537</v>
      </c>
      <c r="I511" s="154" t="s">
        <v>537</v>
      </c>
      <c r="J511" s="132">
        <v>0.9</v>
      </c>
      <c r="K511" s="133">
        <v>0.950819672131147</v>
      </c>
      <c r="L511" s="133">
        <v>0.982758620689655</v>
      </c>
      <c r="M511" s="134">
        <v>0.9375</v>
      </c>
      <c r="N511" s="133">
        <v>0.942760942760943</v>
      </c>
      <c r="O511" s="135">
        <v>0.9</v>
      </c>
      <c r="P511" s="133">
        <v>0</v>
      </c>
      <c r="Q511" s="133" t="s">
        <v>35</v>
      </c>
      <c r="R511" s="133">
        <v>0.5</v>
      </c>
      <c r="S511" s="133">
        <v>0.0588235294117647</v>
      </c>
      <c r="T511" s="135">
        <v>0.9</v>
      </c>
      <c r="U511" s="133">
        <v>0.5</v>
      </c>
      <c r="V511" s="133" t="s">
        <v>35</v>
      </c>
      <c r="W511" s="133">
        <v>0</v>
      </c>
      <c r="X511" s="133">
        <v>0.411764705882353</v>
      </c>
      <c r="Y511" s="135">
        <v>0.92</v>
      </c>
      <c r="Z511" s="135" t="s">
        <v>35</v>
      </c>
      <c r="AA511" s="135" t="s">
        <v>35</v>
      </c>
      <c r="AB511" s="135" t="s">
        <v>35</v>
      </c>
      <c r="AC511" s="135" t="s">
        <v>35</v>
      </c>
      <c r="AD511" s="135">
        <v>0.92</v>
      </c>
      <c r="AE511" s="133">
        <v>0.982300884955752</v>
      </c>
      <c r="AF511" s="133">
        <v>0.962264150943396</v>
      </c>
      <c r="AG511" s="133">
        <v>0.934065934065934</v>
      </c>
      <c r="AH511" s="133">
        <v>0.922840690978887</v>
      </c>
      <c r="AI511" s="135">
        <v>0.92</v>
      </c>
      <c r="AJ511" s="133">
        <v>0.967897825336555</v>
      </c>
      <c r="AK511" s="133">
        <v>0.964078794901506</v>
      </c>
      <c r="AL511" s="133">
        <v>0.977620933034946</v>
      </c>
      <c r="AM511" s="133">
        <v>0.984201077199282</v>
      </c>
      <c r="AN511" s="132">
        <v>0.99</v>
      </c>
      <c r="AO511" s="137">
        <v>1</v>
      </c>
      <c r="AP511" s="137">
        <v>1</v>
      </c>
      <c r="AQ511" s="137">
        <v>1</v>
      </c>
      <c r="AR511" s="137">
        <v>1</v>
      </c>
      <c r="AS511" s="158">
        <v>0.05</v>
      </c>
      <c r="AT511" s="141">
        <v>0</v>
      </c>
      <c r="AU511" s="141">
        <v>0.333333333333333</v>
      </c>
      <c r="AV511" s="141">
        <v>0.5</v>
      </c>
      <c r="AW511" s="141">
        <v>0.0909090909090909</v>
      </c>
      <c r="AX511" s="95"/>
      <c r="AY511" s="93"/>
    </row>
    <row r="512" ht="15" spans="1:51">
      <c r="A512" s="91"/>
      <c r="B512" s="95"/>
      <c r="C512" s="152" t="s">
        <v>375</v>
      </c>
      <c r="D512" s="153" t="s">
        <v>25</v>
      </c>
      <c r="E512" s="130" t="s">
        <v>376</v>
      </c>
      <c r="F512" s="154" t="s">
        <v>538</v>
      </c>
      <c r="G512" s="154" t="s">
        <v>538</v>
      </c>
      <c r="H512" s="154" t="s">
        <v>538</v>
      </c>
      <c r="I512" s="154" t="s">
        <v>538</v>
      </c>
      <c r="J512" s="132">
        <v>0.9</v>
      </c>
      <c r="K512" s="133">
        <v>1</v>
      </c>
      <c r="L512" s="133">
        <v>1</v>
      </c>
      <c r="M512" s="134">
        <v>1</v>
      </c>
      <c r="N512" s="133">
        <v>0.998281786941581</v>
      </c>
      <c r="O512" s="135">
        <v>0.9</v>
      </c>
      <c r="P512" s="133">
        <v>0.998013245033113</v>
      </c>
      <c r="Q512" s="133">
        <v>0.976327116212339</v>
      </c>
      <c r="R512" s="133">
        <v>0.987534086482275</v>
      </c>
      <c r="S512" s="133">
        <v>0.988753106876553</v>
      </c>
      <c r="T512" s="135">
        <v>0.9</v>
      </c>
      <c r="U512" s="133">
        <v>0.964238410596026</v>
      </c>
      <c r="V512" s="133">
        <v>0.944045911047346</v>
      </c>
      <c r="W512" s="133">
        <v>0.971172574990261</v>
      </c>
      <c r="X512" s="133">
        <v>0.971934548467274</v>
      </c>
      <c r="Y512" s="135">
        <v>0.92</v>
      </c>
      <c r="Z512" s="135" t="s">
        <v>35</v>
      </c>
      <c r="AA512" s="135" t="s">
        <v>35</v>
      </c>
      <c r="AB512" s="135" t="s">
        <v>35</v>
      </c>
      <c r="AC512" s="135" t="s">
        <v>35</v>
      </c>
      <c r="AD512" s="135">
        <v>0.92</v>
      </c>
      <c r="AE512" s="133">
        <v>1</v>
      </c>
      <c r="AF512" s="133">
        <v>0.9875</v>
      </c>
      <c r="AG512" s="133">
        <v>1</v>
      </c>
      <c r="AH512" s="133">
        <v>0.981370592149035</v>
      </c>
      <c r="AI512" s="135">
        <v>0.92</v>
      </c>
      <c r="AJ512" s="133">
        <v>0.971560846560847</v>
      </c>
      <c r="AK512" s="133">
        <v>0.964849354375897</v>
      </c>
      <c r="AL512" s="133">
        <v>0.98481308411215</v>
      </c>
      <c r="AM512" s="133">
        <v>0.989064926995961</v>
      </c>
      <c r="AN512" s="132">
        <v>0.99</v>
      </c>
      <c r="AO512" s="137">
        <v>1</v>
      </c>
      <c r="AP512" s="137">
        <v>1</v>
      </c>
      <c r="AQ512" s="137">
        <v>1</v>
      </c>
      <c r="AR512" s="137">
        <v>1</v>
      </c>
      <c r="AS512" s="158">
        <v>0.05</v>
      </c>
      <c r="AT512" s="141">
        <v>0</v>
      </c>
      <c r="AU512" s="141">
        <v>0</v>
      </c>
      <c r="AV512" s="141">
        <v>0</v>
      </c>
      <c r="AW512" s="141">
        <v>0.0444444444444444</v>
      </c>
      <c r="AX512" s="95"/>
      <c r="AY512" s="93"/>
    </row>
    <row r="513" ht="15" spans="1:51">
      <c r="A513" s="91"/>
      <c r="B513" s="95"/>
      <c r="C513" s="152" t="s">
        <v>375</v>
      </c>
      <c r="D513" s="153" t="s">
        <v>25</v>
      </c>
      <c r="E513" s="130" t="s">
        <v>376</v>
      </c>
      <c r="F513" s="154" t="s">
        <v>539</v>
      </c>
      <c r="G513" s="154" t="s">
        <v>539</v>
      </c>
      <c r="H513" s="154" t="s">
        <v>539</v>
      </c>
      <c r="I513" s="154" t="s">
        <v>539</v>
      </c>
      <c r="J513" s="132">
        <v>0.9</v>
      </c>
      <c r="K513" s="133">
        <v>1</v>
      </c>
      <c r="L513" s="133">
        <v>1</v>
      </c>
      <c r="M513" s="134">
        <v>1</v>
      </c>
      <c r="N513" s="133">
        <v>0.997899159663866</v>
      </c>
      <c r="O513" s="135">
        <v>0.9</v>
      </c>
      <c r="P513" s="133">
        <v>0.965174129353234</v>
      </c>
      <c r="Q513" s="133">
        <v>0.966725043782837</v>
      </c>
      <c r="R513" s="133">
        <v>0.988660524450744</v>
      </c>
      <c r="S513" s="133">
        <v>0.98067733947194</v>
      </c>
      <c r="T513" s="135">
        <v>0.9</v>
      </c>
      <c r="U513" s="133">
        <v>0.937810945273632</v>
      </c>
      <c r="V513" s="133">
        <v>0.936952714535902</v>
      </c>
      <c r="W513" s="133">
        <v>0.936924167257264</v>
      </c>
      <c r="X513" s="133">
        <v>0.938404659760734</v>
      </c>
      <c r="Y513" s="135">
        <v>0.92</v>
      </c>
      <c r="Z513" s="135">
        <v>0.952941176470588</v>
      </c>
      <c r="AA513" s="135">
        <v>0.93167701863354</v>
      </c>
      <c r="AB513" s="135">
        <v>0.89769820971867</v>
      </c>
      <c r="AC513" s="135">
        <v>0.961316014032426</v>
      </c>
      <c r="AD513" s="135">
        <v>0.92</v>
      </c>
      <c r="AE513" s="133">
        <v>1</v>
      </c>
      <c r="AF513" s="133">
        <v>0.99901185770751</v>
      </c>
      <c r="AG513" s="133">
        <v>0.998942917547569</v>
      </c>
      <c r="AH513" s="133">
        <v>0.998533393501805</v>
      </c>
      <c r="AI513" s="135">
        <v>0.92</v>
      </c>
      <c r="AJ513" s="133">
        <v>0.969676549865229</v>
      </c>
      <c r="AK513" s="133">
        <v>0.961926091825308</v>
      </c>
      <c r="AL513" s="133">
        <v>0.965593784683685</v>
      </c>
      <c r="AM513" s="133">
        <v>0.981286967162961</v>
      </c>
      <c r="AN513" s="132">
        <v>0.99</v>
      </c>
      <c r="AO513" s="137">
        <v>1</v>
      </c>
      <c r="AP513" s="137">
        <v>1</v>
      </c>
      <c r="AQ513" s="137">
        <v>1</v>
      </c>
      <c r="AR513" s="137">
        <v>1</v>
      </c>
      <c r="AS513" s="158">
        <v>0.05</v>
      </c>
      <c r="AT513" s="141">
        <v>0</v>
      </c>
      <c r="AU513" s="141">
        <v>0.142857142857143</v>
      </c>
      <c r="AV513" s="141">
        <v>0</v>
      </c>
      <c r="AW513" s="141">
        <v>0.0353982300884956</v>
      </c>
      <c r="AX513" s="95"/>
      <c r="AY513" s="93"/>
    </row>
    <row r="514" ht="15" spans="1:51">
      <c r="A514" s="91"/>
      <c r="B514" s="95"/>
      <c r="C514" s="152" t="s">
        <v>375</v>
      </c>
      <c r="D514" s="153" t="s">
        <v>25</v>
      </c>
      <c r="E514" s="130" t="s">
        <v>376</v>
      </c>
      <c r="F514" s="154" t="s">
        <v>540</v>
      </c>
      <c r="G514" s="154" t="s">
        <v>540</v>
      </c>
      <c r="H514" s="154" t="s">
        <v>540</v>
      </c>
      <c r="I514" s="154" t="s">
        <v>540</v>
      </c>
      <c r="J514" s="132">
        <v>0.9</v>
      </c>
      <c r="K514" s="133">
        <v>0.96551724137931</v>
      </c>
      <c r="L514" s="133">
        <v>0.953488372093023</v>
      </c>
      <c r="M514" s="134">
        <v>0.962962962962963</v>
      </c>
      <c r="N514" s="133">
        <v>0.963488843813387</v>
      </c>
      <c r="O514" s="135">
        <v>0.9</v>
      </c>
      <c r="P514" s="133">
        <v>0</v>
      </c>
      <c r="Q514" s="133" t="s">
        <v>35</v>
      </c>
      <c r="R514" s="133" t="s">
        <v>35</v>
      </c>
      <c r="S514" s="133">
        <v>0.222222222222222</v>
      </c>
      <c r="T514" s="135">
        <v>0.9</v>
      </c>
      <c r="U514" s="133">
        <v>0</v>
      </c>
      <c r="V514" s="133" t="s">
        <v>35</v>
      </c>
      <c r="W514" s="133" t="s">
        <v>35</v>
      </c>
      <c r="X514" s="133">
        <v>0.111111111111111</v>
      </c>
      <c r="Y514" s="135">
        <v>0.92</v>
      </c>
      <c r="Z514" s="135">
        <v>0</v>
      </c>
      <c r="AA514" s="135">
        <v>0</v>
      </c>
      <c r="AB514" s="135" t="s">
        <v>35</v>
      </c>
      <c r="AC514" s="135">
        <v>0.25</v>
      </c>
      <c r="AD514" s="135">
        <v>0.92</v>
      </c>
      <c r="AE514" s="133">
        <v>0.998920086393089</v>
      </c>
      <c r="AF514" s="133">
        <v>0.998487140695915</v>
      </c>
      <c r="AG514" s="133">
        <v>0.985915492957746</v>
      </c>
      <c r="AH514" s="133">
        <v>0.98460876116672</v>
      </c>
      <c r="AI514" s="135">
        <v>0.92</v>
      </c>
      <c r="AJ514" s="133">
        <v>0.972889498970487</v>
      </c>
      <c r="AK514" s="133">
        <v>0.972550675675676</v>
      </c>
      <c r="AL514" s="133">
        <v>0.973914858096828</v>
      </c>
      <c r="AM514" s="133">
        <v>0.980287129021208</v>
      </c>
      <c r="AN514" s="132">
        <v>0.99</v>
      </c>
      <c r="AO514" s="137">
        <v>1</v>
      </c>
      <c r="AP514" s="137">
        <v>1</v>
      </c>
      <c r="AQ514" s="137">
        <v>1</v>
      </c>
      <c r="AR514" s="137">
        <v>1</v>
      </c>
      <c r="AS514" s="158">
        <v>0.05</v>
      </c>
      <c r="AT514" s="141">
        <v>0.25</v>
      </c>
      <c r="AU514" s="141">
        <v>0.2</v>
      </c>
      <c r="AV514" s="141">
        <v>0.111111111111111</v>
      </c>
      <c r="AW514" s="141">
        <v>0.0716845878136201</v>
      </c>
      <c r="AX514" s="95"/>
      <c r="AY514" s="93"/>
    </row>
    <row r="515" ht="15" spans="1:51">
      <c r="A515" s="91"/>
      <c r="B515" s="95"/>
      <c r="C515" s="152" t="s">
        <v>375</v>
      </c>
      <c r="D515" s="153" t="s">
        <v>25</v>
      </c>
      <c r="E515" s="130" t="s">
        <v>376</v>
      </c>
      <c r="F515" s="154" t="s">
        <v>541</v>
      </c>
      <c r="G515" s="154" t="s">
        <v>541</v>
      </c>
      <c r="H515" s="154" t="s">
        <v>541</v>
      </c>
      <c r="I515" s="154" t="s">
        <v>541</v>
      </c>
      <c r="J515" s="132">
        <v>0.9</v>
      </c>
      <c r="K515" s="133">
        <v>0.971014492753623</v>
      </c>
      <c r="L515" s="133">
        <v>0.828125</v>
      </c>
      <c r="M515" s="134">
        <v>0.883333333333333</v>
      </c>
      <c r="N515" s="133">
        <v>0.922045264040235</v>
      </c>
      <c r="O515" s="135">
        <v>0.9</v>
      </c>
      <c r="P515" s="133">
        <v>0.966666666666667</v>
      </c>
      <c r="Q515" s="133">
        <v>0.93882807469414</v>
      </c>
      <c r="R515" s="133">
        <v>0.907503908285565</v>
      </c>
      <c r="S515" s="133">
        <v>0.917962920638335</v>
      </c>
      <c r="T515" s="135">
        <v>0.9</v>
      </c>
      <c r="U515" s="133">
        <v>0.899033816425121</v>
      </c>
      <c r="V515" s="133">
        <v>0.869285254346426</v>
      </c>
      <c r="W515" s="133">
        <v>0.871026576341845</v>
      </c>
      <c r="X515" s="133">
        <v>0.860569231389737</v>
      </c>
      <c r="Y515" s="135">
        <v>0.92</v>
      </c>
      <c r="Z515" s="135">
        <v>0.83589462129528</v>
      </c>
      <c r="AA515" s="135">
        <v>0.788499025341131</v>
      </c>
      <c r="AB515" s="135">
        <v>0.687099725526075</v>
      </c>
      <c r="AC515" s="135">
        <v>0.802685301507538</v>
      </c>
      <c r="AD515" s="135">
        <v>0.92</v>
      </c>
      <c r="AE515" s="133">
        <v>1</v>
      </c>
      <c r="AF515" s="133">
        <v>0.99954128440367</v>
      </c>
      <c r="AG515" s="133">
        <v>0.998377939983779</v>
      </c>
      <c r="AH515" s="133">
        <v>0.998176387360478</v>
      </c>
      <c r="AI515" s="135">
        <v>0.92</v>
      </c>
      <c r="AJ515" s="133">
        <v>0.897843942505133</v>
      </c>
      <c r="AK515" s="133">
        <v>0.879163439194423</v>
      </c>
      <c r="AL515" s="133">
        <v>0.883593591563577</v>
      </c>
      <c r="AM515" s="133">
        <v>0.914746843680854</v>
      </c>
      <c r="AN515" s="132">
        <v>0.99</v>
      </c>
      <c r="AO515" s="137">
        <v>1</v>
      </c>
      <c r="AP515" s="137">
        <v>1</v>
      </c>
      <c r="AQ515" s="137">
        <v>1</v>
      </c>
      <c r="AR515" s="137">
        <v>1</v>
      </c>
      <c r="AS515" s="158">
        <v>0.05</v>
      </c>
      <c r="AT515" s="141">
        <v>0.2</v>
      </c>
      <c r="AU515" s="141">
        <v>0.0666666666666667</v>
      </c>
      <c r="AV515" s="141">
        <v>0.0833333333333333</v>
      </c>
      <c r="AW515" s="141">
        <v>0.0347593582887701</v>
      </c>
      <c r="AX515" s="95"/>
      <c r="AY515" s="93"/>
    </row>
    <row r="516" ht="15" spans="1:51">
      <c r="A516" s="91"/>
      <c r="B516" s="95"/>
      <c r="C516" s="152" t="s">
        <v>375</v>
      </c>
      <c r="D516" s="153" t="s">
        <v>25</v>
      </c>
      <c r="E516" s="130" t="s">
        <v>376</v>
      </c>
      <c r="F516" s="154" t="s">
        <v>542</v>
      </c>
      <c r="G516" s="154" t="s">
        <v>542</v>
      </c>
      <c r="H516" s="154" t="s">
        <v>542</v>
      </c>
      <c r="I516" s="154" t="s">
        <v>542</v>
      </c>
      <c r="J516" s="132">
        <v>0.9</v>
      </c>
      <c r="K516" s="133">
        <v>0.923076923076923</v>
      </c>
      <c r="L516" s="133">
        <v>0.904761904761905</v>
      </c>
      <c r="M516" s="134">
        <v>0.956521739130435</v>
      </c>
      <c r="N516" s="133">
        <v>0.947727272727273</v>
      </c>
      <c r="O516" s="135">
        <v>0.9</v>
      </c>
      <c r="P516" s="133">
        <v>0.995037220843672</v>
      </c>
      <c r="Q516" s="133">
        <v>0.987128712871287</v>
      </c>
      <c r="R516" s="133">
        <v>0.963081130355515</v>
      </c>
      <c r="S516" s="133">
        <v>0.979591836734694</v>
      </c>
      <c r="T516" s="135">
        <v>0.9</v>
      </c>
      <c r="U516" s="133">
        <v>0.973531844499586</v>
      </c>
      <c r="V516" s="133">
        <v>0.989108910891089</v>
      </c>
      <c r="W516" s="133">
        <v>0.989972652689152</v>
      </c>
      <c r="X516" s="133">
        <v>0.962278869624299</v>
      </c>
      <c r="Y516" s="135">
        <v>0.92</v>
      </c>
      <c r="Z516" s="135">
        <v>0</v>
      </c>
      <c r="AA516" s="135" t="s">
        <v>35</v>
      </c>
      <c r="AB516" s="135" t="s">
        <v>35</v>
      </c>
      <c r="AC516" s="135">
        <v>0</v>
      </c>
      <c r="AD516" s="135">
        <v>0.92</v>
      </c>
      <c r="AE516" s="133">
        <v>1</v>
      </c>
      <c r="AF516" s="133">
        <v>0.976878612716763</v>
      </c>
      <c r="AG516" s="133">
        <v>0.98125</v>
      </c>
      <c r="AH516" s="133">
        <v>0.982914923291492</v>
      </c>
      <c r="AI516" s="135">
        <v>0.92</v>
      </c>
      <c r="AJ516" s="133">
        <v>0.982673267326733</v>
      </c>
      <c r="AK516" s="133">
        <v>0.998019801980198</v>
      </c>
      <c r="AL516" s="133">
        <v>0.996809480401094</v>
      </c>
      <c r="AM516" s="133">
        <v>0.9897846215781</v>
      </c>
      <c r="AN516" s="132">
        <v>0.99</v>
      </c>
      <c r="AO516" s="137">
        <v>1</v>
      </c>
      <c r="AP516" s="137">
        <v>1</v>
      </c>
      <c r="AQ516" s="137">
        <v>1</v>
      </c>
      <c r="AR516" s="137">
        <v>1</v>
      </c>
      <c r="AS516" s="158">
        <v>0.05</v>
      </c>
      <c r="AT516" s="141">
        <v>0</v>
      </c>
      <c r="AU516" s="141">
        <v>0.333333333333333</v>
      </c>
      <c r="AV516" s="141">
        <v>0.142857142857143</v>
      </c>
      <c r="AW516" s="141">
        <v>0.0538922155688623</v>
      </c>
      <c r="AX516" s="95"/>
      <c r="AY516" s="93"/>
    </row>
    <row r="517" ht="15" spans="1:51">
      <c r="A517" s="91"/>
      <c r="B517" s="95"/>
      <c r="C517" s="152" t="s">
        <v>375</v>
      </c>
      <c r="D517" s="153" t="s">
        <v>25</v>
      </c>
      <c r="E517" s="130" t="s">
        <v>376</v>
      </c>
      <c r="F517" s="154" t="s">
        <v>543</v>
      </c>
      <c r="G517" s="154" t="s">
        <v>543</v>
      </c>
      <c r="H517" s="154" t="s">
        <v>543</v>
      </c>
      <c r="I517" s="154" t="s">
        <v>543</v>
      </c>
      <c r="J517" s="132">
        <v>0.9</v>
      </c>
      <c r="K517" s="133">
        <v>0.975609756097561</v>
      </c>
      <c r="L517" s="133">
        <v>0.939393939393939</v>
      </c>
      <c r="M517" s="134">
        <v>0.939393939393939</v>
      </c>
      <c r="N517" s="133">
        <v>0.970674486803519</v>
      </c>
      <c r="O517" s="135">
        <v>0.9</v>
      </c>
      <c r="P517" s="133">
        <v>1</v>
      </c>
      <c r="Q517" s="133" t="s">
        <v>35</v>
      </c>
      <c r="R517" s="133" t="s">
        <v>35</v>
      </c>
      <c r="S517" s="133">
        <v>0.846153846153846</v>
      </c>
      <c r="T517" s="135">
        <v>0.9</v>
      </c>
      <c r="U517" s="133">
        <v>0</v>
      </c>
      <c r="V517" s="133" t="s">
        <v>35</v>
      </c>
      <c r="W517" s="133" t="s">
        <v>35</v>
      </c>
      <c r="X517" s="133">
        <v>0.615384615384615</v>
      </c>
      <c r="Y517" s="135">
        <v>0.92</v>
      </c>
      <c r="Z517" s="135">
        <v>0</v>
      </c>
      <c r="AA517" s="135" t="s">
        <v>35</v>
      </c>
      <c r="AB517" s="135" t="s">
        <v>35</v>
      </c>
      <c r="AC517" s="135">
        <v>0</v>
      </c>
      <c r="AD517" s="135">
        <v>0.92</v>
      </c>
      <c r="AE517" s="133">
        <v>0.996879875195008</v>
      </c>
      <c r="AF517" s="133">
        <v>0.997373604727511</v>
      </c>
      <c r="AG517" s="133">
        <v>0.994535519125683</v>
      </c>
      <c r="AH517" s="133">
        <v>0.996130779647901</v>
      </c>
      <c r="AI517" s="135">
        <v>0.92</v>
      </c>
      <c r="AJ517" s="133">
        <v>0.991992882562278</v>
      </c>
      <c r="AK517" s="133">
        <v>0.992694063926941</v>
      </c>
      <c r="AL517" s="133">
        <v>0.987883283877349</v>
      </c>
      <c r="AM517" s="133">
        <v>0.992222236625488</v>
      </c>
      <c r="AN517" s="132">
        <v>0.99</v>
      </c>
      <c r="AO517" s="137">
        <v>1</v>
      </c>
      <c r="AP517" s="137">
        <v>1</v>
      </c>
      <c r="AQ517" s="137">
        <v>1</v>
      </c>
      <c r="AR517" s="137">
        <v>1</v>
      </c>
      <c r="AS517" s="158">
        <v>0.05</v>
      </c>
      <c r="AT517" s="141">
        <v>0</v>
      </c>
      <c r="AU517" s="141">
        <v>0.142857142857143</v>
      </c>
      <c r="AV517" s="141">
        <v>0</v>
      </c>
      <c r="AW517" s="141">
        <v>0.0390243902439024</v>
      </c>
      <c r="AX517" s="95"/>
      <c r="AY517" s="93"/>
    </row>
    <row r="518" ht="15" spans="1:51">
      <c r="A518" s="91"/>
      <c r="B518" s="95"/>
      <c r="C518" s="152" t="s">
        <v>375</v>
      </c>
      <c r="D518" s="153" t="s">
        <v>25</v>
      </c>
      <c r="E518" s="130" t="s">
        <v>376</v>
      </c>
      <c r="F518" s="154" t="s">
        <v>544</v>
      </c>
      <c r="G518" s="154" t="s">
        <v>544</v>
      </c>
      <c r="H518" s="154" t="s">
        <v>544</v>
      </c>
      <c r="I518" s="154" t="s">
        <v>544</v>
      </c>
      <c r="J518" s="132">
        <v>0.9</v>
      </c>
      <c r="K518" s="133">
        <v>0.971428571428571</v>
      </c>
      <c r="L518" s="133">
        <v>1</v>
      </c>
      <c r="M518" s="134">
        <v>0.962962962962963</v>
      </c>
      <c r="N518" s="133">
        <v>0.964856230031949</v>
      </c>
      <c r="O518" s="135">
        <v>0.9</v>
      </c>
      <c r="P518" s="133">
        <v>0.910614525139665</v>
      </c>
      <c r="Q518" s="133">
        <v>0.893536121673004</v>
      </c>
      <c r="R518" s="133">
        <v>0.694706994328922</v>
      </c>
      <c r="S518" s="133">
        <v>0.940629295573088</v>
      </c>
      <c r="T518" s="135">
        <v>0.9</v>
      </c>
      <c r="U518" s="133">
        <v>0.861731843575419</v>
      </c>
      <c r="V518" s="133">
        <v>0.787072243346008</v>
      </c>
      <c r="W518" s="133">
        <v>0.754253308128544</v>
      </c>
      <c r="X518" s="133">
        <v>0.902009151335982</v>
      </c>
      <c r="Y518" s="135">
        <v>0.92</v>
      </c>
      <c r="Z518" s="135">
        <v>0.870635631154879</v>
      </c>
      <c r="AA518" s="135">
        <v>0.822822822822823</v>
      </c>
      <c r="AB518" s="135">
        <v>0.8</v>
      </c>
      <c r="AC518" s="135">
        <v>0.850761293569901</v>
      </c>
      <c r="AD518" s="135">
        <v>0.92</v>
      </c>
      <c r="AE518" s="133">
        <v>0.984615384615385</v>
      </c>
      <c r="AF518" s="133">
        <v>0.953846153846154</v>
      </c>
      <c r="AG518" s="133">
        <v>0.96969696969697</v>
      </c>
      <c r="AH518" s="133">
        <v>0.975765306122449</v>
      </c>
      <c r="AI518" s="135">
        <v>0.92</v>
      </c>
      <c r="AJ518" s="133">
        <v>0.889830508474576</v>
      </c>
      <c r="AK518" s="133">
        <v>0.847213114754098</v>
      </c>
      <c r="AL518" s="133">
        <v>0.85395537525355</v>
      </c>
      <c r="AM518" s="133">
        <v>0.957182388289424</v>
      </c>
      <c r="AN518" s="132">
        <v>0.99</v>
      </c>
      <c r="AO518" s="137">
        <v>1</v>
      </c>
      <c r="AP518" s="137">
        <v>1</v>
      </c>
      <c r="AQ518" s="137">
        <v>1</v>
      </c>
      <c r="AR518" s="137">
        <v>1</v>
      </c>
      <c r="AS518" s="158">
        <v>0.05</v>
      </c>
      <c r="AT518" s="141">
        <v>0</v>
      </c>
      <c r="AU518" s="141">
        <v>0.2</v>
      </c>
      <c r="AV518" s="141">
        <v>0.666666666666667</v>
      </c>
      <c r="AW518" s="141">
        <v>0.0523809523809524</v>
      </c>
      <c r="AX518" s="95"/>
      <c r="AY518" s="93"/>
    </row>
    <row r="519" ht="15" spans="1:51">
      <c r="A519" s="91"/>
      <c r="B519" s="95"/>
      <c r="C519" s="152" t="s">
        <v>375</v>
      </c>
      <c r="D519" s="153" t="s">
        <v>25</v>
      </c>
      <c r="E519" s="130" t="s">
        <v>376</v>
      </c>
      <c r="F519" s="154" t="s">
        <v>545</v>
      </c>
      <c r="G519" s="154" t="s">
        <v>545</v>
      </c>
      <c r="H519" s="154" t="s">
        <v>545</v>
      </c>
      <c r="I519" s="154" t="s">
        <v>545</v>
      </c>
      <c r="J519" s="132">
        <v>0.9</v>
      </c>
      <c r="K519" s="133">
        <v>1</v>
      </c>
      <c r="L519" s="133">
        <v>1</v>
      </c>
      <c r="M519" s="134">
        <v>1</v>
      </c>
      <c r="N519" s="133">
        <v>0.989637305699482</v>
      </c>
      <c r="O519" s="135">
        <v>0.9</v>
      </c>
      <c r="P519" s="133">
        <v>0.987394957983193</v>
      </c>
      <c r="Q519" s="133">
        <v>0.987854251012146</v>
      </c>
      <c r="R519" s="133">
        <v>0.953674121405751</v>
      </c>
      <c r="S519" s="133">
        <v>0.96244818336991</v>
      </c>
      <c r="T519" s="135">
        <v>0.9</v>
      </c>
      <c r="U519" s="133">
        <v>0.949579831932773</v>
      </c>
      <c r="V519" s="133">
        <v>0.967611336032389</v>
      </c>
      <c r="W519" s="133">
        <v>0.94408945686901</v>
      </c>
      <c r="X519" s="133">
        <v>0.950926603267496</v>
      </c>
      <c r="Y519" s="135">
        <v>0.92</v>
      </c>
      <c r="Z519" s="135">
        <v>0.952288845905867</v>
      </c>
      <c r="AA519" s="135">
        <v>0.970074812967581</v>
      </c>
      <c r="AB519" s="135">
        <v>0.970254957507082</v>
      </c>
      <c r="AC519" s="135">
        <v>0.963885544957866</v>
      </c>
      <c r="AD519" s="135">
        <v>0.92</v>
      </c>
      <c r="AE519" s="133">
        <v>0.966101694915254</v>
      </c>
      <c r="AF519" s="133">
        <v>1</v>
      </c>
      <c r="AG519" s="133">
        <v>1</v>
      </c>
      <c r="AH519" s="133">
        <v>0.981308411214953</v>
      </c>
      <c r="AI519" s="135">
        <v>0.92</v>
      </c>
      <c r="AJ519" s="133">
        <v>0.958086785009862</v>
      </c>
      <c r="AK519" s="133">
        <v>0.973307912297426</v>
      </c>
      <c r="AL519" s="133">
        <v>0.978228228228228</v>
      </c>
      <c r="AM519" s="133">
        <v>0.973926299742417</v>
      </c>
      <c r="AN519" s="132">
        <v>0.99</v>
      </c>
      <c r="AO519" s="137">
        <v>1</v>
      </c>
      <c r="AP519" s="137">
        <v>1</v>
      </c>
      <c r="AQ519" s="137">
        <v>1</v>
      </c>
      <c r="AR519" s="137">
        <v>1</v>
      </c>
      <c r="AS519" s="158">
        <v>0.05</v>
      </c>
      <c r="AT519" s="141">
        <v>0.333333333333333</v>
      </c>
      <c r="AU519" s="141">
        <v>0</v>
      </c>
      <c r="AV519" s="141">
        <v>0.333333333333333</v>
      </c>
      <c r="AW519" s="141">
        <v>0.0555555555555556</v>
      </c>
      <c r="AX519" s="95"/>
      <c r="AY519" s="93"/>
    </row>
    <row r="520" ht="15" spans="1:51">
      <c r="A520" s="91"/>
      <c r="B520" s="95"/>
      <c r="C520" s="152" t="s">
        <v>375</v>
      </c>
      <c r="D520" s="153" t="s">
        <v>25</v>
      </c>
      <c r="E520" s="130" t="s">
        <v>376</v>
      </c>
      <c r="F520" s="154" t="s">
        <v>546</v>
      </c>
      <c r="G520" s="154" t="s">
        <v>546</v>
      </c>
      <c r="H520" s="154" t="s">
        <v>546</v>
      </c>
      <c r="I520" s="154" t="s">
        <v>546</v>
      </c>
      <c r="J520" s="132">
        <v>0.9</v>
      </c>
      <c r="K520" s="133">
        <v>0.985714285714286</v>
      </c>
      <c r="L520" s="133">
        <v>0.952380952380952</v>
      </c>
      <c r="M520" s="134">
        <v>0.966101694915254</v>
      </c>
      <c r="N520" s="133">
        <v>0.927631578947368</v>
      </c>
      <c r="O520" s="135">
        <v>0.9</v>
      </c>
      <c r="P520" s="133">
        <v>0.931289040318001</v>
      </c>
      <c r="Q520" s="133">
        <v>0.948998178506375</v>
      </c>
      <c r="R520" s="133">
        <v>0.768059181897302</v>
      </c>
      <c r="S520" s="133">
        <v>0.835459753012945</v>
      </c>
      <c r="T520" s="135">
        <v>0.9</v>
      </c>
      <c r="U520" s="133">
        <v>0.852924474730267</v>
      </c>
      <c r="V520" s="133">
        <v>0.834244080145719</v>
      </c>
      <c r="W520" s="133">
        <v>0.776327241079199</v>
      </c>
      <c r="X520" s="133">
        <v>0.80506993006993</v>
      </c>
      <c r="Y520" s="135">
        <v>0.92</v>
      </c>
      <c r="Z520" s="135">
        <v>0.840503875968992</v>
      </c>
      <c r="AA520" s="135">
        <v>0.855883649184663</v>
      </c>
      <c r="AB520" s="135">
        <v>0.75462962962963</v>
      </c>
      <c r="AC520" s="135">
        <v>0.853306060740807</v>
      </c>
      <c r="AD520" s="135">
        <v>0.92</v>
      </c>
      <c r="AE520" s="133">
        <v>0.998542274052478</v>
      </c>
      <c r="AF520" s="133">
        <v>0.996913580246914</v>
      </c>
      <c r="AG520" s="133">
        <v>0.995640802092415</v>
      </c>
      <c r="AH520" s="133">
        <v>0.995388384493443</v>
      </c>
      <c r="AI520" s="135">
        <v>0.92</v>
      </c>
      <c r="AJ520" s="133">
        <v>0.867649183643982</v>
      </c>
      <c r="AK520" s="133">
        <v>0.888624888624889</v>
      </c>
      <c r="AL520" s="133">
        <v>0.845193213949105</v>
      </c>
      <c r="AM520" s="133">
        <v>0.895569985332169</v>
      </c>
      <c r="AN520" s="132">
        <v>0.99</v>
      </c>
      <c r="AO520" s="137">
        <v>1</v>
      </c>
      <c r="AP520" s="137">
        <v>1</v>
      </c>
      <c r="AQ520" s="137">
        <v>1</v>
      </c>
      <c r="AR520" s="137">
        <v>1</v>
      </c>
      <c r="AS520" s="158">
        <v>0.05</v>
      </c>
      <c r="AT520" s="141">
        <v>0.136363636363636</v>
      </c>
      <c r="AU520" s="141">
        <v>0.1</v>
      </c>
      <c r="AV520" s="141">
        <v>0.35</v>
      </c>
      <c r="AW520" s="141">
        <v>0.127717391304348</v>
      </c>
      <c r="AX520" s="95"/>
      <c r="AY520" s="93"/>
    </row>
    <row r="521" ht="15" spans="1:51">
      <c r="A521" s="91"/>
      <c r="B521" s="95"/>
      <c r="C521" s="152" t="s">
        <v>375</v>
      </c>
      <c r="D521" s="153" t="s">
        <v>25</v>
      </c>
      <c r="E521" s="130" t="s">
        <v>376</v>
      </c>
      <c r="F521" s="154" t="s">
        <v>547</v>
      </c>
      <c r="G521" s="154" t="s">
        <v>547</v>
      </c>
      <c r="H521" s="154" t="s">
        <v>547</v>
      </c>
      <c r="I521" s="154" t="s">
        <v>547</v>
      </c>
      <c r="J521" s="132">
        <v>0.9</v>
      </c>
      <c r="K521" s="133">
        <v>1</v>
      </c>
      <c r="L521" s="133">
        <v>0.985507246376812</v>
      </c>
      <c r="M521" s="134">
        <v>0.985714285714286</v>
      </c>
      <c r="N521" s="133">
        <v>0.987960339943343</v>
      </c>
      <c r="O521" s="135">
        <v>0.9</v>
      </c>
      <c r="P521" s="133">
        <v>0.9596174282678</v>
      </c>
      <c r="Q521" s="133">
        <v>0.934587080948487</v>
      </c>
      <c r="R521" s="133">
        <v>0.94900324524803</v>
      </c>
      <c r="S521" s="133">
        <v>0.963439153439153</v>
      </c>
      <c r="T521" s="135">
        <v>0.9</v>
      </c>
      <c r="U521" s="133">
        <v>0.898512221041445</v>
      </c>
      <c r="V521" s="133">
        <v>0.899427636958299</v>
      </c>
      <c r="W521" s="133">
        <v>0.873898933704219</v>
      </c>
      <c r="X521" s="133">
        <v>0.904938271604938</v>
      </c>
      <c r="Y521" s="135">
        <v>0.92</v>
      </c>
      <c r="Z521" s="135">
        <v>0.903190619034633</v>
      </c>
      <c r="AA521" s="135">
        <v>0.905768132495717</v>
      </c>
      <c r="AB521" s="135">
        <v>0.867340868530637</v>
      </c>
      <c r="AC521" s="135">
        <v>0.914297754961306</v>
      </c>
      <c r="AD521" s="135">
        <v>0.92</v>
      </c>
      <c r="AE521" s="133">
        <v>0.999279019466474</v>
      </c>
      <c r="AF521" s="133">
        <v>0.999085086916743</v>
      </c>
      <c r="AG521" s="133">
        <v>0.995945945945946</v>
      </c>
      <c r="AH521" s="133">
        <v>0.997277506571536</v>
      </c>
      <c r="AI521" s="135">
        <v>0.92</v>
      </c>
      <c r="AJ521" s="133">
        <v>0.926139434336156</v>
      </c>
      <c r="AK521" s="133">
        <v>0.931764705882353</v>
      </c>
      <c r="AL521" s="133">
        <v>0.926822916666667</v>
      </c>
      <c r="AM521" s="133">
        <v>0.948242026300827</v>
      </c>
      <c r="AN521" s="132">
        <v>0.99</v>
      </c>
      <c r="AO521" s="137">
        <v>1</v>
      </c>
      <c r="AP521" s="137">
        <v>1</v>
      </c>
      <c r="AQ521" s="137">
        <v>1</v>
      </c>
      <c r="AR521" s="137">
        <v>1</v>
      </c>
      <c r="AS521" s="158">
        <v>0.05</v>
      </c>
      <c r="AT521" s="141">
        <v>0.0833333333333333</v>
      </c>
      <c r="AU521" s="141">
        <v>0.0833333333333333</v>
      </c>
      <c r="AV521" s="141">
        <v>0.2</v>
      </c>
      <c r="AW521" s="141">
        <v>0.0546448087431694</v>
      </c>
      <c r="AX521" s="95"/>
      <c r="AY521" s="93"/>
    </row>
    <row r="522" ht="15" spans="1:51">
      <c r="A522" s="91"/>
      <c r="B522" s="95"/>
      <c r="C522" s="152" t="s">
        <v>375</v>
      </c>
      <c r="D522" s="153" t="s">
        <v>25</v>
      </c>
      <c r="E522" s="130" t="s">
        <v>376</v>
      </c>
      <c r="F522" s="154" t="s">
        <v>548</v>
      </c>
      <c r="G522" s="154" t="s">
        <v>548</v>
      </c>
      <c r="H522" s="154" t="s">
        <v>548</v>
      </c>
      <c r="I522" s="154" t="s">
        <v>548</v>
      </c>
      <c r="J522" s="132">
        <v>0.9</v>
      </c>
      <c r="K522" s="133">
        <v>1</v>
      </c>
      <c r="L522" s="133">
        <v>0.982142857142857</v>
      </c>
      <c r="M522" s="134">
        <v>1</v>
      </c>
      <c r="N522" s="133">
        <v>0.989861751152074</v>
      </c>
      <c r="O522" s="135">
        <v>0.9</v>
      </c>
      <c r="P522" s="133">
        <v>0.956398104265403</v>
      </c>
      <c r="Q522" s="133">
        <v>0.934088152042054</v>
      </c>
      <c r="R522" s="133">
        <v>0.961409063922422</v>
      </c>
      <c r="S522" s="133">
        <v>0.956604757929883</v>
      </c>
      <c r="T522" s="135">
        <v>0.9</v>
      </c>
      <c r="U522" s="133">
        <v>0.919431279620853</v>
      </c>
      <c r="V522" s="133">
        <v>0.88071168621108</v>
      </c>
      <c r="W522" s="133">
        <v>0.916485256283396</v>
      </c>
      <c r="X522" s="133">
        <v>0.908430717863105</v>
      </c>
      <c r="Y522" s="135">
        <v>0.92</v>
      </c>
      <c r="Z522" s="135" t="s">
        <v>35</v>
      </c>
      <c r="AA522" s="135" t="s">
        <v>35</v>
      </c>
      <c r="AB522" s="135" t="s">
        <v>35</v>
      </c>
      <c r="AC522" s="135">
        <v>0.25</v>
      </c>
      <c r="AD522" s="135">
        <v>0.92</v>
      </c>
      <c r="AE522" s="133">
        <v>0.99780701754386</v>
      </c>
      <c r="AF522" s="133">
        <v>0.989949748743719</v>
      </c>
      <c r="AG522" s="133">
        <v>0.930232558139535</v>
      </c>
      <c r="AH522" s="133">
        <v>0.989379356123465</v>
      </c>
      <c r="AI522" s="135">
        <v>0.92</v>
      </c>
      <c r="AJ522" s="133">
        <v>0.956398104265403</v>
      </c>
      <c r="AK522" s="133">
        <v>0.983420946219167</v>
      </c>
      <c r="AL522" s="133">
        <v>0.962596477340194</v>
      </c>
      <c r="AM522" s="133">
        <v>0.974239389007137</v>
      </c>
      <c r="AN522" s="132">
        <v>0.99</v>
      </c>
      <c r="AO522" s="137">
        <v>1</v>
      </c>
      <c r="AP522" s="137">
        <v>1</v>
      </c>
      <c r="AQ522" s="137">
        <v>1</v>
      </c>
      <c r="AR522" s="137">
        <v>1</v>
      </c>
      <c r="AS522" s="158">
        <v>0.05</v>
      </c>
      <c r="AT522" s="141">
        <v>0.0714285714285714</v>
      </c>
      <c r="AU522" s="141">
        <v>0.0833333333333333</v>
      </c>
      <c r="AV522" s="141">
        <v>0</v>
      </c>
      <c r="AW522" s="141">
        <v>0.0606060606060606</v>
      </c>
      <c r="AX522" s="95"/>
      <c r="AY522" s="93"/>
    </row>
    <row r="523" ht="15" spans="1:51">
      <c r="A523" s="91"/>
      <c r="B523" s="95"/>
      <c r="C523" s="152" t="s">
        <v>375</v>
      </c>
      <c r="D523" s="153" t="s">
        <v>25</v>
      </c>
      <c r="E523" s="130" t="s">
        <v>376</v>
      </c>
      <c r="F523" s="154" t="s">
        <v>549</v>
      </c>
      <c r="G523" s="154" t="s">
        <v>549</v>
      </c>
      <c r="H523" s="154" t="s">
        <v>549</v>
      </c>
      <c r="I523" s="154" t="s">
        <v>549</v>
      </c>
      <c r="J523" s="132">
        <v>0.9</v>
      </c>
      <c r="K523" s="133">
        <v>0.986486486486487</v>
      </c>
      <c r="L523" s="133">
        <v>0.909090909090909</v>
      </c>
      <c r="M523" s="134">
        <v>0.968253968253968</v>
      </c>
      <c r="N523" s="133">
        <v>0.963934426229508</v>
      </c>
      <c r="O523" s="135">
        <v>0.9</v>
      </c>
      <c r="P523" s="133">
        <v>0.977122521606507</v>
      </c>
      <c r="Q523" s="133">
        <v>0.971023824855119</v>
      </c>
      <c r="R523" s="133">
        <v>0.97595697564062</v>
      </c>
      <c r="S523" s="133">
        <v>0.929343255128441</v>
      </c>
      <c r="T523" s="135">
        <v>0.9</v>
      </c>
      <c r="U523" s="133">
        <v>0.925266903914591</v>
      </c>
      <c r="V523" s="133">
        <v>0.931101094655506</v>
      </c>
      <c r="W523" s="133">
        <v>0.936254349889276</v>
      </c>
      <c r="X523" s="133">
        <v>0.931009347740762</v>
      </c>
      <c r="Y523" s="135">
        <v>0.92</v>
      </c>
      <c r="Z523" s="135">
        <v>0</v>
      </c>
      <c r="AA523" s="135">
        <v>0</v>
      </c>
      <c r="AB523" s="135" t="s">
        <v>35</v>
      </c>
      <c r="AC523" s="135">
        <v>0</v>
      </c>
      <c r="AD523" s="135">
        <v>0.92</v>
      </c>
      <c r="AE523" s="133">
        <v>0.910482921083628</v>
      </c>
      <c r="AF523" s="133">
        <v>0.999308437067773</v>
      </c>
      <c r="AG523" s="133">
        <v>0.992313067784766</v>
      </c>
      <c r="AH523" s="133">
        <v>0.990998239879306</v>
      </c>
      <c r="AI523" s="135">
        <v>0.92</v>
      </c>
      <c r="AJ523" s="133">
        <v>0.977388211382114</v>
      </c>
      <c r="AK523" s="133">
        <v>0.976182813002897</v>
      </c>
      <c r="AL523" s="133">
        <v>0.983549509648845</v>
      </c>
      <c r="AM523" s="133">
        <v>0.983844095926181</v>
      </c>
      <c r="AN523" s="132">
        <v>0.99</v>
      </c>
      <c r="AO523" s="137">
        <v>1</v>
      </c>
      <c r="AP523" s="137">
        <v>1</v>
      </c>
      <c r="AQ523" s="137">
        <v>1</v>
      </c>
      <c r="AR523" s="137">
        <v>1</v>
      </c>
      <c r="AS523" s="158">
        <v>0.05</v>
      </c>
      <c r="AT523" s="141">
        <v>0</v>
      </c>
      <c r="AU523" s="141">
        <v>0.125</v>
      </c>
      <c r="AV523" s="141">
        <v>0.0909090909090909</v>
      </c>
      <c r="AW523" s="141">
        <v>0.0689655172413793</v>
      </c>
      <c r="AX523" s="95"/>
      <c r="AY523" s="93"/>
    </row>
    <row r="524" ht="15" spans="1:51">
      <c r="A524" s="91"/>
      <c r="B524" s="95"/>
      <c r="C524" s="152" t="s">
        <v>375</v>
      </c>
      <c r="D524" s="153" t="s">
        <v>25</v>
      </c>
      <c r="E524" s="130" t="s">
        <v>376</v>
      </c>
      <c r="F524" s="154" t="s">
        <v>550</v>
      </c>
      <c r="G524" s="154" t="s">
        <v>550</v>
      </c>
      <c r="H524" s="154" t="s">
        <v>550</v>
      </c>
      <c r="I524" s="154" t="s">
        <v>550</v>
      </c>
      <c r="J524" s="132">
        <v>0.9</v>
      </c>
      <c r="K524" s="133">
        <v>0.947368421052632</v>
      </c>
      <c r="L524" s="133">
        <v>0.928571428571429</v>
      </c>
      <c r="M524" s="134">
        <v>0.9375</v>
      </c>
      <c r="N524" s="133">
        <v>0.96551724137931</v>
      </c>
      <c r="O524" s="135">
        <v>0.9</v>
      </c>
      <c r="P524" s="133">
        <v>0.975056689342404</v>
      </c>
      <c r="Q524" s="133">
        <v>0.986013986013986</v>
      </c>
      <c r="R524" s="133">
        <v>0.948051948051948</v>
      </c>
      <c r="S524" s="133">
        <v>0.971039675644367</v>
      </c>
      <c r="T524" s="135">
        <v>0.9</v>
      </c>
      <c r="U524" s="133">
        <v>0.873015873015873</v>
      </c>
      <c r="V524" s="133">
        <v>0.870629370629371</v>
      </c>
      <c r="W524" s="133">
        <v>0.868506493506494</v>
      </c>
      <c r="X524" s="133">
        <v>0.893353605560382</v>
      </c>
      <c r="Y524" s="135">
        <v>0.92</v>
      </c>
      <c r="Z524" s="135">
        <v>0.886086956521739</v>
      </c>
      <c r="AA524" s="135">
        <v>0.921535893155259</v>
      </c>
      <c r="AB524" s="135">
        <v>0.973577235772358</v>
      </c>
      <c r="AC524" s="135">
        <v>0.942945856782457</v>
      </c>
      <c r="AD524" s="135">
        <v>0.92</v>
      </c>
      <c r="AE524" s="133">
        <v>0.990990990990991</v>
      </c>
      <c r="AF524" s="133">
        <v>0.992248062015504</v>
      </c>
      <c r="AG524" s="133">
        <v>1</v>
      </c>
      <c r="AH524" s="133">
        <v>0.989561586638831</v>
      </c>
      <c r="AI524" s="135">
        <v>0.92</v>
      </c>
      <c r="AJ524" s="133">
        <v>0.910804020100503</v>
      </c>
      <c r="AK524" s="133">
        <v>0.936723163841808</v>
      </c>
      <c r="AL524" s="133">
        <v>0.975719424460432</v>
      </c>
      <c r="AM524" s="133">
        <v>0.961821903787103</v>
      </c>
      <c r="AN524" s="132">
        <v>0.99</v>
      </c>
      <c r="AO524" s="137">
        <v>1</v>
      </c>
      <c r="AP524" s="137">
        <v>1</v>
      </c>
      <c r="AQ524" s="137">
        <v>1</v>
      </c>
      <c r="AR524" s="137">
        <v>1</v>
      </c>
      <c r="AS524" s="158">
        <v>0.05</v>
      </c>
      <c r="AT524" s="141">
        <v>0</v>
      </c>
      <c r="AU524" s="141">
        <v>0</v>
      </c>
      <c r="AV524" s="141">
        <v>1</v>
      </c>
      <c r="AW524" s="141">
        <v>0.064</v>
      </c>
      <c r="AX524" s="95"/>
      <c r="AY524" s="93"/>
    </row>
    <row r="525" ht="15" spans="1:51">
      <c r="A525" s="91"/>
      <c r="B525" s="95"/>
      <c r="C525" s="152" t="s">
        <v>375</v>
      </c>
      <c r="D525" s="153" t="s">
        <v>25</v>
      </c>
      <c r="E525" s="130" t="s">
        <v>376</v>
      </c>
      <c r="F525" s="154" t="s">
        <v>551</v>
      </c>
      <c r="G525" s="154" t="s">
        <v>551</v>
      </c>
      <c r="H525" s="154" t="s">
        <v>551</v>
      </c>
      <c r="I525" s="154" t="s">
        <v>551</v>
      </c>
      <c r="J525" s="132">
        <v>0.9</v>
      </c>
      <c r="K525" s="133">
        <v>1</v>
      </c>
      <c r="L525" s="133">
        <v>1</v>
      </c>
      <c r="M525" s="134">
        <v>0.984126984126984</v>
      </c>
      <c r="N525" s="133">
        <v>0.987331749802059</v>
      </c>
      <c r="O525" s="135">
        <v>0.9</v>
      </c>
      <c r="P525" s="133">
        <v>0.974789915966387</v>
      </c>
      <c r="Q525" s="133">
        <v>0.971139971139971</v>
      </c>
      <c r="R525" s="133">
        <v>0.978502080443828</v>
      </c>
      <c r="S525" s="133">
        <v>0.977967615048626</v>
      </c>
      <c r="T525" s="135">
        <v>0.9</v>
      </c>
      <c r="U525" s="133">
        <v>0.907563025210084</v>
      </c>
      <c r="V525" s="133">
        <v>0.922077922077922</v>
      </c>
      <c r="W525" s="133">
        <v>0.901525658807212</v>
      </c>
      <c r="X525" s="133">
        <v>0.913680349429282</v>
      </c>
      <c r="Y525" s="135">
        <v>0.92</v>
      </c>
      <c r="Z525" s="135">
        <v>0.924528301886792</v>
      </c>
      <c r="AA525" s="135">
        <v>0.951720841300191</v>
      </c>
      <c r="AB525" s="135">
        <v>0.910235358511221</v>
      </c>
      <c r="AC525" s="135">
        <v>0.934773101893901</v>
      </c>
      <c r="AD525" s="135">
        <v>0.92</v>
      </c>
      <c r="AE525" s="133">
        <v>0.924874791318865</v>
      </c>
      <c r="AF525" s="133">
        <v>0.976868327402135</v>
      </c>
      <c r="AG525" s="133">
        <v>0.979020979020979</v>
      </c>
      <c r="AH525" s="133">
        <v>0.973273198028898</v>
      </c>
      <c r="AI525" s="135">
        <v>0.92</v>
      </c>
      <c r="AJ525" s="133">
        <v>0.934339887640449</v>
      </c>
      <c r="AK525" s="133">
        <v>0.958707360861759</v>
      </c>
      <c r="AL525" s="133">
        <v>0.940348730498623</v>
      </c>
      <c r="AM525" s="133">
        <v>0.953852398962397</v>
      </c>
      <c r="AN525" s="132">
        <v>0.99</v>
      </c>
      <c r="AO525" s="137">
        <v>1</v>
      </c>
      <c r="AP525" s="137">
        <v>1</v>
      </c>
      <c r="AQ525" s="137">
        <v>1</v>
      </c>
      <c r="AR525" s="137">
        <v>1</v>
      </c>
      <c r="AS525" s="158">
        <v>0.05</v>
      </c>
      <c r="AT525" s="141">
        <v>0.111111111111111</v>
      </c>
      <c r="AU525" s="141">
        <v>0.142857142857143</v>
      </c>
      <c r="AV525" s="141">
        <v>0</v>
      </c>
      <c r="AW525" s="141">
        <v>0.087248322147651</v>
      </c>
      <c r="AX525" s="95"/>
      <c r="AY525" s="93"/>
    </row>
    <row r="526" ht="15" spans="1:51">
      <c r="A526" s="91"/>
      <c r="B526" s="95"/>
      <c r="C526" s="152" t="s">
        <v>375</v>
      </c>
      <c r="D526" s="153" t="s">
        <v>25</v>
      </c>
      <c r="E526" s="130" t="s">
        <v>376</v>
      </c>
      <c r="F526" s="154" t="s">
        <v>552</v>
      </c>
      <c r="G526" s="154" t="s">
        <v>552</v>
      </c>
      <c r="H526" s="154" t="s">
        <v>552</v>
      </c>
      <c r="I526" s="154" t="s">
        <v>552</v>
      </c>
      <c r="J526" s="132">
        <v>0.9</v>
      </c>
      <c r="K526" s="133">
        <v>1</v>
      </c>
      <c r="L526" s="133">
        <v>1</v>
      </c>
      <c r="M526" s="134">
        <v>1</v>
      </c>
      <c r="N526" s="133">
        <v>0.997084548104956</v>
      </c>
      <c r="O526" s="135">
        <v>0.9</v>
      </c>
      <c r="P526" s="133">
        <v>0.992842535787321</v>
      </c>
      <c r="Q526" s="133">
        <v>0.989766081871345</v>
      </c>
      <c r="R526" s="133">
        <v>0.995509942270686</v>
      </c>
      <c r="S526" s="133">
        <v>0.990499735122726</v>
      </c>
      <c r="T526" s="135">
        <v>0.9</v>
      </c>
      <c r="U526" s="133">
        <v>0.976482617586912</v>
      </c>
      <c r="V526" s="133">
        <v>0.985380116959064</v>
      </c>
      <c r="W526" s="133">
        <v>0.987812700449006</v>
      </c>
      <c r="X526" s="133">
        <v>0.972346812643475</v>
      </c>
      <c r="Y526" s="135">
        <v>0.92</v>
      </c>
      <c r="Z526" s="135" t="s">
        <v>35</v>
      </c>
      <c r="AA526" s="135" t="s">
        <v>35</v>
      </c>
      <c r="AB526" s="135">
        <v>0</v>
      </c>
      <c r="AC526" s="135">
        <v>0.5</v>
      </c>
      <c r="AD526" s="135">
        <v>0.92</v>
      </c>
      <c r="AE526" s="133">
        <v>0.99</v>
      </c>
      <c r="AF526" s="133">
        <v>1</v>
      </c>
      <c r="AG526" s="133">
        <v>1</v>
      </c>
      <c r="AH526" s="133">
        <v>0.992749244712991</v>
      </c>
      <c r="AI526" s="135">
        <v>0.92</v>
      </c>
      <c r="AJ526" s="133">
        <v>0.994887525562372</v>
      </c>
      <c r="AK526" s="133">
        <v>0.998538011695906</v>
      </c>
      <c r="AL526" s="133">
        <v>0.999358974358974</v>
      </c>
      <c r="AM526" s="133">
        <v>0.997033584066109</v>
      </c>
      <c r="AN526" s="132">
        <v>0.99</v>
      </c>
      <c r="AO526" s="137">
        <v>1</v>
      </c>
      <c r="AP526" s="137">
        <v>1</v>
      </c>
      <c r="AQ526" s="137">
        <v>1</v>
      </c>
      <c r="AR526" s="137">
        <v>1</v>
      </c>
      <c r="AS526" s="158">
        <v>0.05</v>
      </c>
      <c r="AT526" s="141">
        <v>0</v>
      </c>
      <c r="AU526" s="141">
        <v>0</v>
      </c>
      <c r="AV526" s="141">
        <v>0</v>
      </c>
      <c r="AW526" s="141">
        <v>0.109756097560976</v>
      </c>
      <c r="AX526" s="95"/>
      <c r="AY526" s="93"/>
    </row>
    <row r="527" ht="15" spans="1:51">
      <c r="A527" s="91"/>
      <c r="B527" s="95"/>
      <c r="C527" s="152" t="s">
        <v>375</v>
      </c>
      <c r="D527" s="153" t="s">
        <v>25</v>
      </c>
      <c r="E527" s="130" t="s">
        <v>376</v>
      </c>
      <c r="F527" s="154" t="s">
        <v>553</v>
      </c>
      <c r="G527" s="154" t="s">
        <v>553</v>
      </c>
      <c r="H527" s="154" t="s">
        <v>553</v>
      </c>
      <c r="I527" s="154" t="s">
        <v>553</v>
      </c>
      <c r="J527" s="132">
        <v>0.9</v>
      </c>
      <c r="K527" s="133">
        <v>0.96078431372549</v>
      </c>
      <c r="L527" s="133">
        <v>0.976190476190476</v>
      </c>
      <c r="M527" s="134">
        <v>0.975609756097561</v>
      </c>
      <c r="N527" s="133">
        <v>0.982857142857143</v>
      </c>
      <c r="O527" s="135">
        <v>0.9</v>
      </c>
      <c r="P527" s="133">
        <v>0.925023430178069</v>
      </c>
      <c r="Q527" s="133">
        <v>0.912559618441971</v>
      </c>
      <c r="R527" s="133">
        <v>0.913675213675214</v>
      </c>
      <c r="S527" s="133">
        <v>0.945990180032733</v>
      </c>
      <c r="T527" s="135">
        <v>0.9</v>
      </c>
      <c r="U527" s="133">
        <v>0.880037488284911</v>
      </c>
      <c r="V527" s="133">
        <v>0.872813990461049</v>
      </c>
      <c r="W527" s="133">
        <v>0.864102564102564</v>
      </c>
      <c r="X527" s="133">
        <v>0.910727570302038</v>
      </c>
      <c r="Y527" s="135">
        <v>0.92</v>
      </c>
      <c r="Z527" s="135">
        <v>0.958592891168926</v>
      </c>
      <c r="AA527" s="135">
        <v>0.94973343488195</v>
      </c>
      <c r="AB527" s="135">
        <v>0.936974789915966</v>
      </c>
      <c r="AC527" s="135">
        <v>0.954703390905171</v>
      </c>
      <c r="AD527" s="135">
        <v>0.92</v>
      </c>
      <c r="AE527" s="133">
        <v>0.990936555891239</v>
      </c>
      <c r="AF527" s="133">
        <v>0.996835443037975</v>
      </c>
      <c r="AG527" s="133">
        <v>1</v>
      </c>
      <c r="AH527" s="133">
        <v>0.990476190476191</v>
      </c>
      <c r="AI527" s="135">
        <v>0.92</v>
      </c>
      <c r="AJ527" s="133">
        <v>0.961315789473684</v>
      </c>
      <c r="AK527" s="133">
        <v>0.961934156378601</v>
      </c>
      <c r="AL527" s="133">
        <v>0.959322033898305</v>
      </c>
      <c r="AM527" s="133">
        <v>0.969896647891945</v>
      </c>
      <c r="AN527" s="132">
        <v>0.99</v>
      </c>
      <c r="AO527" s="137">
        <v>1</v>
      </c>
      <c r="AP527" s="137">
        <v>1</v>
      </c>
      <c r="AQ527" s="137">
        <v>1</v>
      </c>
      <c r="AR527" s="137">
        <v>1</v>
      </c>
      <c r="AS527" s="158">
        <v>0.05</v>
      </c>
      <c r="AT527" s="141">
        <v>0</v>
      </c>
      <c r="AU527" s="141">
        <v>0</v>
      </c>
      <c r="AV527" s="141">
        <v>0.2</v>
      </c>
      <c r="AW527" s="141">
        <v>0.0165289256198347</v>
      </c>
      <c r="AX527" s="95"/>
      <c r="AY527" s="93"/>
    </row>
    <row r="528" ht="15" spans="1:51">
      <c r="A528" s="91"/>
      <c r="B528" s="95"/>
      <c r="C528" s="152" t="s">
        <v>375</v>
      </c>
      <c r="D528" s="153" t="s">
        <v>25</v>
      </c>
      <c r="E528" s="130" t="s">
        <v>376</v>
      </c>
      <c r="F528" s="154" t="s">
        <v>554</v>
      </c>
      <c r="G528" s="154" t="s">
        <v>554</v>
      </c>
      <c r="H528" s="154" t="s">
        <v>554</v>
      </c>
      <c r="I528" s="154" t="s">
        <v>554</v>
      </c>
      <c r="J528" s="132">
        <v>0.9</v>
      </c>
      <c r="K528" s="133">
        <v>0.933333333333333</v>
      </c>
      <c r="L528" s="133">
        <v>0.962962962962963</v>
      </c>
      <c r="M528" s="134">
        <v>0.925925925925926</v>
      </c>
      <c r="N528" s="133">
        <v>0.932098765432099</v>
      </c>
      <c r="O528" s="135">
        <v>0.9</v>
      </c>
      <c r="P528" s="133">
        <v>0.85734664764622</v>
      </c>
      <c r="Q528" s="133">
        <v>0.940828402366864</v>
      </c>
      <c r="R528" s="133">
        <v>0.941680960548885</v>
      </c>
      <c r="S528" s="133">
        <v>0.907475421999629</v>
      </c>
      <c r="T528" s="135">
        <v>0.9</v>
      </c>
      <c r="U528" s="133">
        <v>0.803138373751783</v>
      </c>
      <c r="V528" s="133">
        <v>0.891518737672584</v>
      </c>
      <c r="W528" s="133">
        <v>0.85934819897084</v>
      </c>
      <c r="X528" s="133">
        <v>0.822593210907067</v>
      </c>
      <c r="Y528" s="135">
        <v>0.92</v>
      </c>
      <c r="Z528" s="135">
        <v>0.948807446189645</v>
      </c>
      <c r="AA528" s="135">
        <v>0.949648711943794</v>
      </c>
      <c r="AB528" s="135">
        <v>0.951935914552737</v>
      </c>
      <c r="AC528" s="135">
        <v>0.934375269838529</v>
      </c>
      <c r="AD528" s="135">
        <v>0.92</v>
      </c>
      <c r="AE528" s="133">
        <v>1</v>
      </c>
      <c r="AF528" s="133">
        <v>0.975609756097561</v>
      </c>
      <c r="AG528" s="133">
        <v>0.911764705882353</v>
      </c>
      <c r="AH528" s="133">
        <v>0.943627450980392</v>
      </c>
      <c r="AI528" s="135">
        <v>0.92</v>
      </c>
      <c r="AJ528" s="133">
        <v>0.95910780669145</v>
      </c>
      <c r="AK528" s="133">
        <v>0.965491923641703</v>
      </c>
      <c r="AL528" s="133">
        <v>0.968179447052686</v>
      </c>
      <c r="AM528" s="133">
        <v>0.946030481123618</v>
      </c>
      <c r="AN528" s="132">
        <v>0.99</v>
      </c>
      <c r="AO528" s="137">
        <v>1</v>
      </c>
      <c r="AP528" s="137">
        <v>1</v>
      </c>
      <c r="AQ528" s="137">
        <v>1</v>
      </c>
      <c r="AR528" s="137">
        <v>1</v>
      </c>
      <c r="AS528" s="158">
        <v>0.05</v>
      </c>
      <c r="AT528" s="141">
        <v>0</v>
      </c>
      <c r="AU528" s="141">
        <v>0.2</v>
      </c>
      <c r="AV528" s="141">
        <v>0.166666666666667</v>
      </c>
      <c r="AW528" s="141">
        <v>0.0802919708029197</v>
      </c>
      <c r="AX528" s="95"/>
      <c r="AY528" s="93"/>
    </row>
    <row r="529" ht="15" spans="1:51">
      <c r="A529" s="91"/>
      <c r="B529" s="95"/>
      <c r="C529" s="152" t="s">
        <v>375</v>
      </c>
      <c r="D529" s="153" t="s">
        <v>25</v>
      </c>
      <c r="E529" s="130" t="s">
        <v>376</v>
      </c>
      <c r="F529" s="154" t="s">
        <v>555</v>
      </c>
      <c r="G529" s="154" t="s">
        <v>555</v>
      </c>
      <c r="H529" s="154" t="s">
        <v>555</v>
      </c>
      <c r="I529" s="154" t="s">
        <v>555</v>
      </c>
      <c r="J529" s="132">
        <v>0.9</v>
      </c>
      <c r="K529" s="133">
        <v>1</v>
      </c>
      <c r="L529" s="133">
        <v>0.978260869565217</v>
      </c>
      <c r="M529" s="134">
        <v>0.953488372093023</v>
      </c>
      <c r="N529" s="133">
        <v>0.965317919075145</v>
      </c>
      <c r="O529" s="135">
        <v>0.9</v>
      </c>
      <c r="P529" s="133">
        <v>0.952595936794582</v>
      </c>
      <c r="Q529" s="133">
        <v>0.964451313755796</v>
      </c>
      <c r="R529" s="133">
        <v>0.930752047654505</v>
      </c>
      <c r="S529" s="133">
        <v>0.965295821760296</v>
      </c>
      <c r="T529" s="135">
        <v>0.9</v>
      </c>
      <c r="U529" s="133">
        <v>0.891647855530474</v>
      </c>
      <c r="V529" s="133">
        <v>0.874806800618238</v>
      </c>
      <c r="W529" s="133">
        <v>0.85331347728965</v>
      </c>
      <c r="X529" s="133">
        <v>0.875309858734283</v>
      </c>
      <c r="Y529" s="135">
        <v>0.92</v>
      </c>
      <c r="Z529" s="135">
        <v>0.948319116909182</v>
      </c>
      <c r="AA529" s="135">
        <v>0.946828358208955</v>
      </c>
      <c r="AB529" s="135">
        <v>0.9379760609358</v>
      </c>
      <c r="AC529" s="135">
        <v>0.950193725784277</v>
      </c>
      <c r="AD529" s="135">
        <v>0.92</v>
      </c>
      <c r="AE529" s="133">
        <v>0.992857142857143</v>
      </c>
      <c r="AF529" s="133">
        <v>0.970031545741325</v>
      </c>
      <c r="AG529" s="133">
        <v>0.983394833948339</v>
      </c>
      <c r="AH529" s="133">
        <v>0.980195896189319</v>
      </c>
      <c r="AI529" s="135">
        <v>0.92</v>
      </c>
      <c r="AJ529" s="133">
        <v>0.956929489406044</v>
      </c>
      <c r="AK529" s="133">
        <v>0.96044211751018</v>
      </c>
      <c r="AL529" s="133">
        <v>0.941773268636965</v>
      </c>
      <c r="AM529" s="133">
        <v>0.966151076941851</v>
      </c>
      <c r="AN529" s="132">
        <v>0.99</v>
      </c>
      <c r="AO529" s="137">
        <v>1</v>
      </c>
      <c r="AP529" s="137">
        <v>1</v>
      </c>
      <c r="AQ529" s="137">
        <v>1</v>
      </c>
      <c r="AR529" s="137">
        <v>1</v>
      </c>
      <c r="AS529" s="158">
        <v>0.05</v>
      </c>
      <c r="AT529" s="141">
        <v>0</v>
      </c>
      <c r="AU529" s="141">
        <v>0</v>
      </c>
      <c r="AV529" s="141">
        <v>0</v>
      </c>
      <c r="AW529" s="141">
        <v>0.0273224043715847</v>
      </c>
      <c r="AX529" s="95"/>
      <c r="AY529" s="93"/>
    </row>
    <row r="530" ht="15" spans="1:51">
      <c r="A530" s="91"/>
      <c r="B530" s="95"/>
      <c r="C530" s="152" t="s">
        <v>375</v>
      </c>
      <c r="D530" s="153" t="s">
        <v>25</v>
      </c>
      <c r="E530" s="130" t="s">
        <v>376</v>
      </c>
      <c r="F530" s="154" t="s">
        <v>556</v>
      </c>
      <c r="G530" s="154" t="s">
        <v>556</v>
      </c>
      <c r="H530" s="154" t="s">
        <v>556</v>
      </c>
      <c r="I530" s="154" t="s">
        <v>556</v>
      </c>
      <c r="J530" s="132">
        <v>0.9</v>
      </c>
      <c r="K530" s="133">
        <v>1</v>
      </c>
      <c r="L530" s="133">
        <v>0.983050847457627</v>
      </c>
      <c r="M530" s="134">
        <v>1</v>
      </c>
      <c r="N530" s="133">
        <v>0.98381601362862</v>
      </c>
      <c r="O530" s="135">
        <v>0.9</v>
      </c>
      <c r="P530" s="133">
        <v>0.931948424068768</v>
      </c>
      <c r="Q530" s="133">
        <v>0.905759162303665</v>
      </c>
      <c r="R530" s="133">
        <v>0.909889094269871</v>
      </c>
      <c r="S530" s="133">
        <v>0.937806649134514</v>
      </c>
      <c r="T530" s="135">
        <v>0.9</v>
      </c>
      <c r="U530" s="133">
        <v>0.896848137535817</v>
      </c>
      <c r="V530" s="133">
        <v>0.856544502617801</v>
      </c>
      <c r="W530" s="133">
        <v>0.870609981515712</v>
      </c>
      <c r="X530" s="133">
        <v>0.888958668603054</v>
      </c>
      <c r="Y530" s="135">
        <v>0.92</v>
      </c>
      <c r="Z530" s="135">
        <v>0.946897374701671</v>
      </c>
      <c r="AA530" s="135">
        <v>0.940161104718067</v>
      </c>
      <c r="AB530" s="135">
        <v>0.903654485049834</v>
      </c>
      <c r="AC530" s="135">
        <v>0.940868889104869</v>
      </c>
      <c r="AD530" s="135">
        <v>0.92</v>
      </c>
      <c r="AE530" s="133">
        <v>0.994671403197158</v>
      </c>
      <c r="AF530" s="133">
        <v>0.990861618798956</v>
      </c>
      <c r="AG530" s="133">
        <v>0.978260869565217</v>
      </c>
      <c r="AH530" s="133">
        <v>0.98562561254492</v>
      </c>
      <c r="AI530" s="135">
        <v>0.92</v>
      </c>
      <c r="AJ530" s="133">
        <v>0.956192080876158</v>
      </c>
      <c r="AK530" s="133">
        <v>0.953600593912398</v>
      </c>
      <c r="AL530" s="133">
        <v>0.939542483660131</v>
      </c>
      <c r="AM530" s="133">
        <v>0.958773949350295</v>
      </c>
      <c r="AN530" s="132">
        <v>0.99</v>
      </c>
      <c r="AO530" s="137">
        <v>1</v>
      </c>
      <c r="AP530" s="137">
        <v>1</v>
      </c>
      <c r="AQ530" s="137">
        <v>1</v>
      </c>
      <c r="AR530" s="137">
        <v>1</v>
      </c>
      <c r="AS530" s="158">
        <v>0.05</v>
      </c>
      <c r="AT530" s="141">
        <v>0</v>
      </c>
      <c r="AU530" s="141">
        <v>0.0769230769230769</v>
      </c>
      <c r="AV530" s="141">
        <v>0.166666666666667</v>
      </c>
      <c r="AW530" s="141">
        <v>0.0577889447236181</v>
      </c>
      <c r="AX530" s="95"/>
      <c r="AY530" s="93"/>
    </row>
    <row r="531" ht="15" spans="1:51">
      <c r="A531" s="91"/>
      <c r="B531" s="95"/>
      <c r="C531" s="152" t="s">
        <v>375</v>
      </c>
      <c r="D531" s="153" t="s">
        <v>25</v>
      </c>
      <c r="E531" s="130" t="s">
        <v>376</v>
      </c>
      <c r="F531" s="154" t="s">
        <v>557</v>
      </c>
      <c r="G531" s="154" t="s">
        <v>557</v>
      </c>
      <c r="H531" s="154" t="s">
        <v>557</v>
      </c>
      <c r="I531" s="154" t="s">
        <v>557</v>
      </c>
      <c r="J531" s="132">
        <v>0.9</v>
      </c>
      <c r="K531" s="133">
        <v>0.979166666666667</v>
      </c>
      <c r="L531" s="133">
        <v>0.833333333333333</v>
      </c>
      <c r="M531" s="134">
        <v>0.947368421052632</v>
      </c>
      <c r="N531" s="133">
        <v>0.947164948453608</v>
      </c>
      <c r="O531" s="135">
        <v>0.9</v>
      </c>
      <c r="P531" s="133">
        <v>0.888774459320288</v>
      </c>
      <c r="Q531" s="133">
        <v>0.854545454545454</v>
      </c>
      <c r="R531" s="133">
        <v>0.878225806451613</v>
      </c>
      <c r="S531" s="133">
        <v>0.923291233283804</v>
      </c>
      <c r="T531" s="135">
        <v>0.9</v>
      </c>
      <c r="U531" s="133">
        <v>0.833161688980433</v>
      </c>
      <c r="V531" s="133">
        <v>0.776859504132231</v>
      </c>
      <c r="W531" s="133">
        <v>0.803225806451613</v>
      </c>
      <c r="X531" s="133">
        <v>0.870108964834076</v>
      </c>
      <c r="Y531" s="135">
        <v>0.92</v>
      </c>
      <c r="Z531" s="135">
        <v>0.930332261521972</v>
      </c>
      <c r="AA531" s="135">
        <v>0.926455566905005</v>
      </c>
      <c r="AB531" s="135">
        <v>0.867245657568238</v>
      </c>
      <c r="AC531" s="135">
        <v>0.937153739612188</v>
      </c>
      <c r="AD531" s="135">
        <v>0.92</v>
      </c>
      <c r="AE531" s="133">
        <v>1</v>
      </c>
      <c r="AF531" s="133">
        <v>0.973684210526316</v>
      </c>
      <c r="AG531" s="133">
        <v>0.959459459459459</v>
      </c>
      <c r="AH531" s="133">
        <v>0.976476738107684</v>
      </c>
      <c r="AI531" s="135">
        <v>0.92</v>
      </c>
      <c r="AJ531" s="133">
        <v>0.948221204649525</v>
      </c>
      <c r="AK531" s="133">
        <v>0.942659105229994</v>
      </c>
      <c r="AL531" s="133">
        <v>0.925889809848854</v>
      </c>
      <c r="AM531" s="133">
        <v>0.96190631630488</v>
      </c>
      <c r="AN531" s="132">
        <v>0.99</v>
      </c>
      <c r="AO531" s="137">
        <v>1</v>
      </c>
      <c r="AP531" s="137">
        <v>1</v>
      </c>
      <c r="AQ531" s="137">
        <v>1</v>
      </c>
      <c r="AR531" s="137">
        <v>1</v>
      </c>
      <c r="AS531" s="158">
        <v>0.05</v>
      </c>
      <c r="AT531" s="141">
        <v>0</v>
      </c>
      <c r="AU531" s="141">
        <v>0.142857142857143</v>
      </c>
      <c r="AV531" s="141">
        <v>0</v>
      </c>
      <c r="AW531" s="141">
        <v>0.0404624277456647</v>
      </c>
      <c r="AX531" s="95"/>
      <c r="AY531" s="93"/>
    </row>
    <row r="532" ht="15" spans="1:51">
      <c r="A532" s="91"/>
      <c r="B532" s="95"/>
      <c r="C532" s="152" t="s">
        <v>375</v>
      </c>
      <c r="D532" s="153" t="s">
        <v>25</v>
      </c>
      <c r="E532" s="130" t="s">
        <v>376</v>
      </c>
      <c r="F532" s="154" t="s">
        <v>558</v>
      </c>
      <c r="G532" s="154" t="s">
        <v>558</v>
      </c>
      <c r="H532" s="154" t="s">
        <v>558</v>
      </c>
      <c r="I532" s="154" t="s">
        <v>558</v>
      </c>
      <c r="J532" s="132">
        <v>0.9</v>
      </c>
      <c r="K532" s="133">
        <v>0.938461538461538</v>
      </c>
      <c r="L532" s="133">
        <v>0.947368421052632</v>
      </c>
      <c r="M532" s="134">
        <v>0.945454545454545</v>
      </c>
      <c r="N532" s="133">
        <v>0.953804347826087</v>
      </c>
      <c r="O532" s="135">
        <v>0.9</v>
      </c>
      <c r="P532" s="133">
        <v>0.984809400974491</v>
      </c>
      <c r="Q532" s="133">
        <v>0.972626472626473</v>
      </c>
      <c r="R532" s="133">
        <v>0.988646288209607</v>
      </c>
      <c r="S532" s="133">
        <v>0.981697610233513</v>
      </c>
      <c r="T532" s="135">
        <v>0.9</v>
      </c>
      <c r="U532" s="133">
        <v>0.927773000859845</v>
      </c>
      <c r="V532" s="133">
        <v>0.948024948024948</v>
      </c>
      <c r="W532" s="133">
        <v>0.944978165938865</v>
      </c>
      <c r="X532" s="133">
        <v>0.93534348772148</v>
      </c>
      <c r="Y532" s="135">
        <v>0.92</v>
      </c>
      <c r="Z532" s="135" t="s">
        <v>35</v>
      </c>
      <c r="AA532" s="135" t="s">
        <v>35</v>
      </c>
      <c r="AB532" s="135" t="s">
        <v>35</v>
      </c>
      <c r="AC532" s="135">
        <v>0.6</v>
      </c>
      <c r="AD532" s="135">
        <v>0.92</v>
      </c>
      <c r="AE532" s="133">
        <v>0.988425925925926</v>
      </c>
      <c r="AF532" s="133">
        <v>0.975186104218362</v>
      </c>
      <c r="AG532" s="133">
        <v>0.993723849372385</v>
      </c>
      <c r="AH532" s="133">
        <v>0.982405789867731</v>
      </c>
      <c r="AI532" s="135">
        <v>0.92</v>
      </c>
      <c r="AJ532" s="133">
        <v>0.984809400974491</v>
      </c>
      <c r="AK532" s="133">
        <v>0.984407484407484</v>
      </c>
      <c r="AL532" s="133">
        <v>0.98707423580786</v>
      </c>
      <c r="AM532" s="133">
        <v>0.983949966091478</v>
      </c>
      <c r="AN532" s="132">
        <v>0.99</v>
      </c>
      <c r="AO532" s="137">
        <v>1</v>
      </c>
      <c r="AP532" s="137">
        <v>1</v>
      </c>
      <c r="AQ532" s="137">
        <v>1</v>
      </c>
      <c r="AR532" s="137">
        <v>1</v>
      </c>
      <c r="AS532" s="158">
        <v>0.05</v>
      </c>
      <c r="AT532" s="141">
        <v>0.0952380952380952</v>
      </c>
      <c r="AU532" s="141">
        <v>0</v>
      </c>
      <c r="AV532" s="141">
        <v>0.125</v>
      </c>
      <c r="AW532" s="141">
        <v>0.0335570469798658</v>
      </c>
      <c r="AX532" s="95"/>
      <c r="AY532" s="93"/>
    </row>
    <row r="533" ht="15" spans="1:51">
      <c r="A533" s="91"/>
      <c r="B533" s="95"/>
      <c r="C533" s="152" t="s">
        <v>375</v>
      </c>
      <c r="D533" s="153" t="s">
        <v>25</v>
      </c>
      <c r="E533" s="130" t="s">
        <v>376</v>
      </c>
      <c r="F533" s="154" t="s">
        <v>559</v>
      </c>
      <c r="G533" s="154" t="s">
        <v>559</v>
      </c>
      <c r="H533" s="154" t="s">
        <v>559</v>
      </c>
      <c r="I533" s="154" t="s">
        <v>559</v>
      </c>
      <c r="J533" s="132">
        <v>0.9</v>
      </c>
      <c r="K533" s="133">
        <v>0.987654320987654</v>
      </c>
      <c r="L533" s="133">
        <v>0.984848484848485</v>
      </c>
      <c r="M533" s="134">
        <v>0.983870967741935</v>
      </c>
      <c r="N533" s="133">
        <v>0.966126656848306</v>
      </c>
      <c r="O533" s="135">
        <v>0.9</v>
      </c>
      <c r="P533" s="133">
        <v>0.984623833058759</v>
      </c>
      <c r="Q533" s="133">
        <v>0.982900361723117</v>
      </c>
      <c r="R533" s="133">
        <v>0.976084446643576</v>
      </c>
      <c r="S533" s="133">
        <v>0.971231097893017</v>
      </c>
      <c r="T533" s="135">
        <v>0.9</v>
      </c>
      <c r="U533" s="133">
        <v>0.93547501372872</v>
      </c>
      <c r="V533" s="133">
        <v>0.945741532390661</v>
      </c>
      <c r="W533" s="133">
        <v>0.931387102094673</v>
      </c>
      <c r="X533" s="133">
        <v>0.918820424747623</v>
      </c>
      <c r="Y533" s="135">
        <v>0.92</v>
      </c>
      <c r="Z533" s="135">
        <v>0</v>
      </c>
      <c r="AA533" s="135" t="s">
        <v>35</v>
      </c>
      <c r="AB533" s="135">
        <v>0</v>
      </c>
      <c r="AC533" s="135">
        <v>0.4</v>
      </c>
      <c r="AD533" s="135">
        <v>0.92</v>
      </c>
      <c r="AE533" s="133">
        <v>0.990654205607477</v>
      </c>
      <c r="AF533" s="133">
        <v>0.988732394366197</v>
      </c>
      <c r="AG533" s="133">
        <v>0.98780487804878</v>
      </c>
      <c r="AH533" s="133">
        <v>0.989612702181333</v>
      </c>
      <c r="AI533" s="135">
        <v>0.92</v>
      </c>
      <c r="AJ533" s="133">
        <v>0.981059566291518</v>
      </c>
      <c r="AK533" s="133">
        <v>0.985531075304176</v>
      </c>
      <c r="AL533" s="133">
        <v>0.9719703215169</v>
      </c>
      <c r="AM533" s="133">
        <v>0.979719201836246</v>
      </c>
      <c r="AN533" s="132">
        <v>0.99</v>
      </c>
      <c r="AO533" s="137">
        <v>1</v>
      </c>
      <c r="AP533" s="137">
        <v>1</v>
      </c>
      <c r="AQ533" s="137">
        <v>1</v>
      </c>
      <c r="AR533" s="137">
        <v>1</v>
      </c>
      <c r="AS533" s="158">
        <v>0.05</v>
      </c>
      <c r="AT533" s="141">
        <v>0.0714285714285714</v>
      </c>
      <c r="AU533" s="141">
        <v>0</v>
      </c>
      <c r="AV533" s="141">
        <v>0.0833333333333333</v>
      </c>
      <c r="AW533" s="141">
        <v>0.0404312668463612</v>
      </c>
      <c r="AX533" s="95"/>
      <c r="AY533" s="93"/>
    </row>
    <row r="534" ht="15" spans="1:51">
      <c r="A534" s="91"/>
      <c r="B534" s="95"/>
      <c r="C534" s="152" t="s">
        <v>375</v>
      </c>
      <c r="D534" s="153" t="s">
        <v>25</v>
      </c>
      <c r="E534" s="130" t="s">
        <v>376</v>
      </c>
      <c r="F534" s="154" t="s">
        <v>560</v>
      </c>
      <c r="G534" s="154" t="s">
        <v>560</v>
      </c>
      <c r="H534" s="154" t="s">
        <v>560</v>
      </c>
      <c r="I534" s="154" t="s">
        <v>560</v>
      </c>
      <c r="J534" s="132">
        <v>0.9</v>
      </c>
      <c r="K534" s="133">
        <v>1</v>
      </c>
      <c r="L534" s="133">
        <v>0.974358974358974</v>
      </c>
      <c r="M534" s="134">
        <v>0.941176470588235</v>
      </c>
      <c r="N534" s="133">
        <v>0.971465629053178</v>
      </c>
      <c r="O534" s="135">
        <v>0.9</v>
      </c>
      <c r="P534" s="133">
        <v>0.96423658872077</v>
      </c>
      <c r="Q534" s="133">
        <v>0.959977452085682</v>
      </c>
      <c r="R534" s="133">
        <v>0.931024930747922</v>
      </c>
      <c r="S534" s="133">
        <v>0.951419025308192</v>
      </c>
      <c r="T534" s="135">
        <v>0.9</v>
      </c>
      <c r="U534" s="133">
        <v>0.937184777624943</v>
      </c>
      <c r="V534" s="133">
        <v>0.927846674182638</v>
      </c>
      <c r="W534" s="133">
        <v>0.903047091412742</v>
      </c>
      <c r="X534" s="133">
        <v>0.92812063955349</v>
      </c>
      <c r="Y534" s="135">
        <v>0.92</v>
      </c>
      <c r="Z534" s="135">
        <v>0.2</v>
      </c>
      <c r="AA534" s="135" t="s">
        <v>35</v>
      </c>
      <c r="AB534" s="135">
        <v>1</v>
      </c>
      <c r="AC534" s="135">
        <v>0.333333333333333</v>
      </c>
      <c r="AD534" s="135">
        <v>0.92</v>
      </c>
      <c r="AE534" s="133">
        <v>1</v>
      </c>
      <c r="AF534" s="133">
        <v>0.993548387096774</v>
      </c>
      <c r="AG534" s="133">
        <v>0.989795918367347</v>
      </c>
      <c r="AH534" s="133">
        <v>0.980672268907563</v>
      </c>
      <c r="AI534" s="135">
        <v>0.92</v>
      </c>
      <c r="AJ534" s="133">
        <v>0.982616651418115</v>
      </c>
      <c r="AK534" s="133">
        <v>0.986471251409245</v>
      </c>
      <c r="AL534" s="133">
        <v>0.959291055109388</v>
      </c>
      <c r="AM534" s="133">
        <v>0.9830784</v>
      </c>
      <c r="AN534" s="132">
        <v>0.99</v>
      </c>
      <c r="AO534" s="137">
        <v>1</v>
      </c>
      <c r="AP534" s="137">
        <v>1</v>
      </c>
      <c r="AQ534" s="137">
        <v>1</v>
      </c>
      <c r="AR534" s="137">
        <v>1</v>
      </c>
      <c r="AS534" s="158">
        <v>0.05</v>
      </c>
      <c r="AT534" s="141">
        <v>0</v>
      </c>
      <c r="AU534" s="141">
        <v>0.166666666666667</v>
      </c>
      <c r="AV534" s="141">
        <v>0</v>
      </c>
      <c r="AW534" s="141">
        <v>0.0449438202247191</v>
      </c>
      <c r="AX534" s="95"/>
      <c r="AY534" s="93"/>
    </row>
    <row r="535" ht="15" spans="1:51">
      <c r="A535" s="91"/>
      <c r="B535" s="95"/>
      <c r="C535" s="152" t="s">
        <v>375</v>
      </c>
      <c r="D535" s="153" t="s">
        <v>25</v>
      </c>
      <c r="E535" s="130" t="s">
        <v>376</v>
      </c>
      <c r="F535" s="154" t="s">
        <v>561</v>
      </c>
      <c r="G535" s="154" t="s">
        <v>561</v>
      </c>
      <c r="H535" s="154" t="s">
        <v>561</v>
      </c>
      <c r="I535" s="154" t="s">
        <v>561</v>
      </c>
      <c r="J535" s="132">
        <v>0.9</v>
      </c>
      <c r="K535" s="133">
        <v>0.958904109589041</v>
      </c>
      <c r="L535" s="133">
        <v>0.928571428571429</v>
      </c>
      <c r="M535" s="134">
        <v>0.885245901639344</v>
      </c>
      <c r="N535" s="133">
        <v>0.935758513931889</v>
      </c>
      <c r="O535" s="135">
        <v>0.9</v>
      </c>
      <c r="P535" s="133">
        <v>0.285714285714286</v>
      </c>
      <c r="Q535" s="133">
        <v>1</v>
      </c>
      <c r="R535" s="133">
        <v>0.5</v>
      </c>
      <c r="S535" s="133">
        <v>0.35</v>
      </c>
      <c r="T535" s="135">
        <v>0.9</v>
      </c>
      <c r="U535" s="133">
        <v>0.142857142857143</v>
      </c>
      <c r="V535" s="133">
        <v>0</v>
      </c>
      <c r="W535" s="133">
        <v>0.5</v>
      </c>
      <c r="X535" s="133">
        <v>0.45</v>
      </c>
      <c r="Y535" s="135">
        <v>0.92</v>
      </c>
      <c r="Z535" s="135" t="s">
        <v>35</v>
      </c>
      <c r="AA535" s="135" t="s">
        <v>35</v>
      </c>
      <c r="AB535" s="135" t="s">
        <v>35</v>
      </c>
      <c r="AC535" s="135">
        <v>0.5</v>
      </c>
      <c r="AD535" s="135">
        <v>0.92</v>
      </c>
      <c r="AE535" s="133">
        <v>0.995527156549521</v>
      </c>
      <c r="AF535" s="133">
        <v>0.990196078431373</v>
      </c>
      <c r="AG535" s="133">
        <v>0.994685562444641</v>
      </c>
      <c r="AH535" s="133">
        <v>0.95336747361887</v>
      </c>
      <c r="AI535" s="135">
        <v>0.92</v>
      </c>
      <c r="AJ535" s="133">
        <v>0.957962138084632</v>
      </c>
      <c r="AK535" s="133">
        <v>0.970671378091873</v>
      </c>
      <c r="AL535" s="133">
        <v>0.947609359104781</v>
      </c>
      <c r="AM535" s="133">
        <v>0.975934235434341</v>
      </c>
      <c r="AN535" s="132">
        <v>0.99</v>
      </c>
      <c r="AO535" s="137">
        <v>1</v>
      </c>
      <c r="AP535" s="137">
        <v>1</v>
      </c>
      <c r="AQ535" s="137">
        <v>1</v>
      </c>
      <c r="AR535" s="137">
        <v>1</v>
      </c>
      <c r="AS535" s="158">
        <v>0.05</v>
      </c>
      <c r="AT535" s="141">
        <v>0.117647058823529</v>
      </c>
      <c r="AU535" s="141">
        <v>0.0714285714285714</v>
      </c>
      <c r="AV535" s="141">
        <v>0.2</v>
      </c>
      <c r="AW535" s="141">
        <v>0.0904109589041096</v>
      </c>
      <c r="AX535" s="95"/>
      <c r="AY535" s="93"/>
    </row>
    <row r="536" ht="15" spans="1:51">
      <c r="A536" s="91"/>
      <c r="B536" s="95"/>
      <c r="C536" s="152" t="s">
        <v>375</v>
      </c>
      <c r="D536" s="153" t="s">
        <v>25</v>
      </c>
      <c r="E536" s="130" t="s">
        <v>376</v>
      </c>
      <c r="F536" s="154" t="s">
        <v>562</v>
      </c>
      <c r="G536" s="154" t="s">
        <v>562</v>
      </c>
      <c r="H536" s="154" t="s">
        <v>562</v>
      </c>
      <c r="I536" s="154" t="s">
        <v>562</v>
      </c>
      <c r="J536" s="132">
        <v>0.9</v>
      </c>
      <c r="K536" s="133">
        <v>1</v>
      </c>
      <c r="L536" s="133">
        <v>1</v>
      </c>
      <c r="M536" s="134">
        <v>1</v>
      </c>
      <c r="N536" s="133">
        <v>0.947368421052632</v>
      </c>
      <c r="O536" s="135">
        <v>0.9</v>
      </c>
      <c r="P536" s="133">
        <v>0.982467125860989</v>
      </c>
      <c r="Q536" s="133">
        <v>0.973039215686274</v>
      </c>
      <c r="R536" s="133">
        <v>0.937855248200076</v>
      </c>
      <c r="S536" s="133">
        <v>0.952674897119342</v>
      </c>
      <c r="T536" s="135">
        <v>0.9</v>
      </c>
      <c r="U536" s="133">
        <v>0.926111458985598</v>
      </c>
      <c r="V536" s="133">
        <v>0.934640522875817</v>
      </c>
      <c r="W536" s="133">
        <v>0.893899204244032</v>
      </c>
      <c r="X536" s="133">
        <v>0.931895041355987</v>
      </c>
      <c r="Y536" s="135">
        <v>0.92</v>
      </c>
      <c r="Z536" s="135" t="s">
        <v>35</v>
      </c>
      <c r="AA536" s="135" t="s">
        <v>35</v>
      </c>
      <c r="AB536" s="135" t="s">
        <v>35</v>
      </c>
      <c r="AC536" s="135">
        <v>0</v>
      </c>
      <c r="AD536" s="135">
        <v>0.92</v>
      </c>
      <c r="AE536" s="133">
        <v>0.948275862068966</v>
      </c>
      <c r="AF536" s="133">
        <v>0.951219512195122</v>
      </c>
      <c r="AG536" s="133">
        <v>1</v>
      </c>
      <c r="AH536" s="133">
        <v>0.938530734632684</v>
      </c>
      <c r="AI536" s="135">
        <v>0.92</v>
      </c>
      <c r="AJ536" s="133">
        <v>0.957446808510638</v>
      </c>
      <c r="AK536" s="133">
        <v>0.973083197389886</v>
      </c>
      <c r="AL536" s="133">
        <v>0.971201212580523</v>
      </c>
      <c r="AM536" s="133">
        <v>0.980685953605627</v>
      </c>
      <c r="AN536" s="132">
        <v>0.99</v>
      </c>
      <c r="AO536" s="137">
        <v>1</v>
      </c>
      <c r="AP536" s="137">
        <v>1</v>
      </c>
      <c r="AQ536" s="137">
        <v>1</v>
      </c>
      <c r="AR536" s="137">
        <v>1</v>
      </c>
      <c r="AS536" s="158">
        <v>0.05</v>
      </c>
      <c r="AT536" s="141">
        <v>0.666666666666667</v>
      </c>
      <c r="AU536" s="141">
        <v>0</v>
      </c>
      <c r="AV536" s="141">
        <v>0.25</v>
      </c>
      <c r="AW536" s="141">
        <v>0.1</v>
      </c>
      <c r="AX536" s="95"/>
      <c r="AY536" s="93"/>
    </row>
    <row r="537" ht="15" spans="1:51">
      <c r="A537" s="91"/>
      <c r="B537" s="95"/>
      <c r="C537" s="152" t="s">
        <v>375</v>
      </c>
      <c r="D537" s="153" t="s">
        <v>25</v>
      </c>
      <c r="E537" s="130" t="s">
        <v>376</v>
      </c>
      <c r="F537" s="154" t="s">
        <v>563</v>
      </c>
      <c r="G537" s="154" t="s">
        <v>563</v>
      </c>
      <c r="H537" s="154" t="s">
        <v>563</v>
      </c>
      <c r="I537" s="154" t="s">
        <v>563</v>
      </c>
      <c r="J537" s="132">
        <v>0.9</v>
      </c>
      <c r="K537" s="133">
        <v>0.846153846153846</v>
      </c>
      <c r="L537" s="133">
        <v>0.821428571428571</v>
      </c>
      <c r="M537" s="134">
        <v>0.903225806451613</v>
      </c>
      <c r="N537" s="133">
        <v>0.909810126582278</v>
      </c>
      <c r="O537" s="135">
        <v>0.9</v>
      </c>
      <c r="P537" s="133">
        <v>0.945520581113801</v>
      </c>
      <c r="Q537" s="133">
        <v>0.961910519951632</v>
      </c>
      <c r="R537" s="133">
        <v>0.897342555515107</v>
      </c>
      <c r="S537" s="133">
        <v>0.864289341942973</v>
      </c>
      <c r="T537" s="135">
        <v>0.9</v>
      </c>
      <c r="U537" s="133">
        <v>0.87772397094431</v>
      </c>
      <c r="V537" s="133">
        <v>0.886940749697703</v>
      </c>
      <c r="W537" s="133">
        <v>0.757553694939935</v>
      </c>
      <c r="X537" s="133">
        <v>0.913915693245302</v>
      </c>
      <c r="Y537" s="135">
        <v>0.92</v>
      </c>
      <c r="Z537" s="135" t="s">
        <v>35</v>
      </c>
      <c r="AA537" s="135">
        <v>1</v>
      </c>
      <c r="AB537" s="135" t="s">
        <v>35</v>
      </c>
      <c r="AC537" s="135">
        <v>0.5</v>
      </c>
      <c r="AD537" s="135">
        <v>0.92</v>
      </c>
      <c r="AE537" s="133">
        <v>0.996219281663516</v>
      </c>
      <c r="AF537" s="133">
        <v>1</v>
      </c>
      <c r="AG537" s="133">
        <v>0.956521739130435</v>
      </c>
      <c r="AH537" s="133">
        <v>0.911111111111111</v>
      </c>
      <c r="AI537" s="135">
        <v>0.92</v>
      </c>
      <c r="AJ537" s="133">
        <v>0.928786964393482</v>
      </c>
      <c r="AK537" s="133">
        <v>0.941425120772947</v>
      </c>
      <c r="AL537" s="133">
        <v>0.84030556566024</v>
      </c>
      <c r="AM537" s="133">
        <v>0.962479371815099</v>
      </c>
      <c r="AN537" s="132">
        <v>0.99</v>
      </c>
      <c r="AO537" s="137">
        <v>1</v>
      </c>
      <c r="AP537" s="137">
        <v>1</v>
      </c>
      <c r="AQ537" s="137">
        <v>1</v>
      </c>
      <c r="AR537" s="137">
        <v>1</v>
      </c>
      <c r="AS537" s="158">
        <v>0.05</v>
      </c>
      <c r="AT537" s="141">
        <v>0.285714285714286</v>
      </c>
      <c r="AU537" s="141">
        <v>0.125</v>
      </c>
      <c r="AV537" s="141">
        <v>0</v>
      </c>
      <c r="AW537" s="141">
        <v>0.0857142857142857</v>
      </c>
      <c r="AX537" s="95"/>
      <c r="AY537" s="93"/>
    </row>
    <row r="538" ht="15" spans="1:51">
      <c r="A538" s="91"/>
      <c r="B538" s="95"/>
      <c r="C538" s="152" t="s">
        <v>375</v>
      </c>
      <c r="D538" s="153" t="s">
        <v>25</v>
      </c>
      <c r="E538" s="130" t="s">
        <v>376</v>
      </c>
      <c r="F538" s="154" t="s">
        <v>564</v>
      </c>
      <c r="G538" s="154" t="s">
        <v>564</v>
      </c>
      <c r="H538" s="154" t="s">
        <v>564</v>
      </c>
      <c r="I538" s="154" t="s">
        <v>564</v>
      </c>
      <c r="J538" s="132">
        <v>0.9</v>
      </c>
      <c r="K538" s="133">
        <v>0.954545454545455</v>
      </c>
      <c r="L538" s="133">
        <v>0.953125</v>
      </c>
      <c r="M538" s="134">
        <v>0.964285714285714</v>
      </c>
      <c r="N538" s="133">
        <v>0.958779884583677</v>
      </c>
      <c r="O538" s="135">
        <v>0.9</v>
      </c>
      <c r="P538" s="133">
        <v>0.666666666666667</v>
      </c>
      <c r="Q538" s="133">
        <v>1</v>
      </c>
      <c r="R538" s="133">
        <v>0</v>
      </c>
      <c r="S538" s="133">
        <v>0.5</v>
      </c>
      <c r="T538" s="135">
        <v>0.9</v>
      </c>
      <c r="U538" s="133">
        <v>0</v>
      </c>
      <c r="V538" s="133">
        <v>0</v>
      </c>
      <c r="W538" s="133">
        <v>0</v>
      </c>
      <c r="X538" s="133">
        <v>0.388888888888889</v>
      </c>
      <c r="Y538" s="135">
        <v>0.92</v>
      </c>
      <c r="Z538" s="135">
        <v>0</v>
      </c>
      <c r="AA538" s="135" t="s">
        <v>35</v>
      </c>
      <c r="AB538" s="135" t="s">
        <v>35</v>
      </c>
      <c r="AC538" s="135">
        <v>0.25</v>
      </c>
      <c r="AD538" s="135">
        <v>0.92</v>
      </c>
      <c r="AE538" s="133">
        <v>0.977955911823647</v>
      </c>
      <c r="AF538" s="133">
        <v>0.985507246376812</v>
      </c>
      <c r="AG538" s="133">
        <v>0.947368421052632</v>
      </c>
      <c r="AH538" s="133">
        <v>0.986286919831224</v>
      </c>
      <c r="AI538" s="135">
        <v>0.92</v>
      </c>
      <c r="AJ538" s="133">
        <v>0.961698584512906</v>
      </c>
      <c r="AK538" s="133">
        <v>0.952923869069511</v>
      </c>
      <c r="AL538" s="133">
        <v>0.875893769152196</v>
      </c>
      <c r="AM538" s="133">
        <v>0.957184618844165</v>
      </c>
      <c r="AN538" s="132">
        <v>0.99</v>
      </c>
      <c r="AO538" s="137">
        <v>1</v>
      </c>
      <c r="AP538" s="137">
        <v>1</v>
      </c>
      <c r="AQ538" s="137">
        <v>1</v>
      </c>
      <c r="AR538" s="137">
        <v>1</v>
      </c>
      <c r="AS538" s="158">
        <v>0.05</v>
      </c>
      <c r="AT538" s="141">
        <v>0</v>
      </c>
      <c r="AU538" s="141">
        <v>0.0588235294117647</v>
      </c>
      <c r="AV538" s="141">
        <v>0</v>
      </c>
      <c r="AW538" s="141">
        <v>0.0430769230769231</v>
      </c>
      <c r="AX538" s="95"/>
      <c r="AY538" s="93"/>
    </row>
    <row r="539" ht="15" spans="1:51">
      <c r="A539" s="91"/>
      <c r="B539" s="95"/>
      <c r="C539" s="152" t="s">
        <v>375</v>
      </c>
      <c r="D539" s="153" t="s">
        <v>25</v>
      </c>
      <c r="E539" s="130" t="s">
        <v>376</v>
      </c>
      <c r="F539" s="154" t="s">
        <v>565</v>
      </c>
      <c r="G539" s="154" t="s">
        <v>565</v>
      </c>
      <c r="H539" s="154" t="s">
        <v>565</v>
      </c>
      <c r="I539" s="154" t="s">
        <v>565</v>
      </c>
      <c r="J539" s="132">
        <v>0.9</v>
      </c>
      <c r="K539" s="133">
        <v>1</v>
      </c>
      <c r="L539" s="133">
        <v>0.896551724137931</v>
      </c>
      <c r="M539" s="134">
        <v>0.967741935483871</v>
      </c>
      <c r="N539" s="133">
        <v>0.957698815566836</v>
      </c>
      <c r="O539" s="135">
        <v>0.9</v>
      </c>
      <c r="P539" s="133" t="s">
        <v>35</v>
      </c>
      <c r="Q539" s="133" t="s">
        <v>35</v>
      </c>
      <c r="R539" s="133">
        <v>0</v>
      </c>
      <c r="S539" s="133">
        <v>0.428571428571429</v>
      </c>
      <c r="T539" s="135">
        <v>0.9</v>
      </c>
      <c r="U539" s="133" t="s">
        <v>35</v>
      </c>
      <c r="V539" s="133" t="s">
        <v>35</v>
      </c>
      <c r="W539" s="133">
        <v>1</v>
      </c>
      <c r="X539" s="133">
        <v>1</v>
      </c>
      <c r="Y539" s="135">
        <v>0.92</v>
      </c>
      <c r="Z539" s="135" t="s">
        <v>35</v>
      </c>
      <c r="AA539" s="135" t="s">
        <v>35</v>
      </c>
      <c r="AB539" s="135" t="s">
        <v>35</v>
      </c>
      <c r="AC539" s="135">
        <v>0</v>
      </c>
      <c r="AD539" s="135">
        <v>0.92</v>
      </c>
      <c r="AE539" s="133">
        <v>0.997256515775034</v>
      </c>
      <c r="AF539" s="133">
        <v>0.997171145685997</v>
      </c>
      <c r="AG539" s="133">
        <v>1</v>
      </c>
      <c r="AH539" s="133">
        <v>0.995082138746469</v>
      </c>
      <c r="AI539" s="135">
        <v>0.92</v>
      </c>
      <c r="AJ539" s="133">
        <v>0.969191919191919</v>
      </c>
      <c r="AK539" s="133">
        <v>0.969587255611875</v>
      </c>
      <c r="AL539" s="133">
        <v>0.977173548170527</v>
      </c>
      <c r="AM539" s="133">
        <v>0.981157469717362</v>
      </c>
      <c r="AN539" s="132">
        <v>0.99</v>
      </c>
      <c r="AO539" s="137">
        <v>1</v>
      </c>
      <c r="AP539" s="137">
        <v>1</v>
      </c>
      <c r="AQ539" s="137">
        <v>1</v>
      </c>
      <c r="AR539" s="137">
        <v>1</v>
      </c>
      <c r="AS539" s="158">
        <v>0.05</v>
      </c>
      <c r="AT539" s="141">
        <v>0</v>
      </c>
      <c r="AU539" s="141">
        <v>0</v>
      </c>
      <c r="AV539" s="141">
        <v>0.5</v>
      </c>
      <c r="AW539" s="141">
        <v>0.027972027972028</v>
      </c>
      <c r="AX539" s="95"/>
      <c r="AY539" s="93"/>
    </row>
    <row r="540" ht="15" spans="1:51">
      <c r="A540" s="91"/>
      <c r="B540" s="95"/>
      <c r="C540" s="152" t="s">
        <v>375</v>
      </c>
      <c r="D540" s="153" t="s">
        <v>25</v>
      </c>
      <c r="E540" s="130" t="s">
        <v>376</v>
      </c>
      <c r="F540" s="154" t="s">
        <v>566</v>
      </c>
      <c r="G540" s="154" t="s">
        <v>566</v>
      </c>
      <c r="H540" s="154" t="s">
        <v>566</v>
      </c>
      <c r="I540" s="154" t="s">
        <v>566</v>
      </c>
      <c r="J540" s="132">
        <v>0.9</v>
      </c>
      <c r="K540" s="133">
        <v>0.987012987012987</v>
      </c>
      <c r="L540" s="133">
        <v>0.982758620689655</v>
      </c>
      <c r="M540" s="134">
        <v>0.9375</v>
      </c>
      <c r="N540" s="133">
        <v>0.928079571537873</v>
      </c>
      <c r="O540" s="135">
        <v>0.9</v>
      </c>
      <c r="P540" s="133" t="s">
        <v>35</v>
      </c>
      <c r="Q540" s="133" t="s">
        <v>35</v>
      </c>
      <c r="R540" s="133">
        <v>0</v>
      </c>
      <c r="S540" s="133">
        <v>0.6</v>
      </c>
      <c r="T540" s="135">
        <v>0.9</v>
      </c>
      <c r="U540" s="133" t="s">
        <v>35</v>
      </c>
      <c r="V540" s="133" t="s">
        <v>35</v>
      </c>
      <c r="W540" s="133">
        <v>1</v>
      </c>
      <c r="X540" s="133">
        <v>0.6</v>
      </c>
      <c r="Y540" s="135">
        <v>0.92</v>
      </c>
      <c r="Z540" s="135" t="s">
        <v>35</v>
      </c>
      <c r="AA540" s="135" t="s">
        <v>35</v>
      </c>
      <c r="AB540" s="135" t="s">
        <v>35</v>
      </c>
      <c r="AC540" s="135">
        <v>1</v>
      </c>
      <c r="AD540" s="135">
        <v>0.92</v>
      </c>
      <c r="AE540" s="133">
        <v>0.984251968503937</v>
      </c>
      <c r="AF540" s="133">
        <v>0.956521739130435</v>
      </c>
      <c r="AG540" s="133">
        <v>0.990291262135922</v>
      </c>
      <c r="AH540" s="133">
        <v>0.967670504871568</v>
      </c>
      <c r="AI540" s="135">
        <v>0.92</v>
      </c>
      <c r="AJ540" s="133">
        <v>0.968826907301066</v>
      </c>
      <c r="AK540" s="133">
        <v>0.964539007092199</v>
      </c>
      <c r="AL540" s="133">
        <v>0.955941023417173</v>
      </c>
      <c r="AM540" s="133">
        <v>0.97782791014061</v>
      </c>
      <c r="AN540" s="132">
        <v>0.99</v>
      </c>
      <c r="AO540" s="137">
        <v>1</v>
      </c>
      <c r="AP540" s="137">
        <v>1</v>
      </c>
      <c r="AQ540" s="137">
        <v>1</v>
      </c>
      <c r="AR540" s="137">
        <v>1</v>
      </c>
      <c r="AS540" s="158">
        <v>0.05</v>
      </c>
      <c r="AT540" s="141">
        <v>0.1</v>
      </c>
      <c r="AU540" s="141">
        <v>0</v>
      </c>
      <c r="AV540" s="141">
        <v>0</v>
      </c>
      <c r="AW540" s="141">
        <v>0.037037037037037</v>
      </c>
      <c r="AX540" s="95"/>
      <c r="AY540" s="93"/>
    </row>
    <row r="541" ht="15" spans="1:51">
      <c r="A541" s="91"/>
      <c r="B541" s="95"/>
      <c r="C541" s="152" t="s">
        <v>375</v>
      </c>
      <c r="D541" s="153" t="s">
        <v>25</v>
      </c>
      <c r="E541" s="130" t="s">
        <v>376</v>
      </c>
      <c r="F541" s="154" t="s">
        <v>567</v>
      </c>
      <c r="G541" s="154" t="s">
        <v>567</v>
      </c>
      <c r="H541" s="154" t="s">
        <v>567</v>
      </c>
      <c r="I541" s="154" t="s">
        <v>567</v>
      </c>
      <c r="J541" s="132">
        <v>0.9</v>
      </c>
      <c r="K541" s="133">
        <v>1</v>
      </c>
      <c r="L541" s="133">
        <v>1</v>
      </c>
      <c r="M541" s="134">
        <v>1</v>
      </c>
      <c r="N541" s="133">
        <v>0.984263233190272</v>
      </c>
      <c r="O541" s="135">
        <v>0.9</v>
      </c>
      <c r="P541" s="133">
        <v>0</v>
      </c>
      <c r="Q541" s="133">
        <v>1</v>
      </c>
      <c r="R541" s="133">
        <v>0</v>
      </c>
      <c r="S541" s="133">
        <v>0.25</v>
      </c>
      <c r="T541" s="135">
        <v>0.9</v>
      </c>
      <c r="U541" s="133">
        <v>0</v>
      </c>
      <c r="V541" s="133">
        <v>1</v>
      </c>
      <c r="W541" s="133">
        <v>1</v>
      </c>
      <c r="X541" s="133">
        <v>0.8125</v>
      </c>
      <c r="Y541" s="135">
        <v>0.92</v>
      </c>
      <c r="Z541" s="135" t="s">
        <v>35</v>
      </c>
      <c r="AA541" s="135">
        <v>1</v>
      </c>
      <c r="AB541" s="135" t="s">
        <v>35</v>
      </c>
      <c r="AC541" s="135">
        <v>1</v>
      </c>
      <c r="AD541" s="135">
        <v>0.92</v>
      </c>
      <c r="AE541" s="133">
        <v>0.976902173913043</v>
      </c>
      <c r="AF541" s="133">
        <v>1</v>
      </c>
      <c r="AG541" s="133">
        <v>0.999415546464056</v>
      </c>
      <c r="AH541" s="133">
        <v>0.938913212979068</v>
      </c>
      <c r="AI541" s="135">
        <v>0.92</v>
      </c>
      <c r="AJ541" s="133">
        <v>0.979783732957217</v>
      </c>
      <c r="AK541" s="133">
        <v>0.97171590194846</v>
      </c>
      <c r="AL541" s="133">
        <v>0.970706490522688</v>
      </c>
      <c r="AM541" s="133">
        <v>0.983953189414424</v>
      </c>
      <c r="AN541" s="132">
        <v>0.99</v>
      </c>
      <c r="AO541" s="137">
        <v>1</v>
      </c>
      <c r="AP541" s="137">
        <v>1</v>
      </c>
      <c r="AQ541" s="137">
        <v>1</v>
      </c>
      <c r="AR541" s="137">
        <v>1</v>
      </c>
      <c r="AS541" s="158">
        <v>0.05</v>
      </c>
      <c r="AT541" s="141">
        <v>0</v>
      </c>
      <c r="AU541" s="141">
        <v>0</v>
      </c>
      <c r="AV541" s="141">
        <v>0</v>
      </c>
      <c r="AW541" s="141">
        <v>0.0591397849462366</v>
      </c>
      <c r="AX541" s="95"/>
      <c r="AY541" s="93"/>
    </row>
    <row r="542" ht="15" spans="1:51">
      <c r="A542" s="91"/>
      <c r="B542" s="95"/>
      <c r="C542" s="152" t="s">
        <v>375</v>
      </c>
      <c r="D542" s="153" t="s">
        <v>25</v>
      </c>
      <c r="E542" s="130" t="s">
        <v>376</v>
      </c>
      <c r="F542" s="154" t="s">
        <v>568</v>
      </c>
      <c r="G542" s="154" t="s">
        <v>568</v>
      </c>
      <c r="H542" s="154" t="s">
        <v>568</v>
      </c>
      <c r="I542" s="154" t="s">
        <v>568</v>
      </c>
      <c r="J542" s="132">
        <v>0.9</v>
      </c>
      <c r="K542" s="133">
        <v>0.945945945945946</v>
      </c>
      <c r="L542" s="133">
        <v>1</v>
      </c>
      <c r="M542" s="134">
        <v>0.9375</v>
      </c>
      <c r="N542" s="133">
        <v>0.943164362519201</v>
      </c>
      <c r="O542" s="135">
        <v>0.9</v>
      </c>
      <c r="P542" s="133">
        <v>0</v>
      </c>
      <c r="Q542" s="133" t="s">
        <v>35</v>
      </c>
      <c r="R542" s="133" t="s">
        <v>35</v>
      </c>
      <c r="S542" s="133">
        <v>0.666666666666667</v>
      </c>
      <c r="T542" s="135">
        <v>0.9</v>
      </c>
      <c r="U542" s="133">
        <v>0</v>
      </c>
      <c r="V542" s="133" t="s">
        <v>35</v>
      </c>
      <c r="W542" s="133" t="s">
        <v>35</v>
      </c>
      <c r="X542" s="133">
        <v>0.333333333333333</v>
      </c>
      <c r="Y542" s="135">
        <v>0.92</v>
      </c>
      <c r="Z542" s="135" t="s">
        <v>35</v>
      </c>
      <c r="AA542" s="135" t="s">
        <v>35</v>
      </c>
      <c r="AB542" s="135" t="s">
        <v>35</v>
      </c>
      <c r="AC542" s="135">
        <v>0</v>
      </c>
      <c r="AD542" s="135">
        <v>0.92</v>
      </c>
      <c r="AE542" s="133">
        <v>0.956786366402921</v>
      </c>
      <c r="AF542" s="133">
        <v>0.99537750385208</v>
      </c>
      <c r="AG542" s="133">
        <v>0.979865771812081</v>
      </c>
      <c r="AH542" s="133">
        <v>0.977767152761176</v>
      </c>
      <c r="AI542" s="135">
        <v>0.92</v>
      </c>
      <c r="AJ542" s="133">
        <v>0.963160445952496</v>
      </c>
      <c r="AK542" s="133">
        <v>0.954054054054054</v>
      </c>
      <c r="AL542" s="133">
        <v>0.947384521260324</v>
      </c>
      <c r="AM542" s="133">
        <v>0.968895927897332</v>
      </c>
      <c r="AN542" s="132">
        <v>0.99</v>
      </c>
      <c r="AO542" s="137">
        <v>1</v>
      </c>
      <c r="AP542" s="137">
        <v>1</v>
      </c>
      <c r="AQ542" s="137">
        <v>1</v>
      </c>
      <c r="AR542" s="137">
        <v>1</v>
      </c>
      <c r="AS542" s="158">
        <v>0.05</v>
      </c>
      <c r="AT542" s="141">
        <v>0.428571428571429</v>
      </c>
      <c r="AU542" s="141">
        <v>0.75</v>
      </c>
      <c r="AV542" s="141">
        <v>0</v>
      </c>
      <c r="AW542" s="141">
        <v>0.083743842364532</v>
      </c>
      <c r="AX542" s="95"/>
      <c r="AY542" s="93"/>
    </row>
    <row r="543" ht="15" spans="1:51">
      <c r="A543" s="91"/>
      <c r="B543" s="95"/>
      <c r="C543" s="152" t="s">
        <v>375</v>
      </c>
      <c r="D543" s="153" t="s">
        <v>25</v>
      </c>
      <c r="E543" s="130" t="s">
        <v>376</v>
      </c>
      <c r="F543" s="154" t="s">
        <v>569</v>
      </c>
      <c r="G543" s="154" t="s">
        <v>569</v>
      </c>
      <c r="H543" s="154" t="s">
        <v>569</v>
      </c>
      <c r="I543" s="154" t="s">
        <v>569</v>
      </c>
      <c r="J543" s="132">
        <v>0.9</v>
      </c>
      <c r="K543" s="133">
        <v>0.877551020408163</v>
      </c>
      <c r="L543" s="133">
        <v>0.955555555555556</v>
      </c>
      <c r="M543" s="134">
        <v>0.86046511627907</v>
      </c>
      <c r="N543" s="133">
        <v>0.923404255319149</v>
      </c>
      <c r="O543" s="135">
        <v>0.9</v>
      </c>
      <c r="P543" s="133" t="s">
        <v>35</v>
      </c>
      <c r="Q543" s="133">
        <v>0.142857142857143</v>
      </c>
      <c r="R543" s="133" t="s">
        <v>35</v>
      </c>
      <c r="S543" s="133">
        <v>0.25</v>
      </c>
      <c r="T543" s="135">
        <v>0.9</v>
      </c>
      <c r="U543" s="133" t="s">
        <v>35</v>
      </c>
      <c r="V543" s="133">
        <v>1</v>
      </c>
      <c r="W543" s="133" t="s">
        <v>35</v>
      </c>
      <c r="X543" s="133">
        <v>0.833333333333333</v>
      </c>
      <c r="Y543" s="135">
        <v>0.92</v>
      </c>
      <c r="Z543" s="135" t="s">
        <v>35</v>
      </c>
      <c r="AA543" s="135" t="s">
        <v>35</v>
      </c>
      <c r="AB543" s="135" t="s">
        <v>35</v>
      </c>
      <c r="AC543" s="135" t="s">
        <v>35</v>
      </c>
      <c r="AD543" s="135">
        <v>0.92</v>
      </c>
      <c r="AE543" s="133">
        <v>0.993243243243243</v>
      </c>
      <c r="AF543" s="133">
        <v>0.981981981981982</v>
      </c>
      <c r="AG543" s="133">
        <v>0.970873786407767</v>
      </c>
      <c r="AH543" s="133">
        <v>0.978931527464259</v>
      </c>
      <c r="AI543" s="135">
        <v>0.92</v>
      </c>
      <c r="AJ543" s="133">
        <v>0.910060975609756</v>
      </c>
      <c r="AK543" s="133">
        <v>0.924509803921569</v>
      </c>
      <c r="AL543" s="133">
        <v>0.863951667039606</v>
      </c>
      <c r="AM543" s="133">
        <v>0.956424003462038</v>
      </c>
      <c r="AN543" s="132">
        <v>0.99</v>
      </c>
      <c r="AO543" s="137">
        <v>1</v>
      </c>
      <c r="AP543" s="137">
        <v>1</v>
      </c>
      <c r="AQ543" s="137">
        <v>1</v>
      </c>
      <c r="AR543" s="137">
        <v>1</v>
      </c>
      <c r="AS543" s="158">
        <v>0.05</v>
      </c>
      <c r="AT543" s="141">
        <v>0</v>
      </c>
      <c r="AU543" s="141">
        <v>0</v>
      </c>
      <c r="AV543" s="141">
        <v>0</v>
      </c>
      <c r="AW543" s="141">
        <v>0.0446927374301676</v>
      </c>
      <c r="AX543" s="95"/>
      <c r="AY543" s="93"/>
    </row>
    <row r="544" ht="15" spans="1:51">
      <c r="A544" s="91"/>
      <c r="B544" s="95"/>
      <c r="C544" s="152" t="s">
        <v>375</v>
      </c>
      <c r="D544" s="153" t="s">
        <v>25</v>
      </c>
      <c r="E544" s="130" t="s">
        <v>376</v>
      </c>
      <c r="F544" s="154" t="s">
        <v>570</v>
      </c>
      <c r="G544" s="154" t="s">
        <v>570</v>
      </c>
      <c r="H544" s="154" t="s">
        <v>570</v>
      </c>
      <c r="I544" s="154" t="s">
        <v>570</v>
      </c>
      <c r="J544" s="132">
        <v>0.9</v>
      </c>
      <c r="K544" s="133">
        <v>0.964285714285714</v>
      </c>
      <c r="L544" s="133">
        <v>0.896551724137931</v>
      </c>
      <c r="M544" s="134">
        <v>1</v>
      </c>
      <c r="N544" s="133">
        <v>0.946494464944649</v>
      </c>
      <c r="O544" s="135">
        <v>0.9</v>
      </c>
      <c r="P544" s="133" t="s">
        <v>35</v>
      </c>
      <c r="Q544" s="133">
        <v>0</v>
      </c>
      <c r="R544" s="133" t="s">
        <v>35</v>
      </c>
      <c r="S544" s="133">
        <v>0.142857142857143</v>
      </c>
      <c r="T544" s="135">
        <v>0.9</v>
      </c>
      <c r="U544" s="133" t="s">
        <v>35</v>
      </c>
      <c r="V544" s="133">
        <v>0</v>
      </c>
      <c r="W544" s="133" t="s">
        <v>35</v>
      </c>
      <c r="X544" s="133">
        <v>0.142857142857143</v>
      </c>
      <c r="Y544" s="135">
        <v>0.92</v>
      </c>
      <c r="Z544" s="135" t="s">
        <v>35</v>
      </c>
      <c r="AA544" s="135" t="s">
        <v>35</v>
      </c>
      <c r="AB544" s="135" t="s">
        <v>35</v>
      </c>
      <c r="AC544" s="135" t="s">
        <v>35</v>
      </c>
      <c r="AD544" s="135">
        <v>0.92</v>
      </c>
      <c r="AE544" s="133">
        <v>0.98936170212766</v>
      </c>
      <c r="AF544" s="133">
        <v>0.96875</v>
      </c>
      <c r="AG544" s="133">
        <v>1</v>
      </c>
      <c r="AH544" s="133">
        <v>0.987396249615739</v>
      </c>
      <c r="AI544" s="135">
        <v>0.92</v>
      </c>
      <c r="AJ544" s="133">
        <v>0.967430639324487</v>
      </c>
      <c r="AK544" s="133">
        <v>0.967769296013571</v>
      </c>
      <c r="AL544" s="133">
        <v>0.968518518518519</v>
      </c>
      <c r="AM544" s="133">
        <v>0.982715696677822</v>
      </c>
      <c r="AN544" s="132">
        <v>0.99</v>
      </c>
      <c r="AO544" s="137">
        <v>1</v>
      </c>
      <c r="AP544" s="137">
        <v>1</v>
      </c>
      <c r="AQ544" s="137">
        <v>1</v>
      </c>
      <c r="AR544" s="137">
        <v>1</v>
      </c>
      <c r="AS544" s="158">
        <v>0.05</v>
      </c>
      <c r="AT544" s="141">
        <v>0</v>
      </c>
      <c r="AU544" s="141">
        <v>0</v>
      </c>
      <c r="AV544" s="141">
        <v>0.5</v>
      </c>
      <c r="AW544" s="141">
        <v>0.036036036036036</v>
      </c>
      <c r="AX544" s="95"/>
      <c r="AY544" s="93"/>
    </row>
    <row r="545" ht="15" spans="1:51">
      <c r="A545" s="91"/>
      <c r="B545" s="95"/>
      <c r="C545" s="152" t="s">
        <v>375</v>
      </c>
      <c r="D545" s="153" t="s">
        <v>25</v>
      </c>
      <c r="E545" s="130" t="s">
        <v>376</v>
      </c>
      <c r="F545" s="154" t="s">
        <v>571</v>
      </c>
      <c r="G545" s="154" t="s">
        <v>571</v>
      </c>
      <c r="H545" s="154" t="s">
        <v>571</v>
      </c>
      <c r="I545" s="154" t="s">
        <v>571</v>
      </c>
      <c r="J545" s="132">
        <v>0.9</v>
      </c>
      <c r="K545" s="133">
        <v>0.970588235294118</v>
      </c>
      <c r="L545" s="133">
        <v>0.951612903225806</v>
      </c>
      <c r="M545" s="134">
        <v>0.916666666666667</v>
      </c>
      <c r="N545" s="133">
        <v>0.905560458958517</v>
      </c>
      <c r="O545" s="135">
        <v>0.9</v>
      </c>
      <c r="P545" s="133">
        <v>0.5</v>
      </c>
      <c r="Q545" s="133">
        <v>0</v>
      </c>
      <c r="R545" s="133">
        <v>1</v>
      </c>
      <c r="S545" s="133">
        <v>0.625</v>
      </c>
      <c r="T545" s="135">
        <v>0.9</v>
      </c>
      <c r="U545" s="133">
        <v>0.5</v>
      </c>
      <c r="V545" s="133">
        <v>0</v>
      </c>
      <c r="W545" s="133">
        <v>1</v>
      </c>
      <c r="X545" s="133">
        <v>0.75</v>
      </c>
      <c r="Y545" s="135">
        <v>0.92</v>
      </c>
      <c r="Z545" s="135" t="s">
        <v>35</v>
      </c>
      <c r="AA545" s="135">
        <v>0</v>
      </c>
      <c r="AB545" s="135" t="s">
        <v>35</v>
      </c>
      <c r="AC545" s="135">
        <v>0.666666666666667</v>
      </c>
      <c r="AD545" s="135">
        <v>0.92</v>
      </c>
      <c r="AE545" s="133">
        <v>0.963788300835655</v>
      </c>
      <c r="AF545" s="133">
        <v>0.998242530755712</v>
      </c>
      <c r="AG545" s="133">
        <v>0.993520518358531</v>
      </c>
      <c r="AH545" s="133">
        <v>0.977712276347089</v>
      </c>
      <c r="AI545" s="135">
        <v>0.92</v>
      </c>
      <c r="AJ545" s="133">
        <v>0.961586121437423</v>
      </c>
      <c r="AK545" s="133">
        <v>0.962463907603465</v>
      </c>
      <c r="AL545" s="133">
        <v>0.930661696178938</v>
      </c>
      <c r="AM545" s="133">
        <v>0.938023402546748</v>
      </c>
      <c r="AN545" s="132">
        <v>0.99</v>
      </c>
      <c r="AO545" s="137">
        <v>1</v>
      </c>
      <c r="AP545" s="137">
        <v>1</v>
      </c>
      <c r="AQ545" s="137">
        <v>1</v>
      </c>
      <c r="AR545" s="137">
        <v>1</v>
      </c>
      <c r="AS545" s="158">
        <v>0.05</v>
      </c>
      <c r="AT545" s="141">
        <v>0.161290322580645</v>
      </c>
      <c r="AU545" s="141">
        <v>0.3</v>
      </c>
      <c r="AV545" s="141">
        <v>0</v>
      </c>
      <c r="AW545" s="141">
        <v>0.0752688172043011</v>
      </c>
      <c r="AX545" s="95"/>
      <c r="AY545" s="93"/>
    </row>
    <row r="546" ht="15" spans="1:51">
      <c r="A546" s="91"/>
      <c r="B546" s="95"/>
      <c r="C546" s="152" t="s">
        <v>375</v>
      </c>
      <c r="D546" s="153" t="s">
        <v>25</v>
      </c>
      <c r="E546" s="130" t="s">
        <v>376</v>
      </c>
      <c r="F546" s="154" t="s">
        <v>572</v>
      </c>
      <c r="G546" s="154" t="s">
        <v>572</v>
      </c>
      <c r="H546" s="154" t="s">
        <v>572</v>
      </c>
      <c r="I546" s="154" t="s">
        <v>572</v>
      </c>
      <c r="J546" s="132">
        <v>0.9</v>
      </c>
      <c r="K546" s="133">
        <v>0.962962962962963</v>
      </c>
      <c r="L546" s="133">
        <v>1</v>
      </c>
      <c r="M546" s="134">
        <v>0.869565217391304</v>
      </c>
      <c r="N546" s="133">
        <v>0.945054945054945</v>
      </c>
      <c r="O546" s="135">
        <v>0.9</v>
      </c>
      <c r="P546" s="133" t="s">
        <v>35</v>
      </c>
      <c r="Q546" s="133" t="s">
        <v>35</v>
      </c>
      <c r="R546" s="133" t="s">
        <v>35</v>
      </c>
      <c r="S546" s="133">
        <v>0</v>
      </c>
      <c r="T546" s="135">
        <v>0.9</v>
      </c>
      <c r="U546" s="133" t="s">
        <v>35</v>
      </c>
      <c r="V546" s="133" t="s">
        <v>35</v>
      </c>
      <c r="W546" s="133" t="s">
        <v>35</v>
      </c>
      <c r="X546" s="133">
        <v>0</v>
      </c>
      <c r="Y546" s="135">
        <v>0.92</v>
      </c>
      <c r="Z546" s="135" t="s">
        <v>35</v>
      </c>
      <c r="AA546" s="135" t="s">
        <v>35</v>
      </c>
      <c r="AB546" s="135" t="s">
        <v>35</v>
      </c>
      <c r="AC546" s="135">
        <v>0.666666666666667</v>
      </c>
      <c r="AD546" s="135">
        <v>0.92</v>
      </c>
      <c r="AE546" s="133">
        <v>0.986486486486487</v>
      </c>
      <c r="AF546" s="133">
        <v>0.990825688073395</v>
      </c>
      <c r="AG546" s="133">
        <v>0.992805755395683</v>
      </c>
      <c r="AH546" s="133">
        <v>0.902624091052798</v>
      </c>
      <c r="AI546" s="135">
        <v>0.92</v>
      </c>
      <c r="AJ546" s="133">
        <v>0.960104643557881</v>
      </c>
      <c r="AK546" s="133">
        <v>0.966202783300199</v>
      </c>
      <c r="AL546" s="133">
        <v>0.946661066778664</v>
      </c>
      <c r="AM546" s="133">
        <v>0.969217313394628</v>
      </c>
      <c r="AN546" s="132">
        <v>0.99</v>
      </c>
      <c r="AO546" s="137">
        <v>1</v>
      </c>
      <c r="AP546" s="137">
        <v>1</v>
      </c>
      <c r="AQ546" s="137">
        <v>1</v>
      </c>
      <c r="AR546" s="137">
        <v>1</v>
      </c>
      <c r="AS546" s="158">
        <v>0.05</v>
      </c>
      <c r="AT546" s="141">
        <v>0.111111111111111</v>
      </c>
      <c r="AU546" s="141">
        <v>0</v>
      </c>
      <c r="AV546" s="141">
        <v>0</v>
      </c>
      <c r="AW546" s="141">
        <v>0.0165165165165165</v>
      </c>
      <c r="AX546" s="95"/>
      <c r="AY546" s="93"/>
    </row>
    <row r="547" ht="15" spans="1:51">
      <c r="A547" s="91"/>
      <c r="B547" s="95"/>
      <c r="C547" s="152" t="s">
        <v>375</v>
      </c>
      <c r="D547" s="153" t="s">
        <v>25</v>
      </c>
      <c r="E547" s="130" t="s">
        <v>376</v>
      </c>
      <c r="F547" s="154" t="s">
        <v>573</v>
      </c>
      <c r="G547" s="154" t="s">
        <v>573</v>
      </c>
      <c r="H547" s="154" t="s">
        <v>573</v>
      </c>
      <c r="I547" s="154" t="s">
        <v>573</v>
      </c>
      <c r="J547" s="132">
        <v>0.9</v>
      </c>
      <c r="K547" s="133">
        <v>0.953488372093023</v>
      </c>
      <c r="L547" s="133">
        <v>0.78125</v>
      </c>
      <c r="M547" s="134">
        <v>1</v>
      </c>
      <c r="N547" s="133">
        <v>0.90979381443299</v>
      </c>
      <c r="O547" s="135">
        <v>0.9</v>
      </c>
      <c r="P547" s="133">
        <v>0.833333333333333</v>
      </c>
      <c r="Q547" s="133">
        <v>0</v>
      </c>
      <c r="R547" s="133" t="s">
        <v>35</v>
      </c>
      <c r="S547" s="133">
        <v>0.4</v>
      </c>
      <c r="T547" s="135">
        <v>0.9</v>
      </c>
      <c r="U547" s="133">
        <v>0</v>
      </c>
      <c r="V547" s="133">
        <v>0</v>
      </c>
      <c r="W547" s="133" t="s">
        <v>35</v>
      </c>
      <c r="X547" s="133">
        <v>0.2</v>
      </c>
      <c r="Y547" s="135">
        <v>0.92</v>
      </c>
      <c r="Z547" s="135" t="s">
        <v>35</v>
      </c>
      <c r="AA547" s="135">
        <v>0</v>
      </c>
      <c r="AB547" s="135" t="s">
        <v>35</v>
      </c>
      <c r="AC547" s="135">
        <v>0</v>
      </c>
      <c r="AD547" s="135">
        <v>0.92</v>
      </c>
      <c r="AE547" s="133">
        <v>0.666666666666667</v>
      </c>
      <c r="AF547" s="133">
        <v>0.957746478873239</v>
      </c>
      <c r="AG547" s="133">
        <v>0.97972972972973</v>
      </c>
      <c r="AH547" s="133">
        <v>0.94971228421316</v>
      </c>
      <c r="AI547" s="135">
        <v>0.92</v>
      </c>
      <c r="AJ547" s="133">
        <v>0.949435665914221</v>
      </c>
      <c r="AK547" s="133">
        <v>0.921894218942189</v>
      </c>
      <c r="AL547" s="133">
        <v>0.926615553121577</v>
      </c>
      <c r="AM547" s="133">
        <v>0.962687623902577</v>
      </c>
      <c r="AN547" s="132">
        <v>0.99</v>
      </c>
      <c r="AO547" s="137">
        <v>1</v>
      </c>
      <c r="AP547" s="137">
        <v>1</v>
      </c>
      <c r="AQ547" s="137">
        <v>1</v>
      </c>
      <c r="AR547" s="137">
        <v>1</v>
      </c>
      <c r="AS547" s="158">
        <v>0.05</v>
      </c>
      <c r="AT547" s="141">
        <v>0</v>
      </c>
      <c r="AU547" s="141">
        <v>0.222222222222222</v>
      </c>
      <c r="AV547" s="141">
        <v>0</v>
      </c>
      <c r="AW547" s="141">
        <v>0.0552763819095477</v>
      </c>
      <c r="AX547" s="95"/>
      <c r="AY547" s="93"/>
    </row>
    <row r="548" ht="15" spans="1:51">
      <c r="A548" s="91"/>
      <c r="B548" s="95"/>
      <c r="C548" s="152" t="s">
        <v>375</v>
      </c>
      <c r="D548" s="153" t="s">
        <v>25</v>
      </c>
      <c r="E548" s="130" t="s">
        <v>376</v>
      </c>
      <c r="F548" s="154" t="s">
        <v>574</v>
      </c>
      <c r="G548" s="154" t="s">
        <v>574</v>
      </c>
      <c r="H548" s="154" t="s">
        <v>574</v>
      </c>
      <c r="I548" s="154" t="s">
        <v>574</v>
      </c>
      <c r="J548" s="132">
        <v>0.9</v>
      </c>
      <c r="K548" s="133">
        <v>0.962962962962963</v>
      </c>
      <c r="L548" s="133">
        <v>0.958333333333333</v>
      </c>
      <c r="M548" s="134">
        <v>0.925</v>
      </c>
      <c r="N548" s="133">
        <v>0.924901185770751</v>
      </c>
      <c r="O548" s="135">
        <v>0.9</v>
      </c>
      <c r="P548" s="133" t="s">
        <v>35</v>
      </c>
      <c r="Q548" s="133" t="s">
        <v>35</v>
      </c>
      <c r="R548" s="133" t="s">
        <v>35</v>
      </c>
      <c r="S548" s="133">
        <v>0.375</v>
      </c>
      <c r="T548" s="135">
        <v>0.9</v>
      </c>
      <c r="U548" s="133" t="s">
        <v>35</v>
      </c>
      <c r="V548" s="133" t="s">
        <v>35</v>
      </c>
      <c r="W548" s="133" t="s">
        <v>35</v>
      </c>
      <c r="X548" s="133">
        <v>0.5</v>
      </c>
      <c r="Y548" s="135">
        <v>0.92</v>
      </c>
      <c r="Z548" s="135" t="s">
        <v>35</v>
      </c>
      <c r="AA548" s="135" t="s">
        <v>35</v>
      </c>
      <c r="AB548" s="135">
        <v>1</v>
      </c>
      <c r="AC548" s="135">
        <v>0.333333333333333</v>
      </c>
      <c r="AD548" s="135">
        <v>0.92</v>
      </c>
      <c r="AE548" s="133">
        <v>1</v>
      </c>
      <c r="AF548" s="133">
        <v>1</v>
      </c>
      <c r="AG548" s="133">
        <v>0.995073891625616</v>
      </c>
      <c r="AH548" s="133">
        <v>0.990885416666667</v>
      </c>
      <c r="AI548" s="135">
        <v>0.92</v>
      </c>
      <c r="AJ548" s="133">
        <v>0.976956963741105</v>
      </c>
      <c r="AK548" s="133">
        <v>0.938049560351719</v>
      </c>
      <c r="AL548" s="133">
        <v>0.879313784161181</v>
      </c>
      <c r="AM548" s="133">
        <v>0.967141601807683</v>
      </c>
      <c r="AN548" s="132">
        <v>0.99</v>
      </c>
      <c r="AO548" s="137">
        <v>1</v>
      </c>
      <c r="AP548" s="137">
        <v>1</v>
      </c>
      <c r="AQ548" s="137">
        <v>1</v>
      </c>
      <c r="AR548" s="137">
        <v>1</v>
      </c>
      <c r="AS548" s="158">
        <v>0.05</v>
      </c>
      <c r="AT548" s="141">
        <v>0</v>
      </c>
      <c r="AU548" s="141">
        <v>0.0833333333333333</v>
      </c>
      <c r="AV548" s="141">
        <v>0</v>
      </c>
      <c r="AW548" s="141">
        <v>0.0403587443946188</v>
      </c>
      <c r="AX548" s="95"/>
      <c r="AY548" s="93"/>
    </row>
    <row r="549" ht="15" spans="1:51">
      <c r="A549" s="91"/>
      <c r="B549" s="95"/>
      <c r="C549" s="152" t="s">
        <v>375</v>
      </c>
      <c r="D549" s="153" t="s">
        <v>25</v>
      </c>
      <c r="E549" s="130" t="s">
        <v>376</v>
      </c>
      <c r="F549" s="154" t="s">
        <v>575</v>
      </c>
      <c r="G549" s="154" t="s">
        <v>575</v>
      </c>
      <c r="H549" s="154" t="s">
        <v>575</v>
      </c>
      <c r="I549" s="154" t="s">
        <v>575</v>
      </c>
      <c r="J549" s="132">
        <v>0.9</v>
      </c>
      <c r="K549" s="133">
        <v>0.935483870967742</v>
      </c>
      <c r="L549" s="133">
        <v>0.963636363636364</v>
      </c>
      <c r="M549" s="134">
        <v>0.980392156862745</v>
      </c>
      <c r="N549" s="133">
        <v>0.964088397790055</v>
      </c>
      <c r="O549" s="135">
        <v>0.9</v>
      </c>
      <c r="P549" s="133">
        <v>0.991550039609189</v>
      </c>
      <c r="Q549" s="133">
        <v>0.993140006236358</v>
      </c>
      <c r="R549" s="133">
        <v>0.986522462562396</v>
      </c>
      <c r="S549" s="133">
        <v>0.982872446437469</v>
      </c>
      <c r="T549" s="135">
        <v>0.9</v>
      </c>
      <c r="U549" s="133">
        <v>0.956958014259308</v>
      </c>
      <c r="V549" s="133">
        <v>0.954786404739632</v>
      </c>
      <c r="W549" s="133">
        <v>0.945424292845258</v>
      </c>
      <c r="X549" s="133">
        <v>0.942700548081714</v>
      </c>
      <c r="Y549" s="135">
        <v>0.92</v>
      </c>
      <c r="Z549" s="135">
        <v>1</v>
      </c>
      <c r="AA549" s="135" t="s">
        <v>35</v>
      </c>
      <c r="AB549" s="135" t="s">
        <v>35</v>
      </c>
      <c r="AC549" s="135">
        <v>1</v>
      </c>
      <c r="AD549" s="135">
        <v>0.92</v>
      </c>
      <c r="AE549" s="133">
        <v>0.990742734122713</v>
      </c>
      <c r="AF549" s="133">
        <v>0.999420793512887</v>
      </c>
      <c r="AG549" s="133">
        <v>0.999303621169916</v>
      </c>
      <c r="AH549" s="133">
        <v>0.980809264144424</v>
      </c>
      <c r="AI549" s="135">
        <v>0.92</v>
      </c>
      <c r="AJ549" s="133">
        <v>0.975204431548404</v>
      </c>
      <c r="AK549" s="133">
        <v>0.974135244624494</v>
      </c>
      <c r="AL549" s="133">
        <v>0.972725760851488</v>
      </c>
      <c r="AM549" s="133">
        <v>0.979715789848113</v>
      </c>
      <c r="AN549" s="132">
        <v>0.99</v>
      </c>
      <c r="AO549" s="137">
        <v>1</v>
      </c>
      <c r="AP549" s="137">
        <v>1</v>
      </c>
      <c r="AQ549" s="137">
        <v>1</v>
      </c>
      <c r="AR549" s="137">
        <v>1</v>
      </c>
      <c r="AS549" s="158">
        <v>0.05</v>
      </c>
      <c r="AT549" s="141">
        <v>0.19047619047619</v>
      </c>
      <c r="AU549" s="141">
        <v>0.0869565217391304</v>
      </c>
      <c r="AV549" s="141">
        <v>0.0555555555555556</v>
      </c>
      <c r="AW549" s="141">
        <v>0.0625</v>
      </c>
      <c r="AX549" s="95"/>
      <c r="AY549" s="93"/>
    </row>
    <row r="550" ht="15" spans="1:51">
      <c r="A550" s="91"/>
      <c r="B550" s="95"/>
      <c r="C550" s="152" t="s">
        <v>375</v>
      </c>
      <c r="D550" s="153" t="s">
        <v>25</v>
      </c>
      <c r="E550" s="130" t="s">
        <v>376</v>
      </c>
      <c r="F550" s="154" t="s">
        <v>576</v>
      </c>
      <c r="G550" s="154" t="s">
        <v>576</v>
      </c>
      <c r="H550" s="154" t="s">
        <v>576</v>
      </c>
      <c r="I550" s="154" t="s">
        <v>576</v>
      </c>
      <c r="J550" s="132">
        <v>0.9</v>
      </c>
      <c r="K550" s="133">
        <v>0.972222222222222</v>
      </c>
      <c r="L550" s="133">
        <v>0.970149253731343</v>
      </c>
      <c r="M550" s="134">
        <v>0.985915492957746</v>
      </c>
      <c r="N550" s="133">
        <v>0.973291437549097</v>
      </c>
      <c r="O550" s="135">
        <v>0.9</v>
      </c>
      <c r="P550" s="133">
        <v>0.75</v>
      </c>
      <c r="Q550" s="133">
        <v>1</v>
      </c>
      <c r="R550" s="133">
        <v>0.958333333333333</v>
      </c>
      <c r="S550" s="133">
        <v>0.978125</v>
      </c>
      <c r="T550" s="135">
        <v>0.9</v>
      </c>
      <c r="U550" s="133">
        <v>1</v>
      </c>
      <c r="V550" s="133">
        <v>1</v>
      </c>
      <c r="W550" s="133">
        <v>1</v>
      </c>
      <c r="X550" s="133">
        <v>0.990625</v>
      </c>
      <c r="Y550" s="135">
        <v>0.92</v>
      </c>
      <c r="Z550" s="135" t="s">
        <v>35</v>
      </c>
      <c r="AA550" s="135" t="s">
        <v>35</v>
      </c>
      <c r="AB550" s="135" t="s">
        <v>35</v>
      </c>
      <c r="AC550" s="135">
        <v>0.888888888888889</v>
      </c>
      <c r="AD550" s="135">
        <v>0.92</v>
      </c>
      <c r="AE550" s="133">
        <v>0.992443324937028</v>
      </c>
      <c r="AF550" s="133">
        <v>0.983706720977597</v>
      </c>
      <c r="AG550" s="133">
        <v>1</v>
      </c>
      <c r="AH550" s="133">
        <v>0.980942448089504</v>
      </c>
      <c r="AI550" s="135">
        <v>0.92</v>
      </c>
      <c r="AJ550" s="133">
        <v>0.966592974699091</v>
      </c>
      <c r="AK550" s="133">
        <v>0.961694915254237</v>
      </c>
      <c r="AL550" s="133">
        <v>0.95183102871904</v>
      </c>
      <c r="AM550" s="133">
        <v>0.967905556686342</v>
      </c>
      <c r="AN550" s="132">
        <v>0.99</v>
      </c>
      <c r="AO550" s="137">
        <v>1</v>
      </c>
      <c r="AP550" s="137">
        <v>1</v>
      </c>
      <c r="AQ550" s="137">
        <v>1</v>
      </c>
      <c r="AR550" s="137">
        <v>1</v>
      </c>
      <c r="AS550" s="158">
        <v>0.05</v>
      </c>
      <c r="AT550" s="141">
        <v>0.0135135135135135</v>
      </c>
      <c r="AU550" s="141">
        <v>0.178082191780822</v>
      </c>
      <c r="AV550" s="141">
        <v>0.0906040268456376</v>
      </c>
      <c r="AW550" s="141">
        <v>0.135616438356164</v>
      </c>
      <c r="AX550" s="95"/>
      <c r="AY550" s="93"/>
    </row>
    <row r="551" ht="15" spans="1:51">
      <c r="A551" s="91"/>
      <c r="B551" s="95"/>
      <c r="C551" s="152" t="s">
        <v>375</v>
      </c>
      <c r="D551" s="153" t="s">
        <v>25</v>
      </c>
      <c r="E551" s="130" t="s">
        <v>376</v>
      </c>
      <c r="F551" s="154" t="s">
        <v>577</v>
      </c>
      <c r="G551" s="154" t="s">
        <v>577</v>
      </c>
      <c r="H551" s="154" t="s">
        <v>577</v>
      </c>
      <c r="I551" s="154" t="s">
        <v>577</v>
      </c>
      <c r="J551" s="132">
        <v>0.9</v>
      </c>
      <c r="K551" s="133">
        <v>0.975609756097561</v>
      </c>
      <c r="L551" s="133">
        <v>0.972222222222222</v>
      </c>
      <c r="M551" s="134">
        <v>1</v>
      </c>
      <c r="N551" s="133">
        <v>0.966124661246612</v>
      </c>
      <c r="O551" s="135">
        <v>0.9</v>
      </c>
      <c r="P551" s="133" t="s">
        <v>35</v>
      </c>
      <c r="Q551" s="133" t="s">
        <v>35</v>
      </c>
      <c r="R551" s="133" t="s">
        <v>35</v>
      </c>
      <c r="S551" s="133">
        <v>0.730769230769231</v>
      </c>
      <c r="T551" s="135">
        <v>0.9</v>
      </c>
      <c r="U551" s="133" t="s">
        <v>35</v>
      </c>
      <c r="V551" s="133" t="s">
        <v>35</v>
      </c>
      <c r="W551" s="133" t="s">
        <v>35</v>
      </c>
      <c r="X551" s="133">
        <v>0.807692307692308</v>
      </c>
      <c r="Y551" s="135">
        <v>0.92</v>
      </c>
      <c r="Z551" s="135" t="s">
        <v>35</v>
      </c>
      <c r="AA551" s="135" t="s">
        <v>35</v>
      </c>
      <c r="AB551" s="135" t="s">
        <v>35</v>
      </c>
      <c r="AC551" s="135">
        <v>1</v>
      </c>
      <c r="AD551" s="135">
        <v>0.92</v>
      </c>
      <c r="AE551" s="133">
        <v>0.997876857749469</v>
      </c>
      <c r="AF551" s="133">
        <v>0.99718045112782</v>
      </c>
      <c r="AG551" s="133">
        <v>0.997455470737914</v>
      </c>
      <c r="AH551" s="133">
        <v>0.994818370241082</v>
      </c>
      <c r="AI551" s="135">
        <v>0.92</v>
      </c>
      <c r="AJ551" s="133">
        <v>0.963421194190425</v>
      </c>
      <c r="AK551" s="133">
        <v>0.955979457079971</v>
      </c>
      <c r="AL551" s="133">
        <v>0.970870337477797</v>
      </c>
      <c r="AM551" s="133">
        <v>0.973681296371489</v>
      </c>
      <c r="AN551" s="132">
        <v>0.99</v>
      </c>
      <c r="AO551" s="137">
        <v>1</v>
      </c>
      <c r="AP551" s="137">
        <v>1</v>
      </c>
      <c r="AQ551" s="137">
        <v>1</v>
      </c>
      <c r="AR551" s="137">
        <v>1</v>
      </c>
      <c r="AS551" s="158">
        <v>0.05</v>
      </c>
      <c r="AT551" s="141">
        <v>0.111111111111111</v>
      </c>
      <c r="AU551" s="141">
        <v>0.333333333333333</v>
      </c>
      <c r="AV551" s="141">
        <v>0</v>
      </c>
      <c r="AW551" s="141">
        <v>0.0922330097087379</v>
      </c>
      <c r="AX551" s="95"/>
      <c r="AY551" s="93"/>
    </row>
    <row r="552" ht="15" spans="1:51">
      <c r="A552" s="91"/>
      <c r="B552" s="95"/>
      <c r="C552" s="152" t="s">
        <v>375</v>
      </c>
      <c r="D552" s="153" t="s">
        <v>25</v>
      </c>
      <c r="E552" s="130" t="s">
        <v>376</v>
      </c>
      <c r="F552" s="154" t="s">
        <v>578</v>
      </c>
      <c r="G552" s="154" t="s">
        <v>578</v>
      </c>
      <c r="H552" s="154" t="s">
        <v>578</v>
      </c>
      <c r="I552" s="154" t="s">
        <v>578</v>
      </c>
      <c r="J552" s="132">
        <v>0.9</v>
      </c>
      <c r="K552" s="133">
        <v>1</v>
      </c>
      <c r="L552" s="133">
        <v>0.975609756097561</v>
      </c>
      <c r="M552" s="134">
        <v>0.933333333333333</v>
      </c>
      <c r="N552" s="133">
        <v>0.932978723404255</v>
      </c>
      <c r="O552" s="135">
        <v>0.9</v>
      </c>
      <c r="P552" s="133" t="s">
        <v>35</v>
      </c>
      <c r="Q552" s="133" t="s">
        <v>35</v>
      </c>
      <c r="R552" s="133" t="s">
        <v>35</v>
      </c>
      <c r="S552" s="133" t="s">
        <v>35</v>
      </c>
      <c r="T552" s="135">
        <v>0.9</v>
      </c>
      <c r="U552" s="133" t="s">
        <v>35</v>
      </c>
      <c r="V552" s="133" t="s">
        <v>35</v>
      </c>
      <c r="W552" s="133" t="s">
        <v>35</v>
      </c>
      <c r="X552" s="133" t="s">
        <v>35</v>
      </c>
      <c r="Y552" s="135">
        <v>0.92</v>
      </c>
      <c r="Z552" s="135">
        <v>1</v>
      </c>
      <c r="AA552" s="135" t="s">
        <v>35</v>
      </c>
      <c r="AB552" s="135" t="s">
        <v>35</v>
      </c>
      <c r="AC552" s="135">
        <v>1</v>
      </c>
      <c r="AD552" s="135">
        <v>0.92</v>
      </c>
      <c r="AE552" s="133">
        <v>0.995426829268293</v>
      </c>
      <c r="AF552" s="133">
        <v>0.986842105263158</v>
      </c>
      <c r="AG552" s="133">
        <v>0.994236311239193</v>
      </c>
      <c r="AH552" s="133">
        <v>0.948060708263069</v>
      </c>
      <c r="AI552" s="135">
        <v>0.92</v>
      </c>
      <c r="AJ552" s="133">
        <v>0.950039651070579</v>
      </c>
      <c r="AK552" s="133">
        <v>0.942217595002603</v>
      </c>
      <c r="AL552" s="133">
        <v>0.920823244552058</v>
      </c>
      <c r="AM552" s="133">
        <v>0.967129670663611</v>
      </c>
      <c r="AN552" s="132">
        <v>0.99</v>
      </c>
      <c r="AO552" s="137">
        <v>1</v>
      </c>
      <c r="AP552" s="137">
        <v>1</v>
      </c>
      <c r="AQ552" s="137">
        <v>1</v>
      </c>
      <c r="AR552" s="137">
        <v>1</v>
      </c>
      <c r="AS552" s="158">
        <v>0.05</v>
      </c>
      <c r="AT552" s="141">
        <v>0</v>
      </c>
      <c r="AU552" s="141">
        <v>0</v>
      </c>
      <c r="AV552" s="141">
        <v>0</v>
      </c>
      <c r="AW552" s="141">
        <v>0.0701754385964912</v>
      </c>
      <c r="AX552" s="95"/>
      <c r="AY552" s="93"/>
    </row>
    <row r="553" ht="15" spans="1:51">
      <c r="A553" s="91"/>
      <c r="B553" s="95"/>
      <c r="C553" s="152" t="s">
        <v>375</v>
      </c>
      <c r="D553" s="153" t="s">
        <v>25</v>
      </c>
      <c r="E553" s="130" t="s">
        <v>376</v>
      </c>
      <c r="F553" s="154" t="s">
        <v>579</v>
      </c>
      <c r="G553" s="154" t="s">
        <v>579</v>
      </c>
      <c r="H553" s="154" t="s">
        <v>579</v>
      </c>
      <c r="I553" s="154" t="s">
        <v>579</v>
      </c>
      <c r="J553" s="132">
        <v>0.9</v>
      </c>
      <c r="K553" s="133">
        <v>0.897058823529412</v>
      </c>
      <c r="L553" s="133">
        <v>0.879310344827586</v>
      </c>
      <c r="M553" s="134">
        <v>0.857142857142857</v>
      </c>
      <c r="N553" s="133">
        <v>0.896265560165975</v>
      </c>
      <c r="O553" s="135">
        <v>0.9</v>
      </c>
      <c r="P553" s="133">
        <v>0</v>
      </c>
      <c r="Q553" s="133">
        <v>1</v>
      </c>
      <c r="R553" s="133" t="s">
        <v>35</v>
      </c>
      <c r="S553" s="133">
        <v>0.3</v>
      </c>
      <c r="T553" s="135">
        <v>0.9</v>
      </c>
      <c r="U553" s="133">
        <v>0</v>
      </c>
      <c r="V553" s="133">
        <v>1</v>
      </c>
      <c r="W553" s="133" t="s">
        <v>35</v>
      </c>
      <c r="X553" s="133">
        <v>0.5</v>
      </c>
      <c r="Y553" s="135">
        <v>0.92</v>
      </c>
      <c r="Z553" s="135" t="s">
        <v>35</v>
      </c>
      <c r="AA553" s="135" t="s">
        <v>35</v>
      </c>
      <c r="AB553" s="135" t="s">
        <v>35</v>
      </c>
      <c r="AC553" s="135">
        <v>0</v>
      </c>
      <c r="AD553" s="135">
        <v>0.92</v>
      </c>
      <c r="AE553" s="133">
        <v>0.983783783783784</v>
      </c>
      <c r="AF553" s="133">
        <v>0.995327102803738</v>
      </c>
      <c r="AG553" s="133">
        <v>0.979591836734694</v>
      </c>
      <c r="AH553" s="133">
        <v>0.981253661394259</v>
      </c>
      <c r="AI553" s="135">
        <v>0.92</v>
      </c>
      <c r="AJ553" s="133">
        <v>0.971925541653952</v>
      </c>
      <c r="AK553" s="133">
        <v>0.956390977443609</v>
      </c>
      <c r="AL553" s="133">
        <v>0.943757411485685</v>
      </c>
      <c r="AM553" s="133">
        <v>0.972639299914668</v>
      </c>
      <c r="AN553" s="132">
        <v>0.99</v>
      </c>
      <c r="AO553" s="137">
        <v>1</v>
      </c>
      <c r="AP553" s="137">
        <v>1</v>
      </c>
      <c r="AQ553" s="137">
        <v>1</v>
      </c>
      <c r="AR553" s="137">
        <v>1</v>
      </c>
      <c r="AS553" s="158">
        <v>0.05</v>
      </c>
      <c r="AT553" s="141">
        <v>0</v>
      </c>
      <c r="AU553" s="141">
        <v>0.2</v>
      </c>
      <c r="AV553" s="141">
        <v>0</v>
      </c>
      <c r="AW553" s="141">
        <v>0.058252427184466</v>
      </c>
      <c r="AX553" s="95"/>
      <c r="AY553" s="93"/>
    </row>
    <row r="554" ht="15" spans="1:51">
      <c r="A554" s="91"/>
      <c r="B554" s="95"/>
      <c r="C554" s="152" t="s">
        <v>375</v>
      </c>
      <c r="D554" s="153" t="s">
        <v>25</v>
      </c>
      <c r="E554" s="130" t="s">
        <v>376</v>
      </c>
      <c r="F554" s="154" t="s">
        <v>580</v>
      </c>
      <c r="G554" s="154" t="s">
        <v>580</v>
      </c>
      <c r="H554" s="154" t="s">
        <v>580</v>
      </c>
      <c r="I554" s="154" t="s">
        <v>580</v>
      </c>
      <c r="J554" s="132">
        <v>0.9</v>
      </c>
      <c r="K554" s="133">
        <v>1</v>
      </c>
      <c r="L554" s="133">
        <v>1</v>
      </c>
      <c r="M554" s="134">
        <v>1</v>
      </c>
      <c r="N554" s="133">
        <v>0.985491071428571</v>
      </c>
      <c r="O554" s="135">
        <v>0.9</v>
      </c>
      <c r="P554" s="133">
        <v>0.965342349957735</v>
      </c>
      <c r="Q554" s="133">
        <v>0.972519083969466</v>
      </c>
      <c r="R554" s="133">
        <v>0.911462450592885</v>
      </c>
      <c r="S554" s="133">
        <v>0.964356784805663</v>
      </c>
      <c r="T554" s="135">
        <v>0.9</v>
      </c>
      <c r="U554" s="133">
        <v>0.936601859678783</v>
      </c>
      <c r="V554" s="133">
        <v>0.938931297709924</v>
      </c>
      <c r="W554" s="133">
        <v>0.852173913043478</v>
      </c>
      <c r="X554" s="133">
        <v>0.937555102143631</v>
      </c>
      <c r="Y554" s="135">
        <v>0.92</v>
      </c>
      <c r="Z554" s="135">
        <v>0.952324195470799</v>
      </c>
      <c r="AA554" s="135">
        <v>0.942779291553134</v>
      </c>
      <c r="AB554" s="135">
        <v>0.870597243491577</v>
      </c>
      <c r="AC554" s="135">
        <v>0.935171216598814</v>
      </c>
      <c r="AD554" s="135">
        <v>0.92</v>
      </c>
      <c r="AE554" s="133">
        <v>0.990610328638498</v>
      </c>
      <c r="AF554" s="133">
        <v>0.986754966887417</v>
      </c>
      <c r="AG554" s="133">
        <v>0.963855421686747</v>
      </c>
      <c r="AH554" s="133">
        <v>0.958487347170884</v>
      </c>
      <c r="AI554" s="135">
        <v>0.92</v>
      </c>
      <c r="AJ554" s="133">
        <v>0.959911894273128</v>
      </c>
      <c r="AK554" s="133">
        <v>0.952896844088554</v>
      </c>
      <c r="AL554" s="133">
        <v>0.904817404817405</v>
      </c>
      <c r="AM554" s="133">
        <v>0.956663264148803</v>
      </c>
      <c r="AN554" s="132">
        <v>0.99</v>
      </c>
      <c r="AO554" s="137">
        <v>1</v>
      </c>
      <c r="AP554" s="137">
        <v>1</v>
      </c>
      <c r="AQ554" s="137">
        <v>1</v>
      </c>
      <c r="AR554" s="137">
        <v>1</v>
      </c>
      <c r="AS554" s="158">
        <v>0.05</v>
      </c>
      <c r="AT554" s="141">
        <v>0</v>
      </c>
      <c r="AU554" s="141">
        <v>0</v>
      </c>
      <c r="AV554" s="141">
        <v>0</v>
      </c>
      <c r="AW554" s="141">
        <v>0.037037037037037</v>
      </c>
      <c r="AX554" s="95"/>
      <c r="AY554" s="93"/>
    </row>
    <row r="555" ht="15" spans="1:51">
      <c r="A555" s="91"/>
      <c r="B555" s="95"/>
      <c r="C555" s="152" t="s">
        <v>375</v>
      </c>
      <c r="D555" s="153" t="s">
        <v>25</v>
      </c>
      <c r="E555" s="130" t="s">
        <v>376</v>
      </c>
      <c r="F555" s="154" t="s">
        <v>581</v>
      </c>
      <c r="G555" s="154" t="s">
        <v>581</v>
      </c>
      <c r="H555" s="154" t="s">
        <v>581</v>
      </c>
      <c r="I555" s="154" t="s">
        <v>581</v>
      </c>
      <c r="J555" s="132">
        <v>0.9</v>
      </c>
      <c r="K555" s="133">
        <v>0.986111111111111</v>
      </c>
      <c r="L555" s="133">
        <v>1</v>
      </c>
      <c r="M555" s="134">
        <v>0.980769230769231</v>
      </c>
      <c r="N555" s="133">
        <v>0.982982171799028</v>
      </c>
      <c r="O555" s="135">
        <v>0.9</v>
      </c>
      <c r="P555" s="133">
        <v>0.98702763677383</v>
      </c>
      <c r="Q555" s="133">
        <v>0.989661654135338</v>
      </c>
      <c r="R555" s="133">
        <v>0.967725143154607</v>
      </c>
      <c r="S555" s="133">
        <v>0.976465814566849</v>
      </c>
      <c r="T555" s="135">
        <v>0.9</v>
      </c>
      <c r="U555" s="133">
        <v>0.91765369430344</v>
      </c>
      <c r="V555" s="133">
        <v>0.941729323308271</v>
      </c>
      <c r="W555" s="133">
        <v>0.92660072878709</v>
      </c>
      <c r="X555" s="133">
        <v>0.934408602150538</v>
      </c>
      <c r="Y555" s="135">
        <v>0.92</v>
      </c>
      <c r="Z555" s="135">
        <v>0.952947740375674</v>
      </c>
      <c r="AA555" s="135">
        <v>0.961304347826087</v>
      </c>
      <c r="AB555" s="135">
        <v>0.952918097106425</v>
      </c>
      <c r="AC555" s="135">
        <v>0.964659669644738</v>
      </c>
      <c r="AD555" s="135">
        <v>0.92</v>
      </c>
      <c r="AE555" s="133">
        <v>1</v>
      </c>
      <c r="AF555" s="133">
        <v>0.998389694041868</v>
      </c>
      <c r="AG555" s="133">
        <v>1</v>
      </c>
      <c r="AH555" s="133">
        <v>0.999318893883667</v>
      </c>
      <c r="AI555" s="135">
        <v>0.92</v>
      </c>
      <c r="AJ555" s="133">
        <v>0.958502165711891</v>
      </c>
      <c r="AK555" s="133">
        <v>0.970579494799406</v>
      </c>
      <c r="AL555" s="133">
        <v>0.96668349318526</v>
      </c>
      <c r="AM555" s="133">
        <v>0.972586320819952</v>
      </c>
      <c r="AN555" s="132">
        <v>0.99</v>
      </c>
      <c r="AO555" s="137">
        <v>1</v>
      </c>
      <c r="AP555" s="137">
        <v>1</v>
      </c>
      <c r="AQ555" s="137">
        <v>1</v>
      </c>
      <c r="AR555" s="137">
        <v>1</v>
      </c>
      <c r="AS555" s="158">
        <v>0.05</v>
      </c>
      <c r="AT555" s="141">
        <v>0.142857142857143</v>
      </c>
      <c r="AU555" s="141">
        <v>0</v>
      </c>
      <c r="AV555" s="141">
        <v>0</v>
      </c>
      <c r="AW555" s="141">
        <v>0.051948051948052</v>
      </c>
      <c r="AX555" s="95"/>
      <c r="AY555" s="93"/>
    </row>
    <row r="556" ht="15" spans="1:51">
      <c r="A556" s="91"/>
      <c r="B556" s="95"/>
      <c r="C556" s="152" t="s">
        <v>375</v>
      </c>
      <c r="D556" s="153" t="s">
        <v>25</v>
      </c>
      <c r="E556" s="130" t="s">
        <v>376</v>
      </c>
      <c r="F556" s="154" t="s">
        <v>582</v>
      </c>
      <c r="G556" s="154" t="s">
        <v>582</v>
      </c>
      <c r="H556" s="154" t="s">
        <v>582</v>
      </c>
      <c r="I556" s="154" t="s">
        <v>582</v>
      </c>
      <c r="J556" s="132">
        <v>0.9</v>
      </c>
      <c r="K556" s="133">
        <v>0.818181818181818</v>
      </c>
      <c r="L556" s="133">
        <v>0.853658536585366</v>
      </c>
      <c r="M556" s="134">
        <v>0.810810810810811</v>
      </c>
      <c r="N556" s="133">
        <v>0.864444444444444</v>
      </c>
      <c r="O556" s="135">
        <v>0.9</v>
      </c>
      <c r="P556" s="133">
        <v>0.950906344410876</v>
      </c>
      <c r="Q556" s="133">
        <v>0.947154471544715</v>
      </c>
      <c r="R556" s="133">
        <v>0.829201101928375</v>
      </c>
      <c r="S556" s="133">
        <v>0.935477936949573</v>
      </c>
      <c r="T556" s="135">
        <v>0.9</v>
      </c>
      <c r="U556" s="133">
        <v>0.91012084592145</v>
      </c>
      <c r="V556" s="133">
        <v>0.777777777777778</v>
      </c>
      <c r="W556" s="133">
        <v>0.75</v>
      </c>
      <c r="X556" s="133">
        <v>0.866816896226632</v>
      </c>
      <c r="Y556" s="135">
        <v>0.92</v>
      </c>
      <c r="Z556" s="135">
        <v>0.893943401216609</v>
      </c>
      <c r="AA556" s="135">
        <v>0.866209262435678</v>
      </c>
      <c r="AB556" s="135">
        <v>0.639558924879393</v>
      </c>
      <c r="AC556" s="135">
        <v>0.881410021275035</v>
      </c>
      <c r="AD556" s="135">
        <v>0.92</v>
      </c>
      <c r="AE556" s="133">
        <v>1</v>
      </c>
      <c r="AF556" s="133">
        <v>0.97979797979798</v>
      </c>
      <c r="AG556" s="133">
        <v>0.938775510204082</v>
      </c>
      <c r="AH556" s="133">
        <v>0.95068330362448</v>
      </c>
      <c r="AI556" s="135">
        <v>0.92</v>
      </c>
      <c r="AJ556" s="133">
        <v>0.914431172899941</v>
      </c>
      <c r="AK556" s="133">
        <v>0.891033373542421</v>
      </c>
      <c r="AL556" s="133">
        <v>0.759036144578313</v>
      </c>
      <c r="AM556" s="133">
        <v>0.918980608740842</v>
      </c>
      <c r="AN556" s="132">
        <v>0.99</v>
      </c>
      <c r="AO556" s="137">
        <v>1</v>
      </c>
      <c r="AP556" s="137">
        <v>1</v>
      </c>
      <c r="AQ556" s="137">
        <v>1</v>
      </c>
      <c r="AR556" s="137">
        <v>1</v>
      </c>
      <c r="AS556" s="158">
        <v>0.05</v>
      </c>
      <c r="AT556" s="141">
        <v>0.153846153846154</v>
      </c>
      <c r="AU556" s="141">
        <v>0.333333333333333</v>
      </c>
      <c r="AV556" s="141">
        <v>0.111111111111111</v>
      </c>
      <c r="AW556" s="141">
        <v>0.114478114478114</v>
      </c>
      <c r="AX556" s="95"/>
      <c r="AY556" s="93"/>
    </row>
    <row r="557" ht="15" spans="1:51">
      <c r="A557" s="91"/>
      <c r="B557" s="95"/>
      <c r="C557" s="152" t="s">
        <v>375</v>
      </c>
      <c r="D557" s="153" t="s">
        <v>25</v>
      </c>
      <c r="E557" s="130" t="s">
        <v>376</v>
      </c>
      <c r="F557" s="154" t="s">
        <v>583</v>
      </c>
      <c r="G557" s="154" t="s">
        <v>583</v>
      </c>
      <c r="H557" s="154" t="s">
        <v>583</v>
      </c>
      <c r="I557" s="154" t="s">
        <v>583</v>
      </c>
      <c r="J557" s="132">
        <v>0.9</v>
      </c>
      <c r="K557" s="133">
        <v>0.924050632911392</v>
      </c>
      <c r="L557" s="133">
        <v>0.971428571428571</v>
      </c>
      <c r="M557" s="134">
        <v>0.866666666666667</v>
      </c>
      <c r="N557" s="133">
        <v>0.918276374442793</v>
      </c>
      <c r="O557" s="135">
        <v>0.9</v>
      </c>
      <c r="P557" s="133">
        <v>0.983598154792414</v>
      </c>
      <c r="Q557" s="133">
        <v>0.976992604765818</v>
      </c>
      <c r="R557" s="133">
        <v>0.955029013539652</v>
      </c>
      <c r="S557" s="133">
        <v>0.975460549183177</v>
      </c>
      <c r="T557" s="135">
        <v>0.9</v>
      </c>
      <c r="U557" s="133">
        <v>0.937467965146079</v>
      </c>
      <c r="V557" s="133">
        <v>0.915365653245686</v>
      </c>
      <c r="W557" s="133">
        <v>0.927466150870406</v>
      </c>
      <c r="X557" s="133">
        <v>0.94367396593674</v>
      </c>
      <c r="Y557" s="135">
        <v>0.92</v>
      </c>
      <c r="Z557" s="135">
        <v>0.937715226830364</v>
      </c>
      <c r="AA557" s="135">
        <v>0.954328832406672</v>
      </c>
      <c r="AB557" s="135">
        <v>0.914893617021277</v>
      </c>
      <c r="AC557" s="135">
        <v>0.954882672404959</v>
      </c>
      <c r="AD557" s="135">
        <v>0.92</v>
      </c>
      <c r="AE557" s="133">
        <v>0.99646017699115</v>
      </c>
      <c r="AF557" s="133">
        <v>0.890538033395176</v>
      </c>
      <c r="AG557" s="133">
        <v>0.972972972972973</v>
      </c>
      <c r="AH557" s="133">
        <v>0.983964741185296</v>
      </c>
      <c r="AI557" s="135">
        <v>0.92</v>
      </c>
      <c r="AJ557" s="133">
        <v>0.947301366689831</v>
      </c>
      <c r="AK557" s="133">
        <v>0.963071982873963</v>
      </c>
      <c r="AL557" s="133">
        <v>0.939981317141523</v>
      </c>
      <c r="AM557" s="133">
        <v>0.966533392566267</v>
      </c>
      <c r="AN557" s="132">
        <v>0.99</v>
      </c>
      <c r="AO557" s="137">
        <v>1</v>
      </c>
      <c r="AP557" s="137">
        <v>1</v>
      </c>
      <c r="AQ557" s="137">
        <v>1</v>
      </c>
      <c r="AR557" s="137">
        <v>1</v>
      </c>
      <c r="AS557" s="158">
        <v>0.05</v>
      </c>
      <c r="AT557" s="141">
        <v>0.0416666666666667</v>
      </c>
      <c r="AU557" s="141">
        <v>0.166666666666667</v>
      </c>
      <c r="AV557" s="141">
        <v>0.0714285714285714</v>
      </c>
      <c r="AW557" s="141">
        <v>0.039344262295082</v>
      </c>
      <c r="AX557" s="95"/>
      <c r="AY557" s="93"/>
    </row>
    <row r="558" ht="15" spans="1:51">
      <c r="A558" s="91"/>
      <c r="B558" s="95"/>
      <c r="C558" s="152" t="s">
        <v>375</v>
      </c>
      <c r="D558" s="153" t="s">
        <v>25</v>
      </c>
      <c r="E558" s="130" t="s">
        <v>376</v>
      </c>
      <c r="F558" s="154" t="s">
        <v>584</v>
      </c>
      <c r="G558" s="154" t="s">
        <v>584</v>
      </c>
      <c r="H558" s="154" t="s">
        <v>584</v>
      </c>
      <c r="I558" s="154" t="s">
        <v>584</v>
      </c>
      <c r="J558" s="132">
        <v>0.9</v>
      </c>
      <c r="K558" s="133">
        <v>0.909090909090909</v>
      </c>
      <c r="L558" s="133">
        <v>0.82258064516129</v>
      </c>
      <c r="M558" s="134">
        <v>0.769230769230769</v>
      </c>
      <c r="N558" s="133">
        <v>0.851025869759144</v>
      </c>
      <c r="O558" s="135">
        <v>0.9</v>
      </c>
      <c r="P558" s="133">
        <v>0.949273636580138</v>
      </c>
      <c r="Q558" s="133">
        <v>0.851057906458797</v>
      </c>
      <c r="R558" s="133">
        <v>0.94223602484472</v>
      </c>
      <c r="S558" s="133">
        <v>0.944869231384468</v>
      </c>
      <c r="T558" s="135">
        <v>0.9</v>
      </c>
      <c r="U558" s="133">
        <v>0.864967849487973</v>
      </c>
      <c r="V558" s="133">
        <v>0.85022271714922</v>
      </c>
      <c r="W558" s="133">
        <v>0.878416149068323</v>
      </c>
      <c r="X558" s="133">
        <v>0.882316244101416</v>
      </c>
      <c r="Y558" s="135">
        <v>0.92</v>
      </c>
      <c r="Z558" s="135" t="s">
        <v>35</v>
      </c>
      <c r="AA558" s="135">
        <v>0</v>
      </c>
      <c r="AB558" s="135">
        <v>1</v>
      </c>
      <c r="AC558" s="135">
        <v>0.777777777777778</v>
      </c>
      <c r="AD558" s="135">
        <v>0.92</v>
      </c>
      <c r="AE558" s="133">
        <v>0.998236331569665</v>
      </c>
      <c r="AF558" s="133">
        <v>0.992239467849224</v>
      </c>
      <c r="AG558" s="133">
        <v>1</v>
      </c>
      <c r="AH558" s="133">
        <v>0.992615623785464</v>
      </c>
      <c r="AI558" s="135">
        <v>0.92</v>
      </c>
      <c r="AJ558" s="133">
        <v>0.960228625863301</v>
      </c>
      <c r="AK558" s="133">
        <v>0.972168104647927</v>
      </c>
      <c r="AL558" s="133">
        <v>0.965067536096879</v>
      </c>
      <c r="AM558" s="133">
        <v>0.974152271273193</v>
      </c>
      <c r="AN558" s="132">
        <v>0.99</v>
      </c>
      <c r="AO558" s="137">
        <v>1</v>
      </c>
      <c r="AP558" s="137">
        <v>1</v>
      </c>
      <c r="AQ558" s="137">
        <v>1</v>
      </c>
      <c r="AR558" s="137">
        <v>1</v>
      </c>
      <c r="AS558" s="158">
        <v>0.05</v>
      </c>
      <c r="AT558" s="141">
        <v>0.037037037037037</v>
      </c>
      <c r="AU558" s="141">
        <v>0</v>
      </c>
      <c r="AV558" s="141">
        <v>0.117647058823529</v>
      </c>
      <c r="AW558" s="141">
        <v>0.0519713261648745</v>
      </c>
      <c r="AX558" s="95"/>
      <c r="AY558" s="93"/>
    </row>
    <row r="559" ht="15" spans="1:51">
      <c r="A559" s="91"/>
      <c r="B559" s="95"/>
      <c r="C559" s="152" t="s">
        <v>375</v>
      </c>
      <c r="D559" s="153" t="s">
        <v>25</v>
      </c>
      <c r="E559" s="130" t="s">
        <v>376</v>
      </c>
      <c r="F559" s="154" t="s">
        <v>585</v>
      </c>
      <c r="G559" s="154" t="s">
        <v>585</v>
      </c>
      <c r="H559" s="154" t="s">
        <v>585</v>
      </c>
      <c r="I559" s="154" t="s">
        <v>585</v>
      </c>
      <c r="J559" s="132">
        <v>0.9</v>
      </c>
      <c r="K559" s="133">
        <v>0.978723404255319</v>
      </c>
      <c r="L559" s="133">
        <v>1</v>
      </c>
      <c r="M559" s="134">
        <v>0.947368421052632</v>
      </c>
      <c r="N559" s="133">
        <v>0.981460023174971</v>
      </c>
      <c r="O559" s="135">
        <v>0.9</v>
      </c>
      <c r="P559" s="133">
        <v>0.941611842105263</v>
      </c>
      <c r="Q559" s="133">
        <v>0.922659430122117</v>
      </c>
      <c r="R559" s="133">
        <v>0.865327380952381</v>
      </c>
      <c r="S559" s="133">
        <v>0.936189830508475</v>
      </c>
      <c r="T559" s="135">
        <v>0.9</v>
      </c>
      <c r="U559" s="133">
        <v>0.925986842105263</v>
      </c>
      <c r="V559" s="133">
        <v>0.921302578018996</v>
      </c>
      <c r="W559" s="133">
        <v>0.816964285714286</v>
      </c>
      <c r="X559" s="133">
        <v>0.919349152542373</v>
      </c>
      <c r="Y559" s="135">
        <v>0.92</v>
      </c>
      <c r="Z559" s="135">
        <v>0.95178064922786</v>
      </c>
      <c r="AA559" s="135">
        <v>0.935483870967742</v>
      </c>
      <c r="AB559" s="135">
        <v>0.807439824945295</v>
      </c>
      <c r="AC559" s="135">
        <v>0.935300769866469</v>
      </c>
      <c r="AD559" s="135">
        <v>0.92</v>
      </c>
      <c r="AE559" s="133">
        <v>0.998678996036988</v>
      </c>
      <c r="AF559" s="133">
        <v>0.998523622047244</v>
      </c>
      <c r="AG559" s="133">
        <v>0.997630331753555</v>
      </c>
      <c r="AH559" s="133">
        <v>0.991294293681562</v>
      </c>
      <c r="AI559" s="135">
        <v>0.92</v>
      </c>
      <c r="AJ559" s="133">
        <v>0.958997722095672</v>
      </c>
      <c r="AK559" s="133">
        <v>0.948495897903373</v>
      </c>
      <c r="AL559" s="133">
        <v>0.8548802946593</v>
      </c>
      <c r="AM559" s="133">
        <v>0.953639509507216</v>
      </c>
      <c r="AN559" s="132">
        <v>0.99</v>
      </c>
      <c r="AO559" s="137">
        <v>1</v>
      </c>
      <c r="AP559" s="137">
        <v>1</v>
      </c>
      <c r="AQ559" s="137">
        <v>1</v>
      </c>
      <c r="AR559" s="137">
        <v>1</v>
      </c>
      <c r="AS559" s="158">
        <v>0.05</v>
      </c>
      <c r="AT559" s="141">
        <v>0</v>
      </c>
      <c r="AU559" s="141">
        <v>0</v>
      </c>
      <c r="AV559" s="141">
        <v>0</v>
      </c>
      <c r="AW559" s="141">
        <v>0.0520231213872832</v>
      </c>
      <c r="AX559" s="95"/>
      <c r="AY559" s="93"/>
    </row>
    <row r="560" ht="15" spans="1:51">
      <c r="A560" s="91"/>
      <c r="B560" s="95"/>
      <c r="C560" s="152" t="s">
        <v>375</v>
      </c>
      <c r="D560" s="153" t="s">
        <v>25</v>
      </c>
      <c r="E560" s="130" t="s">
        <v>376</v>
      </c>
      <c r="F560" s="154" t="s">
        <v>586</v>
      </c>
      <c r="G560" s="154" t="s">
        <v>586</v>
      </c>
      <c r="H560" s="154" t="s">
        <v>586</v>
      </c>
      <c r="I560" s="154" t="s">
        <v>586</v>
      </c>
      <c r="J560" s="132">
        <v>0.9</v>
      </c>
      <c r="K560" s="133">
        <v>0.975</v>
      </c>
      <c r="L560" s="133">
        <v>0.945945945945946</v>
      </c>
      <c r="M560" s="134">
        <v>1</v>
      </c>
      <c r="N560" s="133">
        <v>0.96078431372549</v>
      </c>
      <c r="O560" s="135">
        <v>0.9</v>
      </c>
      <c r="P560" s="133">
        <v>0.969061876247505</v>
      </c>
      <c r="Q560" s="133">
        <v>0.955</v>
      </c>
      <c r="R560" s="133">
        <v>0.953557312252964</v>
      </c>
      <c r="S560" s="133">
        <v>0.932707355242567</v>
      </c>
      <c r="T560" s="135">
        <v>0.9</v>
      </c>
      <c r="U560" s="133">
        <v>0.902195608782435</v>
      </c>
      <c r="V560" s="133">
        <v>0.893333333333333</v>
      </c>
      <c r="W560" s="133">
        <v>0.845849802371542</v>
      </c>
      <c r="X560" s="133">
        <v>0.893725992317542</v>
      </c>
      <c r="Y560" s="135">
        <v>0.92</v>
      </c>
      <c r="Z560" s="135">
        <v>0.946254618743702</v>
      </c>
      <c r="AA560" s="135">
        <v>0.914536741214057</v>
      </c>
      <c r="AB560" s="135">
        <v>0.830705394190871</v>
      </c>
      <c r="AC560" s="135">
        <v>0.913755317777491</v>
      </c>
      <c r="AD560" s="135">
        <v>0.92</v>
      </c>
      <c r="AE560" s="133">
        <v>0.997512437810945</v>
      </c>
      <c r="AF560" s="133">
        <v>0.998805256869773</v>
      </c>
      <c r="AG560" s="133">
        <v>0.98068669527897</v>
      </c>
      <c r="AH560" s="133">
        <v>0.987829302110615</v>
      </c>
      <c r="AI560" s="135">
        <v>0.92</v>
      </c>
      <c r="AJ560" s="133">
        <v>0.954762503141493</v>
      </c>
      <c r="AK560" s="133">
        <v>0.93304535637149</v>
      </c>
      <c r="AL560" s="133">
        <v>0.88362652232747</v>
      </c>
      <c r="AM560" s="133">
        <v>0.934901099489762</v>
      </c>
      <c r="AN560" s="132">
        <v>0.99</v>
      </c>
      <c r="AO560" s="137">
        <v>1</v>
      </c>
      <c r="AP560" s="137">
        <v>1</v>
      </c>
      <c r="AQ560" s="137">
        <v>1</v>
      </c>
      <c r="AR560" s="137">
        <v>1</v>
      </c>
      <c r="AS560" s="158">
        <v>0.05</v>
      </c>
      <c r="AT560" s="141">
        <v>0</v>
      </c>
      <c r="AU560" s="141">
        <v>0</v>
      </c>
      <c r="AV560" s="141">
        <v>0</v>
      </c>
      <c r="AW560" s="141">
        <v>0.0186915887850467</v>
      </c>
      <c r="AX560" s="95"/>
      <c r="AY560" s="93"/>
    </row>
    <row r="561" ht="15" spans="1:51">
      <c r="A561" s="91"/>
      <c r="B561" s="95"/>
      <c r="C561" s="152" t="s">
        <v>375</v>
      </c>
      <c r="D561" s="153" t="s">
        <v>25</v>
      </c>
      <c r="E561" s="130" t="s">
        <v>376</v>
      </c>
      <c r="F561" s="154" t="s">
        <v>587</v>
      </c>
      <c r="G561" s="154" t="s">
        <v>587</v>
      </c>
      <c r="H561" s="154" t="s">
        <v>587</v>
      </c>
      <c r="I561" s="154" t="s">
        <v>587</v>
      </c>
      <c r="J561" s="132">
        <v>0.9</v>
      </c>
      <c r="K561" s="133">
        <v>0.923076923076923</v>
      </c>
      <c r="L561" s="133">
        <v>0.914285714285714</v>
      </c>
      <c r="M561" s="134">
        <v>0.928571428571429</v>
      </c>
      <c r="N561" s="133">
        <v>0.932634730538922</v>
      </c>
      <c r="O561" s="135">
        <v>0.9</v>
      </c>
      <c r="P561" s="133">
        <v>0.931668856767411</v>
      </c>
      <c r="Q561" s="133">
        <v>0.888482632541133</v>
      </c>
      <c r="R561" s="133">
        <v>0.83743842364532</v>
      </c>
      <c r="S561" s="133">
        <v>0.930932554702426</v>
      </c>
      <c r="T561" s="135">
        <v>0.9</v>
      </c>
      <c r="U561" s="133">
        <v>0.911957950065703</v>
      </c>
      <c r="V561" s="133">
        <v>0.89945155393053</v>
      </c>
      <c r="W561" s="133">
        <v>0.751724137931034</v>
      </c>
      <c r="X561" s="133">
        <v>0.92480444107999</v>
      </c>
      <c r="Y561" s="135">
        <v>0.92</v>
      </c>
      <c r="Z561" s="135">
        <v>0.904892367906067</v>
      </c>
      <c r="AA561" s="135">
        <v>0.907148726376335</v>
      </c>
      <c r="AB561" s="135">
        <v>0.576656775469832</v>
      </c>
      <c r="AC561" s="135">
        <v>0.905351578376914</v>
      </c>
      <c r="AD561" s="135">
        <v>0.92</v>
      </c>
      <c r="AE561" s="133">
        <v>0.98326359832636</v>
      </c>
      <c r="AF561" s="133">
        <v>0.98961937716263</v>
      </c>
      <c r="AG561" s="133">
        <v>0.990049751243781</v>
      </c>
      <c r="AH561" s="133">
        <v>0.987617421007686</v>
      </c>
      <c r="AI561" s="135">
        <v>0.92</v>
      </c>
      <c r="AJ561" s="133">
        <v>0.921592279855247</v>
      </c>
      <c r="AK561" s="133">
        <v>0.928571428571429</v>
      </c>
      <c r="AL561" s="133">
        <v>0.721756290083868</v>
      </c>
      <c r="AM561" s="133">
        <v>0.931158187722282</v>
      </c>
      <c r="AN561" s="132">
        <v>0.99</v>
      </c>
      <c r="AO561" s="137">
        <v>1</v>
      </c>
      <c r="AP561" s="137">
        <v>1</v>
      </c>
      <c r="AQ561" s="137">
        <v>1</v>
      </c>
      <c r="AR561" s="137">
        <v>1</v>
      </c>
      <c r="AS561" s="158">
        <v>0.05</v>
      </c>
      <c r="AT561" s="141">
        <v>0</v>
      </c>
      <c r="AU561" s="141">
        <v>0.125</v>
      </c>
      <c r="AV561" s="141">
        <v>0</v>
      </c>
      <c r="AW561" s="141">
        <v>0.0327868852459016</v>
      </c>
      <c r="AX561" s="95"/>
      <c r="AY561" s="93"/>
    </row>
    <row r="562" ht="15" spans="1:51">
      <c r="A562" s="91"/>
      <c r="B562" s="95"/>
      <c r="C562" s="152" t="s">
        <v>375</v>
      </c>
      <c r="D562" s="153" t="s">
        <v>25</v>
      </c>
      <c r="E562" s="130" t="s">
        <v>376</v>
      </c>
      <c r="F562" s="154" t="s">
        <v>588</v>
      </c>
      <c r="G562" s="154" t="s">
        <v>588</v>
      </c>
      <c r="H562" s="154" t="s">
        <v>588</v>
      </c>
      <c r="I562" s="154" t="s">
        <v>588</v>
      </c>
      <c r="J562" s="132">
        <v>0.9</v>
      </c>
      <c r="K562" s="133">
        <v>1</v>
      </c>
      <c r="L562" s="133">
        <v>1</v>
      </c>
      <c r="M562" s="134">
        <v>1</v>
      </c>
      <c r="N562" s="133">
        <v>0.987080103359173</v>
      </c>
      <c r="O562" s="135">
        <v>0.9</v>
      </c>
      <c r="P562" s="133">
        <v>0.960069444444444</v>
      </c>
      <c r="Q562" s="133">
        <v>0.965408805031447</v>
      </c>
      <c r="R562" s="133">
        <v>0.852897473997028</v>
      </c>
      <c r="S562" s="133">
        <v>0.933042812555209</v>
      </c>
      <c r="T562" s="135">
        <v>0.9</v>
      </c>
      <c r="U562" s="133">
        <v>0.916666666666667</v>
      </c>
      <c r="V562" s="133">
        <v>0.946540880503145</v>
      </c>
      <c r="W562" s="133">
        <v>0.838038632986627</v>
      </c>
      <c r="X562" s="133">
        <v>0.924739414639892</v>
      </c>
      <c r="Y562" s="135">
        <v>0.92</v>
      </c>
      <c r="Z562" s="135">
        <v>0.947539210383991</v>
      </c>
      <c r="AA562" s="135">
        <v>0.881101376720901</v>
      </c>
      <c r="AB562" s="135">
        <v>0.918256130790191</v>
      </c>
      <c r="AC562" s="135">
        <v>0.950865991486863</v>
      </c>
      <c r="AD562" s="135">
        <v>0.92</v>
      </c>
      <c r="AE562" s="133">
        <v>1</v>
      </c>
      <c r="AF562" s="133">
        <v>0.900943396226415</v>
      </c>
      <c r="AG562" s="133">
        <v>0.993079584775087</v>
      </c>
      <c r="AH562" s="133">
        <v>0.977922379735069</v>
      </c>
      <c r="AI562" s="135">
        <v>0.92</v>
      </c>
      <c r="AJ562" s="133">
        <v>0.954226804123711</v>
      </c>
      <c r="AK562" s="133">
        <v>0.903312444046553</v>
      </c>
      <c r="AL562" s="133">
        <v>0.931107954545455</v>
      </c>
      <c r="AM562" s="133">
        <v>0.962364741229358</v>
      </c>
      <c r="AN562" s="132">
        <v>0.99</v>
      </c>
      <c r="AO562" s="137">
        <v>1</v>
      </c>
      <c r="AP562" s="137">
        <v>1</v>
      </c>
      <c r="AQ562" s="137">
        <v>1</v>
      </c>
      <c r="AR562" s="137">
        <v>1</v>
      </c>
      <c r="AS562" s="158">
        <v>0.05</v>
      </c>
      <c r="AT562" s="141">
        <v>0</v>
      </c>
      <c r="AU562" s="141">
        <v>0</v>
      </c>
      <c r="AV562" s="141">
        <v>0</v>
      </c>
      <c r="AW562" s="141">
        <v>0.043010752688172</v>
      </c>
      <c r="AX562" s="95"/>
      <c r="AY562" s="93"/>
    </row>
    <row r="563" ht="15" spans="1:51">
      <c r="A563" s="91"/>
      <c r="B563" s="95"/>
      <c r="C563" s="152" t="s">
        <v>375</v>
      </c>
      <c r="D563" s="153" t="s">
        <v>25</v>
      </c>
      <c r="E563" s="130" t="s">
        <v>376</v>
      </c>
      <c r="F563" s="154" t="s">
        <v>589</v>
      </c>
      <c r="G563" s="154" t="s">
        <v>589</v>
      </c>
      <c r="H563" s="154" t="s">
        <v>589</v>
      </c>
      <c r="I563" s="154" t="s">
        <v>589</v>
      </c>
      <c r="J563" s="132">
        <v>0.9</v>
      </c>
      <c r="K563" s="133">
        <v>0.988888888888889</v>
      </c>
      <c r="L563" s="133">
        <v>0.917808219178082</v>
      </c>
      <c r="M563" s="134">
        <v>0.942028985507246</v>
      </c>
      <c r="N563" s="133">
        <v>0.944730077120823</v>
      </c>
      <c r="O563" s="135">
        <v>0.9</v>
      </c>
      <c r="P563" s="133">
        <v>0.984324573536192</v>
      </c>
      <c r="Q563" s="133">
        <v>0.974652493867539</v>
      </c>
      <c r="R563" s="133">
        <v>0.959654178674352</v>
      </c>
      <c r="S563" s="133">
        <v>0.975629899216125</v>
      </c>
      <c r="T563" s="135">
        <v>0.9</v>
      </c>
      <c r="U563" s="133">
        <v>0.944213923467035</v>
      </c>
      <c r="V563" s="133">
        <v>0.922322158626329</v>
      </c>
      <c r="W563" s="133">
        <v>0.931659118979004</v>
      </c>
      <c r="X563" s="133">
        <v>0.935358342665174</v>
      </c>
      <c r="Y563" s="135">
        <v>0.92</v>
      </c>
      <c r="Z563" s="135">
        <v>0.979834868212131</v>
      </c>
      <c r="AA563" s="135">
        <v>0.973823841528122</v>
      </c>
      <c r="AB563" s="135">
        <v>0.954348681621409</v>
      </c>
      <c r="AC563" s="135">
        <v>0.971260466168816</v>
      </c>
      <c r="AD563" s="135">
        <v>0.92</v>
      </c>
      <c r="AE563" s="133">
        <v>0.998102466793169</v>
      </c>
      <c r="AF563" s="133">
        <v>0.998701298701299</v>
      </c>
      <c r="AG563" s="133">
        <v>0.997326203208556</v>
      </c>
      <c r="AH563" s="133">
        <v>0.998839614550225</v>
      </c>
      <c r="AI563" s="135">
        <v>0.92</v>
      </c>
      <c r="AJ563" s="133">
        <v>0.983945224884901</v>
      </c>
      <c r="AK563" s="133">
        <v>0.976543209876543</v>
      </c>
      <c r="AL563" s="133">
        <v>0.970434432823813</v>
      </c>
      <c r="AM563" s="133">
        <v>0.980351602895553</v>
      </c>
      <c r="AN563" s="132">
        <v>0.99</v>
      </c>
      <c r="AO563" s="137">
        <v>1</v>
      </c>
      <c r="AP563" s="137">
        <v>1</v>
      </c>
      <c r="AQ563" s="137">
        <v>1</v>
      </c>
      <c r="AR563" s="137">
        <v>1</v>
      </c>
      <c r="AS563" s="158">
        <v>0.05</v>
      </c>
      <c r="AT563" s="141">
        <v>0.16</v>
      </c>
      <c r="AU563" s="141">
        <v>0.0769230769230769</v>
      </c>
      <c r="AV563" s="141">
        <v>0.25</v>
      </c>
      <c r="AW563" s="141">
        <v>0.0629370629370629</v>
      </c>
      <c r="AX563" s="95"/>
      <c r="AY563" s="93"/>
    </row>
    <row r="564" ht="15" spans="1:51">
      <c r="A564" s="91"/>
      <c r="B564" s="95"/>
      <c r="C564" s="152" t="s">
        <v>375</v>
      </c>
      <c r="D564" s="153" t="s">
        <v>25</v>
      </c>
      <c r="E564" s="130" t="s">
        <v>376</v>
      </c>
      <c r="F564" s="154" t="s">
        <v>590</v>
      </c>
      <c r="G564" s="154" t="s">
        <v>590</v>
      </c>
      <c r="H564" s="154" t="s">
        <v>590</v>
      </c>
      <c r="I564" s="154" t="s">
        <v>590</v>
      </c>
      <c r="J564" s="132">
        <v>0.9</v>
      </c>
      <c r="K564" s="133">
        <v>0.959459459459459</v>
      </c>
      <c r="L564" s="133">
        <v>0.936507936507937</v>
      </c>
      <c r="M564" s="134">
        <v>0.944444444444444</v>
      </c>
      <c r="N564" s="133">
        <v>0.959901800327332</v>
      </c>
      <c r="O564" s="135">
        <v>0.9</v>
      </c>
      <c r="P564" s="133">
        <v>0.956101843722564</v>
      </c>
      <c r="Q564" s="133">
        <v>0.956460674157303</v>
      </c>
      <c r="R564" s="133">
        <v>0.9375</v>
      </c>
      <c r="S564" s="133">
        <v>0.960110979714364</v>
      </c>
      <c r="T564" s="135">
        <v>0.9</v>
      </c>
      <c r="U564" s="133">
        <v>0.929762949956102</v>
      </c>
      <c r="V564" s="133">
        <v>0.901685393258427</v>
      </c>
      <c r="W564" s="133">
        <v>0.840494791666667</v>
      </c>
      <c r="X564" s="133">
        <v>0.946693350313836</v>
      </c>
      <c r="Y564" s="135">
        <v>0.92</v>
      </c>
      <c r="Z564" s="135">
        <v>0.957014542343884</v>
      </c>
      <c r="AA564" s="135">
        <v>0.956032719836401</v>
      </c>
      <c r="AB564" s="135">
        <v>0.923032069970846</v>
      </c>
      <c r="AC564" s="135">
        <v>0.960498139570203</v>
      </c>
      <c r="AD564" s="135">
        <v>0.92</v>
      </c>
      <c r="AE564" s="133">
        <v>0.993362831858407</v>
      </c>
      <c r="AF564" s="133">
        <v>0.990476190476191</v>
      </c>
      <c r="AG564" s="133">
        <v>0.977653631284916</v>
      </c>
      <c r="AH564" s="133">
        <v>0.970035551041138</v>
      </c>
      <c r="AI564" s="135">
        <v>0.92</v>
      </c>
      <c r="AJ564" s="133">
        <v>0.96252363761389</v>
      </c>
      <c r="AK564" s="133">
        <v>0.962143928035982</v>
      </c>
      <c r="AL564" s="133">
        <v>0.945555213780375</v>
      </c>
      <c r="AM564" s="133">
        <v>0.971446255791304</v>
      </c>
      <c r="AN564" s="132">
        <v>0.99</v>
      </c>
      <c r="AO564" s="137">
        <v>1</v>
      </c>
      <c r="AP564" s="137">
        <v>1</v>
      </c>
      <c r="AQ564" s="137">
        <v>1</v>
      </c>
      <c r="AR564" s="137">
        <v>1</v>
      </c>
      <c r="AS564" s="158">
        <v>0.05</v>
      </c>
      <c r="AT564" s="141">
        <v>0</v>
      </c>
      <c r="AU564" s="141">
        <v>0.333333333333333</v>
      </c>
      <c r="AV564" s="141">
        <v>0</v>
      </c>
      <c r="AW564" s="141">
        <v>0.0510204081632653</v>
      </c>
      <c r="AX564" s="95"/>
      <c r="AY564" s="93"/>
    </row>
    <row r="565" ht="15" spans="1:51">
      <c r="A565" s="91"/>
      <c r="B565" s="95"/>
      <c r="C565" s="152" t="s">
        <v>375</v>
      </c>
      <c r="D565" s="153" t="s">
        <v>25</v>
      </c>
      <c r="E565" s="130" t="s">
        <v>376</v>
      </c>
      <c r="F565" s="154" t="s">
        <v>591</v>
      </c>
      <c r="G565" s="154" t="s">
        <v>591</v>
      </c>
      <c r="H565" s="154" t="s">
        <v>591</v>
      </c>
      <c r="I565" s="154" t="s">
        <v>591</v>
      </c>
      <c r="J565" s="132">
        <v>0.9</v>
      </c>
      <c r="K565" s="133">
        <v>0.964285714285714</v>
      </c>
      <c r="L565" s="133">
        <v>0.8</v>
      </c>
      <c r="M565" s="134">
        <v>0.956521739130435</v>
      </c>
      <c r="N565" s="133">
        <v>0.943137254901961</v>
      </c>
      <c r="O565" s="135">
        <v>0.9</v>
      </c>
      <c r="P565" s="133">
        <v>0.915233415233415</v>
      </c>
      <c r="Q565" s="133">
        <v>0.951219512195122</v>
      </c>
      <c r="R565" s="133">
        <v>0.848704663212435</v>
      </c>
      <c r="S565" s="133">
        <v>0.951523237714032</v>
      </c>
      <c r="T565" s="135">
        <v>0.9</v>
      </c>
      <c r="U565" s="133">
        <v>0.889434889434889</v>
      </c>
      <c r="V565" s="133">
        <v>0.930894308943089</v>
      </c>
      <c r="W565" s="133">
        <v>0.83419689119171</v>
      </c>
      <c r="X565" s="133">
        <v>0.930731598843674</v>
      </c>
      <c r="Y565" s="135">
        <v>0.92</v>
      </c>
      <c r="Z565" s="135">
        <v>0.866009852216749</v>
      </c>
      <c r="AA565" s="135">
        <v>0.874</v>
      </c>
      <c r="AB565" s="135">
        <v>0.725165562913907</v>
      </c>
      <c r="AC565" s="135">
        <v>0.880892863429919</v>
      </c>
      <c r="AD565" s="135">
        <v>0.92</v>
      </c>
      <c r="AE565" s="133">
        <v>0.988304093567251</v>
      </c>
      <c r="AF565" s="133">
        <v>0.990530303030303</v>
      </c>
      <c r="AG565" s="133">
        <v>0.982905982905983</v>
      </c>
      <c r="AH565" s="133">
        <v>0.990186592950933</v>
      </c>
      <c r="AI565" s="135">
        <v>0.92</v>
      </c>
      <c r="AJ565" s="133">
        <v>0.889240506329114</v>
      </c>
      <c r="AK565" s="133">
        <v>0.910187667560322</v>
      </c>
      <c r="AL565" s="133">
        <v>0.845002672367718</v>
      </c>
      <c r="AM565" s="133">
        <v>0.928974557781424</v>
      </c>
      <c r="AN565" s="132">
        <v>0.99</v>
      </c>
      <c r="AO565" s="137">
        <v>1</v>
      </c>
      <c r="AP565" s="137">
        <v>1</v>
      </c>
      <c r="AQ565" s="137">
        <v>1</v>
      </c>
      <c r="AR565" s="137">
        <v>1</v>
      </c>
      <c r="AS565" s="158">
        <v>0.05</v>
      </c>
      <c r="AT565" s="141">
        <v>0</v>
      </c>
      <c r="AU565" s="141">
        <v>0</v>
      </c>
      <c r="AV565" s="141">
        <v>0.666666666666667</v>
      </c>
      <c r="AW565" s="141">
        <v>0.101010101010101</v>
      </c>
      <c r="AX565" s="95"/>
      <c r="AY565" s="93"/>
    </row>
    <row r="566" ht="15" spans="1:51">
      <c r="A566" s="91"/>
      <c r="B566" s="95"/>
      <c r="C566" s="152" t="s">
        <v>375</v>
      </c>
      <c r="D566" s="153" t="s">
        <v>25</v>
      </c>
      <c r="E566" s="130" t="s">
        <v>376</v>
      </c>
      <c r="F566" s="154" t="s">
        <v>592</v>
      </c>
      <c r="G566" s="154" t="s">
        <v>592</v>
      </c>
      <c r="H566" s="154" t="s">
        <v>592</v>
      </c>
      <c r="I566" s="154" t="s">
        <v>592</v>
      </c>
      <c r="J566" s="132">
        <v>0.9</v>
      </c>
      <c r="K566" s="133">
        <v>0.955555555555556</v>
      </c>
      <c r="L566" s="133">
        <v>0.944444444444444</v>
      </c>
      <c r="M566" s="134">
        <v>0.861111111111111</v>
      </c>
      <c r="N566" s="133">
        <v>0.947164948453608</v>
      </c>
      <c r="O566" s="135">
        <v>0.9</v>
      </c>
      <c r="P566" s="133">
        <v>0.911002102312544</v>
      </c>
      <c r="Q566" s="133">
        <v>0.932432432432432</v>
      </c>
      <c r="R566" s="133">
        <v>0.894479385045423</v>
      </c>
      <c r="S566" s="133">
        <v>0.923750320132244</v>
      </c>
      <c r="T566" s="135">
        <v>0.9</v>
      </c>
      <c r="U566" s="133">
        <v>0.95374912403644</v>
      </c>
      <c r="V566" s="133">
        <v>0.957002457002457</v>
      </c>
      <c r="W566" s="133">
        <v>0.950384346610762</v>
      </c>
      <c r="X566" s="133">
        <v>0.956229191404158</v>
      </c>
      <c r="Y566" s="135">
        <v>0.92</v>
      </c>
      <c r="Z566" s="135">
        <v>0.958376963350785</v>
      </c>
      <c r="AA566" s="135">
        <v>0.964571428571429</v>
      </c>
      <c r="AB566" s="135">
        <v>0.94185303514377</v>
      </c>
      <c r="AC566" s="135">
        <v>0.961279004575624</v>
      </c>
      <c r="AD566" s="135">
        <v>0.92</v>
      </c>
      <c r="AE566" s="133">
        <v>0.998909090909091</v>
      </c>
      <c r="AF566" s="133">
        <v>0.999637418419144</v>
      </c>
      <c r="AG566" s="133">
        <v>1</v>
      </c>
      <c r="AH566" s="133">
        <v>0.997297670473598</v>
      </c>
      <c r="AI566" s="135">
        <v>0.92</v>
      </c>
      <c r="AJ566" s="133">
        <v>0.966463414634146</v>
      </c>
      <c r="AK566" s="133">
        <v>0.972698907956318</v>
      </c>
      <c r="AL566" s="133">
        <v>0.964666666666667</v>
      </c>
      <c r="AM566" s="133">
        <v>0.973408205409914</v>
      </c>
      <c r="AN566" s="132">
        <v>0.99</v>
      </c>
      <c r="AO566" s="137">
        <v>1</v>
      </c>
      <c r="AP566" s="137">
        <v>1</v>
      </c>
      <c r="AQ566" s="137">
        <v>1</v>
      </c>
      <c r="AR566" s="137">
        <v>1</v>
      </c>
      <c r="AS566" s="158">
        <v>0.05</v>
      </c>
      <c r="AT566" s="141">
        <v>0.111111111111111</v>
      </c>
      <c r="AU566" s="141">
        <v>0.111111111111111</v>
      </c>
      <c r="AV566" s="141">
        <v>0</v>
      </c>
      <c r="AW566" s="141">
        <v>0.0454545454545455</v>
      </c>
      <c r="AX566" s="95"/>
      <c r="AY566" s="93"/>
    </row>
    <row r="567" ht="15" spans="1:51">
      <c r="A567" s="91"/>
      <c r="B567" s="95"/>
      <c r="C567" s="152" t="s">
        <v>375</v>
      </c>
      <c r="D567" s="153" t="s">
        <v>25</v>
      </c>
      <c r="E567" s="130" t="s">
        <v>376</v>
      </c>
      <c r="F567" s="154" t="s">
        <v>593</v>
      </c>
      <c r="G567" s="154" t="s">
        <v>593</v>
      </c>
      <c r="H567" s="154" t="s">
        <v>593</v>
      </c>
      <c r="I567" s="154" t="s">
        <v>593</v>
      </c>
      <c r="J567" s="132">
        <v>0.9</v>
      </c>
      <c r="K567" s="133">
        <v>0.979591836734694</v>
      </c>
      <c r="L567" s="133">
        <v>0.979591836734694</v>
      </c>
      <c r="M567" s="134">
        <v>0.857142857142857</v>
      </c>
      <c r="N567" s="133">
        <v>0.937070938215103</v>
      </c>
      <c r="O567" s="135">
        <v>0.9</v>
      </c>
      <c r="P567" s="133">
        <v>0.838926174496644</v>
      </c>
      <c r="Q567" s="133">
        <v>0.835078534031414</v>
      </c>
      <c r="R567" s="133">
        <v>0.823114869626497</v>
      </c>
      <c r="S567" s="133">
        <v>0.859256128486898</v>
      </c>
      <c r="T567" s="135">
        <v>0.9</v>
      </c>
      <c r="U567" s="133">
        <v>0.850111856823266</v>
      </c>
      <c r="V567" s="133">
        <v>0.840314136125654</v>
      </c>
      <c r="W567" s="133">
        <v>0.839323467230444</v>
      </c>
      <c r="X567" s="133">
        <v>0.869082840236686</v>
      </c>
      <c r="Y567" s="135">
        <v>0.92</v>
      </c>
      <c r="Z567" s="135">
        <v>0.890182648401826</v>
      </c>
      <c r="AA567" s="135">
        <v>0.942824471126358</v>
      </c>
      <c r="AB567" s="135">
        <v>0.789813023855577</v>
      </c>
      <c r="AC567" s="135">
        <v>0.905333024619897</v>
      </c>
      <c r="AD567" s="135">
        <v>0.92</v>
      </c>
      <c r="AE567" s="133">
        <v>1</v>
      </c>
      <c r="AF567" s="133">
        <v>0.998181818181818</v>
      </c>
      <c r="AG567" s="133">
        <v>0.996753246753247</v>
      </c>
      <c r="AH567" s="133">
        <v>0.995763666681689</v>
      </c>
      <c r="AI567" s="135">
        <v>0.92</v>
      </c>
      <c r="AJ567" s="133">
        <v>0.91018696487856</v>
      </c>
      <c r="AK567" s="133">
        <v>0.950278440731901</v>
      </c>
      <c r="AL567" s="133">
        <v>0.863483523873571</v>
      </c>
      <c r="AM567" s="133">
        <v>0.931570595508134</v>
      </c>
      <c r="AN567" s="132">
        <v>0.99</v>
      </c>
      <c r="AO567" s="137">
        <v>1</v>
      </c>
      <c r="AP567" s="137">
        <v>1</v>
      </c>
      <c r="AQ567" s="137">
        <v>1</v>
      </c>
      <c r="AR567" s="137">
        <v>1</v>
      </c>
      <c r="AS567" s="158">
        <v>0.05</v>
      </c>
      <c r="AT567" s="141">
        <v>0</v>
      </c>
      <c r="AU567" s="141">
        <v>0.214285714285714</v>
      </c>
      <c r="AV567" s="141">
        <v>0.166666666666667</v>
      </c>
      <c r="AW567" s="141">
        <v>0.0334261838440111</v>
      </c>
      <c r="AX567" s="95"/>
      <c r="AY567" s="93"/>
    </row>
    <row r="568" ht="15" spans="1:51">
      <c r="A568" s="91"/>
      <c r="B568" s="95"/>
      <c r="C568" s="152" t="s">
        <v>375</v>
      </c>
      <c r="D568" s="153" t="s">
        <v>25</v>
      </c>
      <c r="E568" s="130" t="s">
        <v>376</v>
      </c>
      <c r="F568" s="154" t="s">
        <v>594</v>
      </c>
      <c r="G568" s="154" t="s">
        <v>594</v>
      </c>
      <c r="H568" s="154" t="s">
        <v>594</v>
      </c>
      <c r="I568" s="154" t="s">
        <v>594</v>
      </c>
      <c r="J568" s="132">
        <v>0.9</v>
      </c>
      <c r="K568" s="133">
        <v>0.934210526315789</v>
      </c>
      <c r="L568" s="133">
        <v>0.927536231884058</v>
      </c>
      <c r="M568" s="134">
        <v>0.9</v>
      </c>
      <c r="N568" s="133">
        <v>0.916546762589928</v>
      </c>
      <c r="O568" s="135">
        <v>0.9</v>
      </c>
      <c r="P568" s="133">
        <v>0.813250333481547</v>
      </c>
      <c r="Q568" s="133">
        <v>0.822452229299363</v>
      </c>
      <c r="R568" s="133">
        <v>0.856161245991754</v>
      </c>
      <c r="S568" s="133">
        <v>0.915220692361502</v>
      </c>
      <c r="T568" s="135">
        <v>0.9</v>
      </c>
      <c r="U568" s="133">
        <v>0.89239662072032</v>
      </c>
      <c r="V568" s="133">
        <v>0.859076433121019</v>
      </c>
      <c r="W568" s="133">
        <v>0.852038479157123</v>
      </c>
      <c r="X568" s="133">
        <v>0.890344815819556</v>
      </c>
      <c r="Y568" s="135">
        <v>0.92</v>
      </c>
      <c r="Z568" s="135">
        <v>0.926513634262825</v>
      </c>
      <c r="AA568" s="135">
        <v>0.937382827146607</v>
      </c>
      <c r="AB568" s="135">
        <v>0.923076923076923</v>
      </c>
      <c r="AC568" s="135">
        <v>0.949905551862053</v>
      </c>
      <c r="AD568" s="135">
        <v>0.92</v>
      </c>
      <c r="AE568" s="133">
        <v>0.994749021003916</v>
      </c>
      <c r="AF568" s="133">
        <v>0.928648919302345</v>
      </c>
      <c r="AG568" s="133">
        <v>0.996972519795063</v>
      </c>
      <c r="AH568" s="133">
        <v>0.968431727947523</v>
      </c>
      <c r="AI568" s="135">
        <v>0.92</v>
      </c>
      <c r="AJ568" s="133">
        <v>0.939193050634358</v>
      </c>
      <c r="AK568" s="133">
        <v>0.947288006111536</v>
      </c>
      <c r="AL568" s="133">
        <v>0.935290336404543</v>
      </c>
      <c r="AM568" s="133">
        <v>0.960885925964506</v>
      </c>
      <c r="AN568" s="132">
        <v>0.99</v>
      </c>
      <c r="AO568" s="137">
        <v>1</v>
      </c>
      <c r="AP568" s="137">
        <v>1</v>
      </c>
      <c r="AQ568" s="137">
        <v>1</v>
      </c>
      <c r="AR568" s="137">
        <v>1</v>
      </c>
      <c r="AS568" s="158">
        <v>0.05</v>
      </c>
      <c r="AT568" s="141">
        <v>0.137931034482759</v>
      </c>
      <c r="AU568" s="141">
        <v>0</v>
      </c>
      <c r="AV568" s="141">
        <v>0.1</v>
      </c>
      <c r="AW568" s="141">
        <v>0.0571428571428571</v>
      </c>
      <c r="AX568" s="95"/>
      <c r="AY568" s="93"/>
    </row>
    <row r="569" ht="15" spans="1:51">
      <c r="A569" s="91"/>
      <c r="B569" s="95"/>
      <c r="C569" s="152" t="s">
        <v>375</v>
      </c>
      <c r="D569" s="153" t="s">
        <v>25</v>
      </c>
      <c r="E569" s="130" t="s">
        <v>376</v>
      </c>
      <c r="F569" s="154" t="s">
        <v>595</v>
      </c>
      <c r="G569" s="154" t="s">
        <v>595</v>
      </c>
      <c r="H569" s="154" t="s">
        <v>595</v>
      </c>
      <c r="I569" s="154" t="s">
        <v>595</v>
      </c>
      <c r="J569" s="132">
        <v>0.9</v>
      </c>
      <c r="K569" s="133">
        <v>1</v>
      </c>
      <c r="L569" s="133">
        <v>0.976190476190476</v>
      </c>
      <c r="M569" s="134">
        <v>0.911764705882353</v>
      </c>
      <c r="N569" s="133">
        <v>0.950182260024301</v>
      </c>
      <c r="O569" s="135">
        <v>0.9</v>
      </c>
      <c r="P569" s="133">
        <v>0.951907131011609</v>
      </c>
      <c r="Q569" s="133">
        <v>0.941624365482233</v>
      </c>
      <c r="R569" s="133">
        <v>0.924</v>
      </c>
      <c r="S569" s="133">
        <v>0.954473150128901</v>
      </c>
      <c r="T569" s="135">
        <v>0.9</v>
      </c>
      <c r="U569" s="133">
        <v>0.914593698175788</v>
      </c>
      <c r="V569" s="133">
        <v>0.888324873096447</v>
      </c>
      <c r="W569" s="133">
        <v>0.8704</v>
      </c>
      <c r="X569" s="133">
        <v>0.914074927321595</v>
      </c>
      <c r="Y569" s="135">
        <v>0.92</v>
      </c>
      <c r="Z569" s="135">
        <v>0.942453060229212</v>
      </c>
      <c r="AA569" s="135">
        <v>0.949644932214332</v>
      </c>
      <c r="AB569" s="135">
        <v>0.914405010438413</v>
      </c>
      <c r="AC569" s="135">
        <v>0.952696625470535</v>
      </c>
      <c r="AD569" s="135">
        <v>0.92</v>
      </c>
      <c r="AE569" s="133">
        <v>0.97661233167966</v>
      </c>
      <c r="AF569" s="133">
        <v>0.828877005347594</v>
      </c>
      <c r="AG569" s="133">
        <v>0.932291666666667</v>
      </c>
      <c r="AH569" s="133">
        <v>0.982073397598512</v>
      </c>
      <c r="AI569" s="135">
        <v>0.92</v>
      </c>
      <c r="AJ569" s="133">
        <v>0.951063429324299</v>
      </c>
      <c r="AK569" s="133">
        <v>0.957210098416774</v>
      </c>
      <c r="AL569" s="133">
        <v>0.932316846411305</v>
      </c>
      <c r="AM569" s="133">
        <v>0.964246908470016</v>
      </c>
      <c r="AN569" s="132">
        <v>0.99</v>
      </c>
      <c r="AO569" s="137">
        <v>1</v>
      </c>
      <c r="AP569" s="137">
        <v>1</v>
      </c>
      <c r="AQ569" s="137">
        <v>1</v>
      </c>
      <c r="AR569" s="137">
        <v>1</v>
      </c>
      <c r="AS569" s="158">
        <v>0.05</v>
      </c>
      <c r="AT569" s="141">
        <v>0.0769230769230769</v>
      </c>
      <c r="AU569" s="141">
        <v>0.2</v>
      </c>
      <c r="AV569" s="141">
        <v>0</v>
      </c>
      <c r="AW569" s="141">
        <v>0.0852941176470588</v>
      </c>
      <c r="AX569" s="95"/>
      <c r="AY569" s="93"/>
    </row>
    <row r="570" ht="15" spans="1:51">
      <c r="A570" s="91"/>
      <c r="B570" s="95"/>
      <c r="C570" s="152" t="s">
        <v>375</v>
      </c>
      <c r="D570" s="153" t="s">
        <v>25</v>
      </c>
      <c r="E570" s="130" t="s">
        <v>376</v>
      </c>
      <c r="F570" s="154" t="s">
        <v>596</v>
      </c>
      <c r="G570" s="154" t="s">
        <v>596</v>
      </c>
      <c r="H570" s="154" t="s">
        <v>596</v>
      </c>
      <c r="I570" s="154" t="s">
        <v>596</v>
      </c>
      <c r="J570" s="132">
        <v>0.9</v>
      </c>
      <c r="K570" s="133">
        <v>0.75</v>
      </c>
      <c r="L570" s="133">
        <v>0.947368421052632</v>
      </c>
      <c r="M570" s="134">
        <v>0.894736842105263</v>
      </c>
      <c r="N570" s="133">
        <v>0.925414364640884</v>
      </c>
      <c r="O570" s="135">
        <v>0.9</v>
      </c>
      <c r="P570" s="133">
        <v>0.982276119402985</v>
      </c>
      <c r="Q570" s="133">
        <v>0.978723404255319</v>
      </c>
      <c r="R570" s="133">
        <v>0.963663514186162</v>
      </c>
      <c r="S570" s="133">
        <v>0.960931527792945</v>
      </c>
      <c r="T570" s="135">
        <v>0.9</v>
      </c>
      <c r="U570" s="133">
        <v>0.950559701492537</v>
      </c>
      <c r="V570" s="133">
        <v>0.936170212765957</v>
      </c>
      <c r="W570" s="133">
        <v>0.896963663514186</v>
      </c>
      <c r="X570" s="133">
        <v>0.929807797313531</v>
      </c>
      <c r="Y570" s="135">
        <v>0.92</v>
      </c>
      <c r="Z570" s="135">
        <v>0</v>
      </c>
      <c r="AA570" s="135" t="s">
        <v>35</v>
      </c>
      <c r="AB570" s="135" t="s">
        <v>35</v>
      </c>
      <c r="AC570" s="135">
        <v>0.333333333333333</v>
      </c>
      <c r="AD570" s="135">
        <v>0.92</v>
      </c>
      <c r="AE570" s="133">
        <v>1</v>
      </c>
      <c r="AF570" s="133">
        <v>1</v>
      </c>
      <c r="AG570" s="133">
        <v>0.971428571428571</v>
      </c>
      <c r="AH570" s="133">
        <v>0.940540540540541</v>
      </c>
      <c r="AI570" s="135">
        <v>0.92</v>
      </c>
      <c r="AJ570" s="133">
        <v>0.98695246971109</v>
      </c>
      <c r="AK570" s="133">
        <v>0.976510067114094</v>
      </c>
      <c r="AL570" s="133">
        <v>0.976605276256844</v>
      </c>
      <c r="AM570" s="133">
        <v>0.979035868319048</v>
      </c>
      <c r="AN570" s="132">
        <v>0.99</v>
      </c>
      <c r="AO570" s="137">
        <v>1</v>
      </c>
      <c r="AP570" s="137">
        <v>1</v>
      </c>
      <c r="AQ570" s="137">
        <v>1</v>
      </c>
      <c r="AR570" s="137">
        <v>1</v>
      </c>
      <c r="AS570" s="158">
        <v>0.05</v>
      </c>
      <c r="AT570" s="141">
        <v>0</v>
      </c>
      <c r="AU570" s="141">
        <v>0</v>
      </c>
      <c r="AV570" s="141">
        <v>0</v>
      </c>
      <c r="AW570" s="141">
        <v>0.0588235294117647</v>
      </c>
      <c r="AX570" s="95"/>
      <c r="AY570" s="93"/>
    </row>
    <row r="571" ht="15" spans="1:51">
      <c r="A571" s="91"/>
      <c r="B571" s="95"/>
      <c r="C571" s="152" t="s">
        <v>375</v>
      </c>
      <c r="D571" s="153" t="s">
        <v>25</v>
      </c>
      <c r="E571" s="130" t="s">
        <v>376</v>
      </c>
      <c r="F571" s="154" t="s">
        <v>597</v>
      </c>
      <c r="G571" s="154" t="s">
        <v>597</v>
      </c>
      <c r="H571" s="154" t="s">
        <v>597</v>
      </c>
      <c r="I571" s="154" t="s">
        <v>597</v>
      </c>
      <c r="J571" s="132">
        <v>0.9</v>
      </c>
      <c r="K571" s="133">
        <v>0.87037037037037</v>
      </c>
      <c r="L571" s="133">
        <v>0.745098039215686</v>
      </c>
      <c r="M571" s="134">
        <v>0.804878048780488</v>
      </c>
      <c r="N571" s="133">
        <v>0.80370774263904</v>
      </c>
      <c r="O571" s="135">
        <v>0.9</v>
      </c>
      <c r="P571" s="133">
        <v>0.875447387258411</v>
      </c>
      <c r="Q571" s="133">
        <v>0.776523702031603</v>
      </c>
      <c r="R571" s="133">
        <v>0.802836879432624</v>
      </c>
      <c r="S571" s="133">
        <v>0.821353602757585</v>
      </c>
      <c r="T571" s="135">
        <v>0.9</v>
      </c>
      <c r="U571" s="133">
        <v>0.9226914817466</v>
      </c>
      <c r="V571" s="133">
        <v>0.890519187358916</v>
      </c>
      <c r="W571" s="133">
        <v>0.916312056737589</v>
      </c>
      <c r="X571" s="133">
        <v>0.911571690567205</v>
      </c>
      <c r="Y571" s="135">
        <v>0.92</v>
      </c>
      <c r="Z571" s="135">
        <v>0.937125748502994</v>
      </c>
      <c r="AA571" s="135">
        <v>0.945104697226938</v>
      </c>
      <c r="AB571" s="135">
        <v>0.878498727735369</v>
      </c>
      <c r="AC571" s="135">
        <v>0.943083187484373</v>
      </c>
      <c r="AD571" s="135">
        <v>0.92</v>
      </c>
      <c r="AE571" s="133">
        <v>0.995423340961098</v>
      </c>
      <c r="AF571" s="133">
        <v>0.991803278688525</v>
      </c>
      <c r="AG571" s="133">
        <v>0.97841726618705</v>
      </c>
      <c r="AH571" s="133">
        <v>0.960022313127557</v>
      </c>
      <c r="AI571" s="135">
        <v>0.92</v>
      </c>
      <c r="AJ571" s="133">
        <v>0.945975948196115</v>
      </c>
      <c r="AK571" s="133">
        <v>0.952506596306069</v>
      </c>
      <c r="AL571" s="133">
        <v>0.916610850636303</v>
      </c>
      <c r="AM571" s="133">
        <v>0.958988170992788</v>
      </c>
      <c r="AN571" s="132">
        <v>0.99</v>
      </c>
      <c r="AO571" s="137">
        <v>1</v>
      </c>
      <c r="AP571" s="137">
        <v>1</v>
      </c>
      <c r="AQ571" s="137">
        <v>1</v>
      </c>
      <c r="AR571" s="137">
        <v>1</v>
      </c>
      <c r="AS571" s="158">
        <v>0.05</v>
      </c>
      <c r="AT571" s="141">
        <v>0.125</v>
      </c>
      <c r="AU571" s="141">
        <v>0.0714285714285714</v>
      </c>
      <c r="AV571" s="141">
        <v>0.0625</v>
      </c>
      <c r="AW571" s="141">
        <v>0.0838509316770186</v>
      </c>
      <c r="AX571" s="95"/>
      <c r="AY571" s="93"/>
    </row>
    <row r="572" ht="15" spans="1:51">
      <c r="A572" s="91"/>
      <c r="B572" s="95"/>
      <c r="C572" s="152" t="s">
        <v>375</v>
      </c>
      <c r="D572" s="153" t="s">
        <v>25</v>
      </c>
      <c r="E572" s="130" t="s">
        <v>376</v>
      </c>
      <c r="F572" s="154" t="s">
        <v>598</v>
      </c>
      <c r="G572" s="154" t="s">
        <v>598</v>
      </c>
      <c r="H572" s="154" t="s">
        <v>598</v>
      </c>
      <c r="I572" s="154" t="s">
        <v>598</v>
      </c>
      <c r="J572" s="132">
        <v>0.9</v>
      </c>
      <c r="K572" s="133">
        <v>0.96</v>
      </c>
      <c r="L572" s="133">
        <v>0.977777777777778</v>
      </c>
      <c r="M572" s="134">
        <v>0.977272727272727</v>
      </c>
      <c r="N572" s="133">
        <v>0.97874601487779</v>
      </c>
      <c r="O572" s="135">
        <v>0.9</v>
      </c>
      <c r="P572" s="133">
        <v>0.996312437143815</v>
      </c>
      <c r="Q572" s="133">
        <v>0.993521341463415</v>
      </c>
      <c r="R572" s="133">
        <v>0.958955223880597</v>
      </c>
      <c r="S572" s="133">
        <v>0.982189489146401</v>
      </c>
      <c r="T572" s="135">
        <v>0.9</v>
      </c>
      <c r="U572" s="133">
        <v>0.913509889373114</v>
      </c>
      <c r="V572" s="133">
        <v>0.929496951219512</v>
      </c>
      <c r="W572" s="133">
        <v>0.859660033167496</v>
      </c>
      <c r="X572" s="133">
        <v>0.887669332462869</v>
      </c>
      <c r="Y572" s="135">
        <v>0.92</v>
      </c>
      <c r="Z572" s="135">
        <v>0</v>
      </c>
      <c r="AA572" s="135">
        <v>0</v>
      </c>
      <c r="AB572" s="135">
        <v>0</v>
      </c>
      <c r="AC572" s="135">
        <v>0.75</v>
      </c>
      <c r="AD572" s="135">
        <v>0.92</v>
      </c>
      <c r="AE572" s="133">
        <v>0.361449193320125</v>
      </c>
      <c r="AF572" s="133">
        <v>0.774078052273541</v>
      </c>
      <c r="AG572" s="133">
        <v>0.966732673267327</v>
      </c>
      <c r="AH572" s="133">
        <v>0.917141039378516</v>
      </c>
      <c r="AI572" s="135">
        <v>0.92</v>
      </c>
      <c r="AJ572" s="133">
        <v>0.975585284280936</v>
      </c>
      <c r="AK572" s="133">
        <v>0.96953541507997</v>
      </c>
      <c r="AL572" s="133">
        <v>0.941359303771239</v>
      </c>
      <c r="AM572" s="133">
        <v>0.971982912431308</v>
      </c>
      <c r="AN572" s="132">
        <v>0.99</v>
      </c>
      <c r="AO572" s="137">
        <v>1</v>
      </c>
      <c r="AP572" s="137">
        <v>1</v>
      </c>
      <c r="AQ572" s="137">
        <v>1</v>
      </c>
      <c r="AR572" s="137">
        <v>1</v>
      </c>
      <c r="AS572" s="158">
        <v>0.05</v>
      </c>
      <c r="AT572" s="141">
        <v>0</v>
      </c>
      <c r="AU572" s="141">
        <v>0.25</v>
      </c>
      <c r="AV572" s="141">
        <v>0.1</v>
      </c>
      <c r="AW572" s="141">
        <v>0.0355871886120996</v>
      </c>
      <c r="AX572" s="95"/>
      <c r="AY572" s="93"/>
    </row>
    <row r="573" ht="15" spans="1:51">
      <c r="A573" s="91"/>
      <c r="B573" s="95"/>
      <c r="C573" s="152" t="s">
        <v>375</v>
      </c>
      <c r="D573" s="153" t="s">
        <v>25</v>
      </c>
      <c r="E573" s="130" t="s">
        <v>376</v>
      </c>
      <c r="F573" s="154" t="s">
        <v>599</v>
      </c>
      <c r="G573" s="154" t="s">
        <v>599</v>
      </c>
      <c r="H573" s="154" t="s">
        <v>599</v>
      </c>
      <c r="I573" s="154" t="s">
        <v>599</v>
      </c>
      <c r="J573" s="132">
        <v>0.9</v>
      </c>
      <c r="K573" s="133">
        <v>1</v>
      </c>
      <c r="L573" s="133">
        <v>1</v>
      </c>
      <c r="M573" s="134">
        <v>1</v>
      </c>
      <c r="N573" s="133">
        <v>0.998027613412229</v>
      </c>
      <c r="O573" s="135">
        <v>0.9</v>
      </c>
      <c r="P573" s="133">
        <v>0.990107913669065</v>
      </c>
      <c r="Q573" s="133">
        <v>0.979301423027167</v>
      </c>
      <c r="R573" s="133">
        <v>0.98547215496368</v>
      </c>
      <c r="S573" s="133">
        <v>0.99024850581944</v>
      </c>
      <c r="T573" s="135">
        <v>0.9</v>
      </c>
      <c r="U573" s="133">
        <v>0.948741007194245</v>
      </c>
      <c r="V573" s="133">
        <v>0.884864165588616</v>
      </c>
      <c r="W573" s="133">
        <v>0.926150121065375</v>
      </c>
      <c r="X573" s="133">
        <v>0.90628842689239</v>
      </c>
      <c r="Y573" s="135">
        <v>0.92</v>
      </c>
      <c r="Z573" s="135">
        <v>0.903691813804173</v>
      </c>
      <c r="AA573" s="135">
        <v>0.725212464589235</v>
      </c>
      <c r="AB573" s="135">
        <v>0.813648293963255</v>
      </c>
      <c r="AC573" s="135">
        <v>0.875472083290803</v>
      </c>
      <c r="AD573" s="135">
        <v>0.92</v>
      </c>
      <c r="AE573" s="133">
        <v>0.999287749287749</v>
      </c>
      <c r="AF573" s="133">
        <v>0.995403472931563</v>
      </c>
      <c r="AG573" s="133">
        <v>0.995575221238938</v>
      </c>
      <c r="AH573" s="133">
        <v>0.993036601581636</v>
      </c>
      <c r="AI573" s="135">
        <v>0.92</v>
      </c>
      <c r="AJ573" s="133">
        <v>0.953367875647668</v>
      </c>
      <c r="AK573" s="133">
        <v>0.873001776198934</v>
      </c>
      <c r="AL573" s="133">
        <v>0.942941465814068</v>
      </c>
      <c r="AM573" s="133">
        <v>0.96095512519824</v>
      </c>
      <c r="AN573" s="132">
        <v>0.99</v>
      </c>
      <c r="AO573" s="137">
        <v>1</v>
      </c>
      <c r="AP573" s="137">
        <v>1</v>
      </c>
      <c r="AQ573" s="137">
        <v>1</v>
      </c>
      <c r="AR573" s="137">
        <v>1</v>
      </c>
      <c r="AS573" s="158">
        <v>0.05</v>
      </c>
      <c r="AT573" s="141">
        <v>0</v>
      </c>
      <c r="AU573" s="141">
        <v>0.166666666666667</v>
      </c>
      <c r="AV573" s="141">
        <v>0.333333333333333</v>
      </c>
      <c r="AW573" s="141">
        <v>0.0774193548387097</v>
      </c>
      <c r="AX573" s="95"/>
      <c r="AY573" s="93"/>
    </row>
    <row r="574" ht="15" spans="1:51">
      <c r="A574" s="91"/>
      <c r="B574" s="95"/>
      <c r="C574" s="152" t="s">
        <v>375</v>
      </c>
      <c r="D574" s="153" t="s">
        <v>25</v>
      </c>
      <c r="E574" s="130" t="s">
        <v>376</v>
      </c>
      <c r="F574" s="154" t="s">
        <v>600</v>
      </c>
      <c r="G574" s="154" t="s">
        <v>600</v>
      </c>
      <c r="H574" s="154" t="s">
        <v>600</v>
      </c>
      <c r="I574" s="154" t="s">
        <v>600</v>
      </c>
      <c r="J574" s="132">
        <v>0.9</v>
      </c>
      <c r="K574" s="133">
        <v>0.96551724137931</v>
      </c>
      <c r="L574" s="133">
        <v>1</v>
      </c>
      <c r="M574" s="134">
        <v>0.962962962962963</v>
      </c>
      <c r="N574" s="133">
        <v>0.984905660377358</v>
      </c>
      <c r="O574" s="135">
        <v>0.9</v>
      </c>
      <c r="P574" s="133">
        <v>0.98397976391231</v>
      </c>
      <c r="Q574" s="133">
        <v>0.991811668372569</v>
      </c>
      <c r="R574" s="133">
        <v>0.975450081833061</v>
      </c>
      <c r="S574" s="133">
        <v>0.988088227421168</v>
      </c>
      <c r="T574" s="135">
        <v>0.9</v>
      </c>
      <c r="U574" s="133">
        <v>0.944350758853288</v>
      </c>
      <c r="V574" s="133">
        <v>0.962128966223132</v>
      </c>
      <c r="W574" s="133">
        <v>0.85379159847245</v>
      </c>
      <c r="X574" s="133">
        <v>0.919294394774881</v>
      </c>
      <c r="Y574" s="135">
        <v>0.92</v>
      </c>
      <c r="Z574" s="135">
        <v>0.909774436090226</v>
      </c>
      <c r="AA574" s="135">
        <v>0.942928039702233</v>
      </c>
      <c r="AB574" s="135">
        <v>0.84375</v>
      </c>
      <c r="AC574" s="135">
        <v>0.907537477723032</v>
      </c>
      <c r="AD574" s="135">
        <v>0.92</v>
      </c>
      <c r="AE574" s="133">
        <v>0.999066438462735</v>
      </c>
      <c r="AF574" s="133">
        <v>0.992307692307692</v>
      </c>
      <c r="AG574" s="133">
        <v>0.973154362416107</v>
      </c>
      <c r="AH574" s="133">
        <v>0.996443754748396</v>
      </c>
      <c r="AI574" s="135">
        <v>0.92</v>
      </c>
      <c r="AJ574" s="133">
        <v>0.957883369330454</v>
      </c>
      <c r="AK574" s="133">
        <v>0.97536231884058</v>
      </c>
      <c r="AL574" s="133">
        <v>0.957437070938215</v>
      </c>
      <c r="AM574" s="133">
        <v>0.968489500053299</v>
      </c>
      <c r="AN574" s="132">
        <v>0.99</v>
      </c>
      <c r="AO574" s="137">
        <v>1</v>
      </c>
      <c r="AP574" s="137">
        <v>1</v>
      </c>
      <c r="AQ574" s="137">
        <v>1</v>
      </c>
      <c r="AR574" s="137">
        <v>1</v>
      </c>
      <c r="AS574" s="158">
        <v>0.05</v>
      </c>
      <c r="AT574" s="141">
        <v>0.5</v>
      </c>
      <c r="AU574" s="141">
        <v>0</v>
      </c>
      <c r="AV574" s="141">
        <v>0</v>
      </c>
      <c r="AW574" s="141">
        <v>0.0530973451327434</v>
      </c>
      <c r="AX574" s="95"/>
      <c r="AY574" s="93"/>
    </row>
    <row r="575" ht="15" spans="1:51">
      <c r="A575" s="91"/>
      <c r="B575" s="95"/>
      <c r="C575" s="152" t="s">
        <v>375</v>
      </c>
      <c r="D575" s="153" t="s">
        <v>25</v>
      </c>
      <c r="E575" s="130" t="s">
        <v>376</v>
      </c>
      <c r="F575" s="154" t="s">
        <v>601</v>
      </c>
      <c r="G575" s="154" t="s">
        <v>601</v>
      </c>
      <c r="H575" s="154" t="s">
        <v>601</v>
      </c>
      <c r="I575" s="154" t="s">
        <v>601</v>
      </c>
      <c r="J575" s="132">
        <v>0.9</v>
      </c>
      <c r="K575" s="133">
        <v>0.981481481481482</v>
      </c>
      <c r="L575" s="133">
        <v>1</v>
      </c>
      <c r="M575" s="134">
        <v>0.977777777777778</v>
      </c>
      <c r="N575" s="133">
        <v>0.991266375545852</v>
      </c>
      <c r="O575" s="135">
        <v>0.9</v>
      </c>
      <c r="P575" s="133">
        <v>0</v>
      </c>
      <c r="Q575" s="133" t="s">
        <v>35</v>
      </c>
      <c r="R575" s="133" t="s">
        <v>35</v>
      </c>
      <c r="S575" s="133">
        <v>0.666666666666667</v>
      </c>
      <c r="T575" s="135">
        <v>0.9</v>
      </c>
      <c r="U575" s="133">
        <v>0</v>
      </c>
      <c r="V575" s="133" t="s">
        <v>35</v>
      </c>
      <c r="W575" s="133" t="s">
        <v>35</v>
      </c>
      <c r="X575" s="133">
        <v>0.333333333333333</v>
      </c>
      <c r="Y575" s="135">
        <v>0.92</v>
      </c>
      <c r="Z575" s="135">
        <v>0</v>
      </c>
      <c r="AA575" s="135">
        <v>0</v>
      </c>
      <c r="AB575" s="135" t="s">
        <v>35</v>
      </c>
      <c r="AC575" s="135">
        <v>0</v>
      </c>
      <c r="AD575" s="135">
        <v>0.92</v>
      </c>
      <c r="AE575" s="133">
        <v>0.994236311239193</v>
      </c>
      <c r="AF575" s="133">
        <v>0.994</v>
      </c>
      <c r="AG575" s="133">
        <v>0.984615384615385</v>
      </c>
      <c r="AH575" s="133">
        <v>0.992189377553473</v>
      </c>
      <c r="AI575" s="135">
        <v>0.92</v>
      </c>
      <c r="AJ575" s="133">
        <v>0.980031948881789</v>
      </c>
      <c r="AK575" s="133">
        <v>0.980622131565528</v>
      </c>
      <c r="AL575" s="133">
        <v>0.907656492498707</v>
      </c>
      <c r="AM575" s="133">
        <v>0.969728003121076</v>
      </c>
      <c r="AN575" s="132">
        <v>0.99</v>
      </c>
      <c r="AO575" s="137">
        <v>1</v>
      </c>
      <c r="AP575" s="137">
        <v>1</v>
      </c>
      <c r="AQ575" s="137">
        <v>1</v>
      </c>
      <c r="AR575" s="137">
        <v>1</v>
      </c>
      <c r="AS575" s="158">
        <v>0.05</v>
      </c>
      <c r="AT575" s="141">
        <v>0.25</v>
      </c>
      <c r="AU575" s="141">
        <v>0.166666666666667</v>
      </c>
      <c r="AV575" s="141">
        <v>0.181818181818182</v>
      </c>
      <c r="AW575" s="141">
        <v>0.0616740088105727</v>
      </c>
      <c r="AX575" s="95"/>
      <c r="AY575" s="93"/>
    </row>
    <row r="576" ht="15" spans="1:51">
      <c r="A576" s="91"/>
      <c r="B576" s="95"/>
      <c r="C576" s="152" t="s">
        <v>375</v>
      </c>
      <c r="D576" s="153" t="s">
        <v>25</v>
      </c>
      <c r="E576" s="130" t="s">
        <v>376</v>
      </c>
      <c r="F576" s="154" t="s">
        <v>602</v>
      </c>
      <c r="G576" s="154" t="s">
        <v>602</v>
      </c>
      <c r="H576" s="154" t="s">
        <v>602</v>
      </c>
      <c r="I576" s="154" t="s">
        <v>602</v>
      </c>
      <c r="J576" s="132">
        <v>0.9</v>
      </c>
      <c r="K576" s="133">
        <v>1</v>
      </c>
      <c r="L576" s="133">
        <v>0.928571428571429</v>
      </c>
      <c r="M576" s="134">
        <v>1</v>
      </c>
      <c r="N576" s="133">
        <v>0.986577181208054</v>
      </c>
      <c r="O576" s="135">
        <v>0.9</v>
      </c>
      <c r="P576" s="133">
        <v>0.988650693568726</v>
      </c>
      <c r="Q576" s="133">
        <v>0.986407766990291</v>
      </c>
      <c r="R576" s="133">
        <v>0.995064165844028</v>
      </c>
      <c r="S576" s="133">
        <v>0.986664051774858</v>
      </c>
      <c r="T576" s="135">
        <v>0.9</v>
      </c>
      <c r="U576" s="133">
        <v>0.952080706179067</v>
      </c>
      <c r="V576" s="133">
        <v>0.947572815533981</v>
      </c>
      <c r="W576" s="133">
        <v>0.82329713721619</v>
      </c>
      <c r="X576" s="133">
        <v>0.933565404981369</v>
      </c>
      <c r="Y576" s="135">
        <v>0.92</v>
      </c>
      <c r="Z576" s="135">
        <v>0.885714285714286</v>
      </c>
      <c r="AA576" s="135">
        <v>0.943333333333333</v>
      </c>
      <c r="AB576" s="135">
        <v>0.863636363636364</v>
      </c>
      <c r="AC576" s="135">
        <v>0.929257917126201</v>
      </c>
      <c r="AD576" s="135">
        <v>0.92</v>
      </c>
      <c r="AE576" s="133">
        <v>0.99864406779661</v>
      </c>
      <c r="AF576" s="133">
        <v>0.981451266638042</v>
      </c>
      <c r="AG576" s="133">
        <v>0.99971558589306</v>
      </c>
      <c r="AH576" s="133">
        <v>0.951172148578268</v>
      </c>
      <c r="AI576" s="135">
        <v>0.92</v>
      </c>
      <c r="AJ576" s="133">
        <v>0.939151321056846</v>
      </c>
      <c r="AK576" s="133">
        <v>0.969325153374233</v>
      </c>
      <c r="AL576" s="133">
        <v>0.949367088607595</v>
      </c>
      <c r="AM576" s="133">
        <v>0.969832903442862</v>
      </c>
      <c r="AN576" s="132">
        <v>0.99</v>
      </c>
      <c r="AO576" s="137">
        <v>1</v>
      </c>
      <c r="AP576" s="137">
        <v>1</v>
      </c>
      <c r="AQ576" s="137">
        <v>1</v>
      </c>
      <c r="AR576" s="137">
        <v>1</v>
      </c>
      <c r="AS576" s="158">
        <v>0.05</v>
      </c>
      <c r="AT576" s="141">
        <v>0</v>
      </c>
      <c r="AU576" s="141">
        <v>0.5</v>
      </c>
      <c r="AV576" s="141">
        <v>0</v>
      </c>
      <c r="AW576" s="141">
        <v>0.0434782608695652</v>
      </c>
      <c r="AX576" s="95"/>
      <c r="AY576" s="93"/>
    </row>
    <row r="577" ht="15" spans="1:51">
      <c r="A577" s="91"/>
      <c r="B577" s="95"/>
      <c r="C577" s="152" t="s">
        <v>375</v>
      </c>
      <c r="D577" s="153" t="s">
        <v>25</v>
      </c>
      <c r="E577" s="130" t="s">
        <v>376</v>
      </c>
      <c r="F577" s="154" t="s">
        <v>603</v>
      </c>
      <c r="G577" s="154" t="s">
        <v>603</v>
      </c>
      <c r="H577" s="154" t="s">
        <v>603</v>
      </c>
      <c r="I577" s="154" t="s">
        <v>603</v>
      </c>
      <c r="J577" s="132">
        <v>0.9</v>
      </c>
      <c r="K577" s="133">
        <v>0.961538461538462</v>
      </c>
      <c r="L577" s="133">
        <v>0.88</v>
      </c>
      <c r="M577" s="134">
        <v>0.961538461538462</v>
      </c>
      <c r="N577" s="133">
        <v>0.978632478632479</v>
      </c>
      <c r="O577" s="135">
        <v>0.9</v>
      </c>
      <c r="P577" s="133">
        <v>0.994631901840491</v>
      </c>
      <c r="Q577" s="133">
        <v>0.977124183006536</v>
      </c>
      <c r="R577" s="133">
        <v>0.994630071599045</v>
      </c>
      <c r="S577" s="133">
        <v>0.988823547523015</v>
      </c>
      <c r="T577" s="135">
        <v>0.9</v>
      </c>
      <c r="U577" s="133">
        <v>0.952453987730061</v>
      </c>
      <c r="V577" s="133">
        <v>0.96078431372549</v>
      </c>
      <c r="W577" s="133">
        <v>0.936754176610978</v>
      </c>
      <c r="X577" s="133">
        <v>0.946550078512269</v>
      </c>
      <c r="Y577" s="135">
        <v>0.92</v>
      </c>
      <c r="Z577" s="135">
        <v>0.950668036998972</v>
      </c>
      <c r="AA577" s="135">
        <v>0.974093264248705</v>
      </c>
      <c r="AB577" s="135">
        <v>0.910984848484849</v>
      </c>
      <c r="AC577" s="135">
        <v>0.957114659967701</v>
      </c>
      <c r="AD577" s="135">
        <v>0.92</v>
      </c>
      <c r="AE577" s="133">
        <v>0.997851611291531</v>
      </c>
      <c r="AF577" s="133">
        <v>0.520122132225097</v>
      </c>
      <c r="AG577" s="133">
        <v>0.997639484978541</v>
      </c>
      <c r="AH577" s="133">
        <v>0.919945166746322</v>
      </c>
      <c r="AI577" s="135">
        <v>0.92</v>
      </c>
      <c r="AJ577" s="133">
        <v>0.967572304995618</v>
      </c>
      <c r="AK577" s="133">
        <v>0.981963927855711</v>
      </c>
      <c r="AL577" s="133">
        <v>0.967332123411978</v>
      </c>
      <c r="AM577" s="133">
        <v>0.980405188614383</v>
      </c>
      <c r="AN577" s="132">
        <v>0.99</v>
      </c>
      <c r="AO577" s="137">
        <v>1</v>
      </c>
      <c r="AP577" s="137">
        <v>0.988636363636364</v>
      </c>
      <c r="AQ577" s="137">
        <v>1</v>
      </c>
      <c r="AR577" s="137">
        <v>0.998960498960499</v>
      </c>
      <c r="AS577" s="158">
        <v>0.05</v>
      </c>
      <c r="AT577" s="141">
        <v>0</v>
      </c>
      <c r="AU577" s="141">
        <v>0.6</v>
      </c>
      <c r="AV577" s="141">
        <v>0</v>
      </c>
      <c r="AW577" s="141">
        <v>0.0804597701149425</v>
      </c>
      <c r="AX577" s="95"/>
      <c r="AY577" s="93"/>
    </row>
    <row r="578" ht="15" spans="1:51">
      <c r="A578" s="91"/>
      <c r="B578" s="95"/>
      <c r="C578" s="152" t="s">
        <v>375</v>
      </c>
      <c r="D578" s="153" t="s">
        <v>25</v>
      </c>
      <c r="E578" s="130" t="s">
        <v>376</v>
      </c>
      <c r="F578" s="154" t="s">
        <v>604</v>
      </c>
      <c r="G578" s="154" t="s">
        <v>604</v>
      </c>
      <c r="H578" s="154" t="s">
        <v>604</v>
      </c>
      <c r="I578" s="154" t="s">
        <v>604</v>
      </c>
      <c r="J578" s="132">
        <v>0.9</v>
      </c>
      <c r="K578" s="133">
        <v>0.96551724137931</v>
      </c>
      <c r="L578" s="133">
        <v>1</v>
      </c>
      <c r="M578" s="134">
        <v>1</v>
      </c>
      <c r="N578" s="133">
        <v>0.986179664363277</v>
      </c>
      <c r="O578" s="135">
        <v>0.9</v>
      </c>
      <c r="P578" s="133">
        <v>0.980522355024347</v>
      </c>
      <c r="Q578" s="133">
        <v>0.981457800511509</v>
      </c>
      <c r="R578" s="133">
        <v>0.962765957446808</v>
      </c>
      <c r="S578" s="133">
        <v>0.973295863957343</v>
      </c>
      <c r="T578" s="135">
        <v>0.9</v>
      </c>
      <c r="U578" s="133">
        <v>0.936697653829128</v>
      </c>
      <c r="V578" s="133">
        <v>0.952046035805627</v>
      </c>
      <c r="W578" s="133">
        <v>0.821026282853567</v>
      </c>
      <c r="X578" s="133">
        <v>0.903761348897536</v>
      </c>
      <c r="Y578" s="135">
        <v>0.92</v>
      </c>
      <c r="Z578" s="135">
        <v>0.833454545454545</v>
      </c>
      <c r="AA578" s="135">
        <v>0.799507995079951</v>
      </c>
      <c r="AB578" s="135">
        <v>0.805970149253731</v>
      </c>
      <c r="AC578" s="135">
        <v>0.820667920500178</v>
      </c>
      <c r="AD578" s="135">
        <v>0.92</v>
      </c>
      <c r="AE578" s="133">
        <v>0.991901425945248</v>
      </c>
      <c r="AF578" s="133">
        <v>0.947365568083261</v>
      </c>
      <c r="AG578" s="133">
        <v>0.988933440256616</v>
      </c>
      <c r="AH578" s="133">
        <v>0.981740580905966</v>
      </c>
      <c r="AI578" s="135">
        <v>0.92</v>
      </c>
      <c r="AJ578" s="133">
        <v>0.924917491749175</v>
      </c>
      <c r="AK578" s="133">
        <v>0.91586032814472</v>
      </c>
      <c r="AL578" s="133">
        <v>0.933566433566434</v>
      </c>
      <c r="AM578" s="133">
        <v>0.946221109701752</v>
      </c>
      <c r="AN578" s="132">
        <v>0.99</v>
      </c>
      <c r="AO578" s="137">
        <v>1</v>
      </c>
      <c r="AP578" s="137">
        <v>1</v>
      </c>
      <c r="AQ578" s="137">
        <v>1</v>
      </c>
      <c r="AR578" s="137">
        <v>1</v>
      </c>
      <c r="AS578" s="158">
        <v>0.05</v>
      </c>
      <c r="AT578" s="141">
        <v>0</v>
      </c>
      <c r="AU578" s="141">
        <v>0.111111111111111</v>
      </c>
      <c r="AV578" s="141">
        <v>0</v>
      </c>
      <c r="AW578" s="141">
        <v>0.0206185567010309</v>
      </c>
      <c r="AX578" s="95"/>
      <c r="AY578" s="93"/>
    </row>
    <row r="579" ht="15" spans="1:51">
      <c r="A579" s="91"/>
      <c r="B579" s="95"/>
      <c r="C579" s="152" t="s">
        <v>375</v>
      </c>
      <c r="D579" s="153" t="s">
        <v>25</v>
      </c>
      <c r="E579" s="130" t="s">
        <v>376</v>
      </c>
      <c r="F579" s="154" t="s">
        <v>605</v>
      </c>
      <c r="G579" s="154" t="s">
        <v>605</v>
      </c>
      <c r="H579" s="154" t="s">
        <v>605</v>
      </c>
      <c r="I579" s="154" t="s">
        <v>605</v>
      </c>
      <c r="J579" s="132">
        <v>0.9</v>
      </c>
      <c r="K579" s="133">
        <v>0.967741935483871</v>
      </c>
      <c r="L579" s="133">
        <v>0.888888888888889</v>
      </c>
      <c r="M579" s="134">
        <v>0.892857142857143</v>
      </c>
      <c r="N579" s="133">
        <v>0.902621722846442</v>
      </c>
      <c r="O579" s="135">
        <v>0.9</v>
      </c>
      <c r="P579" s="133">
        <v>0.989093959731544</v>
      </c>
      <c r="Q579" s="133">
        <v>0.989607390300231</v>
      </c>
      <c r="R579" s="133">
        <v>0.985189573459716</v>
      </c>
      <c r="S579" s="133">
        <v>0.982166053258281</v>
      </c>
      <c r="T579" s="135">
        <v>0.9</v>
      </c>
      <c r="U579" s="133">
        <v>0.916107382550336</v>
      </c>
      <c r="V579" s="133">
        <v>0.920323325635104</v>
      </c>
      <c r="W579" s="133">
        <v>0.785545023696682</v>
      </c>
      <c r="X579" s="133">
        <v>0.895269538861225</v>
      </c>
      <c r="Y579" s="135">
        <v>0.92</v>
      </c>
      <c r="Z579" s="135">
        <v>0.931586608442504</v>
      </c>
      <c r="AA579" s="135">
        <v>0.910675381263617</v>
      </c>
      <c r="AB579" s="135">
        <v>0.893462469733656</v>
      </c>
      <c r="AC579" s="135">
        <v>0.921291431846404</v>
      </c>
      <c r="AD579" s="135">
        <v>0.92</v>
      </c>
      <c r="AE579" s="133">
        <v>0.998385608856089</v>
      </c>
      <c r="AF579" s="133">
        <v>0.380704225352113</v>
      </c>
      <c r="AG579" s="133">
        <v>0.995824634655532</v>
      </c>
      <c r="AH579" s="133">
        <v>0.936411791801013</v>
      </c>
      <c r="AI579" s="135">
        <v>0.92</v>
      </c>
      <c r="AJ579" s="133">
        <v>0.951569984034061</v>
      </c>
      <c r="AK579" s="133">
        <v>0.950943396226415</v>
      </c>
      <c r="AL579" s="133">
        <v>0.937648738695859</v>
      </c>
      <c r="AM579" s="133">
        <v>0.965376910911966</v>
      </c>
      <c r="AN579" s="132">
        <v>0.99</v>
      </c>
      <c r="AO579" s="137">
        <v>1</v>
      </c>
      <c r="AP579" s="137">
        <v>1</v>
      </c>
      <c r="AQ579" s="137">
        <v>1</v>
      </c>
      <c r="AR579" s="137">
        <v>1</v>
      </c>
      <c r="AS579" s="158">
        <v>0.05</v>
      </c>
      <c r="AT579" s="141">
        <v>0.111111111111111</v>
      </c>
      <c r="AU579" s="141">
        <v>0.2</v>
      </c>
      <c r="AV579" s="141">
        <v>0</v>
      </c>
      <c r="AW579" s="141">
        <v>0.0825242718446602</v>
      </c>
      <c r="AX579" s="95"/>
      <c r="AY579" s="93"/>
    </row>
    <row r="580" ht="15" spans="1:51">
      <c r="A580" s="91"/>
      <c r="B580" s="95"/>
      <c r="C580" s="152" t="s">
        <v>375</v>
      </c>
      <c r="D580" s="153" t="s">
        <v>25</v>
      </c>
      <c r="E580" s="130" t="s">
        <v>376</v>
      </c>
      <c r="F580" s="154" t="s">
        <v>606</v>
      </c>
      <c r="G580" s="154" t="s">
        <v>606</v>
      </c>
      <c r="H580" s="154" t="s">
        <v>606</v>
      </c>
      <c r="I580" s="154" t="s">
        <v>606</v>
      </c>
      <c r="J580" s="132">
        <v>0.9</v>
      </c>
      <c r="K580" s="133">
        <v>0.976744186046512</v>
      </c>
      <c r="L580" s="133">
        <v>1</v>
      </c>
      <c r="M580" s="134">
        <v>0.939393939393939</v>
      </c>
      <c r="N580" s="133">
        <v>0.984848484848485</v>
      </c>
      <c r="O580" s="135">
        <v>0.9</v>
      </c>
      <c r="P580" s="133">
        <v>0.5</v>
      </c>
      <c r="Q580" s="133" t="s">
        <v>35</v>
      </c>
      <c r="R580" s="133">
        <v>1</v>
      </c>
      <c r="S580" s="133">
        <v>0.428571428571429</v>
      </c>
      <c r="T580" s="135">
        <v>0.9</v>
      </c>
      <c r="U580" s="133">
        <v>0</v>
      </c>
      <c r="V580" s="133" t="s">
        <v>35</v>
      </c>
      <c r="W580" s="133">
        <v>0</v>
      </c>
      <c r="X580" s="133">
        <v>0.142857142857143</v>
      </c>
      <c r="Y580" s="135">
        <v>0.92</v>
      </c>
      <c r="Z580" s="135" t="s">
        <v>35</v>
      </c>
      <c r="AA580" s="135">
        <v>0</v>
      </c>
      <c r="AB580" s="135" t="s">
        <v>35</v>
      </c>
      <c r="AC580" s="135">
        <v>0.5</v>
      </c>
      <c r="AD580" s="135">
        <v>0.92</v>
      </c>
      <c r="AE580" s="133">
        <v>0.998907103825137</v>
      </c>
      <c r="AF580" s="133">
        <v>0.997088791848617</v>
      </c>
      <c r="AG580" s="133">
        <v>0.982078853046595</v>
      </c>
      <c r="AH580" s="133">
        <v>0.987733277416649</v>
      </c>
      <c r="AI580" s="135">
        <v>0.92</v>
      </c>
      <c r="AJ580" s="133">
        <v>0.918312867058195</v>
      </c>
      <c r="AK580" s="133">
        <v>0.872637263726373</v>
      </c>
      <c r="AL580" s="133">
        <v>0.811870100783875</v>
      </c>
      <c r="AM580" s="133">
        <v>0.933141055548486</v>
      </c>
      <c r="AN580" s="132">
        <v>0.99</v>
      </c>
      <c r="AO580" s="137">
        <v>1</v>
      </c>
      <c r="AP580" s="137">
        <v>1</v>
      </c>
      <c r="AQ580" s="137">
        <v>1</v>
      </c>
      <c r="AR580" s="137">
        <v>1</v>
      </c>
      <c r="AS580" s="158">
        <v>0.05</v>
      </c>
      <c r="AT580" s="141">
        <v>0.166666666666667</v>
      </c>
      <c r="AU580" s="141">
        <v>0.285714285714286</v>
      </c>
      <c r="AV580" s="141">
        <v>0.1</v>
      </c>
      <c r="AW580" s="141">
        <v>0.0707070707070707</v>
      </c>
      <c r="AX580" s="95"/>
      <c r="AY580" s="93"/>
    </row>
    <row r="581" ht="15" spans="1:51">
      <c r="A581" s="91"/>
      <c r="B581" s="95"/>
      <c r="C581" s="152" t="s">
        <v>375</v>
      </c>
      <c r="D581" s="153" t="s">
        <v>25</v>
      </c>
      <c r="E581" s="130" t="s">
        <v>376</v>
      </c>
      <c r="F581" s="154" t="s">
        <v>607</v>
      </c>
      <c r="G581" s="154" t="s">
        <v>607</v>
      </c>
      <c r="H581" s="154" t="s">
        <v>607</v>
      </c>
      <c r="I581" s="154" t="s">
        <v>607</v>
      </c>
      <c r="J581" s="132">
        <v>0.9</v>
      </c>
      <c r="K581" s="133">
        <v>1</v>
      </c>
      <c r="L581" s="133">
        <v>1</v>
      </c>
      <c r="M581" s="134">
        <v>0.983606557377049</v>
      </c>
      <c r="N581" s="133">
        <v>0.978981406628941</v>
      </c>
      <c r="O581" s="135">
        <v>0.9</v>
      </c>
      <c r="P581" s="133">
        <v>0.996994991652755</v>
      </c>
      <c r="Q581" s="133">
        <v>0.982547993019197</v>
      </c>
      <c r="R581" s="133">
        <v>0.973068432671082</v>
      </c>
      <c r="S581" s="133">
        <v>0.9900095391464</v>
      </c>
      <c r="T581" s="135">
        <v>0.9</v>
      </c>
      <c r="U581" s="133">
        <v>0.940567612687813</v>
      </c>
      <c r="V581" s="133">
        <v>0.899214659685864</v>
      </c>
      <c r="W581" s="133">
        <v>0.73841059602649</v>
      </c>
      <c r="X581" s="133">
        <v>0.882330013436862</v>
      </c>
      <c r="Y581" s="135">
        <v>0.92</v>
      </c>
      <c r="Z581" s="135">
        <v>0.870359794403198</v>
      </c>
      <c r="AA581" s="135">
        <v>0.763440860215054</v>
      </c>
      <c r="AB581" s="135">
        <v>0.756284153005464</v>
      </c>
      <c r="AC581" s="135">
        <v>0.879272163578652</v>
      </c>
      <c r="AD581" s="135">
        <v>0.92</v>
      </c>
      <c r="AE581" s="133">
        <v>0.987952714404036</v>
      </c>
      <c r="AF581" s="133">
        <v>0.971838505171838</v>
      </c>
      <c r="AG581" s="133">
        <v>0.962469437652812</v>
      </c>
      <c r="AH581" s="133">
        <v>0.984754836844551</v>
      </c>
      <c r="AI581" s="135">
        <v>0.92</v>
      </c>
      <c r="AJ581" s="133">
        <v>0.936447811447811</v>
      </c>
      <c r="AK581" s="133">
        <v>0.902262443438914</v>
      </c>
      <c r="AL581" s="133">
        <v>0.878604224058769</v>
      </c>
      <c r="AM581" s="133">
        <v>0.955443200513623</v>
      </c>
      <c r="AN581" s="132">
        <v>0.99</v>
      </c>
      <c r="AO581" s="137">
        <v>1</v>
      </c>
      <c r="AP581" s="137">
        <v>1</v>
      </c>
      <c r="AQ581" s="137">
        <v>1</v>
      </c>
      <c r="AR581" s="137">
        <v>1</v>
      </c>
      <c r="AS581" s="158">
        <v>0.05</v>
      </c>
      <c r="AT581" s="141">
        <v>0.0769230769230769</v>
      </c>
      <c r="AU581" s="141">
        <v>0</v>
      </c>
      <c r="AV581" s="141">
        <v>0.0625</v>
      </c>
      <c r="AW581" s="141">
        <v>0.048582995951417</v>
      </c>
      <c r="AX581" s="95"/>
      <c r="AY581" s="93"/>
    </row>
    <row r="582" ht="15" spans="1:51">
      <c r="A582" s="91"/>
      <c r="B582" s="95"/>
      <c r="C582" s="152" t="s">
        <v>375</v>
      </c>
      <c r="D582" s="153" t="s">
        <v>25</v>
      </c>
      <c r="E582" s="130" t="s">
        <v>376</v>
      </c>
      <c r="F582" s="154" t="s">
        <v>608</v>
      </c>
      <c r="G582" s="154" t="s">
        <v>608</v>
      </c>
      <c r="H582" s="154" t="s">
        <v>608</v>
      </c>
      <c r="I582" s="154" t="s">
        <v>608</v>
      </c>
      <c r="J582" s="132">
        <v>0.9</v>
      </c>
      <c r="K582" s="133">
        <v>1</v>
      </c>
      <c r="L582" s="133">
        <v>1</v>
      </c>
      <c r="M582" s="134">
        <v>1</v>
      </c>
      <c r="N582" s="133">
        <v>0.99647266313933</v>
      </c>
      <c r="O582" s="135">
        <v>0.9</v>
      </c>
      <c r="P582" s="133">
        <v>1</v>
      </c>
      <c r="Q582" s="133" t="s">
        <v>35</v>
      </c>
      <c r="R582" s="133" t="s">
        <v>35</v>
      </c>
      <c r="S582" s="133">
        <v>0.75</v>
      </c>
      <c r="T582" s="135">
        <v>0.9</v>
      </c>
      <c r="U582" s="133">
        <v>1</v>
      </c>
      <c r="V582" s="133" t="s">
        <v>35</v>
      </c>
      <c r="W582" s="133" t="s">
        <v>35</v>
      </c>
      <c r="X582" s="133">
        <v>0.75</v>
      </c>
      <c r="Y582" s="135">
        <v>0.92</v>
      </c>
      <c r="Z582" s="135">
        <v>0</v>
      </c>
      <c r="AA582" s="135" t="s">
        <v>35</v>
      </c>
      <c r="AB582" s="135">
        <v>0</v>
      </c>
      <c r="AC582" s="135">
        <v>0</v>
      </c>
      <c r="AD582" s="135">
        <v>0.92</v>
      </c>
      <c r="AE582" s="133">
        <v>1</v>
      </c>
      <c r="AF582" s="133">
        <v>0.995157384987893</v>
      </c>
      <c r="AG582" s="133">
        <v>0.997955010224949</v>
      </c>
      <c r="AH582" s="133">
        <v>0.995893395910158</v>
      </c>
      <c r="AI582" s="135">
        <v>0.92</v>
      </c>
      <c r="AJ582" s="133">
        <v>0.967790262172285</v>
      </c>
      <c r="AK582" s="133">
        <v>0.964194373401535</v>
      </c>
      <c r="AL582" s="133">
        <v>0.943524416135881</v>
      </c>
      <c r="AM582" s="133">
        <v>0.971579643093192</v>
      </c>
      <c r="AN582" s="132">
        <v>0.99</v>
      </c>
      <c r="AO582" s="137">
        <v>1</v>
      </c>
      <c r="AP582" s="137">
        <v>1</v>
      </c>
      <c r="AQ582" s="137">
        <v>1</v>
      </c>
      <c r="AR582" s="137">
        <v>1</v>
      </c>
      <c r="AS582" s="158">
        <v>0.05</v>
      </c>
      <c r="AT582" s="141">
        <v>0</v>
      </c>
      <c r="AU582" s="141">
        <v>0</v>
      </c>
      <c r="AV582" s="141">
        <v>0</v>
      </c>
      <c r="AW582" s="141">
        <v>0.0564516129032258</v>
      </c>
      <c r="AX582" s="95"/>
      <c r="AY582" s="93"/>
    </row>
    <row r="583" ht="15" spans="1:51">
      <c r="A583" s="91"/>
      <c r="B583" s="95"/>
      <c r="C583" s="152" t="s">
        <v>375</v>
      </c>
      <c r="D583" s="153" t="s">
        <v>25</v>
      </c>
      <c r="E583" s="130" t="s">
        <v>376</v>
      </c>
      <c r="F583" s="154" t="s">
        <v>609</v>
      </c>
      <c r="G583" s="154" t="s">
        <v>609</v>
      </c>
      <c r="H583" s="154" t="s">
        <v>609</v>
      </c>
      <c r="I583" s="154" t="s">
        <v>609</v>
      </c>
      <c r="J583" s="132">
        <v>0.9</v>
      </c>
      <c r="K583" s="133">
        <v>0.954545454545455</v>
      </c>
      <c r="L583" s="133">
        <v>0.971428571428571</v>
      </c>
      <c r="M583" s="134">
        <v>0.974358974358974</v>
      </c>
      <c r="N583" s="133">
        <v>0.966321243523316</v>
      </c>
      <c r="O583" s="135">
        <v>0.9</v>
      </c>
      <c r="P583" s="133">
        <v>0.985029940119761</v>
      </c>
      <c r="Q583" s="133">
        <v>0.964222873900293</v>
      </c>
      <c r="R583" s="133">
        <v>0.980055020632737</v>
      </c>
      <c r="S583" s="133">
        <v>0.972354002405452</v>
      </c>
      <c r="T583" s="135">
        <v>0.9</v>
      </c>
      <c r="U583" s="133">
        <v>0.94560878243513</v>
      </c>
      <c r="V583" s="133">
        <v>0.926099706744868</v>
      </c>
      <c r="W583" s="133">
        <v>0.896836313617607</v>
      </c>
      <c r="X583" s="133">
        <v>0.932079379927836</v>
      </c>
      <c r="Y583" s="135">
        <v>0.92</v>
      </c>
      <c r="Z583" s="135">
        <v>0.981904012588513</v>
      </c>
      <c r="AA583" s="135">
        <v>0.974248927038627</v>
      </c>
      <c r="AB583" s="135">
        <v>0.907008086253369</v>
      </c>
      <c r="AC583" s="135">
        <v>0.945995870911659</v>
      </c>
      <c r="AD583" s="135">
        <v>0.92</v>
      </c>
      <c r="AE583" s="133">
        <v>0.917569167360898</v>
      </c>
      <c r="AF583" s="133">
        <v>0.803507951356408</v>
      </c>
      <c r="AG583" s="133">
        <v>0.998715890850722</v>
      </c>
      <c r="AH583" s="133">
        <v>0.971798033143379</v>
      </c>
      <c r="AI583" s="135">
        <v>0.92</v>
      </c>
      <c r="AJ583" s="133">
        <v>0.982300884955752</v>
      </c>
      <c r="AK583" s="133">
        <v>0.973464746019712</v>
      </c>
      <c r="AL583" s="133">
        <v>0.940821917808219</v>
      </c>
      <c r="AM583" s="133">
        <v>0.968997892316536</v>
      </c>
      <c r="AN583" s="132">
        <v>0.99</v>
      </c>
      <c r="AO583" s="137">
        <v>1</v>
      </c>
      <c r="AP583" s="137">
        <v>1</v>
      </c>
      <c r="AQ583" s="137">
        <v>1</v>
      </c>
      <c r="AR583" s="137">
        <v>1</v>
      </c>
      <c r="AS583" s="158">
        <v>0.05</v>
      </c>
      <c r="AT583" s="141">
        <v>0.15</v>
      </c>
      <c r="AU583" s="141">
        <v>0.0416666666666667</v>
      </c>
      <c r="AV583" s="141">
        <v>0.125</v>
      </c>
      <c r="AW583" s="141">
        <v>0.0570719602977667</v>
      </c>
      <c r="AX583" s="95"/>
      <c r="AY583" s="93"/>
    </row>
    <row r="584" ht="15" spans="1:51">
      <c r="A584" s="91"/>
      <c r="B584" s="95"/>
      <c r="C584" s="152" t="s">
        <v>375</v>
      </c>
      <c r="D584" s="153" t="s">
        <v>25</v>
      </c>
      <c r="E584" s="130" t="s">
        <v>376</v>
      </c>
      <c r="F584" s="154" t="s">
        <v>610</v>
      </c>
      <c r="G584" s="154" t="s">
        <v>610</v>
      </c>
      <c r="H584" s="154" t="s">
        <v>610</v>
      </c>
      <c r="I584" s="154" t="s">
        <v>610</v>
      </c>
      <c r="J584" s="132">
        <v>0.9</v>
      </c>
      <c r="K584" s="133">
        <v>1</v>
      </c>
      <c r="L584" s="133">
        <v>1</v>
      </c>
      <c r="M584" s="134">
        <v>1</v>
      </c>
      <c r="N584" s="133">
        <v>0.991576413959085</v>
      </c>
      <c r="O584" s="135">
        <v>0.9</v>
      </c>
      <c r="P584" s="133">
        <v>0.996987951807229</v>
      </c>
      <c r="Q584" s="133">
        <v>0.992021276595745</v>
      </c>
      <c r="R584" s="133">
        <v>0.994779771615008</v>
      </c>
      <c r="S584" s="133">
        <v>0.993390228896847</v>
      </c>
      <c r="T584" s="135">
        <v>0.9</v>
      </c>
      <c r="U584" s="133">
        <v>0.973895582329317</v>
      </c>
      <c r="V584" s="133">
        <v>0.965425531914894</v>
      </c>
      <c r="W584" s="133">
        <v>0.968026101141925</v>
      </c>
      <c r="X584" s="133">
        <v>0.961540281743465</v>
      </c>
      <c r="Y584" s="135">
        <v>0.92</v>
      </c>
      <c r="Z584" s="135">
        <v>0.978775510204082</v>
      </c>
      <c r="AA584" s="135">
        <v>0.973574408901252</v>
      </c>
      <c r="AB584" s="135">
        <v>0.977511244377811</v>
      </c>
      <c r="AC584" s="135">
        <v>0.979970743783054</v>
      </c>
      <c r="AD584" s="135">
        <v>0.92</v>
      </c>
      <c r="AE584" s="133">
        <v>0.998196392785571</v>
      </c>
      <c r="AF584" s="133">
        <v>0.999618357027001</v>
      </c>
      <c r="AG584" s="133">
        <v>0.99975068561456</v>
      </c>
      <c r="AH584" s="133">
        <v>0.992934788913767</v>
      </c>
      <c r="AI584" s="135">
        <v>0.92</v>
      </c>
      <c r="AJ584" s="133">
        <v>0.982287134866377</v>
      </c>
      <c r="AK584" s="133">
        <v>0.977068345323741</v>
      </c>
      <c r="AL584" s="133">
        <v>0.987412961971077</v>
      </c>
      <c r="AM584" s="133">
        <v>0.988732220922357</v>
      </c>
      <c r="AN584" s="132">
        <v>0.99</v>
      </c>
      <c r="AO584" s="137">
        <v>1</v>
      </c>
      <c r="AP584" s="137">
        <v>1</v>
      </c>
      <c r="AQ584" s="137">
        <v>1</v>
      </c>
      <c r="AR584" s="137">
        <v>1</v>
      </c>
      <c r="AS584" s="158">
        <v>0.05</v>
      </c>
      <c r="AT584" s="141">
        <v>0</v>
      </c>
      <c r="AU584" s="141">
        <v>0</v>
      </c>
      <c r="AV584" s="141">
        <v>0.266666666666667</v>
      </c>
      <c r="AW584" s="141">
        <v>0.0442477876106195</v>
      </c>
      <c r="AX584" s="95"/>
      <c r="AY584" s="93"/>
    </row>
    <row r="585" ht="15" spans="1:51">
      <c r="A585" s="91"/>
      <c r="B585" s="95"/>
      <c r="C585" s="152" t="s">
        <v>375</v>
      </c>
      <c r="D585" s="153" t="s">
        <v>25</v>
      </c>
      <c r="E585" s="130" t="s">
        <v>376</v>
      </c>
      <c r="F585" s="154" t="s">
        <v>611</v>
      </c>
      <c r="G585" s="154" t="s">
        <v>611</v>
      </c>
      <c r="H585" s="154" t="s">
        <v>611</v>
      </c>
      <c r="I585" s="154" t="s">
        <v>611</v>
      </c>
      <c r="J585" s="132">
        <v>0.9</v>
      </c>
      <c r="K585" s="133">
        <v>0.92</v>
      </c>
      <c r="L585" s="133">
        <v>0.869565217391304</v>
      </c>
      <c r="M585" s="134">
        <v>0.866666666666667</v>
      </c>
      <c r="N585" s="133">
        <v>0.945225758697261</v>
      </c>
      <c r="O585" s="135">
        <v>0.9</v>
      </c>
      <c r="P585" s="133">
        <v>1</v>
      </c>
      <c r="Q585" s="133" t="s">
        <v>35</v>
      </c>
      <c r="R585" s="133">
        <v>1</v>
      </c>
      <c r="S585" s="133">
        <v>0.714285714285714</v>
      </c>
      <c r="T585" s="135">
        <v>0.9</v>
      </c>
      <c r="U585" s="133">
        <v>0</v>
      </c>
      <c r="V585" s="133" t="s">
        <v>35</v>
      </c>
      <c r="W585" s="133">
        <v>0</v>
      </c>
      <c r="X585" s="133">
        <v>0.142857142857143</v>
      </c>
      <c r="Y585" s="135">
        <v>0.92</v>
      </c>
      <c r="Z585" s="135" t="s">
        <v>35</v>
      </c>
      <c r="AA585" s="135">
        <v>0</v>
      </c>
      <c r="AB585" s="135" t="s">
        <v>35</v>
      </c>
      <c r="AC585" s="135">
        <v>0.5</v>
      </c>
      <c r="AD585" s="135">
        <v>0.92</v>
      </c>
      <c r="AE585" s="133">
        <v>0.994838709677419</v>
      </c>
      <c r="AF585" s="133">
        <v>0.998330550918197</v>
      </c>
      <c r="AG585" s="133">
        <v>1</v>
      </c>
      <c r="AH585" s="133">
        <v>0.988262910798122</v>
      </c>
      <c r="AI585" s="135">
        <v>0.92</v>
      </c>
      <c r="AJ585" s="133">
        <v>0.943081117927744</v>
      </c>
      <c r="AK585" s="133">
        <v>0.927584919746174</v>
      </c>
      <c r="AL585" s="133">
        <v>0.785255198487713</v>
      </c>
      <c r="AM585" s="133">
        <v>0.933961841433142</v>
      </c>
      <c r="AN585" s="132">
        <v>0.99</v>
      </c>
      <c r="AO585" s="137">
        <v>1</v>
      </c>
      <c r="AP585" s="137">
        <v>1</v>
      </c>
      <c r="AQ585" s="137">
        <v>1</v>
      </c>
      <c r="AR585" s="137">
        <v>1</v>
      </c>
      <c r="AS585" s="158">
        <v>0.05</v>
      </c>
      <c r="AT585" s="141">
        <v>0</v>
      </c>
      <c r="AU585" s="141">
        <v>0</v>
      </c>
      <c r="AV585" s="141">
        <v>0</v>
      </c>
      <c r="AW585" s="141">
        <v>0.0224358974358974</v>
      </c>
      <c r="AX585" s="95"/>
      <c r="AY585" s="93"/>
    </row>
    <row r="586" ht="15" spans="1:51">
      <c r="A586" s="91"/>
      <c r="B586" s="95"/>
      <c r="C586" s="152" t="s">
        <v>375</v>
      </c>
      <c r="D586" s="153" t="s">
        <v>25</v>
      </c>
      <c r="E586" s="130" t="s">
        <v>376</v>
      </c>
      <c r="F586" s="154" t="s">
        <v>612</v>
      </c>
      <c r="G586" s="154" t="s">
        <v>612</v>
      </c>
      <c r="H586" s="154" t="s">
        <v>612</v>
      </c>
      <c r="I586" s="154" t="s">
        <v>612</v>
      </c>
      <c r="J586" s="132">
        <v>0.9</v>
      </c>
      <c r="K586" s="133">
        <v>1</v>
      </c>
      <c r="L586" s="133">
        <v>1</v>
      </c>
      <c r="M586" s="134">
        <v>0.96</v>
      </c>
      <c r="N586" s="133">
        <v>0.986138613861386</v>
      </c>
      <c r="O586" s="135">
        <v>0.9</v>
      </c>
      <c r="P586" s="133">
        <v>0.945668135095448</v>
      </c>
      <c r="Q586" s="133">
        <v>0.997150997150997</v>
      </c>
      <c r="R586" s="133">
        <v>0.997287032013022</v>
      </c>
      <c r="S586" s="133">
        <v>0.995518550263255</v>
      </c>
      <c r="T586" s="135">
        <v>0.9</v>
      </c>
      <c r="U586" s="133">
        <v>0.97503671071953</v>
      </c>
      <c r="V586" s="133">
        <v>0.964862298195632</v>
      </c>
      <c r="W586" s="133">
        <v>0.9511665762344</v>
      </c>
      <c r="X586" s="133">
        <v>0.971984816946247</v>
      </c>
      <c r="Y586" s="135">
        <v>0.92</v>
      </c>
      <c r="Z586" s="135">
        <v>0.972010178117048</v>
      </c>
      <c r="AA586" s="135">
        <v>0.977596741344195</v>
      </c>
      <c r="AB586" s="135">
        <v>0.963340122199593</v>
      </c>
      <c r="AC586" s="135">
        <v>0.982048672156935</v>
      </c>
      <c r="AD586" s="135">
        <v>0.92</v>
      </c>
      <c r="AE586" s="133">
        <v>0.983471645919779</v>
      </c>
      <c r="AF586" s="133">
        <v>0.995706509238672</v>
      </c>
      <c r="AG586" s="133">
        <v>0.997197640117994</v>
      </c>
      <c r="AH586" s="133">
        <v>0.993584772301138</v>
      </c>
      <c r="AI586" s="135">
        <v>0.92</v>
      </c>
      <c r="AJ586" s="133">
        <v>0.985567970204842</v>
      </c>
      <c r="AK586" s="133">
        <v>0.98380829015544</v>
      </c>
      <c r="AL586" s="133">
        <v>0.973007712082262</v>
      </c>
      <c r="AM586" s="133">
        <v>0.988962686133648</v>
      </c>
      <c r="AN586" s="132">
        <v>0.99</v>
      </c>
      <c r="AO586" s="137">
        <v>1</v>
      </c>
      <c r="AP586" s="137">
        <v>1</v>
      </c>
      <c r="AQ586" s="137">
        <v>1</v>
      </c>
      <c r="AR586" s="137">
        <v>1</v>
      </c>
      <c r="AS586" s="158">
        <v>0.05</v>
      </c>
      <c r="AT586" s="141">
        <v>0.4375</v>
      </c>
      <c r="AU586" s="141">
        <v>0.0833333333333333</v>
      </c>
      <c r="AV586" s="141">
        <v>0.272727272727273</v>
      </c>
      <c r="AW586" s="141">
        <v>0.12992125984252</v>
      </c>
      <c r="AX586" s="95"/>
      <c r="AY586" s="93"/>
    </row>
    <row r="587" ht="15" spans="1:51">
      <c r="A587" s="91"/>
      <c r="B587" s="95"/>
      <c r="C587" s="152" t="s">
        <v>375</v>
      </c>
      <c r="D587" s="153" t="s">
        <v>25</v>
      </c>
      <c r="E587" s="130" t="s">
        <v>376</v>
      </c>
      <c r="F587" s="154" t="s">
        <v>613</v>
      </c>
      <c r="G587" s="154" t="s">
        <v>613</v>
      </c>
      <c r="H587" s="154" t="s">
        <v>613</v>
      </c>
      <c r="I587" s="154" t="s">
        <v>613</v>
      </c>
      <c r="J587" s="132">
        <v>0.9</v>
      </c>
      <c r="K587" s="133">
        <v>0.970588235294118</v>
      </c>
      <c r="L587" s="133">
        <v>0.935483870967742</v>
      </c>
      <c r="M587" s="134">
        <v>0.892857142857143</v>
      </c>
      <c r="N587" s="133">
        <v>0.947797716150082</v>
      </c>
      <c r="O587" s="135">
        <v>0.9</v>
      </c>
      <c r="P587" s="133" t="s">
        <v>35</v>
      </c>
      <c r="Q587" s="133" t="s">
        <v>35</v>
      </c>
      <c r="R587" s="133">
        <v>0</v>
      </c>
      <c r="S587" s="133">
        <v>0.375</v>
      </c>
      <c r="T587" s="135">
        <v>0.9</v>
      </c>
      <c r="U587" s="133" t="s">
        <v>35</v>
      </c>
      <c r="V587" s="133" t="s">
        <v>35</v>
      </c>
      <c r="W587" s="133">
        <v>1</v>
      </c>
      <c r="X587" s="133">
        <v>0.75</v>
      </c>
      <c r="Y587" s="135">
        <v>0.92</v>
      </c>
      <c r="Z587" s="135" t="s">
        <v>35</v>
      </c>
      <c r="AA587" s="135" t="s">
        <v>35</v>
      </c>
      <c r="AB587" s="135" t="s">
        <v>35</v>
      </c>
      <c r="AC587" s="135">
        <v>0.5</v>
      </c>
      <c r="AD587" s="135">
        <v>0.92</v>
      </c>
      <c r="AE587" s="133">
        <v>1</v>
      </c>
      <c r="AF587" s="133">
        <v>0.978260869565217</v>
      </c>
      <c r="AG587" s="133">
        <v>0.95</v>
      </c>
      <c r="AH587" s="133">
        <v>0.959341723136496</v>
      </c>
      <c r="AI587" s="135">
        <v>0.92</v>
      </c>
      <c r="AJ587" s="133">
        <v>0.893542757417103</v>
      </c>
      <c r="AK587" s="133">
        <v>0.904248145650708</v>
      </c>
      <c r="AL587" s="133">
        <v>0.762517385257302</v>
      </c>
      <c r="AM587" s="133">
        <v>0.926210289941219</v>
      </c>
      <c r="AN587" s="132">
        <v>0.99</v>
      </c>
      <c r="AO587" s="137">
        <v>1</v>
      </c>
      <c r="AP587" s="137">
        <v>1</v>
      </c>
      <c r="AQ587" s="137">
        <v>1</v>
      </c>
      <c r="AR587" s="137">
        <v>1</v>
      </c>
      <c r="AS587" s="158">
        <v>0.05</v>
      </c>
      <c r="AT587" s="141">
        <v>0.166666666666667</v>
      </c>
      <c r="AU587" s="141">
        <v>0.142857142857143</v>
      </c>
      <c r="AV587" s="141">
        <v>0</v>
      </c>
      <c r="AW587" s="141">
        <v>0.114583333333333</v>
      </c>
      <c r="AX587" s="95"/>
      <c r="AY587" s="93"/>
    </row>
    <row r="588" ht="15" spans="1:51">
      <c r="A588" s="91"/>
      <c r="B588" s="95"/>
      <c r="C588" s="152" t="s">
        <v>375</v>
      </c>
      <c r="D588" s="153" t="s">
        <v>25</v>
      </c>
      <c r="E588" s="130" t="s">
        <v>376</v>
      </c>
      <c r="F588" s="154" t="s">
        <v>614</v>
      </c>
      <c r="G588" s="154" t="s">
        <v>614</v>
      </c>
      <c r="H588" s="154" t="s">
        <v>614</v>
      </c>
      <c r="I588" s="154" t="s">
        <v>614</v>
      </c>
      <c r="J588" s="132">
        <v>0.9</v>
      </c>
      <c r="K588" s="133">
        <v>0.958333333333333</v>
      </c>
      <c r="L588" s="133">
        <v>0.952380952380952</v>
      </c>
      <c r="M588" s="134">
        <v>1</v>
      </c>
      <c r="N588" s="133">
        <v>0.963800904977376</v>
      </c>
      <c r="O588" s="135">
        <v>0.9</v>
      </c>
      <c r="P588" s="133">
        <v>0.993217054263566</v>
      </c>
      <c r="Q588" s="133">
        <v>0.978135788262371</v>
      </c>
      <c r="R588" s="133">
        <v>0.957001743172574</v>
      </c>
      <c r="S588" s="133">
        <v>0.979850864667619</v>
      </c>
      <c r="T588" s="135">
        <v>0.9</v>
      </c>
      <c r="U588" s="133">
        <v>0.929263565891473</v>
      </c>
      <c r="V588" s="133">
        <v>0.906789413118527</v>
      </c>
      <c r="W588" s="133">
        <v>0.643230679837304</v>
      </c>
      <c r="X588" s="133">
        <v>0.872653233909778</v>
      </c>
      <c r="Y588" s="135">
        <v>0.92</v>
      </c>
      <c r="Z588" s="135">
        <v>0.852607709750567</v>
      </c>
      <c r="AA588" s="135">
        <v>0.800613496932515</v>
      </c>
      <c r="AB588" s="135">
        <v>0.519108280254777</v>
      </c>
      <c r="AC588" s="135">
        <v>0.709574332097661</v>
      </c>
      <c r="AD588" s="135">
        <v>0.92</v>
      </c>
      <c r="AE588" s="133">
        <v>0.99906629318394</v>
      </c>
      <c r="AF588" s="133">
        <v>0.999174917491749</v>
      </c>
      <c r="AG588" s="133">
        <v>0.997071742313324</v>
      </c>
      <c r="AH588" s="133">
        <v>0.997770805812417</v>
      </c>
      <c r="AI588" s="135">
        <v>0.92</v>
      </c>
      <c r="AJ588" s="133">
        <v>0.938941655359566</v>
      </c>
      <c r="AK588" s="133">
        <v>0.924686192468619</v>
      </c>
      <c r="AL588" s="133">
        <v>0.87328094302554</v>
      </c>
      <c r="AM588" s="133">
        <v>0.928033124479692</v>
      </c>
      <c r="AN588" s="132">
        <v>0.99</v>
      </c>
      <c r="AO588" s="137">
        <v>1</v>
      </c>
      <c r="AP588" s="137">
        <v>1</v>
      </c>
      <c r="AQ588" s="137">
        <v>1</v>
      </c>
      <c r="AR588" s="137">
        <v>1</v>
      </c>
      <c r="AS588" s="158">
        <v>0.05</v>
      </c>
      <c r="AT588" s="141">
        <v>0</v>
      </c>
      <c r="AU588" s="141">
        <v>0.111111111111111</v>
      </c>
      <c r="AV588" s="141">
        <v>0</v>
      </c>
      <c r="AW588" s="141">
        <v>0.0520833333333333</v>
      </c>
      <c r="AX588" s="95"/>
      <c r="AY588" s="93"/>
    </row>
    <row r="589" ht="15" spans="1:51">
      <c r="A589" s="91"/>
      <c r="B589" s="95"/>
      <c r="C589" s="152" t="s">
        <v>375</v>
      </c>
      <c r="D589" s="153" t="s">
        <v>25</v>
      </c>
      <c r="E589" s="130" t="s">
        <v>376</v>
      </c>
      <c r="F589" s="154" t="s">
        <v>615</v>
      </c>
      <c r="G589" s="154" t="s">
        <v>615</v>
      </c>
      <c r="H589" s="154" t="s">
        <v>615</v>
      </c>
      <c r="I589" s="154" t="s">
        <v>615</v>
      </c>
      <c r="J589" s="132">
        <v>0.9</v>
      </c>
      <c r="K589" s="133">
        <v>1</v>
      </c>
      <c r="L589" s="133">
        <v>0.964285714285714</v>
      </c>
      <c r="M589" s="134">
        <v>1</v>
      </c>
      <c r="N589" s="133">
        <v>0.977124183006536</v>
      </c>
      <c r="O589" s="135">
        <v>0.9</v>
      </c>
      <c r="P589" s="133">
        <v>0</v>
      </c>
      <c r="Q589" s="133">
        <v>0</v>
      </c>
      <c r="R589" s="133" t="s">
        <v>35</v>
      </c>
      <c r="S589" s="133">
        <v>0.4375</v>
      </c>
      <c r="T589" s="135">
        <v>0.9</v>
      </c>
      <c r="U589" s="133">
        <v>0</v>
      </c>
      <c r="V589" s="133">
        <v>0</v>
      </c>
      <c r="W589" s="133" t="s">
        <v>35</v>
      </c>
      <c r="X589" s="133">
        <v>0.75</v>
      </c>
      <c r="Y589" s="135">
        <v>0.92</v>
      </c>
      <c r="Z589" s="135" t="s">
        <v>35</v>
      </c>
      <c r="AA589" s="135">
        <v>0</v>
      </c>
      <c r="AB589" s="135" t="s">
        <v>35</v>
      </c>
      <c r="AC589" s="135">
        <v>0</v>
      </c>
      <c r="AD589" s="135">
        <v>0.92</v>
      </c>
      <c r="AE589" s="133">
        <v>0.988372093023256</v>
      </c>
      <c r="AF589" s="133">
        <v>0.949367088607595</v>
      </c>
      <c r="AG589" s="133">
        <v>0.96551724137931</v>
      </c>
      <c r="AH589" s="133">
        <v>0.97390535161433</v>
      </c>
      <c r="AI589" s="135">
        <v>0.92</v>
      </c>
      <c r="AJ589" s="133">
        <v>0.955911823647295</v>
      </c>
      <c r="AK589" s="133">
        <v>0.92056338028169</v>
      </c>
      <c r="AL589" s="133">
        <v>0.828747072599532</v>
      </c>
      <c r="AM589" s="133">
        <v>0.945780389276533</v>
      </c>
      <c r="AN589" s="132">
        <v>0.99</v>
      </c>
      <c r="AO589" s="137">
        <v>1</v>
      </c>
      <c r="AP589" s="137">
        <v>1</v>
      </c>
      <c r="AQ589" s="137">
        <v>1</v>
      </c>
      <c r="AR589" s="137">
        <v>1</v>
      </c>
      <c r="AS589" s="158">
        <v>0.05</v>
      </c>
      <c r="AT589" s="141">
        <v>0</v>
      </c>
      <c r="AU589" s="141">
        <v>0</v>
      </c>
      <c r="AV589" s="141">
        <v>0.166666666666667</v>
      </c>
      <c r="AW589" s="141">
        <v>0.0459770114942529</v>
      </c>
      <c r="AX589" s="95"/>
      <c r="AY589" s="93"/>
    </row>
    <row r="590" ht="15" spans="1:51">
      <c r="A590" s="91"/>
      <c r="B590" s="95"/>
      <c r="C590" s="152" t="s">
        <v>375</v>
      </c>
      <c r="D590" s="153" t="s">
        <v>25</v>
      </c>
      <c r="E590" s="130" t="s">
        <v>376</v>
      </c>
      <c r="F590" s="154" t="s">
        <v>616</v>
      </c>
      <c r="G590" s="154" t="s">
        <v>616</v>
      </c>
      <c r="H590" s="154" t="s">
        <v>616</v>
      </c>
      <c r="I590" s="154" t="s">
        <v>616</v>
      </c>
      <c r="J590" s="132">
        <v>0.9</v>
      </c>
      <c r="K590" s="133">
        <v>0.935483870967742</v>
      </c>
      <c r="L590" s="133">
        <v>0.931034482758621</v>
      </c>
      <c r="M590" s="134">
        <v>0.892857142857143</v>
      </c>
      <c r="N590" s="133">
        <v>0.941480206540448</v>
      </c>
      <c r="O590" s="135">
        <v>0.9</v>
      </c>
      <c r="P590" s="133">
        <v>0.975679542203147</v>
      </c>
      <c r="Q590" s="133">
        <v>0.948504983388704</v>
      </c>
      <c r="R590" s="133">
        <v>0.917262512768131</v>
      </c>
      <c r="S590" s="133">
        <v>0.971057909568661</v>
      </c>
      <c r="T590" s="135">
        <v>0.9</v>
      </c>
      <c r="U590" s="133">
        <v>0.955650929899857</v>
      </c>
      <c r="V590" s="133">
        <v>0.912790697674419</v>
      </c>
      <c r="W590" s="133">
        <v>0.82635342185904</v>
      </c>
      <c r="X590" s="133">
        <v>0.920586965904186</v>
      </c>
      <c r="Y590" s="135">
        <v>0.92</v>
      </c>
      <c r="Z590" s="135">
        <v>0.929347826086957</v>
      </c>
      <c r="AA590" s="135">
        <v>0.908333333333333</v>
      </c>
      <c r="AB590" s="135">
        <v>0.827067669172932</v>
      </c>
      <c r="AC590" s="135">
        <v>0.903488278417788</v>
      </c>
      <c r="AD590" s="135">
        <v>0.92</v>
      </c>
      <c r="AE590" s="133">
        <v>0.732030186811827</v>
      </c>
      <c r="AF590" s="133">
        <v>0.723584146014136</v>
      </c>
      <c r="AG590" s="133">
        <v>0.991009681881051</v>
      </c>
      <c r="AH590" s="133">
        <v>0.95397539905157</v>
      </c>
      <c r="AI590" s="135">
        <v>0.92</v>
      </c>
      <c r="AJ590" s="133">
        <v>0.956427955133736</v>
      </c>
      <c r="AK590" s="133">
        <v>0.956305309734513</v>
      </c>
      <c r="AL590" s="133">
        <v>0.901606425702811</v>
      </c>
      <c r="AM590" s="133">
        <v>0.954803350187194</v>
      </c>
      <c r="AN590" s="132">
        <v>0.99</v>
      </c>
      <c r="AO590" s="137">
        <v>1</v>
      </c>
      <c r="AP590" s="137">
        <v>1</v>
      </c>
      <c r="AQ590" s="137">
        <v>1</v>
      </c>
      <c r="AR590" s="137">
        <v>1</v>
      </c>
      <c r="AS590" s="158">
        <v>0.05</v>
      </c>
      <c r="AT590" s="141">
        <v>0.1</v>
      </c>
      <c r="AU590" s="141">
        <v>0.0476190476190476</v>
      </c>
      <c r="AV590" s="141">
        <v>0.0666666666666667</v>
      </c>
      <c r="AW590" s="141">
        <v>0.032258064516129</v>
      </c>
      <c r="AX590" s="95"/>
      <c r="AY590" s="93"/>
    </row>
    <row r="591" ht="15" spans="1:51">
      <c r="A591" s="91"/>
      <c r="B591" s="95"/>
      <c r="C591" s="152" t="s">
        <v>375</v>
      </c>
      <c r="D591" s="153" t="s">
        <v>25</v>
      </c>
      <c r="E591" s="130" t="s">
        <v>376</v>
      </c>
      <c r="F591" s="154" t="s">
        <v>617</v>
      </c>
      <c r="G591" s="154" t="s">
        <v>617</v>
      </c>
      <c r="H591" s="154" t="s">
        <v>617</v>
      </c>
      <c r="I591" s="154" t="s">
        <v>617</v>
      </c>
      <c r="J591" s="132">
        <v>0.9</v>
      </c>
      <c r="K591" s="133">
        <v>1</v>
      </c>
      <c r="L591" s="133">
        <v>1</v>
      </c>
      <c r="M591" s="134">
        <v>1</v>
      </c>
      <c r="N591" s="133">
        <v>0.998971193415638</v>
      </c>
      <c r="O591" s="135">
        <v>0.9</v>
      </c>
      <c r="P591" s="133">
        <v>0.980981866430783</v>
      </c>
      <c r="Q591" s="133">
        <v>0.970158343483557</v>
      </c>
      <c r="R591" s="133">
        <v>0.982174688057041</v>
      </c>
      <c r="S591" s="133">
        <v>0.975700565529496</v>
      </c>
      <c r="T591" s="135">
        <v>0.9</v>
      </c>
      <c r="U591" s="133">
        <v>0.950022114108801</v>
      </c>
      <c r="V591" s="133">
        <v>0.921437271619976</v>
      </c>
      <c r="W591" s="133">
        <v>0.914735591206179</v>
      </c>
      <c r="X591" s="133">
        <v>0.908161394502658</v>
      </c>
      <c r="Y591" s="135">
        <v>0.92</v>
      </c>
      <c r="Z591" s="135">
        <v>0.838339222614841</v>
      </c>
      <c r="AA591" s="135">
        <v>0.820301783264746</v>
      </c>
      <c r="AB591" s="135">
        <v>0.771186440677966</v>
      </c>
      <c r="AC591" s="135">
        <v>0.841759121582981</v>
      </c>
      <c r="AD591" s="135">
        <v>0.92</v>
      </c>
      <c r="AE591" s="133">
        <v>0.997947138824737</v>
      </c>
      <c r="AF591" s="133">
        <v>0.9953125</v>
      </c>
      <c r="AG591" s="133">
        <v>0.996360327570519</v>
      </c>
      <c r="AH591" s="133">
        <v>0.996056417634364</v>
      </c>
      <c r="AI591" s="135">
        <v>0.92</v>
      </c>
      <c r="AJ591" s="133">
        <v>0.934571175950486</v>
      </c>
      <c r="AK591" s="133">
        <v>0.919443272880641</v>
      </c>
      <c r="AL591" s="133">
        <v>0.939646712463199</v>
      </c>
      <c r="AM591" s="133">
        <v>0.952522087353929</v>
      </c>
      <c r="AN591" s="132">
        <v>0.99</v>
      </c>
      <c r="AO591" s="137">
        <v>1</v>
      </c>
      <c r="AP591" s="137">
        <v>1</v>
      </c>
      <c r="AQ591" s="137">
        <v>1</v>
      </c>
      <c r="AR591" s="137">
        <v>1</v>
      </c>
      <c r="AS591" s="158">
        <v>0.05</v>
      </c>
      <c r="AT591" s="141">
        <v>0</v>
      </c>
      <c r="AU591" s="141">
        <v>0</v>
      </c>
      <c r="AV591" s="141">
        <v>0.166666666666667</v>
      </c>
      <c r="AW591" s="141">
        <v>0.0395256916996047</v>
      </c>
      <c r="AX591" s="95"/>
      <c r="AY591" s="93"/>
    </row>
    <row r="592" ht="15" spans="1:51">
      <c r="A592" s="91"/>
      <c r="B592" s="95"/>
      <c r="C592" s="152" t="s">
        <v>375</v>
      </c>
      <c r="D592" s="153" t="s">
        <v>25</v>
      </c>
      <c r="E592" s="130" t="s">
        <v>376</v>
      </c>
      <c r="F592" s="154" t="s">
        <v>618</v>
      </c>
      <c r="G592" s="154" t="s">
        <v>618</v>
      </c>
      <c r="H592" s="154" t="s">
        <v>618</v>
      </c>
      <c r="I592" s="154" t="s">
        <v>618</v>
      </c>
      <c r="J592" s="132">
        <v>0.9</v>
      </c>
      <c r="K592" s="133">
        <v>0.970149253731343</v>
      </c>
      <c r="L592" s="133">
        <v>0.981481481481482</v>
      </c>
      <c r="M592" s="134">
        <v>0.963636363636364</v>
      </c>
      <c r="N592" s="133">
        <v>0.990723562152134</v>
      </c>
      <c r="O592" s="135">
        <v>0.9</v>
      </c>
      <c r="P592" s="133">
        <v>0.988095238095238</v>
      </c>
      <c r="Q592" s="133">
        <v>0.990794573643411</v>
      </c>
      <c r="R592" s="133">
        <v>0.970808383233533</v>
      </c>
      <c r="S592" s="133">
        <v>0.985332550455336</v>
      </c>
      <c r="T592" s="135">
        <v>0.9</v>
      </c>
      <c r="U592" s="133">
        <v>0.960678210678211</v>
      </c>
      <c r="V592" s="133">
        <v>0.95687984496124</v>
      </c>
      <c r="W592" s="133">
        <v>0.899201596806387</v>
      </c>
      <c r="X592" s="133">
        <v>0.941456843850378</v>
      </c>
      <c r="Y592" s="135">
        <v>0.92</v>
      </c>
      <c r="Z592" s="135">
        <v>0.937620578778135</v>
      </c>
      <c r="AA592" s="135">
        <v>0.94726368159204</v>
      </c>
      <c r="AB592" s="135">
        <v>0.864951768488746</v>
      </c>
      <c r="AC592" s="135">
        <v>0.939775010044195</v>
      </c>
      <c r="AD592" s="135">
        <v>0.92</v>
      </c>
      <c r="AE592" s="133">
        <v>0.987143060093763</v>
      </c>
      <c r="AF592" s="133">
        <v>0.989249279472986</v>
      </c>
      <c r="AG592" s="133">
        <v>0.977357017372633</v>
      </c>
      <c r="AH592" s="133">
        <v>0.986681832738838</v>
      </c>
      <c r="AI592" s="135">
        <v>0.92</v>
      </c>
      <c r="AJ592" s="133">
        <v>0.9660272706263</v>
      </c>
      <c r="AK592" s="133">
        <v>0.966764418377322</v>
      </c>
      <c r="AL592" s="133">
        <v>0.924119789558883</v>
      </c>
      <c r="AM592" s="133">
        <v>0.971027460384213</v>
      </c>
      <c r="AN592" s="132">
        <v>0.99</v>
      </c>
      <c r="AO592" s="137">
        <v>1</v>
      </c>
      <c r="AP592" s="137">
        <v>1</v>
      </c>
      <c r="AQ592" s="137">
        <v>1</v>
      </c>
      <c r="AR592" s="137">
        <v>1</v>
      </c>
      <c r="AS592" s="158">
        <v>0.05</v>
      </c>
      <c r="AT592" s="141">
        <v>0.1</v>
      </c>
      <c r="AU592" s="141">
        <v>0.0869565217391304</v>
      </c>
      <c r="AV592" s="141">
        <v>0.0714285714285714</v>
      </c>
      <c r="AW592" s="141">
        <v>0.066334991708126</v>
      </c>
      <c r="AX592" s="95"/>
      <c r="AY592" s="93"/>
    </row>
    <row r="593" ht="15" spans="1:51">
      <c r="A593" s="91"/>
      <c r="B593" s="95"/>
      <c r="C593" s="152" t="s">
        <v>375</v>
      </c>
      <c r="D593" s="153" t="s">
        <v>25</v>
      </c>
      <c r="E593" s="130" t="s">
        <v>376</v>
      </c>
      <c r="F593" s="154" t="s">
        <v>619</v>
      </c>
      <c r="G593" s="154" t="s">
        <v>619</v>
      </c>
      <c r="H593" s="154" t="s">
        <v>619</v>
      </c>
      <c r="I593" s="154" t="s">
        <v>619</v>
      </c>
      <c r="J593" s="132">
        <v>0.9</v>
      </c>
      <c r="K593" s="133">
        <v>1</v>
      </c>
      <c r="L593" s="133">
        <v>0.96969696969697</v>
      </c>
      <c r="M593" s="134">
        <v>0.916666666666667</v>
      </c>
      <c r="N593" s="133">
        <v>0.975308641975309</v>
      </c>
      <c r="O593" s="135">
        <v>0.9</v>
      </c>
      <c r="P593" s="133">
        <v>0</v>
      </c>
      <c r="Q593" s="133" t="s">
        <v>35</v>
      </c>
      <c r="R593" s="133">
        <v>1</v>
      </c>
      <c r="S593" s="133">
        <v>0.428571428571429</v>
      </c>
      <c r="T593" s="135">
        <v>0.9</v>
      </c>
      <c r="U593" s="133">
        <v>0</v>
      </c>
      <c r="V593" s="133" t="s">
        <v>35</v>
      </c>
      <c r="W593" s="133">
        <v>0</v>
      </c>
      <c r="X593" s="133">
        <v>0.142857142857143</v>
      </c>
      <c r="Y593" s="135">
        <v>0.92</v>
      </c>
      <c r="Z593" s="135" t="s">
        <v>35</v>
      </c>
      <c r="AA593" s="135" t="s">
        <v>35</v>
      </c>
      <c r="AB593" s="135" t="s">
        <v>35</v>
      </c>
      <c r="AC593" s="135" t="s">
        <v>35</v>
      </c>
      <c r="AD593" s="135">
        <v>0.92</v>
      </c>
      <c r="AE593" s="133">
        <v>1</v>
      </c>
      <c r="AF593" s="133">
        <v>0.997759103641457</v>
      </c>
      <c r="AG593" s="133">
        <v>1</v>
      </c>
      <c r="AH593" s="133">
        <v>0.997125668449198</v>
      </c>
      <c r="AI593" s="135">
        <v>0.92</v>
      </c>
      <c r="AJ593" s="133">
        <v>0.971754212091179</v>
      </c>
      <c r="AK593" s="133">
        <v>0.920676202860858</v>
      </c>
      <c r="AL593" s="133">
        <v>0.676636171710063</v>
      </c>
      <c r="AM593" s="133">
        <v>0.942811996233221</v>
      </c>
      <c r="AN593" s="132">
        <v>0.99</v>
      </c>
      <c r="AO593" s="137">
        <v>1</v>
      </c>
      <c r="AP593" s="137">
        <v>1</v>
      </c>
      <c r="AQ593" s="137">
        <v>1</v>
      </c>
      <c r="AR593" s="137">
        <v>1</v>
      </c>
      <c r="AS593" s="158">
        <v>0.05</v>
      </c>
      <c r="AT593" s="141">
        <v>0</v>
      </c>
      <c r="AU593" s="141">
        <v>0</v>
      </c>
      <c r="AV593" s="141">
        <v>0</v>
      </c>
      <c r="AW593" s="141">
        <v>0.100840336134454</v>
      </c>
      <c r="AX593" s="95"/>
      <c r="AY593" s="93"/>
    </row>
    <row r="594" ht="15" spans="1:51">
      <c r="A594" s="91"/>
      <c r="B594" s="95"/>
      <c r="C594" s="152" t="s">
        <v>375</v>
      </c>
      <c r="D594" s="153" t="s">
        <v>25</v>
      </c>
      <c r="E594" s="130" t="s">
        <v>376</v>
      </c>
      <c r="F594" s="154" t="s">
        <v>620</v>
      </c>
      <c r="G594" s="154" t="s">
        <v>620</v>
      </c>
      <c r="H594" s="154" t="s">
        <v>620</v>
      </c>
      <c r="I594" s="154" t="s">
        <v>620</v>
      </c>
      <c r="J594" s="132">
        <v>0.9</v>
      </c>
      <c r="K594" s="133">
        <v>0.977272727272727</v>
      </c>
      <c r="L594" s="133">
        <v>0.947368421052632</v>
      </c>
      <c r="M594" s="134">
        <v>0.96969696969697</v>
      </c>
      <c r="N594" s="133">
        <v>0.839646464646465</v>
      </c>
      <c r="O594" s="135">
        <v>0.9</v>
      </c>
      <c r="P594" s="133">
        <v>0.993225638353309</v>
      </c>
      <c r="Q594" s="133">
        <v>0.991049633848657</v>
      </c>
      <c r="R594" s="133">
        <v>0.988095238095238</v>
      </c>
      <c r="S594" s="133">
        <v>0.989222818233032</v>
      </c>
      <c r="T594" s="135">
        <v>0.9</v>
      </c>
      <c r="U594" s="133">
        <v>0.908806670140698</v>
      </c>
      <c r="V594" s="133">
        <v>0.905614320585842</v>
      </c>
      <c r="W594" s="133">
        <v>0.864035087719298</v>
      </c>
      <c r="X594" s="133">
        <v>0.886447693928038</v>
      </c>
      <c r="Y594" s="135">
        <v>0.92</v>
      </c>
      <c r="Z594" s="135">
        <v>0.892143349414197</v>
      </c>
      <c r="AA594" s="135">
        <v>0.929003021148036</v>
      </c>
      <c r="AB594" s="135">
        <v>0.876182287188306</v>
      </c>
      <c r="AC594" s="135">
        <v>0.919290856555169</v>
      </c>
      <c r="AD594" s="135">
        <v>0.92</v>
      </c>
      <c r="AE594" s="133">
        <v>0.995590230664858</v>
      </c>
      <c r="AF594" s="133">
        <v>0.987857010098507</v>
      </c>
      <c r="AG594" s="133">
        <v>0.996056622851365</v>
      </c>
      <c r="AH594" s="133">
        <v>0.98110242245695</v>
      </c>
      <c r="AI594" s="135">
        <v>0.92</v>
      </c>
      <c r="AJ594" s="133">
        <v>0.91974284529241</v>
      </c>
      <c r="AK594" s="133">
        <v>0.945226917057903</v>
      </c>
      <c r="AL594" s="133">
        <v>0.912350597609562</v>
      </c>
      <c r="AM594" s="133">
        <v>0.942336874051593</v>
      </c>
      <c r="AN594" s="132">
        <v>0.99</v>
      </c>
      <c r="AO594" s="137">
        <v>1</v>
      </c>
      <c r="AP594" s="137">
        <v>1</v>
      </c>
      <c r="AQ594" s="137">
        <v>1</v>
      </c>
      <c r="AR594" s="137">
        <v>1</v>
      </c>
      <c r="AS594" s="158">
        <v>0.05</v>
      </c>
      <c r="AT594" s="141">
        <v>0.05</v>
      </c>
      <c r="AU594" s="141">
        <v>0.105263157894737</v>
      </c>
      <c r="AV594" s="141">
        <v>0.142857142857143</v>
      </c>
      <c r="AW594" s="141">
        <v>0.0536912751677852</v>
      </c>
      <c r="AX594" s="95"/>
      <c r="AY594" s="93"/>
    </row>
    <row r="595" ht="15" spans="1:51">
      <c r="A595" s="91"/>
      <c r="B595" s="95"/>
      <c r="C595" s="152" t="s">
        <v>375</v>
      </c>
      <c r="D595" s="153" t="s">
        <v>25</v>
      </c>
      <c r="E595" s="130" t="s">
        <v>376</v>
      </c>
      <c r="F595" s="154" t="s">
        <v>621</v>
      </c>
      <c r="G595" s="154" t="s">
        <v>621</v>
      </c>
      <c r="H595" s="154" t="s">
        <v>621</v>
      </c>
      <c r="I595" s="154" t="s">
        <v>621</v>
      </c>
      <c r="J595" s="132">
        <v>0.9</v>
      </c>
      <c r="K595" s="133">
        <v>0.96551724137931</v>
      </c>
      <c r="L595" s="133">
        <v>0.897959183673469</v>
      </c>
      <c r="M595" s="134">
        <v>0.909090909090909</v>
      </c>
      <c r="N595" s="133">
        <v>0.952917093142272</v>
      </c>
      <c r="O595" s="135">
        <v>0.9</v>
      </c>
      <c r="P595" s="133">
        <v>0.989376443418014</v>
      </c>
      <c r="Q595" s="133">
        <v>0.979919678714859</v>
      </c>
      <c r="R595" s="133">
        <v>0.979050279329609</v>
      </c>
      <c r="S595" s="133">
        <v>0.987378640776699</v>
      </c>
      <c r="T595" s="135">
        <v>0.9</v>
      </c>
      <c r="U595" s="133">
        <v>0.927482678983834</v>
      </c>
      <c r="V595" s="133">
        <v>0.923025435073628</v>
      </c>
      <c r="W595" s="133">
        <v>0.91340782122905</v>
      </c>
      <c r="X595" s="133">
        <v>0.908437775816417</v>
      </c>
      <c r="Y595" s="135">
        <v>0.92</v>
      </c>
      <c r="Z595" s="135">
        <v>0.965502555366269</v>
      </c>
      <c r="AA595" s="135">
        <v>0.969921332716335</v>
      </c>
      <c r="AB595" s="135">
        <v>0.958971553610503</v>
      </c>
      <c r="AC595" s="135">
        <v>0.966521925989596</v>
      </c>
      <c r="AD595" s="135">
        <v>0.92</v>
      </c>
      <c r="AE595" s="133">
        <v>0.988034280170323</v>
      </c>
      <c r="AF595" s="133">
        <v>0.989332138054684</v>
      </c>
      <c r="AG595" s="133">
        <v>0.993860845839018</v>
      </c>
      <c r="AH595" s="133">
        <v>0.970790414348865</v>
      </c>
      <c r="AI595" s="135">
        <v>0.92</v>
      </c>
      <c r="AJ595" s="133">
        <v>0.973043858370975</v>
      </c>
      <c r="AK595" s="133">
        <v>0.977850697292863</v>
      </c>
      <c r="AL595" s="133">
        <v>0.974603972843852</v>
      </c>
      <c r="AM595" s="133">
        <v>0.976523931093912</v>
      </c>
      <c r="AN595" s="132">
        <v>0.99</v>
      </c>
      <c r="AO595" s="137">
        <v>1</v>
      </c>
      <c r="AP595" s="137">
        <v>1</v>
      </c>
      <c r="AQ595" s="137">
        <v>1</v>
      </c>
      <c r="AR595" s="137">
        <v>1</v>
      </c>
      <c r="AS595" s="158">
        <v>0.05</v>
      </c>
      <c r="AT595" s="141">
        <v>0</v>
      </c>
      <c r="AU595" s="141">
        <v>0.0833333333333333</v>
      </c>
      <c r="AV595" s="141">
        <v>0.0555555555555556</v>
      </c>
      <c r="AW595" s="141">
        <v>0.0472813238770686</v>
      </c>
      <c r="AX595" s="95"/>
      <c r="AY595" s="93"/>
    </row>
    <row r="596" ht="15" spans="1:51">
      <c r="A596" s="91"/>
      <c r="B596" s="95"/>
      <c r="C596" s="152" t="s">
        <v>375</v>
      </c>
      <c r="D596" s="153" t="s">
        <v>25</v>
      </c>
      <c r="E596" s="130" t="s">
        <v>376</v>
      </c>
      <c r="F596" s="154" t="s">
        <v>622</v>
      </c>
      <c r="G596" s="154" t="s">
        <v>622</v>
      </c>
      <c r="H596" s="154" t="s">
        <v>622</v>
      </c>
      <c r="I596" s="154" t="s">
        <v>622</v>
      </c>
      <c r="J596" s="132">
        <v>0.9</v>
      </c>
      <c r="K596" s="133">
        <v>0.887755102040816</v>
      </c>
      <c r="L596" s="133">
        <v>0.897727272727273</v>
      </c>
      <c r="M596" s="134">
        <v>0.897058823529412</v>
      </c>
      <c r="N596" s="133">
        <v>0.842261904761905</v>
      </c>
      <c r="O596" s="135">
        <v>0.9</v>
      </c>
      <c r="P596" s="133">
        <v>0.908482740165908</v>
      </c>
      <c r="Q596" s="133">
        <v>0.960292104062072</v>
      </c>
      <c r="R596" s="133">
        <v>0.927093930145812</v>
      </c>
      <c r="S596" s="133">
        <v>0.916640283298742</v>
      </c>
      <c r="T596" s="135">
        <v>0.9</v>
      </c>
      <c r="U596" s="133">
        <v>0.876906609579877</v>
      </c>
      <c r="V596" s="133">
        <v>0.881789137380192</v>
      </c>
      <c r="W596" s="133">
        <v>0.811461512377077</v>
      </c>
      <c r="X596" s="133">
        <v>0.865104771285515</v>
      </c>
      <c r="Y596" s="135">
        <v>0.92</v>
      </c>
      <c r="Z596" s="135">
        <v>0.747824711279861</v>
      </c>
      <c r="AA596" s="135">
        <v>0.875423409860745</v>
      </c>
      <c r="AB596" s="135">
        <v>0.667894979272225</v>
      </c>
      <c r="AC596" s="135">
        <v>0.846198335600373</v>
      </c>
      <c r="AD596" s="135">
        <v>0.92</v>
      </c>
      <c r="AE596" s="133">
        <v>0.898357918174228</v>
      </c>
      <c r="AF596" s="133">
        <v>0.757487143289301</v>
      </c>
      <c r="AG596" s="133">
        <v>0.766967438211063</v>
      </c>
      <c r="AH596" s="133">
        <v>0.865146372739927</v>
      </c>
      <c r="AI596" s="135">
        <v>0.92</v>
      </c>
      <c r="AJ596" s="133">
        <v>0.821017083829956</v>
      </c>
      <c r="AK596" s="133">
        <v>0.913473423980222</v>
      </c>
      <c r="AL596" s="133">
        <v>0.793830534947286</v>
      </c>
      <c r="AM596" s="133">
        <v>0.896608642617741</v>
      </c>
      <c r="AN596" s="132">
        <v>0.99</v>
      </c>
      <c r="AO596" s="137">
        <v>1</v>
      </c>
      <c r="AP596" s="137">
        <v>1</v>
      </c>
      <c r="AQ596" s="137">
        <v>1</v>
      </c>
      <c r="AR596" s="137">
        <v>1</v>
      </c>
      <c r="AS596" s="158">
        <v>0.05</v>
      </c>
      <c r="AT596" s="141">
        <v>0.0526315789473684</v>
      </c>
      <c r="AU596" s="141">
        <v>0.00526315789473684</v>
      </c>
      <c r="AV596" s="141">
        <v>0.0316455696202532</v>
      </c>
      <c r="AW596" s="141">
        <v>0.0282861896838602</v>
      </c>
      <c r="AX596" s="95"/>
      <c r="AY596" s="93"/>
    </row>
    <row r="597" ht="15" spans="1:51">
      <c r="A597" s="91"/>
      <c r="B597" s="95"/>
      <c r="C597" s="152" t="s">
        <v>375</v>
      </c>
      <c r="D597" s="153" t="s">
        <v>125</v>
      </c>
      <c r="E597" s="130" t="s">
        <v>376</v>
      </c>
      <c r="F597" s="154" t="s">
        <v>623</v>
      </c>
      <c r="G597" s="154" t="s">
        <v>623</v>
      </c>
      <c r="H597" s="154" t="s">
        <v>623</v>
      </c>
      <c r="I597" s="154" t="s">
        <v>623</v>
      </c>
      <c r="J597" s="132">
        <v>0.9</v>
      </c>
      <c r="K597" s="133" t="s">
        <v>35</v>
      </c>
      <c r="L597" s="133" t="s">
        <v>35</v>
      </c>
      <c r="M597" s="134" t="s">
        <v>35</v>
      </c>
      <c r="N597" s="133" t="s">
        <v>35</v>
      </c>
      <c r="O597" s="135">
        <v>0.9</v>
      </c>
      <c r="P597" s="133" t="s">
        <v>35</v>
      </c>
      <c r="Q597" s="133" t="s">
        <v>35</v>
      </c>
      <c r="R597" s="133" t="s">
        <v>35</v>
      </c>
      <c r="S597" s="133" t="s">
        <v>35</v>
      </c>
      <c r="T597" s="135">
        <v>0.9</v>
      </c>
      <c r="U597" s="133" t="s">
        <v>35</v>
      </c>
      <c r="V597" s="133" t="s">
        <v>35</v>
      </c>
      <c r="W597" s="133" t="s">
        <v>35</v>
      </c>
      <c r="X597" s="133" t="s">
        <v>35</v>
      </c>
      <c r="Y597" s="135">
        <v>0.92</v>
      </c>
      <c r="Z597" s="135" t="s">
        <v>35</v>
      </c>
      <c r="AA597" s="135" t="s">
        <v>35</v>
      </c>
      <c r="AB597" s="135" t="s">
        <v>35</v>
      </c>
      <c r="AC597" s="135" t="s">
        <v>35</v>
      </c>
      <c r="AD597" s="135">
        <v>0.92</v>
      </c>
      <c r="AE597" s="133">
        <v>0.0331491712707182</v>
      </c>
      <c r="AF597" s="133">
        <v>0.0704960835509138</v>
      </c>
      <c r="AG597" s="133">
        <v>1</v>
      </c>
      <c r="AH597" s="133">
        <v>0.730019733596448</v>
      </c>
      <c r="AI597" s="135">
        <v>0.92</v>
      </c>
      <c r="AJ597" s="133" t="s">
        <v>35</v>
      </c>
      <c r="AK597" s="133" t="s">
        <v>35</v>
      </c>
      <c r="AL597" s="133" t="s">
        <v>35</v>
      </c>
      <c r="AM597" s="133" t="s">
        <v>35</v>
      </c>
      <c r="AN597" s="132">
        <v>0.99</v>
      </c>
      <c r="AO597" s="137" t="s">
        <v>35</v>
      </c>
      <c r="AP597" s="137">
        <v>1</v>
      </c>
      <c r="AQ597" s="137" t="s">
        <v>35</v>
      </c>
      <c r="AR597" s="137">
        <v>1</v>
      </c>
      <c r="AS597" s="158">
        <v>0.05</v>
      </c>
      <c r="AT597" s="141" t="s">
        <v>35</v>
      </c>
      <c r="AU597" s="141" t="s">
        <v>35</v>
      </c>
      <c r="AV597" s="141" t="s">
        <v>35</v>
      </c>
      <c r="AW597" s="141" t="s">
        <v>35</v>
      </c>
      <c r="AX597" s="95"/>
      <c r="AY597" s="93"/>
    </row>
    <row r="598" ht="15" spans="1:51">
      <c r="A598" s="91"/>
      <c r="B598" s="95"/>
      <c r="C598" s="152" t="s">
        <v>375</v>
      </c>
      <c r="D598" s="153" t="s">
        <v>25</v>
      </c>
      <c r="E598" s="130" t="s">
        <v>376</v>
      </c>
      <c r="F598" s="154" t="s">
        <v>624</v>
      </c>
      <c r="G598" s="154" t="s">
        <v>624</v>
      </c>
      <c r="H598" s="154" t="s">
        <v>624</v>
      </c>
      <c r="I598" s="154" t="s">
        <v>624</v>
      </c>
      <c r="J598" s="132">
        <v>0.9</v>
      </c>
      <c r="K598" s="133">
        <v>0.758620689655172</v>
      </c>
      <c r="L598" s="133">
        <v>0.662650602409639</v>
      </c>
      <c r="M598" s="134">
        <v>0.758064516129032</v>
      </c>
      <c r="N598" s="133">
        <v>0.692307692307692</v>
      </c>
      <c r="O598" s="135">
        <v>0.9</v>
      </c>
      <c r="P598" s="133">
        <v>0.938338566942621</v>
      </c>
      <c r="Q598" s="133">
        <v>0.92311320754717</v>
      </c>
      <c r="R598" s="133">
        <v>0.918773704171934</v>
      </c>
      <c r="S598" s="133">
        <v>0.912968628226454</v>
      </c>
      <c r="T598" s="135">
        <v>0.9</v>
      </c>
      <c r="U598" s="133">
        <v>0.848415643733942</v>
      </c>
      <c r="V598" s="133">
        <v>0.765566037735849</v>
      </c>
      <c r="W598" s="133">
        <v>0.644437420986094</v>
      </c>
      <c r="X598" s="133">
        <v>0.753213367609255</v>
      </c>
      <c r="Y598" s="135">
        <v>0.92</v>
      </c>
      <c r="Z598" s="135">
        <v>0.879717621504209</v>
      </c>
      <c r="AA598" s="135">
        <v>0.883443708609272</v>
      </c>
      <c r="AB598" s="135">
        <v>0.517877305231464</v>
      </c>
      <c r="AC598" s="135">
        <v>0.827317469464098</v>
      </c>
      <c r="AD598" s="135">
        <v>0.92</v>
      </c>
      <c r="AE598" s="133">
        <v>0.999129299085764</v>
      </c>
      <c r="AF598" s="133">
        <v>0.995678074991239</v>
      </c>
      <c r="AG598" s="133">
        <v>0.927485671567406</v>
      </c>
      <c r="AH598" s="133">
        <v>0.984715824888853</v>
      </c>
      <c r="AI598" s="135">
        <v>0.92</v>
      </c>
      <c r="AJ598" s="133">
        <v>0.907201324381495</v>
      </c>
      <c r="AK598" s="133">
        <v>0.90781796966161</v>
      </c>
      <c r="AL598" s="133">
        <v>0.697354860872552</v>
      </c>
      <c r="AM598" s="133">
        <v>0.881731245277119</v>
      </c>
      <c r="AN598" s="132">
        <v>0.99</v>
      </c>
      <c r="AO598" s="137">
        <v>1</v>
      </c>
      <c r="AP598" s="137">
        <v>1</v>
      </c>
      <c r="AQ598" s="137">
        <v>1</v>
      </c>
      <c r="AR598" s="137">
        <v>1</v>
      </c>
      <c r="AS598" s="158">
        <v>0.05</v>
      </c>
      <c r="AT598" s="141">
        <v>0</v>
      </c>
      <c r="AU598" s="141">
        <v>0.0689655172413793</v>
      </c>
      <c r="AV598" s="141">
        <v>0.103448275862069</v>
      </c>
      <c r="AW598" s="141">
        <v>0.0358381502890173</v>
      </c>
      <c r="AX598" s="95"/>
      <c r="AY598" s="93"/>
    </row>
    <row r="599" ht="15" spans="1:51">
      <c r="A599" s="91"/>
      <c r="B599" s="95"/>
      <c r="C599" s="152" t="s">
        <v>375</v>
      </c>
      <c r="D599" s="153" t="s">
        <v>25</v>
      </c>
      <c r="E599" s="130" t="s">
        <v>376</v>
      </c>
      <c r="F599" s="154" t="s">
        <v>625</v>
      </c>
      <c r="G599" s="154" t="s">
        <v>625</v>
      </c>
      <c r="H599" s="154" t="s">
        <v>625</v>
      </c>
      <c r="I599" s="154" t="s">
        <v>625</v>
      </c>
      <c r="J599" s="132">
        <v>0.9</v>
      </c>
      <c r="K599" s="133">
        <v>0.84375</v>
      </c>
      <c r="L599" s="133">
        <v>0.789473684210526</v>
      </c>
      <c r="M599" s="134">
        <v>0.666666666666667</v>
      </c>
      <c r="N599" s="133">
        <v>0.832909783989835</v>
      </c>
      <c r="O599" s="135">
        <v>0.9</v>
      </c>
      <c r="P599" s="133">
        <v>0.963511972633979</v>
      </c>
      <c r="Q599" s="133">
        <v>0.974076474400518</v>
      </c>
      <c r="R599" s="133">
        <v>0.968094804010939</v>
      </c>
      <c r="S599" s="133">
        <v>0.958839172158631</v>
      </c>
      <c r="T599" s="135">
        <v>0.9</v>
      </c>
      <c r="U599" s="133">
        <v>0.943747624477385</v>
      </c>
      <c r="V599" s="133">
        <v>0.952689565780946</v>
      </c>
      <c r="W599" s="133">
        <v>0.746581586144029</v>
      </c>
      <c r="X599" s="133">
        <v>0.89091224419008</v>
      </c>
      <c r="Y599" s="135">
        <v>0.92</v>
      </c>
      <c r="Z599" s="135">
        <v>0.918591356048479</v>
      </c>
      <c r="AA599" s="135">
        <v>0.914696337505795</v>
      </c>
      <c r="AB599" s="135">
        <v>0.713119216113228</v>
      </c>
      <c r="AC599" s="135">
        <v>0.892545536316618</v>
      </c>
      <c r="AD599" s="135">
        <v>0.92</v>
      </c>
      <c r="AE599" s="133">
        <v>0.977526858145144</v>
      </c>
      <c r="AF599" s="133">
        <v>0.99003723110866</v>
      </c>
      <c r="AG599" s="133">
        <v>0.985516545971216</v>
      </c>
      <c r="AH599" s="133">
        <v>0.982435115626029</v>
      </c>
      <c r="AI599" s="135">
        <v>0.92</v>
      </c>
      <c r="AJ599" s="133">
        <v>0.939791696390355</v>
      </c>
      <c r="AK599" s="133">
        <v>0.940906637884512</v>
      </c>
      <c r="AL599" s="133">
        <v>0.840504451038576</v>
      </c>
      <c r="AM599" s="133">
        <v>0.933852804975992</v>
      </c>
      <c r="AN599" s="132">
        <v>0.99</v>
      </c>
      <c r="AO599" s="137">
        <v>1</v>
      </c>
      <c r="AP599" s="137">
        <v>1</v>
      </c>
      <c r="AQ599" s="137">
        <v>1</v>
      </c>
      <c r="AR599" s="137">
        <v>1</v>
      </c>
      <c r="AS599" s="158">
        <v>0.05</v>
      </c>
      <c r="AT599" s="141">
        <v>0</v>
      </c>
      <c r="AU599" s="141">
        <v>0.0833333333333333</v>
      </c>
      <c r="AV599" s="141">
        <v>0.0714285714285714</v>
      </c>
      <c r="AW599" s="141">
        <v>0.0572033898305085</v>
      </c>
      <c r="AX599" s="95"/>
      <c r="AY599" s="93"/>
    </row>
    <row r="600" ht="15" spans="1:51">
      <c r="A600" s="91"/>
      <c r="B600" s="95"/>
      <c r="C600" s="152" t="s">
        <v>375</v>
      </c>
      <c r="D600" s="153" t="s">
        <v>25</v>
      </c>
      <c r="E600" s="130" t="s">
        <v>376</v>
      </c>
      <c r="F600" s="154" t="s">
        <v>626</v>
      </c>
      <c r="G600" s="154" t="s">
        <v>626</v>
      </c>
      <c r="H600" s="154" t="s">
        <v>626</v>
      </c>
      <c r="I600" s="154" t="s">
        <v>626</v>
      </c>
      <c r="J600" s="132">
        <v>0.9</v>
      </c>
      <c r="K600" s="133">
        <v>0.963414634146341</v>
      </c>
      <c r="L600" s="133">
        <v>0.944444444444444</v>
      </c>
      <c r="M600" s="134">
        <v>0.75</v>
      </c>
      <c r="N600" s="133">
        <v>0.902574808629088</v>
      </c>
      <c r="O600" s="135">
        <v>0.9</v>
      </c>
      <c r="P600" s="133">
        <v>0.989262209906477</v>
      </c>
      <c r="Q600" s="133">
        <v>0.989784946236559</v>
      </c>
      <c r="R600" s="133">
        <v>0.987486592777976</v>
      </c>
      <c r="S600" s="133">
        <v>0.984462248118475</v>
      </c>
      <c r="T600" s="135">
        <v>0.9</v>
      </c>
      <c r="U600" s="133">
        <v>0.888811915483201</v>
      </c>
      <c r="V600" s="133">
        <v>0.881720430107527</v>
      </c>
      <c r="W600" s="133">
        <v>0.851626742938863</v>
      </c>
      <c r="X600" s="133">
        <v>0.893689066073779</v>
      </c>
      <c r="Y600" s="135">
        <v>0.92</v>
      </c>
      <c r="Z600" s="135">
        <v>0.960046491355514</v>
      </c>
      <c r="AA600" s="135">
        <v>0.962486974643974</v>
      </c>
      <c r="AB600" s="135">
        <v>0.944399018806214</v>
      </c>
      <c r="AC600" s="135">
        <v>0.966185930691015</v>
      </c>
      <c r="AD600" s="135">
        <v>0.92</v>
      </c>
      <c r="AE600" s="133">
        <v>0.995754267394507</v>
      </c>
      <c r="AF600" s="133">
        <v>0.993206265333082</v>
      </c>
      <c r="AG600" s="133">
        <v>0.996125396266291</v>
      </c>
      <c r="AH600" s="133">
        <v>0.993303997533052</v>
      </c>
      <c r="AI600" s="135">
        <v>0.92</v>
      </c>
      <c r="AJ600" s="133">
        <v>0.965923045435939</v>
      </c>
      <c r="AK600" s="133">
        <v>0.970476592155209</v>
      </c>
      <c r="AL600" s="133">
        <v>0.963619047619048</v>
      </c>
      <c r="AM600" s="133">
        <v>0.975772526170594</v>
      </c>
      <c r="AN600" s="132">
        <v>0.99</v>
      </c>
      <c r="AO600" s="137">
        <v>1</v>
      </c>
      <c r="AP600" s="137">
        <v>1</v>
      </c>
      <c r="AQ600" s="137">
        <v>1</v>
      </c>
      <c r="AR600" s="137">
        <v>1</v>
      </c>
      <c r="AS600" s="158">
        <v>0.05</v>
      </c>
      <c r="AT600" s="141">
        <v>0.0571428571428571</v>
      </c>
      <c r="AU600" s="141">
        <v>0</v>
      </c>
      <c r="AV600" s="141">
        <v>0.0714285714285714</v>
      </c>
      <c r="AW600" s="141">
        <v>0.0461538461538462</v>
      </c>
      <c r="AX600" s="95"/>
      <c r="AY600" s="93"/>
    </row>
    <row r="601" ht="15" spans="1:51">
      <c r="A601" s="91"/>
      <c r="B601" s="95"/>
      <c r="C601" s="152" t="s">
        <v>375</v>
      </c>
      <c r="D601" s="153" t="s">
        <v>25</v>
      </c>
      <c r="E601" s="130" t="s">
        <v>376</v>
      </c>
      <c r="F601" s="154" t="s">
        <v>627</v>
      </c>
      <c r="G601" s="154" t="s">
        <v>627</v>
      </c>
      <c r="H601" s="154" t="s">
        <v>627</v>
      </c>
      <c r="I601" s="154" t="s">
        <v>627</v>
      </c>
      <c r="J601" s="132">
        <v>0.9</v>
      </c>
      <c r="K601" s="133">
        <v>0.959016393442623</v>
      </c>
      <c r="L601" s="133">
        <v>0.915966386554622</v>
      </c>
      <c r="M601" s="134">
        <v>0.888888888888889</v>
      </c>
      <c r="N601" s="133">
        <v>0.878654970760234</v>
      </c>
      <c r="O601" s="135">
        <v>0.9</v>
      </c>
      <c r="P601" s="133">
        <v>0.977603049797474</v>
      </c>
      <c r="Q601" s="133">
        <v>0.919732441471572</v>
      </c>
      <c r="R601" s="133">
        <v>0.920200158019489</v>
      </c>
      <c r="S601" s="133">
        <v>0.978041193291599</v>
      </c>
      <c r="T601" s="135">
        <v>0.9</v>
      </c>
      <c r="U601" s="133">
        <v>0.933523945675482</v>
      </c>
      <c r="V601" s="133">
        <v>0.930137495354887</v>
      </c>
      <c r="W601" s="133">
        <v>0.863313141954174</v>
      </c>
      <c r="X601" s="133">
        <v>0.930896900842414</v>
      </c>
      <c r="Y601" s="135">
        <v>0.92</v>
      </c>
      <c r="Z601" s="135">
        <v>0.931193747039318</v>
      </c>
      <c r="AA601" s="135">
        <v>0.939169531869876</v>
      </c>
      <c r="AB601" s="135">
        <v>0.887640449438202</v>
      </c>
      <c r="AC601" s="135">
        <v>0.935150612945474</v>
      </c>
      <c r="AD601" s="135">
        <v>0.92</v>
      </c>
      <c r="AE601" s="133">
        <v>0.999508116084604</v>
      </c>
      <c r="AF601" s="133">
        <v>0.999613216930048</v>
      </c>
      <c r="AG601" s="133">
        <v>0.995814354302598</v>
      </c>
      <c r="AH601" s="133">
        <v>0.999190207324821</v>
      </c>
      <c r="AI601" s="135">
        <v>0.92</v>
      </c>
      <c r="AJ601" s="133">
        <v>0.943622993595319</v>
      </c>
      <c r="AK601" s="133">
        <v>0.951328800988875</v>
      </c>
      <c r="AL601" s="133">
        <v>0.921121341212038</v>
      </c>
      <c r="AM601" s="133">
        <v>0.956014901524581</v>
      </c>
      <c r="AN601" s="132">
        <v>0.99</v>
      </c>
      <c r="AO601" s="137">
        <v>1</v>
      </c>
      <c r="AP601" s="137">
        <v>1</v>
      </c>
      <c r="AQ601" s="137">
        <v>1</v>
      </c>
      <c r="AR601" s="137">
        <v>1</v>
      </c>
      <c r="AS601" s="158">
        <v>0.05</v>
      </c>
      <c r="AT601" s="141">
        <v>0.0833333333333333</v>
      </c>
      <c r="AU601" s="141">
        <v>0.235294117647059</v>
      </c>
      <c r="AV601" s="141">
        <v>0</v>
      </c>
      <c r="AW601" s="141">
        <v>0.0523952095808383</v>
      </c>
      <c r="AX601" s="95"/>
      <c r="AY601" s="93"/>
    </row>
    <row r="602" ht="15" spans="1:51">
      <c r="A602" s="91"/>
      <c r="B602" s="95"/>
      <c r="C602" s="152" t="s">
        <v>375</v>
      </c>
      <c r="D602" s="153" t="s">
        <v>25</v>
      </c>
      <c r="E602" s="130" t="s">
        <v>376</v>
      </c>
      <c r="F602" s="154" t="s">
        <v>628</v>
      </c>
      <c r="G602" s="154" t="s">
        <v>628</v>
      </c>
      <c r="H602" s="154" t="s">
        <v>628</v>
      </c>
      <c r="I602" s="154" t="s">
        <v>628</v>
      </c>
      <c r="J602" s="132">
        <v>0.9</v>
      </c>
      <c r="K602" s="133">
        <v>0.972222222222222</v>
      </c>
      <c r="L602" s="133">
        <v>0.942857142857143</v>
      </c>
      <c r="M602" s="134">
        <v>0.962962962962963</v>
      </c>
      <c r="N602" s="133">
        <v>0.949756888168558</v>
      </c>
      <c r="O602" s="135">
        <v>0.9</v>
      </c>
      <c r="P602" s="133">
        <v>0.981460023174971</v>
      </c>
      <c r="Q602" s="133">
        <v>0.984149855907781</v>
      </c>
      <c r="R602" s="133">
        <v>0.971181556195965</v>
      </c>
      <c r="S602" s="133">
        <v>0.942229817587398</v>
      </c>
      <c r="T602" s="135">
        <v>0.9</v>
      </c>
      <c r="U602" s="133">
        <v>0.931633835457706</v>
      </c>
      <c r="V602" s="133">
        <v>0.959654178674352</v>
      </c>
      <c r="W602" s="133">
        <v>0.826128722382325</v>
      </c>
      <c r="X602" s="133">
        <v>0.902217929189731</v>
      </c>
      <c r="Y602" s="135">
        <v>0.92</v>
      </c>
      <c r="Z602" s="135">
        <v>0.897693079237713</v>
      </c>
      <c r="AA602" s="135">
        <v>0.864066193853428</v>
      </c>
      <c r="AB602" s="135">
        <v>0.659928656361474</v>
      </c>
      <c r="AC602" s="135">
        <v>0.888498053411652</v>
      </c>
      <c r="AD602" s="135">
        <v>0.92</v>
      </c>
      <c r="AE602" s="133">
        <v>1</v>
      </c>
      <c r="AF602" s="133">
        <v>1</v>
      </c>
      <c r="AG602" s="133">
        <v>0.948717948717949</v>
      </c>
      <c r="AH602" s="133">
        <v>0.990412272291467</v>
      </c>
      <c r="AI602" s="135">
        <v>0.92</v>
      </c>
      <c r="AJ602" s="133">
        <v>0.920546027301365</v>
      </c>
      <c r="AK602" s="133">
        <v>0.916883116883117</v>
      </c>
      <c r="AL602" s="133">
        <v>0.820935175345377</v>
      </c>
      <c r="AM602" s="133">
        <v>0.929827058572344</v>
      </c>
      <c r="AN602" s="132">
        <v>0.99</v>
      </c>
      <c r="AO602" s="137">
        <v>1</v>
      </c>
      <c r="AP602" s="137">
        <v>1</v>
      </c>
      <c r="AQ602" s="137">
        <v>1</v>
      </c>
      <c r="AR602" s="137">
        <v>1</v>
      </c>
      <c r="AS602" s="158">
        <v>0.05</v>
      </c>
      <c r="AT602" s="141">
        <v>0</v>
      </c>
      <c r="AU602" s="141">
        <v>0</v>
      </c>
      <c r="AV602" s="141">
        <v>0</v>
      </c>
      <c r="AW602" s="141">
        <v>0.0903954802259887</v>
      </c>
      <c r="AX602" s="95"/>
      <c r="AY602" s="93"/>
    </row>
    <row r="603" ht="15" spans="1:51">
      <c r="A603" s="91"/>
      <c r="B603" s="95"/>
      <c r="C603" s="152" t="s">
        <v>375</v>
      </c>
      <c r="D603" s="153" t="s">
        <v>25</v>
      </c>
      <c r="E603" s="130" t="s">
        <v>376</v>
      </c>
      <c r="F603" s="154" t="s">
        <v>629</v>
      </c>
      <c r="G603" s="154" t="s">
        <v>629</v>
      </c>
      <c r="H603" s="154" t="s">
        <v>629</v>
      </c>
      <c r="I603" s="154" t="s">
        <v>629</v>
      </c>
      <c r="J603" s="132">
        <v>0.9</v>
      </c>
      <c r="K603" s="133">
        <v>0.932203389830508</v>
      </c>
      <c r="L603" s="133">
        <v>0.924528301886792</v>
      </c>
      <c r="M603" s="134">
        <v>0.951219512195122</v>
      </c>
      <c r="N603" s="133">
        <v>0.939393939393939</v>
      </c>
      <c r="O603" s="135">
        <v>0.9</v>
      </c>
      <c r="P603" s="133">
        <v>0.96567069294342</v>
      </c>
      <c r="Q603" s="133">
        <v>0.962928637627433</v>
      </c>
      <c r="R603" s="133">
        <v>0.892982456140351</v>
      </c>
      <c r="S603" s="133">
        <v>0.953883381102288</v>
      </c>
      <c r="T603" s="135">
        <v>0.9</v>
      </c>
      <c r="U603" s="133">
        <v>0.919898283534647</v>
      </c>
      <c r="V603" s="133">
        <v>0.923076923076923</v>
      </c>
      <c r="W603" s="133">
        <v>0.853801169590643</v>
      </c>
      <c r="X603" s="133">
        <v>0.906639101630409</v>
      </c>
      <c r="Y603" s="135">
        <v>0.92</v>
      </c>
      <c r="Z603" s="135">
        <v>0.90914318573893</v>
      </c>
      <c r="AA603" s="135">
        <v>0.901457725947522</v>
      </c>
      <c r="AB603" s="135">
        <v>0.763285024154589</v>
      </c>
      <c r="AC603" s="135">
        <v>0.90098167403441</v>
      </c>
      <c r="AD603" s="135">
        <v>0.92</v>
      </c>
      <c r="AE603" s="133">
        <v>0.989147008700332</v>
      </c>
      <c r="AF603" s="133">
        <v>0.996392190152801</v>
      </c>
      <c r="AG603" s="133">
        <v>0.994283899650683</v>
      </c>
      <c r="AH603" s="133">
        <v>0.993345253619779</v>
      </c>
      <c r="AI603" s="135">
        <v>0.92</v>
      </c>
      <c r="AJ603" s="133">
        <v>0.929150999406293</v>
      </c>
      <c r="AK603" s="133">
        <v>0.927064712191634</v>
      </c>
      <c r="AL603" s="133">
        <v>0.852941176470588</v>
      </c>
      <c r="AM603" s="133">
        <v>0.934135758963968</v>
      </c>
      <c r="AN603" s="132">
        <v>0.99</v>
      </c>
      <c r="AO603" s="137">
        <v>1</v>
      </c>
      <c r="AP603" s="137">
        <v>1</v>
      </c>
      <c r="AQ603" s="137">
        <v>1</v>
      </c>
      <c r="AR603" s="137">
        <v>1</v>
      </c>
      <c r="AS603" s="158">
        <v>0.05</v>
      </c>
      <c r="AT603" s="141">
        <v>0.111111111111111</v>
      </c>
      <c r="AU603" s="141">
        <v>0.111111111111111</v>
      </c>
      <c r="AV603" s="141">
        <v>0</v>
      </c>
      <c r="AW603" s="141">
        <v>0.072463768115942</v>
      </c>
      <c r="AX603" s="95"/>
      <c r="AY603" s="93"/>
    </row>
    <row r="604" ht="15" spans="1:51">
      <c r="A604" s="91"/>
      <c r="B604" s="95"/>
      <c r="C604" s="152" t="s">
        <v>375</v>
      </c>
      <c r="D604" s="153" t="s">
        <v>25</v>
      </c>
      <c r="E604" s="130" t="s">
        <v>376</v>
      </c>
      <c r="F604" s="154" t="s">
        <v>630</v>
      </c>
      <c r="G604" s="154" t="s">
        <v>630</v>
      </c>
      <c r="H604" s="154" t="s">
        <v>630</v>
      </c>
      <c r="I604" s="154" t="s">
        <v>630</v>
      </c>
      <c r="J604" s="132">
        <v>0.9</v>
      </c>
      <c r="K604" s="133">
        <v>0.913793103448276</v>
      </c>
      <c r="L604" s="133">
        <v>0.925925925925926</v>
      </c>
      <c r="M604" s="134">
        <v>0.833333333333333</v>
      </c>
      <c r="N604" s="133">
        <v>0.864406779661017</v>
      </c>
      <c r="O604" s="135">
        <v>0.9</v>
      </c>
      <c r="P604" s="133">
        <v>0.962864721485411</v>
      </c>
      <c r="Q604" s="133">
        <v>0.969078947368421</v>
      </c>
      <c r="R604" s="133">
        <v>0.966949952785647</v>
      </c>
      <c r="S604" s="133">
        <v>0.966210421597887</v>
      </c>
      <c r="T604" s="135">
        <v>0.9</v>
      </c>
      <c r="U604" s="133">
        <v>0.914740431981811</v>
      </c>
      <c r="V604" s="133">
        <v>0.897368421052632</v>
      </c>
      <c r="W604" s="133">
        <v>0.854579792256846</v>
      </c>
      <c r="X604" s="133">
        <v>0.891170114232788</v>
      </c>
      <c r="Y604" s="135">
        <v>0.92</v>
      </c>
      <c r="Z604" s="135">
        <v>0.92367775050212</v>
      </c>
      <c r="AA604" s="135">
        <v>0.94435857805255</v>
      </c>
      <c r="AB604" s="135">
        <v>0.817354793561931</v>
      </c>
      <c r="AC604" s="135">
        <v>0.91950295452065</v>
      </c>
      <c r="AD604" s="135">
        <v>0.92</v>
      </c>
      <c r="AE604" s="133">
        <v>0.986454592098512</v>
      </c>
      <c r="AF604" s="133">
        <v>0.998751492780371</v>
      </c>
      <c r="AG604" s="133">
        <v>0.919708944925354</v>
      </c>
      <c r="AH604" s="133">
        <v>0.97782184212518</v>
      </c>
      <c r="AI604" s="135">
        <v>0.92</v>
      </c>
      <c r="AJ604" s="133">
        <v>0.937193326790972</v>
      </c>
      <c r="AK604" s="133">
        <v>0.955831408775981</v>
      </c>
      <c r="AL604" s="133">
        <v>0.888951521984216</v>
      </c>
      <c r="AM604" s="133">
        <v>0.944317059836313</v>
      </c>
      <c r="AN604" s="132">
        <v>0.99</v>
      </c>
      <c r="AO604" s="137">
        <v>1</v>
      </c>
      <c r="AP604" s="137">
        <v>1</v>
      </c>
      <c r="AQ604" s="137">
        <v>1</v>
      </c>
      <c r="AR604" s="137">
        <v>1</v>
      </c>
      <c r="AS604" s="158">
        <v>0.05</v>
      </c>
      <c r="AT604" s="141">
        <v>0.108108108108108</v>
      </c>
      <c r="AU604" s="141">
        <v>0.0689655172413793</v>
      </c>
      <c r="AV604" s="141">
        <v>0.0714285714285714</v>
      </c>
      <c r="AW604" s="141">
        <v>0.0759651307596513</v>
      </c>
      <c r="AX604" s="95"/>
      <c r="AY604" s="93"/>
    </row>
    <row r="605" ht="15" spans="1:51">
      <c r="A605" s="91"/>
      <c r="B605" s="95"/>
      <c r="C605" s="152" t="s">
        <v>375</v>
      </c>
      <c r="D605" s="153" t="s">
        <v>25</v>
      </c>
      <c r="E605" s="130" t="s">
        <v>376</v>
      </c>
      <c r="F605" s="154" t="s">
        <v>631</v>
      </c>
      <c r="G605" s="154" t="s">
        <v>631</v>
      </c>
      <c r="H605" s="154" t="s">
        <v>631</v>
      </c>
      <c r="I605" s="154" t="s">
        <v>631</v>
      </c>
      <c r="J605" s="132">
        <v>0.9</v>
      </c>
      <c r="K605" s="133">
        <v>0.879310344827586</v>
      </c>
      <c r="L605" s="133">
        <v>0.867924528301887</v>
      </c>
      <c r="M605" s="134">
        <v>0.888888888888889</v>
      </c>
      <c r="N605" s="133">
        <v>0.855289421157685</v>
      </c>
      <c r="O605" s="135">
        <v>0.9</v>
      </c>
      <c r="P605" s="133">
        <v>0.99327246516098</v>
      </c>
      <c r="Q605" s="133">
        <v>0.987240829346092</v>
      </c>
      <c r="R605" s="133">
        <v>0.977036632039366</v>
      </c>
      <c r="S605" s="133">
        <v>0.98441524260711</v>
      </c>
      <c r="T605" s="135">
        <v>0.9</v>
      </c>
      <c r="U605" s="133">
        <v>0.871215761653051</v>
      </c>
      <c r="V605" s="133">
        <v>0.864433811802233</v>
      </c>
      <c r="W605" s="133">
        <v>0.840896664844177</v>
      </c>
      <c r="X605" s="133">
        <v>0.885323256819506</v>
      </c>
      <c r="Y605" s="135">
        <v>0.92</v>
      </c>
      <c r="Z605" s="135">
        <v>0.93836510838339</v>
      </c>
      <c r="AA605" s="135">
        <v>0.913739987677141</v>
      </c>
      <c r="AB605" s="135">
        <v>0.907216494845361</v>
      </c>
      <c r="AC605" s="135">
        <v>0.934844003275346</v>
      </c>
      <c r="AD605" s="135">
        <v>0.92</v>
      </c>
      <c r="AE605" s="133">
        <v>0.999243455893479</v>
      </c>
      <c r="AF605" s="133">
        <v>0.993767102462755</v>
      </c>
      <c r="AG605" s="133">
        <v>0.894360603653693</v>
      </c>
      <c r="AH605" s="133">
        <v>0.982451622397175</v>
      </c>
      <c r="AI605" s="135">
        <v>0.92</v>
      </c>
      <c r="AJ605" s="133">
        <v>0.94839255499154</v>
      </c>
      <c r="AK605" s="133">
        <v>0.934722222222222</v>
      </c>
      <c r="AL605" s="133">
        <v>0.932268559597752</v>
      </c>
      <c r="AM605" s="133">
        <v>0.952831940575673</v>
      </c>
      <c r="AN605" s="132">
        <v>0.99</v>
      </c>
      <c r="AO605" s="137">
        <v>1</v>
      </c>
      <c r="AP605" s="137">
        <v>1</v>
      </c>
      <c r="AQ605" s="137">
        <v>1</v>
      </c>
      <c r="AR605" s="137">
        <v>1</v>
      </c>
      <c r="AS605" s="158">
        <v>0.05</v>
      </c>
      <c r="AT605" s="141">
        <v>0.136363636363636</v>
      </c>
      <c r="AU605" s="141">
        <v>0.05</v>
      </c>
      <c r="AV605" s="141">
        <v>0.0666666666666667</v>
      </c>
      <c r="AW605" s="141">
        <v>0.0411861614497529</v>
      </c>
      <c r="AX605" s="95"/>
      <c r="AY605" s="93"/>
    </row>
    <row r="606" ht="15" spans="1:51">
      <c r="A606" s="91"/>
      <c r="B606" s="95"/>
      <c r="C606" s="152" t="s">
        <v>375</v>
      </c>
      <c r="D606" s="153" t="s">
        <v>25</v>
      </c>
      <c r="E606" s="130" t="s">
        <v>376</v>
      </c>
      <c r="F606" s="154" t="s">
        <v>632</v>
      </c>
      <c r="G606" s="154" t="s">
        <v>632</v>
      </c>
      <c r="H606" s="154" t="s">
        <v>632</v>
      </c>
      <c r="I606" s="154" t="s">
        <v>632</v>
      </c>
      <c r="J606" s="132">
        <v>0.9</v>
      </c>
      <c r="K606" s="133">
        <v>0.842105263157895</v>
      </c>
      <c r="L606" s="133">
        <v>0.771428571428571</v>
      </c>
      <c r="M606" s="134">
        <v>0.636363636363636</v>
      </c>
      <c r="N606" s="133">
        <v>0.738023952095808</v>
      </c>
      <c r="O606" s="135">
        <v>0.9</v>
      </c>
      <c r="P606" s="133">
        <v>0.935880829015544</v>
      </c>
      <c r="Q606" s="133">
        <v>0.928725701943845</v>
      </c>
      <c r="R606" s="133">
        <v>0.855106888361045</v>
      </c>
      <c r="S606" s="133">
        <v>0.845009750560293</v>
      </c>
      <c r="T606" s="135">
        <v>0.9</v>
      </c>
      <c r="U606" s="133">
        <v>0.930051813471503</v>
      </c>
      <c r="V606" s="133">
        <v>0.896328293736501</v>
      </c>
      <c r="W606" s="133">
        <v>0.806809184481393</v>
      </c>
      <c r="X606" s="133">
        <v>0.826760194429083</v>
      </c>
      <c r="Y606" s="135">
        <v>0.92</v>
      </c>
      <c r="Z606" s="135">
        <v>0.90726615816941</v>
      </c>
      <c r="AA606" s="135">
        <v>0.870941558441558</v>
      </c>
      <c r="AB606" s="135">
        <v>0.628029504741833</v>
      </c>
      <c r="AC606" s="135">
        <v>0.769709543568465</v>
      </c>
      <c r="AD606" s="135">
        <v>0.92</v>
      </c>
      <c r="AE606" s="133">
        <v>0.991074748977315</v>
      </c>
      <c r="AF606" s="133">
        <v>0.829980879541109</v>
      </c>
      <c r="AG606" s="133">
        <v>0.988999887753957</v>
      </c>
      <c r="AH606" s="133">
        <v>0.817549224312088</v>
      </c>
      <c r="AI606" s="135">
        <v>0.92</v>
      </c>
      <c r="AJ606" s="133">
        <v>0.927191679049034</v>
      </c>
      <c r="AK606" s="133">
        <v>0.910565338276182</v>
      </c>
      <c r="AL606" s="133">
        <v>0.765024853140533</v>
      </c>
      <c r="AM606" s="133">
        <v>0.847932515950386</v>
      </c>
      <c r="AN606" s="132">
        <v>0.99</v>
      </c>
      <c r="AO606" s="137">
        <v>1</v>
      </c>
      <c r="AP606" s="137">
        <v>1</v>
      </c>
      <c r="AQ606" s="137">
        <v>1</v>
      </c>
      <c r="AR606" s="137">
        <v>1</v>
      </c>
      <c r="AS606" s="158">
        <v>0.05</v>
      </c>
      <c r="AT606" s="141">
        <v>0.142857142857143</v>
      </c>
      <c r="AU606" s="141">
        <v>0</v>
      </c>
      <c r="AV606" s="141">
        <v>0</v>
      </c>
      <c r="AW606" s="141">
        <v>0.0346456692913386</v>
      </c>
      <c r="AX606" s="95"/>
      <c r="AY606" s="93"/>
    </row>
    <row r="607" ht="15" spans="1:51">
      <c r="A607" s="91"/>
      <c r="B607" s="95"/>
      <c r="C607" s="152" t="s">
        <v>375</v>
      </c>
      <c r="D607" s="153" t="s">
        <v>25</v>
      </c>
      <c r="E607" s="130" t="s">
        <v>376</v>
      </c>
      <c r="F607" s="154" t="s">
        <v>633</v>
      </c>
      <c r="G607" s="154" t="s">
        <v>633</v>
      </c>
      <c r="H607" s="154" t="s">
        <v>633</v>
      </c>
      <c r="I607" s="154" t="s">
        <v>633</v>
      </c>
      <c r="J607" s="132">
        <v>0.9</v>
      </c>
      <c r="K607" s="133">
        <v>0.901408450704225</v>
      </c>
      <c r="L607" s="133">
        <v>0.956521739130435</v>
      </c>
      <c r="M607" s="134">
        <v>0.92</v>
      </c>
      <c r="N607" s="133">
        <v>0.90797041906327</v>
      </c>
      <c r="O607" s="135">
        <v>0.9</v>
      </c>
      <c r="P607" s="133">
        <v>0.97164461247637</v>
      </c>
      <c r="Q607" s="133">
        <v>0.980128893662728</v>
      </c>
      <c r="R607" s="133">
        <v>0.964135826020603</v>
      </c>
      <c r="S607" s="133">
        <v>0.968750465910277</v>
      </c>
      <c r="T607" s="135">
        <v>0.9</v>
      </c>
      <c r="U607" s="133">
        <v>0.885003150598614</v>
      </c>
      <c r="V607" s="133">
        <v>0.9312567132116</v>
      </c>
      <c r="W607" s="133">
        <v>0.884776802747043</v>
      </c>
      <c r="X607" s="133">
        <v>0.903463390634085</v>
      </c>
      <c r="Y607" s="135">
        <v>0.92</v>
      </c>
      <c r="Z607" s="135">
        <v>0.928632115548003</v>
      </c>
      <c r="AA607" s="135">
        <v>0.957987072945522</v>
      </c>
      <c r="AB607" s="135">
        <v>0.82026875699888</v>
      </c>
      <c r="AC607" s="135">
        <v>0.904806482754586</v>
      </c>
      <c r="AD607" s="135">
        <v>0.92</v>
      </c>
      <c r="AE607" s="133">
        <v>0.989931400752379</v>
      </c>
      <c r="AF607" s="133">
        <v>0.963390407719232</v>
      </c>
      <c r="AG607" s="133">
        <v>0.980810234541578</v>
      </c>
      <c r="AH607" s="133">
        <v>0.990069657017523</v>
      </c>
      <c r="AI607" s="135">
        <v>0.92</v>
      </c>
      <c r="AJ607" s="133">
        <v>0.94702154626109</v>
      </c>
      <c r="AK607" s="133">
        <v>0.968982630272953</v>
      </c>
      <c r="AL607" s="133">
        <v>0.89339986391472</v>
      </c>
      <c r="AM607" s="133">
        <v>0.937462643614549</v>
      </c>
      <c r="AN607" s="132">
        <v>0.99</v>
      </c>
      <c r="AO607" s="137">
        <v>1</v>
      </c>
      <c r="AP607" s="137">
        <v>1</v>
      </c>
      <c r="AQ607" s="137">
        <v>1</v>
      </c>
      <c r="AR607" s="137">
        <v>1</v>
      </c>
      <c r="AS607" s="158">
        <v>0.05</v>
      </c>
      <c r="AT607" s="141">
        <v>0.0416666666666667</v>
      </c>
      <c r="AU607" s="141">
        <v>0.0645161290322581</v>
      </c>
      <c r="AV607" s="141">
        <v>0.0769230769230769</v>
      </c>
      <c r="AW607" s="141">
        <v>0.0617059891107078</v>
      </c>
      <c r="AX607" s="95"/>
      <c r="AY607" s="93"/>
    </row>
    <row r="608" ht="15" spans="1:51">
      <c r="A608" s="91"/>
      <c r="B608" s="95"/>
      <c r="C608" s="152" t="s">
        <v>375</v>
      </c>
      <c r="D608" s="153" t="s">
        <v>25</v>
      </c>
      <c r="E608" s="130" t="s">
        <v>376</v>
      </c>
      <c r="F608" s="154" t="s">
        <v>634</v>
      </c>
      <c r="G608" s="154" t="s">
        <v>634</v>
      </c>
      <c r="H608" s="154" t="s">
        <v>634</v>
      </c>
      <c r="I608" s="154" t="s">
        <v>634</v>
      </c>
      <c r="J608" s="132">
        <v>0.9</v>
      </c>
      <c r="K608" s="133">
        <v>0.912087912087912</v>
      </c>
      <c r="L608" s="133">
        <v>0.91358024691358</v>
      </c>
      <c r="M608" s="134">
        <v>0.939393939393939</v>
      </c>
      <c r="N608" s="133">
        <v>0.918151815181518</v>
      </c>
      <c r="O608" s="135">
        <v>0.9</v>
      </c>
      <c r="P608" s="133">
        <v>0.936835712116611</v>
      </c>
      <c r="Q608" s="133">
        <v>0.923479087452472</v>
      </c>
      <c r="R608" s="133">
        <v>0.939222614840989</v>
      </c>
      <c r="S608" s="133">
        <v>0.941388614324259</v>
      </c>
      <c r="T608" s="135">
        <v>0.9</v>
      </c>
      <c r="U608" s="133">
        <v>0.907986638323717</v>
      </c>
      <c r="V608" s="133">
        <v>0.900665399239544</v>
      </c>
      <c r="W608" s="133">
        <v>0.836395759717315</v>
      </c>
      <c r="X608" s="133">
        <v>0.891085405925253</v>
      </c>
      <c r="Y608" s="135">
        <v>0.92</v>
      </c>
      <c r="Z608" s="135">
        <v>0.895418487939129</v>
      </c>
      <c r="AA608" s="135">
        <v>0.950840469394228</v>
      </c>
      <c r="AB608" s="135">
        <v>0.856138900372055</v>
      </c>
      <c r="AC608" s="135">
        <v>0.937912043033337</v>
      </c>
      <c r="AD608" s="135">
        <v>0.92</v>
      </c>
      <c r="AE608" s="133">
        <v>0.998326593222703</v>
      </c>
      <c r="AF608" s="133">
        <v>0.999755411520117</v>
      </c>
      <c r="AG608" s="133">
        <v>0.999630678320817</v>
      </c>
      <c r="AH608" s="133">
        <v>0.99959657000456</v>
      </c>
      <c r="AI608" s="135">
        <v>0.92</v>
      </c>
      <c r="AJ608" s="133">
        <v>0.918582577515292</v>
      </c>
      <c r="AK608" s="133">
        <v>0.959141011022425</v>
      </c>
      <c r="AL608" s="133">
        <v>0.904109589041096</v>
      </c>
      <c r="AM608" s="133">
        <v>0.954199565701628</v>
      </c>
      <c r="AN608" s="132">
        <v>0.99</v>
      </c>
      <c r="AO608" s="137">
        <v>1</v>
      </c>
      <c r="AP608" s="137">
        <v>1</v>
      </c>
      <c r="AQ608" s="137">
        <v>1</v>
      </c>
      <c r="AR608" s="137">
        <v>1</v>
      </c>
      <c r="AS608" s="158">
        <v>0.05</v>
      </c>
      <c r="AT608" s="141">
        <v>0.0689655172413793</v>
      </c>
      <c r="AU608" s="141">
        <v>0.0588235294117647</v>
      </c>
      <c r="AV608" s="141">
        <v>0.0434782608695652</v>
      </c>
      <c r="AW608" s="141">
        <v>0.0351617440225035</v>
      </c>
      <c r="AX608" s="95"/>
      <c r="AY608" s="93"/>
    </row>
    <row r="609" ht="15" spans="1:51">
      <c r="A609" s="91"/>
      <c r="B609" s="95"/>
      <c r="C609" s="152" t="s">
        <v>375</v>
      </c>
      <c r="D609" s="153" t="s">
        <v>25</v>
      </c>
      <c r="E609" s="130" t="s">
        <v>376</v>
      </c>
      <c r="F609" s="154" t="s">
        <v>635</v>
      </c>
      <c r="G609" s="154" t="s">
        <v>635</v>
      </c>
      <c r="H609" s="154" t="s">
        <v>635</v>
      </c>
      <c r="I609" s="154" t="s">
        <v>635</v>
      </c>
      <c r="J609" s="132">
        <v>0.9</v>
      </c>
      <c r="K609" s="133">
        <v>0.919540229885057</v>
      </c>
      <c r="L609" s="133">
        <v>0.920634920634921</v>
      </c>
      <c r="M609" s="134">
        <v>0.957746478873239</v>
      </c>
      <c r="N609" s="133">
        <v>0.935371785962474</v>
      </c>
      <c r="O609" s="135">
        <v>0.9</v>
      </c>
      <c r="P609" s="133">
        <v>0.971781305114638</v>
      </c>
      <c r="Q609" s="133">
        <v>0.974261603375527</v>
      </c>
      <c r="R609" s="133">
        <v>0.963420542635659</v>
      </c>
      <c r="S609" s="133">
        <v>0.965614186851211</v>
      </c>
      <c r="T609" s="135">
        <v>0.9</v>
      </c>
      <c r="U609" s="133">
        <v>0.943915343915344</v>
      </c>
      <c r="V609" s="133">
        <v>0.936286919831224</v>
      </c>
      <c r="W609" s="133">
        <v>0.919331395348837</v>
      </c>
      <c r="X609" s="133">
        <v>0.909483131487889</v>
      </c>
      <c r="Y609" s="135">
        <v>0.92</v>
      </c>
      <c r="Z609" s="135">
        <v>0.943181818181818</v>
      </c>
      <c r="AA609" s="135">
        <v>0.943734015345269</v>
      </c>
      <c r="AB609" s="135">
        <v>0.921504497138185</v>
      </c>
      <c r="AC609" s="135">
        <v>0.937873103513367</v>
      </c>
      <c r="AD609" s="135">
        <v>0.92</v>
      </c>
      <c r="AE609" s="133">
        <v>0.998790810157195</v>
      </c>
      <c r="AF609" s="133">
        <v>0.995949367088608</v>
      </c>
      <c r="AG609" s="133">
        <v>0.999168744804655</v>
      </c>
      <c r="AH609" s="133">
        <v>0.984767234009482</v>
      </c>
      <c r="AI609" s="135">
        <v>0.92</v>
      </c>
      <c r="AJ609" s="133">
        <v>0.964422550629447</v>
      </c>
      <c r="AK609" s="133">
        <v>0.966963151207116</v>
      </c>
      <c r="AL609" s="133">
        <v>0.963011395479171</v>
      </c>
      <c r="AM609" s="133">
        <v>0.966577966214764</v>
      </c>
      <c r="AN609" s="132">
        <v>0.99</v>
      </c>
      <c r="AO609" s="137">
        <v>1</v>
      </c>
      <c r="AP609" s="137">
        <v>1</v>
      </c>
      <c r="AQ609" s="137">
        <v>1</v>
      </c>
      <c r="AR609" s="137">
        <v>1</v>
      </c>
      <c r="AS609" s="158">
        <v>0.05</v>
      </c>
      <c r="AT609" s="141">
        <v>0.0159574468085106</v>
      </c>
      <c r="AU609" s="141">
        <v>0.00451467268623025</v>
      </c>
      <c r="AV609" s="141">
        <v>0.00674157303370787</v>
      </c>
      <c r="AW609" s="141">
        <v>0.0113732097725358</v>
      </c>
      <c r="AX609" s="95"/>
      <c r="AY609" s="93"/>
    </row>
    <row r="610" ht="15" spans="1:51">
      <c r="A610" s="91"/>
      <c r="B610" s="95"/>
      <c r="C610" s="152" t="s">
        <v>375</v>
      </c>
      <c r="D610" s="153" t="s">
        <v>25</v>
      </c>
      <c r="E610" s="130" t="s">
        <v>376</v>
      </c>
      <c r="F610" s="154" t="s">
        <v>636</v>
      </c>
      <c r="G610" s="154" t="s">
        <v>636</v>
      </c>
      <c r="H610" s="154" t="s">
        <v>636</v>
      </c>
      <c r="I610" s="154" t="s">
        <v>636</v>
      </c>
      <c r="J610" s="132">
        <v>0.9</v>
      </c>
      <c r="K610" s="133">
        <v>1</v>
      </c>
      <c r="L610" s="133">
        <v>0.979591836734694</v>
      </c>
      <c r="M610" s="134">
        <v>1</v>
      </c>
      <c r="N610" s="133">
        <v>0.994764397905759</v>
      </c>
      <c r="O610" s="135">
        <v>0.9</v>
      </c>
      <c r="P610" s="133">
        <v>0.994727592267135</v>
      </c>
      <c r="Q610" s="133">
        <v>0.977110885045778</v>
      </c>
      <c r="R610" s="133">
        <v>0.986286919831224</v>
      </c>
      <c r="S610" s="133">
        <v>0.986687366582573</v>
      </c>
      <c r="T610" s="135">
        <v>0.9</v>
      </c>
      <c r="U610" s="133">
        <v>0.963532513181019</v>
      </c>
      <c r="V610" s="133">
        <v>0.949643947100712</v>
      </c>
      <c r="W610" s="133">
        <v>0.962816455696203</v>
      </c>
      <c r="X610" s="133">
        <v>0.952183194255773</v>
      </c>
      <c r="Y610" s="135">
        <v>0.92</v>
      </c>
      <c r="Z610" s="135">
        <v>0.971838469713071</v>
      </c>
      <c r="AA610" s="135">
        <v>0.946094609460946</v>
      </c>
      <c r="AB610" s="135">
        <v>0.914460285132383</v>
      </c>
      <c r="AC610" s="135">
        <v>0.948632445280074</v>
      </c>
      <c r="AD610" s="135">
        <v>0.92</v>
      </c>
      <c r="AE610" s="133">
        <v>1</v>
      </c>
      <c r="AF610" s="133">
        <v>0.997961956521739</v>
      </c>
      <c r="AG610" s="133">
        <v>0.995157384987893</v>
      </c>
      <c r="AH610" s="133">
        <v>0.995985195408067</v>
      </c>
      <c r="AI610" s="135">
        <v>0.92</v>
      </c>
      <c r="AJ610" s="133">
        <v>0.983189241114313</v>
      </c>
      <c r="AK610" s="133">
        <v>0.971527777777778</v>
      </c>
      <c r="AL610" s="133">
        <v>0.972565445026178</v>
      </c>
      <c r="AM610" s="133">
        <v>0.979702646615686</v>
      </c>
      <c r="AN610" s="132">
        <v>0.99</v>
      </c>
      <c r="AO610" s="137">
        <v>1</v>
      </c>
      <c r="AP610" s="137">
        <v>1</v>
      </c>
      <c r="AQ610" s="137">
        <v>1</v>
      </c>
      <c r="AR610" s="137">
        <v>1</v>
      </c>
      <c r="AS610" s="158">
        <v>0.05</v>
      </c>
      <c r="AT610" s="141">
        <v>0.0062111801242236</v>
      </c>
      <c r="AU610" s="141">
        <v>0.012987012987013</v>
      </c>
      <c r="AV610" s="141">
        <v>0</v>
      </c>
      <c r="AW610" s="141">
        <v>0.0113129928008228</v>
      </c>
      <c r="AX610" s="95"/>
      <c r="AY610" s="93"/>
    </row>
    <row r="611" ht="15" spans="1:51">
      <c r="A611" s="91"/>
      <c r="B611" s="95"/>
      <c r="C611" s="152" t="s">
        <v>375</v>
      </c>
      <c r="D611" s="153" t="s">
        <v>25</v>
      </c>
      <c r="E611" s="130" t="s">
        <v>376</v>
      </c>
      <c r="F611" s="154" t="s">
        <v>637</v>
      </c>
      <c r="G611" s="154" t="s">
        <v>637</v>
      </c>
      <c r="H611" s="154" t="s">
        <v>637</v>
      </c>
      <c r="I611" s="154" t="s">
        <v>637</v>
      </c>
      <c r="J611" s="132">
        <v>0.9</v>
      </c>
      <c r="K611" s="133">
        <v>0.961538461538462</v>
      </c>
      <c r="L611" s="133">
        <v>0.928571428571429</v>
      </c>
      <c r="M611" s="134">
        <v>0.956521739130435</v>
      </c>
      <c r="N611" s="133">
        <v>0.928571428571429</v>
      </c>
      <c r="O611" s="135">
        <v>0.9</v>
      </c>
      <c r="P611" s="133">
        <v>0.926065162907268</v>
      </c>
      <c r="Q611" s="133">
        <v>0.86551724137931</v>
      </c>
      <c r="R611" s="133">
        <v>0.87495306045813</v>
      </c>
      <c r="S611" s="133">
        <v>0.930158344751036</v>
      </c>
      <c r="T611" s="135">
        <v>0.9</v>
      </c>
      <c r="U611" s="133">
        <v>0.885338345864662</v>
      </c>
      <c r="V611" s="133">
        <v>0.853103448275862</v>
      </c>
      <c r="W611" s="133">
        <v>0.830266616597822</v>
      </c>
      <c r="X611" s="133">
        <v>0.861339946929361</v>
      </c>
      <c r="Y611" s="135">
        <v>0.92</v>
      </c>
      <c r="Z611" s="135">
        <v>0.953223767383059</v>
      </c>
      <c r="AA611" s="135">
        <v>0.902173913043478</v>
      </c>
      <c r="AB611" s="135">
        <v>0.903266331658292</v>
      </c>
      <c r="AC611" s="135">
        <v>0.931800497976969</v>
      </c>
      <c r="AD611" s="135">
        <v>0.92</v>
      </c>
      <c r="AE611" s="133">
        <v>0.99581589958159</v>
      </c>
      <c r="AF611" s="133">
        <v>0.98019801980198</v>
      </c>
      <c r="AG611" s="133">
        <v>0.967741935483871</v>
      </c>
      <c r="AH611" s="133">
        <v>0.969383092155369</v>
      </c>
      <c r="AI611" s="135">
        <v>0.92</v>
      </c>
      <c r="AJ611" s="133">
        <v>0.968583097706566</v>
      </c>
      <c r="AK611" s="133">
        <v>0.935919055649241</v>
      </c>
      <c r="AL611" s="133">
        <v>0.957538994800693</v>
      </c>
      <c r="AM611" s="133">
        <v>0.966019592091222</v>
      </c>
      <c r="AN611" s="132">
        <v>0.99</v>
      </c>
      <c r="AO611" s="137">
        <v>1</v>
      </c>
      <c r="AP611" s="137">
        <v>1</v>
      </c>
      <c r="AQ611" s="137">
        <v>1</v>
      </c>
      <c r="AR611" s="137">
        <v>1</v>
      </c>
      <c r="AS611" s="158">
        <v>0.05</v>
      </c>
      <c r="AT611" s="141">
        <v>0.166666666666667</v>
      </c>
      <c r="AU611" s="141">
        <v>0</v>
      </c>
      <c r="AV611" s="141">
        <v>0.1</v>
      </c>
      <c r="AW611" s="141">
        <v>0.110526315789474</v>
      </c>
      <c r="AX611" s="95"/>
      <c r="AY611" s="93"/>
    </row>
    <row r="612" ht="15" spans="1:51">
      <c r="A612" s="91"/>
      <c r="B612" s="95"/>
      <c r="C612" s="152" t="s">
        <v>375</v>
      </c>
      <c r="D612" s="153" t="s">
        <v>25</v>
      </c>
      <c r="E612" s="130" t="s">
        <v>376</v>
      </c>
      <c r="F612" s="154" t="s">
        <v>638</v>
      </c>
      <c r="G612" s="154" t="s">
        <v>638</v>
      </c>
      <c r="H612" s="154" t="s">
        <v>638</v>
      </c>
      <c r="I612" s="154" t="s">
        <v>638</v>
      </c>
      <c r="J612" s="132">
        <v>0.9</v>
      </c>
      <c r="K612" s="133">
        <v>0.977777777777778</v>
      </c>
      <c r="L612" s="133">
        <v>0.945945945945946</v>
      </c>
      <c r="M612" s="134">
        <v>0.976744186046512</v>
      </c>
      <c r="N612" s="133">
        <v>0.973350253807107</v>
      </c>
      <c r="O612" s="135">
        <v>0.9</v>
      </c>
      <c r="P612" s="133">
        <v>0.985562310030395</v>
      </c>
      <c r="Q612" s="133">
        <v>0.983914209115281</v>
      </c>
      <c r="R612" s="133">
        <v>0.984154929577465</v>
      </c>
      <c r="S612" s="133">
        <v>0.986387194804654</v>
      </c>
      <c r="T612" s="135">
        <v>0.9</v>
      </c>
      <c r="U612" s="133">
        <v>0.93161094224924</v>
      </c>
      <c r="V612" s="133">
        <v>0.915102770330652</v>
      </c>
      <c r="W612" s="133">
        <v>0.951584507042254</v>
      </c>
      <c r="X612" s="133">
        <v>0.91164165435131</v>
      </c>
      <c r="Y612" s="135">
        <v>0.92</v>
      </c>
      <c r="Z612" s="135">
        <v>0.960565476190476</v>
      </c>
      <c r="AA612" s="135">
        <v>0.961021505376344</v>
      </c>
      <c r="AB612" s="135">
        <v>0.947882736156352</v>
      </c>
      <c r="AC612" s="135">
        <v>0.931196622205163</v>
      </c>
      <c r="AD612" s="135">
        <v>0.92</v>
      </c>
      <c r="AE612" s="133">
        <v>0.994880546075085</v>
      </c>
      <c r="AF612" s="133">
        <v>1</v>
      </c>
      <c r="AG612" s="133">
        <v>0.995934959349594</v>
      </c>
      <c r="AH612" s="133">
        <v>0.992196046969586</v>
      </c>
      <c r="AI612" s="135">
        <v>0.92</v>
      </c>
      <c r="AJ612" s="133">
        <v>0.976700488538144</v>
      </c>
      <c r="AK612" s="133">
        <v>0.972132904608789</v>
      </c>
      <c r="AL612" s="133">
        <v>0.98060270176654</v>
      </c>
      <c r="AM612" s="133">
        <v>0.968801694866065</v>
      </c>
      <c r="AN612" s="132">
        <v>0.99</v>
      </c>
      <c r="AO612" s="137">
        <v>1</v>
      </c>
      <c r="AP612" s="137">
        <v>1</v>
      </c>
      <c r="AQ612" s="137">
        <v>1</v>
      </c>
      <c r="AR612" s="137">
        <v>1</v>
      </c>
      <c r="AS612" s="158">
        <v>0.05</v>
      </c>
      <c r="AT612" s="141">
        <v>0.0666666666666667</v>
      </c>
      <c r="AU612" s="141">
        <v>0</v>
      </c>
      <c r="AV612" s="141">
        <v>0.0769230769230769</v>
      </c>
      <c r="AW612" s="141">
        <v>0.047244094488189</v>
      </c>
      <c r="AX612" s="95"/>
      <c r="AY612" s="93"/>
    </row>
    <row r="613" ht="15" spans="1:51">
      <c r="A613" s="91"/>
      <c r="B613" s="95"/>
      <c r="C613" s="152" t="s">
        <v>375</v>
      </c>
      <c r="D613" s="153" t="s">
        <v>25</v>
      </c>
      <c r="E613" s="130" t="s">
        <v>376</v>
      </c>
      <c r="F613" s="154" t="s">
        <v>639</v>
      </c>
      <c r="G613" s="154" t="s">
        <v>639</v>
      </c>
      <c r="H613" s="154" t="s">
        <v>639</v>
      </c>
      <c r="I613" s="154" t="s">
        <v>639</v>
      </c>
      <c r="J613" s="132">
        <v>0.9</v>
      </c>
      <c r="K613" s="133">
        <v>0.821428571428571</v>
      </c>
      <c r="L613" s="133">
        <v>0.88</v>
      </c>
      <c r="M613" s="134">
        <v>0.863636363636364</v>
      </c>
      <c r="N613" s="133">
        <v>0.799599198396794</v>
      </c>
      <c r="O613" s="135">
        <v>0.9</v>
      </c>
      <c r="P613" s="133">
        <v>0</v>
      </c>
      <c r="Q613" s="133" t="s">
        <v>35</v>
      </c>
      <c r="R613" s="133" t="s">
        <v>35</v>
      </c>
      <c r="S613" s="133">
        <v>0</v>
      </c>
      <c r="T613" s="135">
        <v>0.9</v>
      </c>
      <c r="U613" s="133">
        <v>0</v>
      </c>
      <c r="V613" s="133" t="s">
        <v>35</v>
      </c>
      <c r="W613" s="133" t="s">
        <v>35</v>
      </c>
      <c r="X613" s="133">
        <v>0.5</v>
      </c>
      <c r="Y613" s="135">
        <v>0.92</v>
      </c>
      <c r="Z613" s="135">
        <v>0</v>
      </c>
      <c r="AA613" s="135">
        <v>1</v>
      </c>
      <c r="AB613" s="135" t="s">
        <v>35</v>
      </c>
      <c r="AC613" s="135">
        <v>0.6</v>
      </c>
      <c r="AD613" s="135">
        <v>0.92</v>
      </c>
      <c r="AE613" s="133">
        <v>0.928571428571429</v>
      </c>
      <c r="AF613" s="133">
        <v>0.983606557377049</v>
      </c>
      <c r="AG613" s="133">
        <v>0.977272727272727</v>
      </c>
      <c r="AH613" s="133">
        <v>0.954621848739496</v>
      </c>
      <c r="AI613" s="135">
        <v>0.92</v>
      </c>
      <c r="AJ613" s="133">
        <v>0.964092140921409</v>
      </c>
      <c r="AK613" s="133">
        <v>0.968468468468468</v>
      </c>
      <c r="AL613" s="133">
        <v>0.839250099720782</v>
      </c>
      <c r="AM613" s="133">
        <v>0.912940164287031</v>
      </c>
      <c r="AN613" s="132">
        <v>0.99</v>
      </c>
      <c r="AO613" s="137">
        <v>1</v>
      </c>
      <c r="AP613" s="137">
        <v>1</v>
      </c>
      <c r="AQ613" s="137">
        <v>1</v>
      </c>
      <c r="AR613" s="137">
        <v>1</v>
      </c>
      <c r="AS613" s="158">
        <v>0.05</v>
      </c>
      <c r="AT613" s="141">
        <v>0.25</v>
      </c>
      <c r="AU613" s="141">
        <v>0</v>
      </c>
      <c r="AV613" s="141">
        <v>0.2</v>
      </c>
      <c r="AW613" s="141">
        <v>0.0709219858156028</v>
      </c>
      <c r="AX613" s="95"/>
      <c r="AY613" s="93"/>
    </row>
    <row r="614" ht="15" spans="1:51">
      <c r="A614" s="91"/>
      <c r="B614" s="95"/>
      <c r="C614" s="152" t="s">
        <v>375</v>
      </c>
      <c r="D614" s="153" t="s">
        <v>25</v>
      </c>
      <c r="E614" s="130" t="s">
        <v>376</v>
      </c>
      <c r="F614" s="154" t="s">
        <v>640</v>
      </c>
      <c r="G614" s="154" t="s">
        <v>640</v>
      </c>
      <c r="H614" s="154" t="s">
        <v>640</v>
      </c>
      <c r="I614" s="154" t="s">
        <v>640</v>
      </c>
      <c r="J614" s="132">
        <v>0.9</v>
      </c>
      <c r="K614" s="133">
        <v>0.979166666666667</v>
      </c>
      <c r="L614" s="133">
        <v>0.932432432432432</v>
      </c>
      <c r="M614" s="134">
        <v>0.9875</v>
      </c>
      <c r="N614" s="133">
        <v>0.942961165048544</v>
      </c>
      <c r="O614" s="135">
        <v>0.9</v>
      </c>
      <c r="P614" s="133">
        <v>0.705882352941177</v>
      </c>
      <c r="Q614" s="133">
        <v>0.928571428571429</v>
      </c>
      <c r="R614" s="133">
        <v>0.9</v>
      </c>
      <c r="S614" s="133">
        <v>0.96</v>
      </c>
      <c r="T614" s="135">
        <v>0.9</v>
      </c>
      <c r="U614" s="133">
        <v>0.411764705882353</v>
      </c>
      <c r="V614" s="133">
        <v>1</v>
      </c>
      <c r="W614" s="133">
        <v>1</v>
      </c>
      <c r="X614" s="133">
        <v>0.952727272727273</v>
      </c>
      <c r="Y614" s="135">
        <v>0.92</v>
      </c>
      <c r="Z614" s="135">
        <v>0.1</v>
      </c>
      <c r="AA614" s="135">
        <v>1</v>
      </c>
      <c r="AB614" s="135">
        <v>1</v>
      </c>
      <c r="AC614" s="135">
        <v>0.383333333333333</v>
      </c>
      <c r="AD614" s="135">
        <v>0.92</v>
      </c>
      <c r="AE614" s="133">
        <v>0.998328225132349</v>
      </c>
      <c r="AF614" s="133">
        <v>0.992793973141173</v>
      </c>
      <c r="AG614" s="133">
        <v>0.998883928571429</v>
      </c>
      <c r="AH614" s="133">
        <v>0.988610996279454</v>
      </c>
      <c r="AI614" s="135">
        <v>0.92</v>
      </c>
      <c r="AJ614" s="133">
        <v>0.945664739884393</v>
      </c>
      <c r="AK614" s="133">
        <v>0.943442440436428</v>
      </c>
      <c r="AL614" s="133">
        <v>0.9312374749499</v>
      </c>
      <c r="AM614" s="133">
        <v>0.956310712109953</v>
      </c>
      <c r="AN614" s="132">
        <v>0.99</v>
      </c>
      <c r="AO614" s="137">
        <v>1</v>
      </c>
      <c r="AP614" s="137">
        <v>1</v>
      </c>
      <c r="AQ614" s="137">
        <v>1</v>
      </c>
      <c r="AR614" s="137">
        <v>1</v>
      </c>
      <c r="AS614" s="158">
        <v>0.05</v>
      </c>
      <c r="AT614" s="141">
        <v>0.0485074626865672</v>
      </c>
      <c r="AU614" s="141">
        <v>0.0406203840472674</v>
      </c>
      <c r="AV614" s="141">
        <v>0.00289017341040462</v>
      </c>
      <c r="AW614" s="141">
        <v>0.0231481481481481</v>
      </c>
      <c r="AX614" s="95"/>
      <c r="AY614" s="93"/>
    </row>
    <row r="615" ht="15" spans="1:51">
      <c r="A615" s="91"/>
      <c r="B615" s="95"/>
      <c r="C615" s="152" t="s">
        <v>375</v>
      </c>
      <c r="D615" s="153" t="s">
        <v>25</v>
      </c>
      <c r="E615" s="130" t="s">
        <v>376</v>
      </c>
      <c r="F615" s="154" t="s">
        <v>641</v>
      </c>
      <c r="G615" s="154" t="s">
        <v>641</v>
      </c>
      <c r="H615" s="154" t="s">
        <v>641</v>
      </c>
      <c r="I615" s="154" t="s">
        <v>641</v>
      </c>
      <c r="J615" s="132">
        <v>0.9</v>
      </c>
      <c r="K615" s="133">
        <v>1</v>
      </c>
      <c r="L615" s="133">
        <v>0.941176470588235</v>
      </c>
      <c r="M615" s="134">
        <v>1</v>
      </c>
      <c r="N615" s="133">
        <v>0.966942148760331</v>
      </c>
      <c r="O615" s="135">
        <v>0.9</v>
      </c>
      <c r="P615" s="133">
        <v>0.972619047619048</v>
      </c>
      <c r="Q615" s="133">
        <v>0.957478005865103</v>
      </c>
      <c r="R615" s="133">
        <v>0.961417322834646</v>
      </c>
      <c r="S615" s="133">
        <v>0.963993277791683</v>
      </c>
      <c r="T615" s="135">
        <v>0.9</v>
      </c>
      <c r="U615" s="133">
        <v>0.93452380952381</v>
      </c>
      <c r="V615" s="133">
        <v>0.93841642228739</v>
      </c>
      <c r="W615" s="133">
        <v>0.911811023622047</v>
      </c>
      <c r="X615" s="133">
        <v>0.918511102370651</v>
      </c>
      <c r="Y615" s="135">
        <v>0.92</v>
      </c>
      <c r="Z615" s="135">
        <v>0.933333333333333</v>
      </c>
      <c r="AA615" s="135">
        <v>0.958217270194986</v>
      </c>
      <c r="AB615" s="135">
        <v>0.925233644859813</v>
      </c>
      <c r="AC615" s="135">
        <v>0.954166237511587</v>
      </c>
      <c r="AD615" s="135">
        <v>0.92</v>
      </c>
      <c r="AE615" s="133">
        <v>0.98876404494382</v>
      </c>
      <c r="AF615" s="133">
        <v>0.976190476190476</v>
      </c>
      <c r="AG615" s="133">
        <v>0.954545454545455</v>
      </c>
      <c r="AH615" s="133">
        <v>0.970807875084861</v>
      </c>
      <c r="AI615" s="135">
        <v>0.92</v>
      </c>
      <c r="AJ615" s="133">
        <v>0.956</v>
      </c>
      <c r="AK615" s="133">
        <v>0.971209213051823</v>
      </c>
      <c r="AL615" s="133">
        <v>0.956002514142049</v>
      </c>
      <c r="AM615" s="133">
        <v>0.975431148845848</v>
      </c>
      <c r="AN615" s="132">
        <v>0.99</v>
      </c>
      <c r="AO615" s="137">
        <v>1</v>
      </c>
      <c r="AP615" s="137">
        <v>1</v>
      </c>
      <c r="AQ615" s="137">
        <v>1</v>
      </c>
      <c r="AR615" s="137">
        <v>1</v>
      </c>
      <c r="AS615" s="158">
        <v>0.05</v>
      </c>
      <c r="AT615" s="141">
        <v>0.5</v>
      </c>
      <c r="AU615" s="141">
        <v>0.333333333333333</v>
      </c>
      <c r="AV615" s="141">
        <v>0</v>
      </c>
      <c r="AW615" s="141">
        <v>0.163934426229508</v>
      </c>
      <c r="AX615" s="95"/>
      <c r="AY615" s="93"/>
    </row>
    <row r="616" ht="15" spans="1:51">
      <c r="A616" s="91"/>
      <c r="B616" s="95"/>
      <c r="C616" s="152" t="s">
        <v>375</v>
      </c>
      <c r="D616" s="153" t="s">
        <v>25</v>
      </c>
      <c r="E616" s="130" t="s">
        <v>376</v>
      </c>
      <c r="F616" s="154" t="s">
        <v>642</v>
      </c>
      <c r="G616" s="154" t="s">
        <v>642</v>
      </c>
      <c r="H616" s="154" t="s">
        <v>642</v>
      </c>
      <c r="I616" s="154" t="s">
        <v>642</v>
      </c>
      <c r="J616" s="132">
        <v>0.9</v>
      </c>
      <c r="K616" s="133">
        <v>0.92</v>
      </c>
      <c r="L616" s="133">
        <v>0.843373493975904</v>
      </c>
      <c r="M616" s="134">
        <v>0.9</v>
      </c>
      <c r="N616" s="133">
        <v>0.890257558790594</v>
      </c>
      <c r="O616" s="135">
        <v>0.9</v>
      </c>
      <c r="P616" s="133">
        <v>0.25</v>
      </c>
      <c r="Q616" s="133" t="s">
        <v>35</v>
      </c>
      <c r="R616" s="133">
        <v>0.75</v>
      </c>
      <c r="S616" s="133">
        <v>0.604938271604938</v>
      </c>
      <c r="T616" s="135">
        <v>0.9</v>
      </c>
      <c r="U616" s="133">
        <v>0.125</v>
      </c>
      <c r="V616" s="133" t="s">
        <v>35</v>
      </c>
      <c r="W616" s="133">
        <v>0.5</v>
      </c>
      <c r="X616" s="133">
        <v>0.740740740740741</v>
      </c>
      <c r="Y616" s="135">
        <v>0.92</v>
      </c>
      <c r="Z616" s="135">
        <v>0</v>
      </c>
      <c r="AA616" s="135">
        <v>0</v>
      </c>
      <c r="AB616" s="135">
        <v>1</v>
      </c>
      <c r="AC616" s="135">
        <v>0.821917808219178</v>
      </c>
      <c r="AD616" s="135">
        <v>0.92</v>
      </c>
      <c r="AE616" s="133">
        <v>1</v>
      </c>
      <c r="AF616" s="133">
        <v>0.999557522123894</v>
      </c>
      <c r="AG616" s="133">
        <v>0.995918367346939</v>
      </c>
      <c r="AH616" s="133">
        <v>0.996734936182844</v>
      </c>
      <c r="AI616" s="135">
        <v>0.92</v>
      </c>
      <c r="AJ616" s="133">
        <v>0.963436928702011</v>
      </c>
      <c r="AK616" s="133">
        <v>0.940438204637311</v>
      </c>
      <c r="AL616" s="133">
        <v>0.952893217076209</v>
      </c>
      <c r="AM616" s="133">
        <v>0.975474464351681</v>
      </c>
      <c r="AN616" s="132">
        <v>0.99</v>
      </c>
      <c r="AO616" s="137">
        <v>1</v>
      </c>
      <c r="AP616" s="137">
        <v>1</v>
      </c>
      <c r="AQ616" s="137">
        <v>1</v>
      </c>
      <c r="AR616" s="137">
        <v>1</v>
      </c>
      <c r="AS616" s="158">
        <v>0.05</v>
      </c>
      <c r="AT616" s="141">
        <v>0.010752688172043</v>
      </c>
      <c r="AU616" s="141">
        <v>0.0076530612244898</v>
      </c>
      <c r="AV616" s="141">
        <v>0.00647249190938511</v>
      </c>
      <c r="AW616" s="141">
        <v>0.00806695573258042</v>
      </c>
      <c r="AX616" s="95"/>
      <c r="AY616" s="93"/>
    </row>
    <row r="617" ht="15" spans="1:51">
      <c r="A617" s="91"/>
      <c r="B617" s="95"/>
      <c r="C617" s="152" t="s">
        <v>375</v>
      </c>
      <c r="D617" s="153" t="s">
        <v>25</v>
      </c>
      <c r="E617" s="130" t="s">
        <v>376</v>
      </c>
      <c r="F617" s="154" t="s">
        <v>643</v>
      </c>
      <c r="G617" s="154" t="s">
        <v>643</v>
      </c>
      <c r="H617" s="154" t="s">
        <v>643</v>
      </c>
      <c r="I617" s="154" t="s">
        <v>643</v>
      </c>
      <c r="J617" s="132">
        <v>0.9</v>
      </c>
      <c r="K617" s="133">
        <v>1</v>
      </c>
      <c r="L617" s="133">
        <v>1</v>
      </c>
      <c r="M617" s="134">
        <v>1</v>
      </c>
      <c r="N617" s="133">
        <v>0.998249708284714</v>
      </c>
      <c r="O617" s="135">
        <v>0.9</v>
      </c>
      <c r="P617" s="133">
        <v>0.991269098846274</v>
      </c>
      <c r="Q617" s="133">
        <v>0.916831683168317</v>
      </c>
      <c r="R617" s="133">
        <v>0.995724973281083</v>
      </c>
      <c r="S617" s="133">
        <v>0.990179783697739</v>
      </c>
      <c r="T617" s="135">
        <v>0.9</v>
      </c>
      <c r="U617" s="133">
        <v>0.946990957280948</v>
      </c>
      <c r="V617" s="133">
        <v>0.952970297029703</v>
      </c>
      <c r="W617" s="133">
        <v>0.917705735660848</v>
      </c>
      <c r="X617" s="133">
        <v>0.951133011845124</v>
      </c>
      <c r="Y617" s="135">
        <v>0.92</v>
      </c>
      <c r="Z617" s="135">
        <v>0.959472324221406</v>
      </c>
      <c r="AA617" s="135">
        <v>0.971992361553151</v>
      </c>
      <c r="AB617" s="135">
        <v>0.949771689497717</v>
      </c>
      <c r="AC617" s="135">
        <v>0.96943026624362</v>
      </c>
      <c r="AD617" s="135">
        <v>0.92</v>
      </c>
      <c r="AE617" s="133">
        <v>0.999629972247919</v>
      </c>
      <c r="AF617" s="133">
        <v>0.998298492950899</v>
      </c>
      <c r="AG617" s="133">
        <v>0.99750192159877</v>
      </c>
      <c r="AH617" s="133">
        <v>0.997336979449165</v>
      </c>
      <c r="AI617" s="135">
        <v>0.92</v>
      </c>
      <c r="AJ617" s="133">
        <v>0.965350752627095</v>
      </c>
      <c r="AK617" s="133">
        <v>0.980259338107219</v>
      </c>
      <c r="AL617" s="133">
        <v>0.963921034717495</v>
      </c>
      <c r="AM617" s="133">
        <v>0.978160700587427</v>
      </c>
      <c r="AN617" s="132">
        <v>0.99</v>
      </c>
      <c r="AO617" s="137">
        <v>1</v>
      </c>
      <c r="AP617" s="137">
        <v>1</v>
      </c>
      <c r="AQ617" s="137">
        <v>1</v>
      </c>
      <c r="AR617" s="137">
        <v>1</v>
      </c>
      <c r="AS617" s="158">
        <v>0.05</v>
      </c>
      <c r="AT617" s="141">
        <v>0.0303030303030303</v>
      </c>
      <c r="AU617" s="141">
        <v>0.0769230769230769</v>
      </c>
      <c r="AV617" s="141">
        <v>0</v>
      </c>
      <c r="AW617" s="141">
        <v>0.0516605166051661</v>
      </c>
      <c r="AX617" s="95"/>
      <c r="AY617" s="93"/>
    </row>
    <row r="618" ht="15" spans="1:51">
      <c r="A618" s="91"/>
      <c r="B618" s="95"/>
      <c r="C618" s="152" t="s">
        <v>375</v>
      </c>
      <c r="D618" s="153" t="s">
        <v>25</v>
      </c>
      <c r="E618" s="130" t="s">
        <v>376</v>
      </c>
      <c r="F618" s="154" t="s">
        <v>644</v>
      </c>
      <c r="G618" s="154" t="s">
        <v>644</v>
      </c>
      <c r="H618" s="154" t="s">
        <v>644</v>
      </c>
      <c r="I618" s="154" t="s">
        <v>644</v>
      </c>
      <c r="J618" s="132">
        <v>0.9</v>
      </c>
      <c r="K618" s="133">
        <v>1</v>
      </c>
      <c r="L618" s="133">
        <v>1</v>
      </c>
      <c r="M618" s="134">
        <v>1</v>
      </c>
      <c r="N618" s="133">
        <v>0.981505944517834</v>
      </c>
      <c r="O618" s="135">
        <v>0.9</v>
      </c>
      <c r="P618" s="133">
        <v>0.989186647860837</v>
      </c>
      <c r="Q618" s="133">
        <v>0.99660441426146</v>
      </c>
      <c r="R618" s="133">
        <v>0.994892167990919</v>
      </c>
      <c r="S618" s="133">
        <v>0.985555400807783</v>
      </c>
      <c r="T618" s="135">
        <v>0.9</v>
      </c>
      <c r="U618" s="133">
        <v>0.92524682651622</v>
      </c>
      <c r="V618" s="133">
        <v>0.918505942275042</v>
      </c>
      <c r="W618" s="133">
        <v>0.870601589103292</v>
      </c>
      <c r="X618" s="133">
        <v>0.901474304132429</v>
      </c>
      <c r="Y618" s="135">
        <v>0.92</v>
      </c>
      <c r="Z618" s="135">
        <v>0.938775510204082</v>
      </c>
      <c r="AA618" s="135">
        <v>0.94327990135635</v>
      </c>
      <c r="AB618" s="135">
        <v>0.886166007905138</v>
      </c>
      <c r="AC618" s="135">
        <v>0.935259206560201</v>
      </c>
      <c r="AD618" s="135">
        <v>0.92</v>
      </c>
      <c r="AE618" s="133">
        <v>0.998814547868557</v>
      </c>
      <c r="AF618" s="133">
        <v>0.996802935010482</v>
      </c>
      <c r="AG618" s="133">
        <v>0.998815676141258</v>
      </c>
      <c r="AH618" s="133">
        <v>0.978056144005576</v>
      </c>
      <c r="AI618" s="135">
        <v>0.92</v>
      </c>
      <c r="AJ618" s="133">
        <v>0.9505</v>
      </c>
      <c r="AK618" s="133">
        <v>0.958943234559086</v>
      </c>
      <c r="AL618" s="133">
        <v>0.925999339279815</v>
      </c>
      <c r="AM618" s="133">
        <v>0.955386320913867</v>
      </c>
      <c r="AN618" s="132">
        <v>0.99</v>
      </c>
      <c r="AO618" s="137">
        <v>1</v>
      </c>
      <c r="AP618" s="137">
        <v>1</v>
      </c>
      <c r="AQ618" s="137">
        <v>1</v>
      </c>
      <c r="AR618" s="137">
        <v>1</v>
      </c>
      <c r="AS618" s="158">
        <v>0.05</v>
      </c>
      <c r="AT618" s="141">
        <v>0.0666666666666667</v>
      </c>
      <c r="AU618" s="141">
        <v>0.0833333333333333</v>
      </c>
      <c r="AV618" s="141">
        <v>0.291666666666667</v>
      </c>
      <c r="AW618" s="141">
        <v>0.0604703247480403</v>
      </c>
      <c r="AX618" s="95"/>
      <c r="AY618" s="93"/>
    </row>
    <row r="619" ht="15" spans="1:51">
      <c r="A619" s="91"/>
      <c r="B619" s="95"/>
      <c r="C619" s="152" t="s">
        <v>375</v>
      </c>
      <c r="D619" s="153" t="s">
        <v>25</v>
      </c>
      <c r="E619" s="130" t="s">
        <v>376</v>
      </c>
      <c r="F619" s="154" t="s">
        <v>645</v>
      </c>
      <c r="G619" s="154" t="s">
        <v>645</v>
      </c>
      <c r="H619" s="154" t="s">
        <v>645</v>
      </c>
      <c r="I619" s="154" t="s">
        <v>645</v>
      </c>
      <c r="J619" s="132">
        <v>0.9</v>
      </c>
      <c r="K619" s="133">
        <v>0.968421052631579</v>
      </c>
      <c r="L619" s="133">
        <v>0.882352941176471</v>
      </c>
      <c r="M619" s="134">
        <v>0.82089552238806</v>
      </c>
      <c r="N619" s="133">
        <v>0.870138017565872</v>
      </c>
      <c r="O619" s="135">
        <v>0.9</v>
      </c>
      <c r="P619" s="133">
        <v>0.981253841425937</v>
      </c>
      <c r="Q619" s="133">
        <v>0.992505353319058</v>
      </c>
      <c r="R619" s="133">
        <v>0.977362558390226</v>
      </c>
      <c r="S619" s="133">
        <v>0.978646547196639</v>
      </c>
      <c r="T619" s="135">
        <v>0.9</v>
      </c>
      <c r="U619" s="133">
        <v>0.907498463429625</v>
      </c>
      <c r="V619" s="133">
        <v>0.89186295503212</v>
      </c>
      <c r="W619" s="133">
        <v>0.835429392741646</v>
      </c>
      <c r="X619" s="133">
        <v>0.899496586265644</v>
      </c>
      <c r="Y619" s="135">
        <v>0.92</v>
      </c>
      <c r="Z619" s="135">
        <v>0.931375783569779</v>
      </c>
      <c r="AA619" s="135">
        <v>0.931456548347613</v>
      </c>
      <c r="AB619" s="135">
        <v>0.874941451990632</v>
      </c>
      <c r="AC619" s="135">
        <v>0.936257052086513</v>
      </c>
      <c r="AD619" s="135">
        <v>0.92</v>
      </c>
      <c r="AE619" s="133">
        <v>0.999080409034062</v>
      </c>
      <c r="AF619" s="133">
        <v>0.998470774807431</v>
      </c>
      <c r="AG619" s="133">
        <v>0.993415198433885</v>
      </c>
      <c r="AH619" s="133">
        <v>0.967803412932509</v>
      </c>
      <c r="AI619" s="135">
        <v>0.92</v>
      </c>
      <c r="AJ619" s="133">
        <v>0.946871310507674</v>
      </c>
      <c r="AK619" s="133">
        <v>0.953229914332021</v>
      </c>
      <c r="AL619" s="133">
        <v>0.911956079707198</v>
      </c>
      <c r="AM619" s="133">
        <v>0.956241106220992</v>
      </c>
      <c r="AN619" s="132">
        <v>0.99</v>
      </c>
      <c r="AO619" s="137">
        <v>1</v>
      </c>
      <c r="AP619" s="137">
        <v>1</v>
      </c>
      <c r="AQ619" s="137">
        <v>1</v>
      </c>
      <c r="AR619" s="137">
        <v>0.999555357936861</v>
      </c>
      <c r="AS619" s="158">
        <v>0.05</v>
      </c>
      <c r="AT619" s="141">
        <v>0.037037037037037</v>
      </c>
      <c r="AU619" s="141">
        <v>0.133333333333333</v>
      </c>
      <c r="AV619" s="141">
        <v>0.0588235294117647</v>
      </c>
      <c r="AW619" s="141">
        <v>0.0619335347432024</v>
      </c>
      <c r="AX619" s="95"/>
      <c r="AY619" s="93"/>
    </row>
    <row r="620" ht="15" spans="1:51">
      <c r="A620" s="91"/>
      <c r="B620" s="95"/>
      <c r="C620" s="152" t="s">
        <v>375</v>
      </c>
      <c r="D620" s="153" t="s">
        <v>25</v>
      </c>
      <c r="E620" s="130" t="s">
        <v>376</v>
      </c>
      <c r="F620" s="154" t="s">
        <v>646</v>
      </c>
      <c r="G620" s="154" t="s">
        <v>646</v>
      </c>
      <c r="H620" s="154" t="s">
        <v>646</v>
      </c>
      <c r="I620" s="154" t="s">
        <v>646</v>
      </c>
      <c r="J620" s="132">
        <v>0.9</v>
      </c>
      <c r="K620" s="133">
        <v>0.948717948717949</v>
      </c>
      <c r="L620" s="133">
        <v>0.861111111111111</v>
      </c>
      <c r="M620" s="134">
        <v>0.9</v>
      </c>
      <c r="N620" s="133">
        <v>0.935714285714286</v>
      </c>
      <c r="O620" s="135">
        <v>0.9</v>
      </c>
      <c r="P620" s="133">
        <v>0.994453688297282</v>
      </c>
      <c r="Q620" s="133">
        <v>0.992779783393502</v>
      </c>
      <c r="R620" s="133">
        <v>0.971980074719801</v>
      </c>
      <c r="S620" s="133">
        <v>0.99098193811033</v>
      </c>
      <c r="T620" s="135">
        <v>0.9</v>
      </c>
      <c r="U620" s="133">
        <v>0.960621186910704</v>
      </c>
      <c r="V620" s="133">
        <v>0.952166064981949</v>
      </c>
      <c r="W620" s="133">
        <v>0.841220423412204</v>
      </c>
      <c r="X620" s="133">
        <v>0.95331220530262</v>
      </c>
      <c r="Y620" s="135">
        <v>0.92</v>
      </c>
      <c r="Z620" s="135">
        <v>0.927574750830565</v>
      </c>
      <c r="AA620" s="135">
        <v>0.93628981886321</v>
      </c>
      <c r="AB620" s="135">
        <v>0.727538349159971</v>
      </c>
      <c r="AC620" s="135">
        <v>0.929677804844418</v>
      </c>
      <c r="AD620" s="135">
        <v>0.92</v>
      </c>
      <c r="AE620" s="133">
        <v>0.996811716940245</v>
      </c>
      <c r="AF620" s="133">
        <v>0.98656010001786</v>
      </c>
      <c r="AG620" s="133">
        <v>0.994052535932595</v>
      </c>
      <c r="AH620" s="133">
        <v>0.978991681677427</v>
      </c>
      <c r="AI620" s="135">
        <v>0.92</v>
      </c>
      <c r="AJ620" s="133">
        <v>0.946821769837973</v>
      </c>
      <c r="AK620" s="133">
        <v>0.955350553505535</v>
      </c>
      <c r="AL620" s="133">
        <v>0.846050420168067</v>
      </c>
      <c r="AM620" s="133">
        <v>0.955600072846476</v>
      </c>
      <c r="AN620" s="132">
        <v>0.99</v>
      </c>
      <c r="AO620" s="137">
        <v>1</v>
      </c>
      <c r="AP620" s="137">
        <v>1</v>
      </c>
      <c r="AQ620" s="137">
        <v>1</v>
      </c>
      <c r="AR620" s="137">
        <v>1</v>
      </c>
      <c r="AS620" s="158">
        <v>0.05</v>
      </c>
      <c r="AT620" s="141">
        <v>0</v>
      </c>
      <c r="AU620" s="141">
        <v>0.125</v>
      </c>
      <c r="AV620" s="141">
        <v>0.4</v>
      </c>
      <c r="AW620" s="141">
        <v>0.0785340314136126</v>
      </c>
      <c r="AX620" s="95"/>
      <c r="AY620" s="93"/>
    </row>
    <row r="621" ht="15" spans="1:51">
      <c r="A621" s="91"/>
      <c r="B621" s="95"/>
      <c r="C621" s="152" t="s">
        <v>375</v>
      </c>
      <c r="D621" s="153" t="s">
        <v>25</v>
      </c>
      <c r="E621" s="130" t="s">
        <v>376</v>
      </c>
      <c r="F621" s="154" t="s">
        <v>647</v>
      </c>
      <c r="G621" s="154" t="s">
        <v>647</v>
      </c>
      <c r="H621" s="154" t="s">
        <v>647</v>
      </c>
      <c r="I621" s="154" t="s">
        <v>647</v>
      </c>
      <c r="J621" s="132">
        <v>0.9</v>
      </c>
      <c r="K621" s="133">
        <v>1</v>
      </c>
      <c r="L621" s="133">
        <v>0.933333333333333</v>
      </c>
      <c r="M621" s="134">
        <v>1</v>
      </c>
      <c r="N621" s="133">
        <v>0.96547619047619</v>
      </c>
      <c r="O621" s="135">
        <v>0.9</v>
      </c>
      <c r="P621" s="133">
        <v>0.969959266802444</v>
      </c>
      <c r="Q621" s="133">
        <v>0.938069216757741</v>
      </c>
      <c r="R621" s="133">
        <v>0.947560975609756</v>
      </c>
      <c r="S621" s="133">
        <v>0.965270074238416</v>
      </c>
      <c r="T621" s="135">
        <v>0.9</v>
      </c>
      <c r="U621" s="133">
        <v>0.941955193482688</v>
      </c>
      <c r="V621" s="133">
        <v>0.805100182149363</v>
      </c>
      <c r="W621" s="133">
        <v>0.897560975609756</v>
      </c>
      <c r="X621" s="133">
        <v>0.925462923457633</v>
      </c>
      <c r="Y621" s="135">
        <v>0.92</v>
      </c>
      <c r="Z621" s="135">
        <v>0.934518997574778</v>
      </c>
      <c r="AA621" s="135">
        <v>0.896569646569647</v>
      </c>
      <c r="AB621" s="135">
        <v>0.847850055126792</v>
      </c>
      <c r="AC621" s="135">
        <v>0.931214455402779</v>
      </c>
      <c r="AD621" s="135">
        <v>0.92</v>
      </c>
      <c r="AE621" s="133">
        <v>0.999781065273825</v>
      </c>
      <c r="AF621" s="133">
        <v>0.986120712576442</v>
      </c>
      <c r="AG621" s="133">
        <v>0.99714968030198</v>
      </c>
      <c r="AH621" s="133">
        <v>0.989739928992298</v>
      </c>
      <c r="AI621" s="135">
        <v>0.92</v>
      </c>
      <c r="AJ621" s="133">
        <v>0.948740531971112</v>
      </c>
      <c r="AK621" s="133">
        <v>0.92091330244871</v>
      </c>
      <c r="AL621" s="133">
        <v>0.894035900405327</v>
      </c>
      <c r="AM621" s="133">
        <v>0.953124085026644</v>
      </c>
      <c r="AN621" s="132">
        <v>0.99</v>
      </c>
      <c r="AO621" s="137">
        <v>1</v>
      </c>
      <c r="AP621" s="137">
        <v>1</v>
      </c>
      <c r="AQ621" s="137">
        <v>1</v>
      </c>
      <c r="AR621" s="137">
        <v>1</v>
      </c>
      <c r="AS621" s="158">
        <v>0.05</v>
      </c>
      <c r="AT621" s="141">
        <v>0</v>
      </c>
      <c r="AU621" s="141">
        <v>0</v>
      </c>
      <c r="AV621" s="141">
        <v>0.166666666666667</v>
      </c>
      <c r="AW621" s="141">
        <v>0.0599078341013825</v>
      </c>
      <c r="AX621" s="95"/>
      <c r="AY621" s="93"/>
    </row>
    <row r="622" ht="15" spans="1:51">
      <c r="A622" s="91"/>
      <c r="B622" s="95"/>
      <c r="C622" s="152" t="s">
        <v>375</v>
      </c>
      <c r="D622" s="153" t="s">
        <v>25</v>
      </c>
      <c r="E622" s="130" t="s">
        <v>376</v>
      </c>
      <c r="F622" s="154" t="s">
        <v>648</v>
      </c>
      <c r="G622" s="154" t="s">
        <v>648</v>
      </c>
      <c r="H622" s="154" t="s">
        <v>648</v>
      </c>
      <c r="I622" s="154" t="s">
        <v>648</v>
      </c>
      <c r="J622" s="132">
        <v>0.9</v>
      </c>
      <c r="K622" s="133">
        <v>0.981818181818182</v>
      </c>
      <c r="L622" s="133">
        <v>1</v>
      </c>
      <c r="M622" s="134">
        <v>0.930232558139535</v>
      </c>
      <c r="N622" s="133">
        <v>0.969214437367304</v>
      </c>
      <c r="O622" s="135">
        <v>0.9</v>
      </c>
      <c r="P622" s="133">
        <v>0.978565861262666</v>
      </c>
      <c r="Q622" s="133">
        <v>0.984137931034483</v>
      </c>
      <c r="R622" s="133">
        <v>0.981538461538462</v>
      </c>
      <c r="S622" s="133">
        <v>0.982858009708738</v>
      </c>
      <c r="T622" s="135">
        <v>0.9</v>
      </c>
      <c r="U622" s="133">
        <v>0.938425565081839</v>
      </c>
      <c r="V622" s="133">
        <v>0.917241379310345</v>
      </c>
      <c r="W622" s="133">
        <v>0.888205128205128</v>
      </c>
      <c r="X622" s="133">
        <v>0.91137405609493</v>
      </c>
      <c r="Y622" s="135">
        <v>0.92</v>
      </c>
      <c r="Z622" s="135">
        <v>0.941549614861803</v>
      </c>
      <c r="AA622" s="135">
        <v>0.953005464480874</v>
      </c>
      <c r="AB622" s="135">
        <v>0.890205864004991</v>
      </c>
      <c r="AC622" s="135">
        <v>0.939845726045905</v>
      </c>
      <c r="AD622" s="135">
        <v>0.92</v>
      </c>
      <c r="AE622" s="133">
        <v>0.987756010685663</v>
      </c>
      <c r="AF622" s="133">
        <v>0.548787641767697</v>
      </c>
      <c r="AG622" s="133">
        <v>0.993574119211168</v>
      </c>
      <c r="AH622" s="133">
        <v>0.952475127195187</v>
      </c>
      <c r="AI622" s="135">
        <v>0.92</v>
      </c>
      <c r="AJ622" s="133">
        <v>0.952155851597192</v>
      </c>
      <c r="AK622" s="133">
        <v>0.964939024390244</v>
      </c>
      <c r="AL622" s="133">
        <v>0.924007880664227</v>
      </c>
      <c r="AM622" s="133">
        <v>0.957003845184577</v>
      </c>
      <c r="AN622" s="132">
        <v>0.99</v>
      </c>
      <c r="AO622" s="137">
        <v>1</v>
      </c>
      <c r="AP622" s="137">
        <v>1</v>
      </c>
      <c r="AQ622" s="137">
        <v>1</v>
      </c>
      <c r="AR622" s="137">
        <v>1</v>
      </c>
      <c r="AS622" s="158">
        <v>0.05</v>
      </c>
      <c r="AT622" s="141">
        <v>0.0666666666666667</v>
      </c>
      <c r="AU622" s="141">
        <v>0.0625</v>
      </c>
      <c r="AV622" s="141">
        <v>0.0645161290322581</v>
      </c>
      <c r="AW622" s="141">
        <v>0.0715990453460621</v>
      </c>
      <c r="AX622" s="95"/>
      <c r="AY622" s="93"/>
    </row>
    <row r="623" ht="15" spans="1:51">
      <c r="A623" s="91"/>
      <c r="B623" s="95"/>
      <c r="C623" s="152" t="s">
        <v>375</v>
      </c>
      <c r="D623" s="153" t="s">
        <v>25</v>
      </c>
      <c r="E623" s="130" t="s">
        <v>376</v>
      </c>
      <c r="F623" s="154" t="s">
        <v>649</v>
      </c>
      <c r="G623" s="154" t="s">
        <v>649</v>
      </c>
      <c r="H623" s="154" t="s">
        <v>649</v>
      </c>
      <c r="I623" s="154" t="s">
        <v>649</v>
      </c>
      <c r="J623" s="132">
        <v>0.9</v>
      </c>
      <c r="K623" s="133">
        <v>1</v>
      </c>
      <c r="L623" s="133">
        <v>1</v>
      </c>
      <c r="M623" s="134">
        <v>1</v>
      </c>
      <c r="N623" s="133">
        <v>0.998873873873874</v>
      </c>
      <c r="O623" s="135">
        <v>0.9</v>
      </c>
      <c r="P623" s="133">
        <v>0.982720425343376</v>
      </c>
      <c r="Q623" s="133">
        <v>0.99349710982659</v>
      </c>
      <c r="R623" s="133">
        <v>0.989637305699482</v>
      </c>
      <c r="S623" s="133">
        <v>0.982488479262673</v>
      </c>
      <c r="T623" s="135">
        <v>0.9</v>
      </c>
      <c r="U623" s="133">
        <v>0.972529906956137</v>
      </c>
      <c r="V623" s="133">
        <v>0.975433526011561</v>
      </c>
      <c r="W623" s="133">
        <v>0.947150259067358</v>
      </c>
      <c r="X623" s="133">
        <v>0.966439591264276</v>
      </c>
      <c r="Y623" s="135">
        <v>0.92</v>
      </c>
      <c r="Z623" s="135">
        <v>0.966386554621849</v>
      </c>
      <c r="AA623" s="135">
        <v>0.983212087297146</v>
      </c>
      <c r="AB623" s="135">
        <v>0.961949265687583</v>
      </c>
      <c r="AC623" s="135">
        <v>0.980769584998803</v>
      </c>
      <c r="AD623" s="135">
        <v>0.92</v>
      </c>
      <c r="AE623" s="133">
        <v>0.98925791954401</v>
      </c>
      <c r="AF623" s="133">
        <v>0.986245753583561</v>
      </c>
      <c r="AG623" s="133">
        <v>0.988625363020329</v>
      </c>
      <c r="AH623" s="133">
        <v>0.989709194566314</v>
      </c>
      <c r="AI623" s="135">
        <v>0.92</v>
      </c>
      <c r="AJ623" s="133">
        <v>0.976157804459691</v>
      </c>
      <c r="AK623" s="133">
        <v>0.988965952080706</v>
      </c>
      <c r="AL623" s="133">
        <v>0.976967930029154</v>
      </c>
      <c r="AM623" s="133">
        <v>0.987688177198197</v>
      </c>
      <c r="AN623" s="132">
        <v>0.99</v>
      </c>
      <c r="AO623" s="137">
        <v>1</v>
      </c>
      <c r="AP623" s="137">
        <v>1</v>
      </c>
      <c r="AQ623" s="137">
        <v>1</v>
      </c>
      <c r="AR623" s="137">
        <v>1</v>
      </c>
      <c r="AS623" s="158">
        <v>0.05</v>
      </c>
      <c r="AT623" s="141">
        <v>0.00479616306954436</v>
      </c>
      <c r="AU623" s="141">
        <v>0</v>
      </c>
      <c r="AV623" s="141">
        <v>0</v>
      </c>
      <c r="AW623" s="141">
        <v>0.00280986575085857</v>
      </c>
      <c r="AX623" s="95"/>
      <c r="AY623" s="93"/>
    </row>
    <row r="624" ht="15" spans="1:51">
      <c r="A624" s="91"/>
      <c r="B624" s="95"/>
      <c r="C624" s="152" t="s">
        <v>375</v>
      </c>
      <c r="D624" s="153" t="s">
        <v>25</v>
      </c>
      <c r="E624" s="130" t="s">
        <v>376</v>
      </c>
      <c r="F624" s="154" t="s">
        <v>650</v>
      </c>
      <c r="G624" s="154" t="s">
        <v>650</v>
      </c>
      <c r="H624" s="154" t="s">
        <v>650</v>
      </c>
      <c r="I624" s="154" t="s">
        <v>650</v>
      </c>
      <c r="J624" s="132">
        <v>0.9</v>
      </c>
      <c r="K624" s="133">
        <v>1</v>
      </c>
      <c r="L624" s="133">
        <v>1</v>
      </c>
      <c r="M624" s="134">
        <v>1</v>
      </c>
      <c r="N624" s="133">
        <v>1</v>
      </c>
      <c r="O624" s="135">
        <v>0.9</v>
      </c>
      <c r="P624" s="133">
        <v>0.98988326848249</v>
      </c>
      <c r="Q624" s="133">
        <v>0.99584487534626</v>
      </c>
      <c r="R624" s="133">
        <v>0.996019900497512</v>
      </c>
      <c r="S624" s="133">
        <v>0.98822884509968</v>
      </c>
      <c r="T624" s="135">
        <v>0.9</v>
      </c>
      <c r="U624" s="133">
        <v>0.944747081712062</v>
      </c>
      <c r="V624" s="133">
        <v>0.940443213296399</v>
      </c>
      <c r="W624" s="133">
        <v>0.940298507462687</v>
      </c>
      <c r="X624" s="133">
        <v>0.96330169354606</v>
      </c>
      <c r="Y624" s="135">
        <v>0.92</v>
      </c>
      <c r="Z624" s="135">
        <v>0.961465089660435</v>
      </c>
      <c r="AA624" s="135">
        <v>0.974789915966387</v>
      </c>
      <c r="AB624" s="135">
        <v>0.980632008154944</v>
      </c>
      <c r="AC624" s="135">
        <v>0.982147266531681</v>
      </c>
      <c r="AD624" s="135">
        <v>0.92</v>
      </c>
      <c r="AE624" s="133">
        <v>0.998908296943231</v>
      </c>
      <c r="AF624" s="133">
        <v>0.993968636911942</v>
      </c>
      <c r="AG624" s="133">
        <v>0.997995991983968</v>
      </c>
      <c r="AH624" s="133">
        <v>0.990824308062575</v>
      </c>
      <c r="AI624" s="135">
        <v>0.92</v>
      </c>
      <c r="AJ624" s="133">
        <v>0.968262093678014</v>
      </c>
      <c r="AK624" s="133">
        <v>0.978806469604016</v>
      </c>
      <c r="AL624" s="133">
        <v>0.982880161127895</v>
      </c>
      <c r="AM624" s="133">
        <v>0.98745643672351</v>
      </c>
      <c r="AN624" s="132">
        <v>0.99</v>
      </c>
      <c r="AO624" s="137">
        <v>1</v>
      </c>
      <c r="AP624" s="137">
        <v>1</v>
      </c>
      <c r="AQ624" s="137">
        <v>1</v>
      </c>
      <c r="AR624" s="137">
        <v>1</v>
      </c>
      <c r="AS624" s="158">
        <v>0.05</v>
      </c>
      <c r="AT624" s="141">
        <v>0.0909090909090909</v>
      </c>
      <c r="AU624" s="141">
        <v>0</v>
      </c>
      <c r="AV624" s="141">
        <v>0</v>
      </c>
      <c r="AW624" s="141">
        <v>0.0604982206405694</v>
      </c>
      <c r="AX624" s="95"/>
      <c r="AY624" s="93"/>
    </row>
    <row r="625" ht="15" spans="1:51">
      <c r="A625" s="91"/>
      <c r="B625" s="95"/>
      <c r="C625" s="152" t="s">
        <v>375</v>
      </c>
      <c r="D625" s="153" t="s">
        <v>25</v>
      </c>
      <c r="E625" s="130" t="s">
        <v>376</v>
      </c>
      <c r="F625" s="154" t="s">
        <v>651</v>
      </c>
      <c r="G625" s="154" t="s">
        <v>651</v>
      </c>
      <c r="H625" s="154" t="s">
        <v>651</v>
      </c>
      <c r="I625" s="154" t="s">
        <v>651</v>
      </c>
      <c r="J625" s="132">
        <v>0.9</v>
      </c>
      <c r="K625" s="133">
        <v>0.903225806451613</v>
      </c>
      <c r="L625" s="133">
        <v>0.903225806451613</v>
      </c>
      <c r="M625" s="134">
        <v>0.727272727272727</v>
      </c>
      <c r="N625" s="133">
        <v>0.838009049773756</v>
      </c>
      <c r="O625" s="135">
        <v>0.9</v>
      </c>
      <c r="P625" s="133">
        <v>0.98205596107056</v>
      </c>
      <c r="Q625" s="133">
        <v>0.972222222222222</v>
      </c>
      <c r="R625" s="133">
        <v>0.715046132008517</v>
      </c>
      <c r="S625" s="133">
        <v>0.965193892318143</v>
      </c>
      <c r="T625" s="135">
        <v>0.9</v>
      </c>
      <c r="U625" s="133">
        <v>0.963503649635037</v>
      </c>
      <c r="V625" s="133">
        <v>0.917624521072797</v>
      </c>
      <c r="W625" s="133">
        <v>0.475514549325763</v>
      </c>
      <c r="X625" s="133">
        <v>0.921394607046871</v>
      </c>
      <c r="Y625" s="135">
        <v>0.92</v>
      </c>
      <c r="Z625" s="135">
        <v>0.873772504091653</v>
      </c>
      <c r="AA625" s="135">
        <v>0.901299613628381</v>
      </c>
      <c r="AB625" s="135">
        <v>0.220222793487575</v>
      </c>
      <c r="AC625" s="135">
        <v>0.862558361629881</v>
      </c>
      <c r="AD625" s="135">
        <v>0.92</v>
      </c>
      <c r="AE625" s="133">
        <v>0.979272472026095</v>
      </c>
      <c r="AF625" s="133">
        <v>0.987330766364427</v>
      </c>
      <c r="AG625" s="133">
        <v>0.995907023749368</v>
      </c>
      <c r="AH625" s="133">
        <v>0.977040234822953</v>
      </c>
      <c r="AI625" s="135">
        <v>0.92</v>
      </c>
      <c r="AJ625" s="133">
        <v>0.916238689166055</v>
      </c>
      <c r="AK625" s="133">
        <v>0.933752025931929</v>
      </c>
      <c r="AL625" s="133">
        <v>0.36418315871168</v>
      </c>
      <c r="AM625" s="133">
        <v>0.908696532983115</v>
      </c>
      <c r="AN625" s="132">
        <v>0.99</v>
      </c>
      <c r="AO625" s="137">
        <v>1</v>
      </c>
      <c r="AP625" s="137">
        <v>1</v>
      </c>
      <c r="AQ625" s="137">
        <v>1</v>
      </c>
      <c r="AR625" s="137">
        <v>1</v>
      </c>
      <c r="AS625" s="158">
        <v>0.05</v>
      </c>
      <c r="AT625" s="141">
        <v>0.0869565217391304</v>
      </c>
      <c r="AU625" s="141">
        <v>0.130434782608696</v>
      </c>
      <c r="AV625" s="141">
        <v>0</v>
      </c>
      <c r="AW625" s="141">
        <v>0.0591016548463357</v>
      </c>
      <c r="AX625" s="95"/>
      <c r="AY625" s="93"/>
    </row>
    <row r="626" ht="15" spans="1:51">
      <c r="A626" s="91"/>
      <c r="B626" s="95"/>
      <c r="C626" s="152" t="s">
        <v>375</v>
      </c>
      <c r="D626" s="153" t="s">
        <v>25</v>
      </c>
      <c r="E626" s="130" t="s">
        <v>376</v>
      </c>
      <c r="F626" s="154" t="s">
        <v>652</v>
      </c>
      <c r="G626" s="154" t="s">
        <v>652</v>
      </c>
      <c r="H626" s="154" t="s">
        <v>652</v>
      </c>
      <c r="I626" s="154" t="s">
        <v>652</v>
      </c>
      <c r="J626" s="132">
        <v>0.9</v>
      </c>
      <c r="K626" s="133">
        <v>0.967741935483871</v>
      </c>
      <c r="L626" s="133">
        <v>0.910714285714286</v>
      </c>
      <c r="M626" s="134">
        <v>0.844444444444444</v>
      </c>
      <c r="N626" s="133">
        <v>0.910939012584705</v>
      </c>
      <c r="O626" s="135">
        <v>0.9</v>
      </c>
      <c r="P626" s="133">
        <v>0.98145285935085</v>
      </c>
      <c r="Q626" s="133">
        <v>0.974174428450466</v>
      </c>
      <c r="R626" s="133">
        <v>0.984807562457799</v>
      </c>
      <c r="S626" s="133">
        <v>0.967660475724992</v>
      </c>
      <c r="T626" s="135">
        <v>0.9</v>
      </c>
      <c r="U626" s="133">
        <v>0.941267387944359</v>
      </c>
      <c r="V626" s="133">
        <v>0.922099915325995</v>
      </c>
      <c r="W626" s="133">
        <v>0.862930452397029</v>
      </c>
      <c r="X626" s="133">
        <v>0.901773107418269</v>
      </c>
      <c r="Y626" s="135">
        <v>0.92</v>
      </c>
      <c r="Z626" s="135">
        <v>0.922005571030641</v>
      </c>
      <c r="AA626" s="135">
        <v>0.953450387913434</v>
      </c>
      <c r="AB626" s="135">
        <v>0.788305360043314</v>
      </c>
      <c r="AC626" s="135">
        <v>0.930828017812011</v>
      </c>
      <c r="AD626" s="135">
        <v>0.92</v>
      </c>
      <c r="AE626" s="133">
        <v>0.999610001299996</v>
      </c>
      <c r="AF626" s="133">
        <v>0.813854982692658</v>
      </c>
      <c r="AG626" s="133">
        <v>0.997341839447103</v>
      </c>
      <c r="AH626" s="133">
        <v>0.966029933652214</v>
      </c>
      <c r="AI626" s="135">
        <v>0.92</v>
      </c>
      <c r="AJ626" s="133">
        <v>0.945633111189056</v>
      </c>
      <c r="AK626" s="133">
        <v>0.964686331533029</v>
      </c>
      <c r="AL626" s="133">
        <v>0.874038661400956</v>
      </c>
      <c r="AM626" s="133">
        <v>0.951385124532824</v>
      </c>
      <c r="AN626" s="132">
        <v>0.99</v>
      </c>
      <c r="AO626" s="137">
        <v>1</v>
      </c>
      <c r="AP626" s="137">
        <v>1</v>
      </c>
      <c r="AQ626" s="137">
        <v>1</v>
      </c>
      <c r="AR626" s="137">
        <v>1</v>
      </c>
      <c r="AS626" s="158">
        <v>0.05</v>
      </c>
      <c r="AT626" s="141">
        <v>0.130434782608696</v>
      </c>
      <c r="AU626" s="141">
        <v>0.024390243902439</v>
      </c>
      <c r="AV626" s="141">
        <v>0.027027027027027</v>
      </c>
      <c r="AW626" s="141">
        <v>0.0466531440162272</v>
      </c>
      <c r="AX626" s="95"/>
      <c r="AY626" s="93"/>
    </row>
    <row r="627" ht="15" spans="1:51">
      <c r="A627" s="91"/>
      <c r="B627" s="95"/>
      <c r="C627" s="152" t="s">
        <v>375</v>
      </c>
      <c r="D627" s="153" t="s">
        <v>25</v>
      </c>
      <c r="E627" s="130" t="s">
        <v>376</v>
      </c>
      <c r="F627" s="154" t="s">
        <v>653</v>
      </c>
      <c r="G627" s="154" t="s">
        <v>653</v>
      </c>
      <c r="H627" s="154" t="s">
        <v>653</v>
      </c>
      <c r="I627" s="154" t="s">
        <v>653</v>
      </c>
      <c r="J627" s="132">
        <v>0.9</v>
      </c>
      <c r="K627" s="133">
        <v>0.958333333333333</v>
      </c>
      <c r="L627" s="133">
        <v>1</v>
      </c>
      <c r="M627" s="134">
        <v>0.973684210526316</v>
      </c>
      <c r="N627" s="133">
        <v>0.97724399494311</v>
      </c>
      <c r="O627" s="135">
        <v>0.9</v>
      </c>
      <c r="P627" s="133">
        <v>0.94543429844098</v>
      </c>
      <c r="Q627" s="133">
        <v>0.982244318181818</v>
      </c>
      <c r="R627" s="133">
        <v>0.9736</v>
      </c>
      <c r="S627" s="133">
        <v>0.972196665807971</v>
      </c>
      <c r="T627" s="135">
        <v>0.9</v>
      </c>
      <c r="U627" s="133">
        <v>0.962138084632517</v>
      </c>
      <c r="V627" s="133">
        <v>0.944602272727273</v>
      </c>
      <c r="W627" s="133">
        <v>0.946</v>
      </c>
      <c r="X627" s="133">
        <v>0.949545504728959</v>
      </c>
      <c r="Y627" s="135">
        <v>0.92</v>
      </c>
      <c r="Z627" s="135">
        <v>0.970474967907574</v>
      </c>
      <c r="AA627" s="135">
        <v>0.955284552845528</v>
      </c>
      <c r="AB627" s="135">
        <v>0.96030534351145</v>
      </c>
      <c r="AC627" s="135">
        <v>0.972792690815007</v>
      </c>
      <c r="AD627" s="135">
        <v>0.92</v>
      </c>
      <c r="AE627" s="133">
        <v>0.993948562783661</v>
      </c>
      <c r="AF627" s="133">
        <v>0.996904024767802</v>
      </c>
      <c r="AG627" s="133">
        <v>0.988</v>
      </c>
      <c r="AH627" s="133">
        <v>0.991254139424302</v>
      </c>
      <c r="AI627" s="135">
        <v>0.92</v>
      </c>
      <c r="AJ627" s="133">
        <v>0.977049180327869</v>
      </c>
      <c r="AK627" s="133">
        <v>0.972826086956522</v>
      </c>
      <c r="AL627" s="133">
        <v>0.982261640798226</v>
      </c>
      <c r="AM627" s="133">
        <v>0.985864920221509</v>
      </c>
      <c r="AN627" s="132">
        <v>0.99</v>
      </c>
      <c r="AO627" s="137">
        <v>1</v>
      </c>
      <c r="AP627" s="137">
        <v>1</v>
      </c>
      <c r="AQ627" s="137">
        <v>1</v>
      </c>
      <c r="AR627" s="137">
        <v>1</v>
      </c>
      <c r="AS627" s="158">
        <v>0.05</v>
      </c>
      <c r="AT627" s="141">
        <v>0.0909090909090909</v>
      </c>
      <c r="AU627" s="141">
        <v>0.0769230769230769</v>
      </c>
      <c r="AV627" s="141">
        <v>0.0526315789473684</v>
      </c>
      <c r="AW627" s="141">
        <v>0.063973063973064</v>
      </c>
      <c r="AX627" s="95"/>
      <c r="AY627" s="93"/>
    </row>
    <row r="628" ht="15" spans="1:51">
      <c r="A628" s="91"/>
      <c r="B628" s="95"/>
      <c r="C628" s="152" t="s">
        <v>375</v>
      </c>
      <c r="D628" s="153" t="s">
        <v>25</v>
      </c>
      <c r="E628" s="130" t="s">
        <v>376</v>
      </c>
      <c r="F628" s="154" t="s">
        <v>654</v>
      </c>
      <c r="G628" s="154" t="s">
        <v>654</v>
      </c>
      <c r="H628" s="154" t="s">
        <v>654</v>
      </c>
      <c r="I628" s="154" t="s">
        <v>654</v>
      </c>
      <c r="J628" s="132">
        <v>0.9</v>
      </c>
      <c r="K628" s="133">
        <v>0.990909090909091</v>
      </c>
      <c r="L628" s="133">
        <v>0.94047619047619</v>
      </c>
      <c r="M628" s="134">
        <v>0.941860465116279</v>
      </c>
      <c r="N628" s="133">
        <v>0.927505330490405</v>
      </c>
      <c r="O628" s="135">
        <v>0.9</v>
      </c>
      <c r="P628" s="133">
        <v>0.973983253588517</v>
      </c>
      <c r="Q628" s="133">
        <v>0.954715568862275</v>
      </c>
      <c r="R628" s="133">
        <v>0.949113175675676</v>
      </c>
      <c r="S628" s="133">
        <v>0.952864056395289</v>
      </c>
      <c r="T628" s="135">
        <v>0.9</v>
      </c>
      <c r="U628" s="133">
        <v>0.88427033492823</v>
      </c>
      <c r="V628" s="133">
        <v>0.850673652694611</v>
      </c>
      <c r="W628" s="133">
        <v>0.771959459459459</v>
      </c>
      <c r="X628" s="133">
        <v>0.762501981481309</v>
      </c>
      <c r="Y628" s="135">
        <v>0.92</v>
      </c>
      <c r="Z628" s="135">
        <v>0.943341869398207</v>
      </c>
      <c r="AA628" s="135">
        <v>0.946322067594433</v>
      </c>
      <c r="AB628" s="135">
        <v>0.906569343065693</v>
      </c>
      <c r="AC628" s="135">
        <v>0.941927872587108</v>
      </c>
      <c r="AD628" s="135">
        <v>0.92</v>
      </c>
      <c r="AE628" s="133">
        <v>0.999455634186173</v>
      </c>
      <c r="AF628" s="133">
        <v>0.997368421052632</v>
      </c>
      <c r="AG628" s="133">
        <v>0.998552821997106</v>
      </c>
      <c r="AH628" s="133">
        <v>0.998040957057779</v>
      </c>
      <c r="AI628" s="135">
        <v>0.92</v>
      </c>
      <c r="AJ628" s="133">
        <v>0.961038961038961</v>
      </c>
      <c r="AK628" s="133">
        <v>0.964994663820704</v>
      </c>
      <c r="AL628" s="133">
        <v>0.9472649852604</v>
      </c>
      <c r="AM628" s="133">
        <v>0.967842164484452</v>
      </c>
      <c r="AN628" s="132">
        <v>0.99</v>
      </c>
      <c r="AO628" s="137">
        <v>1</v>
      </c>
      <c r="AP628" s="137">
        <v>1</v>
      </c>
      <c r="AQ628" s="137">
        <v>1</v>
      </c>
      <c r="AR628" s="137">
        <v>1</v>
      </c>
      <c r="AS628" s="158">
        <v>0.05</v>
      </c>
      <c r="AT628" s="141">
        <v>0</v>
      </c>
      <c r="AU628" s="141">
        <v>0.125</v>
      </c>
      <c r="AV628" s="141">
        <v>0.142857142857143</v>
      </c>
      <c r="AW628" s="141">
        <v>0.104700854700855</v>
      </c>
      <c r="AX628" s="95"/>
      <c r="AY628" s="93"/>
    </row>
    <row r="629" ht="15" spans="1:51">
      <c r="A629" s="91"/>
      <c r="B629" s="95"/>
      <c r="C629" s="152" t="s">
        <v>375</v>
      </c>
      <c r="D629" s="153" t="s">
        <v>25</v>
      </c>
      <c r="E629" s="130" t="s">
        <v>376</v>
      </c>
      <c r="F629" s="154" t="s">
        <v>655</v>
      </c>
      <c r="G629" s="154" t="s">
        <v>655</v>
      </c>
      <c r="H629" s="154" t="s">
        <v>655</v>
      </c>
      <c r="I629" s="154" t="s">
        <v>655</v>
      </c>
      <c r="J629" s="132">
        <v>0.9</v>
      </c>
      <c r="K629" s="133">
        <v>0.867469879518072</v>
      </c>
      <c r="L629" s="133">
        <v>0.904109589041096</v>
      </c>
      <c r="M629" s="134">
        <v>0.802816901408451</v>
      </c>
      <c r="N629" s="133">
        <v>0.806275579809004</v>
      </c>
      <c r="O629" s="135">
        <v>0.9</v>
      </c>
      <c r="P629" s="133">
        <v>0.917960088691796</v>
      </c>
      <c r="Q629" s="133">
        <v>0.874646178730287</v>
      </c>
      <c r="R629" s="133">
        <v>0.91658215010142</v>
      </c>
      <c r="S629" s="133">
        <v>0.924452912357104</v>
      </c>
      <c r="T629" s="135">
        <v>0.9</v>
      </c>
      <c r="U629" s="133">
        <v>0.749076127124908</v>
      </c>
      <c r="V629" s="133">
        <v>0.761019005256773</v>
      </c>
      <c r="W629" s="133">
        <v>0.640720081135903</v>
      </c>
      <c r="X629" s="133">
        <v>0.615982580293958</v>
      </c>
      <c r="Y629" s="135">
        <v>0.92</v>
      </c>
      <c r="Z629" s="135">
        <v>0.862176165803109</v>
      </c>
      <c r="AA629" s="135">
        <v>0.862841530054645</v>
      </c>
      <c r="AB629" s="135">
        <v>0.802214022140221</v>
      </c>
      <c r="AC629" s="135">
        <v>0.86096291196971</v>
      </c>
      <c r="AD629" s="135">
        <v>0.92</v>
      </c>
      <c r="AE629" s="133">
        <v>0.999216423758032</v>
      </c>
      <c r="AF629" s="133">
        <v>0.999508164469801</v>
      </c>
      <c r="AG629" s="133">
        <v>0.999177406087195</v>
      </c>
      <c r="AH629" s="133">
        <v>0.982672619566855</v>
      </c>
      <c r="AI629" s="135">
        <v>0.92</v>
      </c>
      <c r="AJ629" s="133">
        <v>0.894323455908604</v>
      </c>
      <c r="AK629" s="133">
        <v>0.904717638856612</v>
      </c>
      <c r="AL629" s="133">
        <v>0.880754716981132</v>
      </c>
      <c r="AM629" s="133">
        <v>0.909734219028963</v>
      </c>
      <c r="AN629" s="132">
        <v>0.99</v>
      </c>
      <c r="AO629" s="137">
        <v>1</v>
      </c>
      <c r="AP629" s="137">
        <v>1</v>
      </c>
      <c r="AQ629" s="137">
        <v>1</v>
      </c>
      <c r="AR629" s="137">
        <v>1</v>
      </c>
      <c r="AS629" s="158">
        <v>0.05</v>
      </c>
      <c r="AT629" s="141">
        <v>0.0645161290322581</v>
      </c>
      <c r="AU629" s="141">
        <v>0.0377358490566038</v>
      </c>
      <c r="AV629" s="141">
        <v>0.075</v>
      </c>
      <c r="AW629" s="141">
        <v>0.050063371356147</v>
      </c>
      <c r="AX629" s="95"/>
      <c r="AY629" s="93"/>
    </row>
    <row r="630" ht="15" spans="1:51">
      <c r="A630" s="91"/>
      <c r="B630" s="95"/>
      <c r="C630" s="152" t="s">
        <v>375</v>
      </c>
      <c r="D630" s="153" t="s">
        <v>25</v>
      </c>
      <c r="E630" s="130" t="s">
        <v>376</v>
      </c>
      <c r="F630" s="154" t="s">
        <v>656</v>
      </c>
      <c r="G630" s="154" t="s">
        <v>656</v>
      </c>
      <c r="H630" s="154" t="s">
        <v>656</v>
      </c>
      <c r="I630" s="154" t="s">
        <v>656</v>
      </c>
      <c r="J630" s="132">
        <v>0.9</v>
      </c>
      <c r="K630" s="133">
        <v>0.957746478873239</v>
      </c>
      <c r="L630" s="133">
        <v>0.932203389830508</v>
      </c>
      <c r="M630" s="134">
        <v>0.887096774193548</v>
      </c>
      <c r="N630" s="133">
        <v>0.860759493670886</v>
      </c>
      <c r="O630" s="135">
        <v>0.9</v>
      </c>
      <c r="P630" s="133">
        <v>0.984167517875383</v>
      </c>
      <c r="Q630" s="133">
        <v>0.962776659959759</v>
      </c>
      <c r="R630" s="133">
        <v>0.971704180064309</v>
      </c>
      <c r="S630" s="133">
        <v>0.945138727295126</v>
      </c>
      <c r="T630" s="135">
        <v>0.9</v>
      </c>
      <c r="U630" s="133">
        <v>0.833503575076609</v>
      </c>
      <c r="V630" s="133">
        <v>0.759054325955734</v>
      </c>
      <c r="W630" s="133">
        <v>0.747909967845659</v>
      </c>
      <c r="X630" s="133">
        <v>0.757463350534514</v>
      </c>
      <c r="Y630" s="135">
        <v>0.92</v>
      </c>
      <c r="Z630" s="135">
        <v>0.90956749672346</v>
      </c>
      <c r="AA630" s="135">
        <v>0.92107117688513</v>
      </c>
      <c r="AB630" s="135">
        <v>0.871134020618557</v>
      </c>
      <c r="AC630" s="135">
        <v>0.921194079219383</v>
      </c>
      <c r="AD630" s="135">
        <v>0.92</v>
      </c>
      <c r="AE630" s="133">
        <v>0.99547584423978</v>
      </c>
      <c r="AF630" s="133">
        <v>0.990783866812011</v>
      </c>
      <c r="AG630" s="133">
        <v>0.99175211769951</v>
      </c>
      <c r="AH630" s="133">
        <v>0.983955002073062</v>
      </c>
      <c r="AI630" s="135">
        <v>0.92</v>
      </c>
      <c r="AJ630" s="133">
        <v>0.934322033898305</v>
      </c>
      <c r="AK630" s="133">
        <v>0.944835680751174</v>
      </c>
      <c r="AL630" s="133">
        <v>0.918402352364617</v>
      </c>
      <c r="AM630" s="133">
        <v>0.951614672859598</v>
      </c>
      <c r="AN630" s="132">
        <v>0.99</v>
      </c>
      <c r="AO630" s="137">
        <v>1</v>
      </c>
      <c r="AP630" s="137">
        <v>1</v>
      </c>
      <c r="AQ630" s="137">
        <v>1</v>
      </c>
      <c r="AR630" s="137">
        <v>1</v>
      </c>
      <c r="AS630" s="158">
        <v>0.05</v>
      </c>
      <c r="AT630" s="141">
        <v>0.181818181818182</v>
      </c>
      <c r="AU630" s="141">
        <v>0.444444444444444</v>
      </c>
      <c r="AV630" s="141">
        <v>0.121951219512195</v>
      </c>
      <c r="AW630" s="141">
        <v>0.164930555555556</v>
      </c>
      <c r="AX630" s="95"/>
      <c r="AY630" s="93"/>
    </row>
    <row r="631" ht="15" spans="1:51">
      <c r="A631" s="91"/>
      <c r="B631" s="95"/>
      <c r="C631" s="152" t="s">
        <v>375</v>
      </c>
      <c r="D631" s="153" t="s">
        <v>25</v>
      </c>
      <c r="E631" s="130" t="s">
        <v>376</v>
      </c>
      <c r="F631" s="154" t="s">
        <v>657</v>
      </c>
      <c r="G631" s="154" t="s">
        <v>657</v>
      </c>
      <c r="H631" s="154" t="s">
        <v>657</v>
      </c>
      <c r="I631" s="154" t="s">
        <v>657</v>
      </c>
      <c r="J631" s="132">
        <v>0.9</v>
      </c>
      <c r="K631" s="133">
        <v>0.988372093023256</v>
      </c>
      <c r="L631" s="133">
        <v>0.924242424242424</v>
      </c>
      <c r="M631" s="134">
        <v>0.824324324324324</v>
      </c>
      <c r="N631" s="133">
        <v>0.9276361130255</v>
      </c>
      <c r="O631" s="135">
        <v>0.9</v>
      </c>
      <c r="P631" s="133">
        <v>0.97653487624558</v>
      </c>
      <c r="Q631" s="133">
        <v>0.973654916512059</v>
      </c>
      <c r="R631" s="133">
        <v>0.977845528455285</v>
      </c>
      <c r="S631" s="133">
        <v>0.900215375798416</v>
      </c>
      <c r="T631" s="135">
        <v>0.9</v>
      </c>
      <c r="U631" s="133">
        <v>0.950498232079717</v>
      </c>
      <c r="V631" s="133">
        <v>0.929128014842301</v>
      </c>
      <c r="W631" s="133">
        <v>0.892682926829268</v>
      </c>
      <c r="X631" s="133">
        <v>0.853562944270357</v>
      </c>
      <c r="Y631" s="135">
        <v>0.92</v>
      </c>
      <c r="Z631" s="135">
        <v>0.945448570489648</v>
      </c>
      <c r="AA631" s="135">
        <v>0.914430379746835</v>
      </c>
      <c r="AB631" s="135">
        <v>0.92798353909465</v>
      </c>
      <c r="AC631" s="135">
        <v>0.941941109669046</v>
      </c>
      <c r="AD631" s="135">
        <v>0.92</v>
      </c>
      <c r="AE631" s="133">
        <v>0.997369574747918</v>
      </c>
      <c r="AF631" s="133">
        <v>0.992836676217765</v>
      </c>
      <c r="AG631" s="133">
        <v>0.995203836930456</v>
      </c>
      <c r="AH631" s="133">
        <v>0.993490466245355</v>
      </c>
      <c r="AI631" s="135">
        <v>0.92</v>
      </c>
      <c r="AJ631" s="133">
        <v>0.965231519090171</v>
      </c>
      <c r="AK631" s="133">
        <v>0.951830443159923</v>
      </c>
      <c r="AL631" s="133">
        <v>0.968015051740358</v>
      </c>
      <c r="AM631" s="133">
        <v>0.970670763448915</v>
      </c>
      <c r="AN631" s="132">
        <v>0.99</v>
      </c>
      <c r="AO631" s="137">
        <v>1</v>
      </c>
      <c r="AP631" s="137">
        <v>1</v>
      </c>
      <c r="AQ631" s="137">
        <v>1</v>
      </c>
      <c r="AR631" s="137">
        <v>1</v>
      </c>
      <c r="AS631" s="158">
        <v>0.05</v>
      </c>
      <c r="AT631" s="141">
        <v>0.037037037037037</v>
      </c>
      <c r="AU631" s="141">
        <v>0.277777777777778</v>
      </c>
      <c r="AV631" s="141">
        <v>0.108108108108108</v>
      </c>
      <c r="AW631" s="141">
        <v>0.0725952813067151</v>
      </c>
      <c r="AX631" s="95"/>
      <c r="AY631" s="93"/>
    </row>
    <row r="632" ht="15" spans="1:51">
      <c r="A632" s="91"/>
      <c r="B632" s="95"/>
      <c r="C632" s="152" t="s">
        <v>375</v>
      </c>
      <c r="D632" s="153" t="s">
        <v>25</v>
      </c>
      <c r="E632" s="130" t="s">
        <v>376</v>
      </c>
      <c r="F632" s="154" t="s">
        <v>658</v>
      </c>
      <c r="G632" s="154" t="s">
        <v>658</v>
      </c>
      <c r="H632" s="154" t="s">
        <v>658</v>
      </c>
      <c r="I632" s="154" t="s">
        <v>658</v>
      </c>
      <c r="J632" s="132">
        <v>0.9</v>
      </c>
      <c r="K632" s="133">
        <v>0.977777777777778</v>
      </c>
      <c r="L632" s="133">
        <v>0.941176470588235</v>
      </c>
      <c r="M632" s="134">
        <v>0.972222222222222</v>
      </c>
      <c r="N632" s="133">
        <v>0.980978260869565</v>
      </c>
      <c r="O632" s="135">
        <v>0.9</v>
      </c>
      <c r="P632" s="133">
        <v>0.991584852734923</v>
      </c>
      <c r="Q632" s="133">
        <v>0.986201298701299</v>
      </c>
      <c r="R632" s="133">
        <v>0.987312030075188</v>
      </c>
      <c r="S632" s="133">
        <v>0.990416605637045</v>
      </c>
      <c r="T632" s="135">
        <v>0.9</v>
      </c>
      <c r="U632" s="133">
        <v>0.949509116409537</v>
      </c>
      <c r="V632" s="133">
        <v>0.938311688311688</v>
      </c>
      <c r="W632" s="133">
        <v>0.93937969924812</v>
      </c>
      <c r="X632" s="133">
        <v>0.95601682325124</v>
      </c>
      <c r="Y632" s="135">
        <v>0.92</v>
      </c>
      <c r="Z632" s="135">
        <v>0.965651834504293</v>
      </c>
      <c r="AA632" s="135">
        <v>0.971764705882353</v>
      </c>
      <c r="AB632" s="135">
        <v>0.957410562180579</v>
      </c>
      <c r="AC632" s="135">
        <v>0.971643238002908</v>
      </c>
      <c r="AD632" s="135">
        <v>0.92</v>
      </c>
      <c r="AE632" s="133">
        <v>1</v>
      </c>
      <c r="AF632" s="133">
        <v>1</v>
      </c>
      <c r="AG632" s="133">
        <v>0.993103448275862</v>
      </c>
      <c r="AH632" s="133">
        <v>0.986409155937053</v>
      </c>
      <c r="AI632" s="135">
        <v>0.92</v>
      </c>
      <c r="AJ632" s="133">
        <v>0.975988178795715</v>
      </c>
      <c r="AK632" s="133">
        <v>0.979346781940442</v>
      </c>
      <c r="AL632" s="133">
        <v>0.980110497237569</v>
      </c>
      <c r="AM632" s="133">
        <v>0.985298201002528</v>
      </c>
      <c r="AN632" s="132">
        <v>0.99</v>
      </c>
      <c r="AO632" s="137">
        <v>1</v>
      </c>
      <c r="AP632" s="137">
        <v>1</v>
      </c>
      <c r="AQ632" s="137">
        <v>1</v>
      </c>
      <c r="AR632" s="137">
        <v>1</v>
      </c>
      <c r="AS632" s="158">
        <v>0.05</v>
      </c>
      <c r="AT632" s="141">
        <v>0.5</v>
      </c>
      <c r="AU632" s="141">
        <v>0</v>
      </c>
      <c r="AV632" s="141">
        <v>0.142857142857143</v>
      </c>
      <c r="AW632" s="141">
        <v>0.0867052023121387</v>
      </c>
      <c r="AX632" s="95"/>
      <c r="AY632" s="93"/>
    </row>
    <row r="633" ht="15" spans="1:51">
      <c r="A633" s="91"/>
      <c r="B633" s="95"/>
      <c r="C633" s="152" t="s">
        <v>375</v>
      </c>
      <c r="D633" s="153" t="s">
        <v>25</v>
      </c>
      <c r="E633" s="130" t="s">
        <v>376</v>
      </c>
      <c r="F633" s="154" t="s">
        <v>659</v>
      </c>
      <c r="G633" s="154" t="s">
        <v>659</v>
      </c>
      <c r="H633" s="154" t="s">
        <v>659</v>
      </c>
      <c r="I633" s="154" t="s">
        <v>659</v>
      </c>
      <c r="J633" s="132">
        <v>0.9</v>
      </c>
      <c r="K633" s="133">
        <v>0.766990291262136</v>
      </c>
      <c r="L633" s="133">
        <v>0.738095238095238</v>
      </c>
      <c r="M633" s="134">
        <v>0.666666666666667</v>
      </c>
      <c r="N633" s="133">
        <v>0.756972111553785</v>
      </c>
      <c r="O633" s="135">
        <v>0.9</v>
      </c>
      <c r="P633" s="133">
        <v>0.994310099573257</v>
      </c>
      <c r="Q633" s="133">
        <v>0.965471884248602</v>
      </c>
      <c r="R633" s="133">
        <v>0.980891719745223</v>
      </c>
      <c r="S633" s="133">
        <v>0.969426476571647</v>
      </c>
      <c r="T633" s="135">
        <v>0.9</v>
      </c>
      <c r="U633" s="133">
        <v>0.809032716927454</v>
      </c>
      <c r="V633" s="133">
        <v>0.788885235120026</v>
      </c>
      <c r="W633" s="133">
        <v>0.716651501364877</v>
      </c>
      <c r="X633" s="133">
        <v>0.702543365080419</v>
      </c>
      <c r="Y633" s="135">
        <v>0.92</v>
      </c>
      <c r="Z633" s="135">
        <v>0.927007299270073</v>
      </c>
      <c r="AA633" s="135">
        <v>0.926503340757238</v>
      </c>
      <c r="AB633" s="135">
        <v>0.834788029925187</v>
      </c>
      <c r="AC633" s="135">
        <v>0.898787943413663</v>
      </c>
      <c r="AD633" s="135">
        <v>0.92</v>
      </c>
      <c r="AE633" s="133">
        <v>1</v>
      </c>
      <c r="AF633" s="133">
        <v>0.984888888888889</v>
      </c>
      <c r="AG633" s="133">
        <v>0.996823379923761</v>
      </c>
      <c r="AH633" s="133">
        <v>0.992671394799054</v>
      </c>
      <c r="AI633" s="135">
        <v>0.92</v>
      </c>
      <c r="AJ633" s="133">
        <v>0.945182069146838</v>
      </c>
      <c r="AK633" s="133">
        <v>0.956686211462077</v>
      </c>
      <c r="AL633" s="133">
        <v>0.939014084507042</v>
      </c>
      <c r="AM633" s="133">
        <v>0.954237307317957</v>
      </c>
      <c r="AN633" s="132">
        <v>0.99</v>
      </c>
      <c r="AO633" s="137">
        <v>1</v>
      </c>
      <c r="AP633" s="137">
        <v>1</v>
      </c>
      <c r="AQ633" s="137">
        <v>1</v>
      </c>
      <c r="AR633" s="137">
        <v>1</v>
      </c>
      <c r="AS633" s="158">
        <v>0.05</v>
      </c>
      <c r="AT633" s="141">
        <v>0.192307692307692</v>
      </c>
      <c r="AU633" s="141">
        <v>0.117647058823529</v>
      </c>
      <c r="AV633" s="141">
        <v>0.12</v>
      </c>
      <c r="AW633" s="141">
        <v>0.106761565836299</v>
      </c>
      <c r="AX633" s="95"/>
      <c r="AY633" s="93"/>
    </row>
    <row r="634" ht="15" spans="1:51">
      <c r="A634" s="91"/>
      <c r="B634" s="95"/>
      <c r="C634" s="152" t="s">
        <v>375</v>
      </c>
      <c r="D634" s="153" t="s">
        <v>25</v>
      </c>
      <c r="E634" s="130" t="s">
        <v>376</v>
      </c>
      <c r="F634" s="154" t="s">
        <v>660</v>
      </c>
      <c r="G634" s="154" t="s">
        <v>660</v>
      </c>
      <c r="H634" s="154" t="s">
        <v>660</v>
      </c>
      <c r="I634" s="154" t="s">
        <v>660</v>
      </c>
      <c r="J634" s="132">
        <v>0.9</v>
      </c>
      <c r="K634" s="133">
        <v>0.869565217391304</v>
      </c>
      <c r="L634" s="133">
        <v>0.85</v>
      </c>
      <c r="M634" s="134">
        <v>0.833333333333333</v>
      </c>
      <c r="N634" s="133">
        <v>0.760479041916168</v>
      </c>
      <c r="O634" s="135">
        <v>0.9</v>
      </c>
      <c r="P634" s="133">
        <v>0.979359430604982</v>
      </c>
      <c r="Q634" s="133">
        <v>0.978465679676985</v>
      </c>
      <c r="R634" s="133">
        <v>0.94801003944066</v>
      </c>
      <c r="S634" s="133">
        <v>0.934044958395879</v>
      </c>
      <c r="T634" s="135">
        <v>0.9</v>
      </c>
      <c r="U634" s="133">
        <v>0.690391459074733</v>
      </c>
      <c r="V634" s="133">
        <v>0.584791386271871</v>
      </c>
      <c r="W634" s="133">
        <v>0.410182861240588</v>
      </c>
      <c r="X634" s="133">
        <v>0.534256222086322</v>
      </c>
      <c r="Y634" s="135">
        <v>0.92</v>
      </c>
      <c r="Z634" s="135">
        <v>0.802640722724114</v>
      </c>
      <c r="AA634" s="135">
        <v>0.740576496674058</v>
      </c>
      <c r="AB634" s="135">
        <v>0.835443037974684</v>
      </c>
      <c r="AC634" s="135">
        <v>0.874708171206226</v>
      </c>
      <c r="AD634" s="135">
        <v>0.92</v>
      </c>
      <c r="AE634" s="133">
        <v>0.99390243902439</v>
      </c>
      <c r="AF634" s="133">
        <v>0.99830220713073</v>
      </c>
      <c r="AG634" s="133">
        <v>0.998452012383901</v>
      </c>
      <c r="AH634" s="133">
        <v>0.994685200327065</v>
      </c>
      <c r="AI634" s="135">
        <v>0.92</v>
      </c>
      <c r="AJ634" s="133">
        <v>0.860154602951511</v>
      </c>
      <c r="AK634" s="133">
        <v>0.832147341984094</v>
      </c>
      <c r="AL634" s="133">
        <v>0.752826633165829</v>
      </c>
      <c r="AM634" s="133">
        <v>0.903887949770587</v>
      </c>
      <c r="AN634" s="132">
        <v>0.99</v>
      </c>
      <c r="AO634" s="137">
        <v>1</v>
      </c>
      <c r="AP634" s="137">
        <v>1</v>
      </c>
      <c r="AQ634" s="137">
        <v>1</v>
      </c>
      <c r="AR634" s="137">
        <v>1</v>
      </c>
      <c r="AS634" s="158">
        <v>0.05</v>
      </c>
      <c r="AT634" s="141">
        <v>0.166666666666667</v>
      </c>
      <c r="AU634" s="141">
        <v>0</v>
      </c>
      <c r="AV634" s="141">
        <v>0</v>
      </c>
      <c r="AW634" s="141">
        <v>0.102739726027397</v>
      </c>
      <c r="AX634" s="95"/>
      <c r="AY634" s="93"/>
    </row>
    <row r="635" ht="15" spans="1:51">
      <c r="A635" s="91"/>
      <c r="B635" s="95"/>
      <c r="C635" s="152" t="s">
        <v>375</v>
      </c>
      <c r="D635" s="153" t="s">
        <v>25</v>
      </c>
      <c r="E635" s="130" t="s">
        <v>376</v>
      </c>
      <c r="F635" s="154" t="s">
        <v>661</v>
      </c>
      <c r="G635" s="154" t="s">
        <v>661</v>
      </c>
      <c r="H635" s="154" t="s">
        <v>661</v>
      </c>
      <c r="I635" s="154" t="s">
        <v>661</v>
      </c>
      <c r="J635" s="132">
        <v>0.9</v>
      </c>
      <c r="K635" s="133">
        <v>0.935897435897436</v>
      </c>
      <c r="L635" s="133">
        <v>0.96969696969697</v>
      </c>
      <c r="M635" s="134">
        <v>0.867647058823529</v>
      </c>
      <c r="N635" s="133">
        <v>0.916791604197901</v>
      </c>
      <c r="O635" s="135">
        <v>0.9</v>
      </c>
      <c r="P635" s="133">
        <v>0.991707177580784</v>
      </c>
      <c r="Q635" s="133">
        <v>0.99005125113054</v>
      </c>
      <c r="R635" s="133">
        <v>0.972434345315701</v>
      </c>
      <c r="S635" s="133">
        <v>0.955428371706934</v>
      </c>
      <c r="T635" s="135">
        <v>0.9</v>
      </c>
      <c r="U635" s="133">
        <v>0.935087217615099</v>
      </c>
      <c r="V635" s="133">
        <v>0.900211034066928</v>
      </c>
      <c r="W635" s="133">
        <v>0.887316073756752</v>
      </c>
      <c r="X635" s="133">
        <v>0.894254882257853</v>
      </c>
      <c r="Y635" s="135">
        <v>0.92</v>
      </c>
      <c r="Z635" s="135">
        <v>0.919527896995708</v>
      </c>
      <c r="AA635" s="135">
        <v>0.892430278884462</v>
      </c>
      <c r="AB635" s="135">
        <v>0.871621621621622</v>
      </c>
      <c r="AC635" s="135">
        <v>0.80298744917801</v>
      </c>
      <c r="AD635" s="135">
        <v>0.92</v>
      </c>
      <c r="AE635" s="133">
        <v>0.997977755308392</v>
      </c>
      <c r="AF635" s="133">
        <v>0.988263551503903</v>
      </c>
      <c r="AG635" s="133">
        <v>0.996819743035237</v>
      </c>
      <c r="AH635" s="133">
        <v>0.987548315957502</v>
      </c>
      <c r="AI635" s="135">
        <v>0.92</v>
      </c>
      <c r="AJ635" s="133">
        <v>0.944260027662517</v>
      </c>
      <c r="AK635" s="133">
        <v>0.9275855888152</v>
      </c>
      <c r="AL635" s="133">
        <v>0.921807245768639</v>
      </c>
      <c r="AM635" s="133">
        <v>0.896229613608464</v>
      </c>
      <c r="AN635" s="132">
        <v>0.99</v>
      </c>
      <c r="AO635" s="137">
        <v>1</v>
      </c>
      <c r="AP635" s="137">
        <v>1</v>
      </c>
      <c r="AQ635" s="137">
        <v>1</v>
      </c>
      <c r="AR635" s="137">
        <v>1</v>
      </c>
      <c r="AS635" s="158">
        <v>0.05</v>
      </c>
      <c r="AT635" s="141">
        <v>0.00531914893617021</v>
      </c>
      <c r="AU635" s="141">
        <v>0.00202839756592292</v>
      </c>
      <c r="AV635" s="141">
        <v>0.00269541778975741</v>
      </c>
      <c r="AW635" s="141">
        <v>0.00692562481180367</v>
      </c>
      <c r="AX635" s="95"/>
      <c r="AY635" s="93"/>
    </row>
    <row r="636" ht="15" spans="1:51">
      <c r="A636" s="91"/>
      <c r="B636" s="95"/>
      <c r="C636" s="152" t="s">
        <v>375</v>
      </c>
      <c r="D636" s="153" t="s">
        <v>25</v>
      </c>
      <c r="E636" s="130" t="s">
        <v>376</v>
      </c>
      <c r="F636" s="154" t="s">
        <v>662</v>
      </c>
      <c r="G636" s="154" t="s">
        <v>662</v>
      </c>
      <c r="H636" s="154" t="s">
        <v>662</v>
      </c>
      <c r="I636" s="154" t="s">
        <v>662</v>
      </c>
      <c r="J636" s="132">
        <v>0.9</v>
      </c>
      <c r="K636" s="133">
        <v>0.951456310679612</v>
      </c>
      <c r="L636" s="133">
        <v>0.9625</v>
      </c>
      <c r="M636" s="134">
        <v>0.879518072289157</v>
      </c>
      <c r="N636" s="133">
        <v>0.929110981987217</v>
      </c>
      <c r="O636" s="135">
        <v>0.9</v>
      </c>
      <c r="P636" s="133">
        <v>0.981707317073171</v>
      </c>
      <c r="Q636" s="133">
        <v>0.984516129032258</v>
      </c>
      <c r="R636" s="133">
        <v>0.989838957055215</v>
      </c>
      <c r="S636" s="133">
        <v>0.975806451612903</v>
      </c>
      <c r="T636" s="135">
        <v>0.9</v>
      </c>
      <c r="U636" s="133">
        <v>0.927119628339141</v>
      </c>
      <c r="V636" s="133">
        <v>0.895806451612903</v>
      </c>
      <c r="W636" s="133">
        <v>0.851802147239264</v>
      </c>
      <c r="X636" s="133">
        <v>0.895826318270591</v>
      </c>
      <c r="Y636" s="135">
        <v>0.92</v>
      </c>
      <c r="Z636" s="135">
        <v>0.888888888888889</v>
      </c>
      <c r="AA636" s="135">
        <v>0.863996273870517</v>
      </c>
      <c r="AB636" s="135">
        <v>0.752304855562385</v>
      </c>
      <c r="AC636" s="135">
        <v>0.842998366715379</v>
      </c>
      <c r="AD636" s="135">
        <v>0.92</v>
      </c>
      <c r="AE636" s="133">
        <v>0.999881333807998</v>
      </c>
      <c r="AF636" s="133">
        <v>0.999687108886108</v>
      </c>
      <c r="AG636" s="133">
        <v>0.995847750865052</v>
      </c>
      <c r="AH636" s="133">
        <v>0.998874755381605</v>
      </c>
      <c r="AI636" s="135">
        <v>0.92</v>
      </c>
      <c r="AJ636" s="133">
        <v>0.923490488006617</v>
      </c>
      <c r="AK636" s="133">
        <v>0.916142557651992</v>
      </c>
      <c r="AL636" s="133">
        <v>0.890008764241893</v>
      </c>
      <c r="AM636" s="133">
        <v>0.920587121961141</v>
      </c>
      <c r="AN636" s="132">
        <v>0.99</v>
      </c>
      <c r="AO636" s="137">
        <v>1</v>
      </c>
      <c r="AP636" s="137">
        <v>1</v>
      </c>
      <c r="AQ636" s="137">
        <v>1</v>
      </c>
      <c r="AR636" s="137">
        <v>1</v>
      </c>
      <c r="AS636" s="158">
        <v>0.05</v>
      </c>
      <c r="AT636" s="141">
        <v>0.138888888888889</v>
      </c>
      <c r="AU636" s="141">
        <v>0.212121212121212</v>
      </c>
      <c r="AV636" s="141">
        <v>0.120689655172414</v>
      </c>
      <c r="AW636" s="141">
        <v>0.0631399317406143</v>
      </c>
      <c r="AX636" s="95"/>
      <c r="AY636" s="93"/>
    </row>
    <row r="637" ht="15" spans="1:51">
      <c r="A637" s="91"/>
      <c r="B637" s="95"/>
      <c r="C637" s="152" t="s">
        <v>375</v>
      </c>
      <c r="D637" s="153" t="s">
        <v>25</v>
      </c>
      <c r="E637" s="130" t="s">
        <v>376</v>
      </c>
      <c r="F637" s="154" t="s">
        <v>663</v>
      </c>
      <c r="G637" s="154" t="s">
        <v>663</v>
      </c>
      <c r="H637" s="154" t="s">
        <v>663</v>
      </c>
      <c r="I637" s="154" t="s">
        <v>663</v>
      </c>
      <c r="J637" s="132">
        <v>0.9</v>
      </c>
      <c r="K637" s="133">
        <v>0.841463414634146</v>
      </c>
      <c r="L637" s="133">
        <v>0.8125</v>
      </c>
      <c r="M637" s="134">
        <v>0.780821917808219</v>
      </c>
      <c r="N637" s="133">
        <v>0.812794612794613</v>
      </c>
      <c r="O637" s="135">
        <v>0.9</v>
      </c>
      <c r="P637" s="133">
        <v>0.982409177820268</v>
      </c>
      <c r="Q637" s="133">
        <v>0.979827089337176</v>
      </c>
      <c r="R637" s="133">
        <v>0.976070528967254</v>
      </c>
      <c r="S637" s="133">
        <v>0.898736656546861</v>
      </c>
      <c r="T637" s="135">
        <v>0.9</v>
      </c>
      <c r="U637" s="133">
        <v>0.652007648183556</v>
      </c>
      <c r="V637" s="133">
        <v>0.664059283655825</v>
      </c>
      <c r="W637" s="133">
        <v>0.580100755667506</v>
      </c>
      <c r="X637" s="133">
        <v>0.598091382931262</v>
      </c>
      <c r="Y637" s="135">
        <v>0.92</v>
      </c>
      <c r="Z637" s="135">
        <v>0.86908077994429</v>
      </c>
      <c r="AA637" s="135">
        <v>0.894275399690562</v>
      </c>
      <c r="AB637" s="135">
        <v>0.813859790491539</v>
      </c>
      <c r="AC637" s="135">
        <v>0.864668891170431</v>
      </c>
      <c r="AD637" s="135">
        <v>0.92</v>
      </c>
      <c r="AE637" s="133">
        <v>0.995630643751821</v>
      </c>
      <c r="AF637" s="133">
        <v>0.994052044609665</v>
      </c>
      <c r="AG637" s="133">
        <v>0.992914979757085</v>
      </c>
      <c r="AH637" s="133">
        <v>0.97480827634425</v>
      </c>
      <c r="AI637" s="135">
        <v>0.92</v>
      </c>
      <c r="AJ637" s="133">
        <v>0.891073871409029</v>
      </c>
      <c r="AK637" s="133">
        <v>0.928162891786776</v>
      </c>
      <c r="AL637" s="133">
        <v>0.883537989255564</v>
      </c>
      <c r="AM637" s="133">
        <v>0.921131939437635</v>
      </c>
      <c r="AN637" s="132">
        <v>0.99</v>
      </c>
      <c r="AO637" s="137">
        <v>1</v>
      </c>
      <c r="AP637" s="137">
        <v>1</v>
      </c>
      <c r="AQ637" s="137">
        <v>1</v>
      </c>
      <c r="AR637" s="137">
        <v>1</v>
      </c>
      <c r="AS637" s="158">
        <v>0.05</v>
      </c>
      <c r="AT637" s="141">
        <v>0.0310880829015544</v>
      </c>
      <c r="AU637" s="141">
        <v>0.00543478260869565</v>
      </c>
      <c r="AV637" s="141">
        <v>0.13768115942029</v>
      </c>
      <c r="AW637" s="141">
        <v>0.0288568257491676</v>
      </c>
      <c r="AX637" s="95"/>
      <c r="AY637" s="93"/>
    </row>
    <row r="638" ht="15" spans="1:51">
      <c r="A638" s="91"/>
      <c r="B638" s="95"/>
      <c r="C638" s="152" t="s">
        <v>375</v>
      </c>
      <c r="D638" s="153" t="s">
        <v>25</v>
      </c>
      <c r="E638" s="130" t="s">
        <v>376</v>
      </c>
      <c r="F638" s="154" t="s">
        <v>664</v>
      </c>
      <c r="G638" s="154" t="s">
        <v>664</v>
      </c>
      <c r="H638" s="154" t="s">
        <v>664</v>
      </c>
      <c r="I638" s="154" t="s">
        <v>664</v>
      </c>
      <c r="J638" s="132">
        <v>0.9</v>
      </c>
      <c r="K638" s="133">
        <v>0.416666666666667</v>
      </c>
      <c r="L638" s="133">
        <v>0.4</v>
      </c>
      <c r="M638" s="134">
        <v>0.435483870967742</v>
      </c>
      <c r="N638" s="133">
        <v>0.397496087636933</v>
      </c>
      <c r="O638" s="135">
        <v>0.9</v>
      </c>
      <c r="P638" s="133">
        <v>0.582379293180687</v>
      </c>
      <c r="Q638" s="133">
        <v>0.426084474885845</v>
      </c>
      <c r="R638" s="133">
        <v>0.389995506964205</v>
      </c>
      <c r="S638" s="133">
        <v>0.455037681432759</v>
      </c>
      <c r="T638" s="135">
        <v>0.9</v>
      </c>
      <c r="U638" s="133">
        <v>0.616724738675958</v>
      </c>
      <c r="V638" s="133">
        <v>0.487157534246575</v>
      </c>
      <c r="W638" s="133">
        <v>0.400029953571963</v>
      </c>
      <c r="X638" s="133">
        <v>0.45349741848787</v>
      </c>
      <c r="Y638" s="135">
        <v>0.92</v>
      </c>
      <c r="Z638" s="135">
        <v>0</v>
      </c>
      <c r="AA638" s="135" t="s">
        <v>35</v>
      </c>
      <c r="AB638" s="135">
        <v>1</v>
      </c>
      <c r="AC638" s="135">
        <v>0.0909090909090909</v>
      </c>
      <c r="AD638" s="135">
        <v>0.92</v>
      </c>
      <c r="AE638" s="133">
        <v>1</v>
      </c>
      <c r="AF638" s="133">
        <v>0.992927864214993</v>
      </c>
      <c r="AG638" s="133">
        <v>0.991902834008097</v>
      </c>
      <c r="AH638" s="133">
        <v>0.994539606552472</v>
      </c>
      <c r="AI638" s="135">
        <v>0.92</v>
      </c>
      <c r="AJ638" s="133">
        <v>0.901044256588762</v>
      </c>
      <c r="AK638" s="133">
        <v>0.89925799086758</v>
      </c>
      <c r="AL638" s="133">
        <v>0.833807456206019</v>
      </c>
      <c r="AM638" s="133">
        <v>0.889064366082092</v>
      </c>
      <c r="AN638" s="132">
        <v>0.99</v>
      </c>
      <c r="AO638" s="137">
        <v>1</v>
      </c>
      <c r="AP638" s="137">
        <v>1</v>
      </c>
      <c r="AQ638" s="137">
        <v>1</v>
      </c>
      <c r="AR638" s="137">
        <v>1</v>
      </c>
      <c r="AS638" s="158">
        <v>0.05</v>
      </c>
      <c r="AT638" s="141">
        <v>0.357142857142857</v>
      </c>
      <c r="AU638" s="141">
        <v>0.217391304347826</v>
      </c>
      <c r="AV638" s="141">
        <v>0.0833333333333333</v>
      </c>
      <c r="AW638" s="141">
        <v>0.12847965738758</v>
      </c>
      <c r="AX638" s="95"/>
      <c r="AY638" s="93"/>
    </row>
    <row r="639" ht="15" spans="1:51">
      <c r="A639" s="91"/>
      <c r="B639" s="95"/>
      <c r="C639" s="152" t="s">
        <v>375</v>
      </c>
      <c r="D639" s="153" t="s">
        <v>25</v>
      </c>
      <c r="E639" s="130" t="s">
        <v>376</v>
      </c>
      <c r="F639" s="154" t="s">
        <v>665</v>
      </c>
      <c r="G639" s="154" t="s">
        <v>665</v>
      </c>
      <c r="H639" s="154" t="s">
        <v>665</v>
      </c>
      <c r="I639" s="154" t="s">
        <v>665</v>
      </c>
      <c r="J639" s="132">
        <v>0.9</v>
      </c>
      <c r="K639" s="133">
        <v>0.353658536585366</v>
      </c>
      <c r="L639" s="133">
        <v>0.367647058823529</v>
      </c>
      <c r="M639" s="134">
        <v>0.296875</v>
      </c>
      <c r="N639" s="133">
        <v>0.277468706536857</v>
      </c>
      <c r="O639" s="135">
        <v>0.9</v>
      </c>
      <c r="P639" s="133">
        <v>0.75035986016862</v>
      </c>
      <c r="Q639" s="133">
        <v>0.665900206944125</v>
      </c>
      <c r="R639" s="133">
        <v>0.628545525191037</v>
      </c>
      <c r="S639" s="133">
        <v>0.620980903625382</v>
      </c>
      <c r="T639" s="135">
        <v>0.9</v>
      </c>
      <c r="U639" s="133">
        <v>0.769895126465145</v>
      </c>
      <c r="V639" s="133">
        <v>0.673948034030812</v>
      </c>
      <c r="W639" s="133">
        <v>0.5959072658982</v>
      </c>
      <c r="X639" s="133">
        <v>0.661007964959757</v>
      </c>
      <c r="Y639" s="135">
        <v>0.92</v>
      </c>
      <c r="Z639" s="135">
        <v>0.176470588235294</v>
      </c>
      <c r="AA639" s="135">
        <v>0.25</v>
      </c>
      <c r="AB639" s="135">
        <v>0</v>
      </c>
      <c r="AC639" s="135">
        <v>0.770731707317073</v>
      </c>
      <c r="AD639" s="135">
        <v>0.92</v>
      </c>
      <c r="AE639" s="133">
        <v>0.866574910470896</v>
      </c>
      <c r="AF639" s="133">
        <v>0.857795703898314</v>
      </c>
      <c r="AG639" s="133">
        <v>0.977415985304182</v>
      </c>
      <c r="AH639" s="133">
        <v>0.897213400335656</v>
      </c>
      <c r="AI639" s="135">
        <v>0.92</v>
      </c>
      <c r="AJ639" s="133">
        <v>0.943260958623515</v>
      </c>
      <c r="AK639" s="133">
        <v>0.931113662456946</v>
      </c>
      <c r="AL639" s="133">
        <v>0.890859658208182</v>
      </c>
      <c r="AM639" s="133">
        <v>0.941468744128433</v>
      </c>
      <c r="AN639" s="132">
        <v>0.99</v>
      </c>
      <c r="AO639" s="137">
        <v>1</v>
      </c>
      <c r="AP639" s="137">
        <v>1</v>
      </c>
      <c r="AQ639" s="137">
        <v>1</v>
      </c>
      <c r="AR639" s="137">
        <v>0.988255033557047</v>
      </c>
      <c r="AS639" s="158">
        <v>0.05</v>
      </c>
      <c r="AT639" s="141">
        <v>0.0416666666666667</v>
      </c>
      <c r="AU639" s="141">
        <v>0.0454545454545455</v>
      </c>
      <c r="AV639" s="141">
        <v>0.133333333333333</v>
      </c>
      <c r="AW639" s="141">
        <v>0.0986622073578595</v>
      </c>
      <c r="AX639" s="95"/>
      <c r="AY639" s="93"/>
    </row>
    <row r="640" ht="15" spans="1:51">
      <c r="A640" s="91"/>
      <c r="B640" s="95"/>
      <c r="C640" s="152" t="s">
        <v>375</v>
      </c>
      <c r="D640" s="153" t="s">
        <v>25</v>
      </c>
      <c r="E640" s="130" t="s">
        <v>376</v>
      </c>
      <c r="F640" s="154" t="s">
        <v>666</v>
      </c>
      <c r="G640" s="154" t="s">
        <v>666</v>
      </c>
      <c r="H640" s="154" t="s">
        <v>666</v>
      </c>
      <c r="I640" s="154" t="s">
        <v>666</v>
      </c>
      <c r="J640" s="132">
        <v>0.9</v>
      </c>
      <c r="K640" s="133">
        <v>0.981132075471698</v>
      </c>
      <c r="L640" s="133">
        <v>0.902439024390244</v>
      </c>
      <c r="M640" s="134">
        <v>0.975</v>
      </c>
      <c r="N640" s="133">
        <v>0.971098265895954</v>
      </c>
      <c r="O640" s="135">
        <v>0.9</v>
      </c>
      <c r="P640" s="133">
        <v>0.978409090909091</v>
      </c>
      <c r="Q640" s="133">
        <v>0.980310262529833</v>
      </c>
      <c r="R640" s="133">
        <v>0.981308411214953</v>
      </c>
      <c r="S640" s="133">
        <v>0.969139997528728</v>
      </c>
      <c r="T640" s="135">
        <v>0.9</v>
      </c>
      <c r="U640" s="133">
        <v>0.914772727272727</v>
      </c>
      <c r="V640" s="133">
        <v>0.900954653937947</v>
      </c>
      <c r="W640" s="133">
        <v>0.771201107649706</v>
      </c>
      <c r="X640" s="133">
        <v>0.801201655751884</v>
      </c>
      <c r="Y640" s="135">
        <v>0.92</v>
      </c>
      <c r="Z640" s="135">
        <v>0.927803379416283</v>
      </c>
      <c r="AA640" s="135">
        <v>0.952343129467832</v>
      </c>
      <c r="AB640" s="135">
        <v>0.887605042016807</v>
      </c>
      <c r="AC640" s="135">
        <v>0.929706262700905</v>
      </c>
      <c r="AD640" s="135">
        <v>0.92</v>
      </c>
      <c r="AE640" s="133">
        <v>0.999685633448601</v>
      </c>
      <c r="AF640" s="133">
        <v>1</v>
      </c>
      <c r="AG640" s="133">
        <v>0.9975</v>
      </c>
      <c r="AH640" s="133">
        <v>0.998906683403859</v>
      </c>
      <c r="AI640" s="135">
        <v>0.92</v>
      </c>
      <c r="AJ640" s="133">
        <v>0.949179887066416</v>
      </c>
      <c r="AK640" s="133">
        <v>0.965247018739353</v>
      </c>
      <c r="AL640" s="133">
        <v>0.930020811654527</v>
      </c>
      <c r="AM640" s="133">
        <v>0.957697528071402</v>
      </c>
      <c r="AN640" s="132">
        <v>0.99</v>
      </c>
      <c r="AO640" s="137">
        <v>1</v>
      </c>
      <c r="AP640" s="137">
        <v>1</v>
      </c>
      <c r="AQ640" s="137">
        <v>1</v>
      </c>
      <c r="AR640" s="137">
        <v>1</v>
      </c>
      <c r="AS640" s="158">
        <v>0.05</v>
      </c>
      <c r="AT640" s="141">
        <v>0.0625</v>
      </c>
      <c r="AU640" s="141">
        <v>0.181818181818182</v>
      </c>
      <c r="AV640" s="141">
        <v>0.227272727272727</v>
      </c>
      <c r="AW640" s="141">
        <v>0.103864734299517</v>
      </c>
      <c r="AX640" s="95"/>
      <c r="AY640" s="93"/>
    </row>
    <row r="641" ht="15" spans="1:51">
      <c r="A641" s="91"/>
      <c r="B641" s="95"/>
      <c r="C641" s="152" t="s">
        <v>375</v>
      </c>
      <c r="D641" s="153" t="s">
        <v>25</v>
      </c>
      <c r="E641" s="130" t="s">
        <v>376</v>
      </c>
      <c r="F641" s="154" t="s">
        <v>667</v>
      </c>
      <c r="G641" s="154" t="s">
        <v>667</v>
      </c>
      <c r="H641" s="154" t="s">
        <v>667</v>
      </c>
      <c r="I641" s="154" t="s">
        <v>667</v>
      </c>
      <c r="J641" s="132">
        <v>0.9</v>
      </c>
      <c r="K641" s="133">
        <v>0.928571428571429</v>
      </c>
      <c r="L641" s="133">
        <v>0.8</v>
      </c>
      <c r="M641" s="134">
        <v>0.836734693877551</v>
      </c>
      <c r="N641" s="133">
        <v>0.807051909892262</v>
      </c>
      <c r="O641" s="135">
        <v>0.9</v>
      </c>
      <c r="P641" s="133">
        <v>0.939326837909655</v>
      </c>
      <c r="Q641" s="133">
        <v>0.993055555555556</v>
      </c>
      <c r="R641" s="133">
        <v>0.954518779342723</v>
      </c>
      <c r="S641" s="133">
        <v>0.972805350329394</v>
      </c>
      <c r="T641" s="135">
        <v>0.9</v>
      </c>
      <c r="U641" s="133">
        <v>0.777236492471214</v>
      </c>
      <c r="V641" s="133">
        <v>0.69212962962963</v>
      </c>
      <c r="W641" s="133">
        <v>0.641138497652582</v>
      </c>
      <c r="X641" s="133">
        <v>0.655701158952227</v>
      </c>
      <c r="Y641" s="135">
        <v>0.92</v>
      </c>
      <c r="Z641" s="135">
        <v>0.837004405286344</v>
      </c>
      <c r="AA641" s="135">
        <v>0.840837032339886</v>
      </c>
      <c r="AB641" s="135">
        <v>0.737810487580497</v>
      </c>
      <c r="AC641" s="135">
        <v>0.843483539035176</v>
      </c>
      <c r="AD641" s="135">
        <v>0.92</v>
      </c>
      <c r="AE641" s="133">
        <v>0.988850070616219</v>
      </c>
      <c r="AF641" s="133">
        <v>0.993292736739917</v>
      </c>
      <c r="AG641" s="133">
        <v>0.982541899441341</v>
      </c>
      <c r="AH641" s="133">
        <v>0.984622522359976</v>
      </c>
      <c r="AI641" s="135">
        <v>0.92</v>
      </c>
      <c r="AJ641" s="133">
        <v>0.88476821192053</v>
      </c>
      <c r="AK641" s="133">
        <v>0.903933636606904</v>
      </c>
      <c r="AL641" s="133">
        <v>0.876779359430605</v>
      </c>
      <c r="AM641" s="133">
        <v>0.919842074068409</v>
      </c>
      <c r="AN641" s="132">
        <v>0.99</v>
      </c>
      <c r="AO641" s="137">
        <v>1</v>
      </c>
      <c r="AP641" s="137">
        <v>1</v>
      </c>
      <c r="AQ641" s="137">
        <v>1</v>
      </c>
      <c r="AR641" s="137">
        <v>1</v>
      </c>
      <c r="AS641" s="158">
        <v>0.05</v>
      </c>
      <c r="AT641" s="141">
        <v>0</v>
      </c>
      <c r="AU641" s="141">
        <v>0.176470588235294</v>
      </c>
      <c r="AV641" s="141">
        <v>0.0666666666666667</v>
      </c>
      <c r="AW641" s="141">
        <v>0.0885416666666667</v>
      </c>
      <c r="AX641" s="95"/>
      <c r="AY641" s="93"/>
    </row>
    <row r="642" ht="15" spans="1:51">
      <c r="A642" s="91"/>
      <c r="B642" s="95"/>
      <c r="C642" s="174"/>
      <c r="D642" s="175"/>
      <c r="E642" s="176"/>
      <c r="F642" s="176"/>
      <c r="G642" s="145"/>
      <c r="H642" s="145"/>
      <c r="I642" s="176"/>
      <c r="J642" s="177"/>
      <c r="K642" s="178"/>
      <c r="L642" s="178"/>
      <c r="M642" s="134"/>
      <c r="N642" s="178"/>
      <c r="O642" s="150"/>
      <c r="P642" s="178"/>
      <c r="Q642" s="178"/>
      <c r="R642" s="133"/>
      <c r="S642" s="178"/>
      <c r="T642" s="150"/>
      <c r="U642" s="178"/>
      <c r="V642" s="178"/>
      <c r="W642" s="133"/>
      <c r="X642" s="178"/>
      <c r="Y642" s="150"/>
      <c r="Z642" s="150"/>
      <c r="AA642" s="150"/>
      <c r="AB642" s="135"/>
      <c r="AC642" s="150"/>
      <c r="AD642" s="178"/>
      <c r="AE642" s="178"/>
      <c r="AF642" s="178"/>
      <c r="AG642" s="133"/>
      <c r="AH642" s="178"/>
      <c r="AI642" s="178"/>
      <c r="AJ642" s="178"/>
      <c r="AK642" s="178"/>
      <c r="AL642" s="133"/>
      <c r="AM642" s="178"/>
      <c r="AN642" s="177"/>
      <c r="AO642" s="177"/>
      <c r="AP642" s="177"/>
      <c r="AQ642" s="137"/>
      <c r="AR642" s="177"/>
      <c r="AS642" s="178"/>
      <c r="AT642" s="177"/>
      <c r="AU642" s="177"/>
      <c r="AV642" s="141"/>
      <c r="AW642" s="177"/>
      <c r="AX642" s="95"/>
      <c r="AY642" s="93"/>
    </row>
    <row r="643" ht="15" spans="1:51">
      <c r="A643" s="91"/>
      <c r="B643" s="95"/>
      <c r="C643" s="152" t="s">
        <v>668</v>
      </c>
      <c r="D643" s="153" t="s">
        <v>25</v>
      </c>
      <c r="E643" s="130" t="s">
        <v>669</v>
      </c>
      <c r="F643" s="179" t="s">
        <v>670</v>
      </c>
      <c r="G643" s="179" t="s">
        <v>670</v>
      </c>
      <c r="H643" s="179" t="s">
        <v>670</v>
      </c>
      <c r="I643" s="179" t="s">
        <v>670</v>
      </c>
      <c r="J643" s="132">
        <v>0.9</v>
      </c>
      <c r="K643" s="133">
        <v>1</v>
      </c>
      <c r="L643" s="133">
        <v>1</v>
      </c>
      <c r="M643" s="134">
        <v>1</v>
      </c>
      <c r="N643" s="133">
        <v>0.987676056338028</v>
      </c>
      <c r="O643" s="135">
        <v>0.9</v>
      </c>
      <c r="P643" s="133">
        <v>0.977761836441894</v>
      </c>
      <c r="Q643" s="133">
        <v>0.979695431472081</v>
      </c>
      <c r="R643" s="133">
        <v>0.963245823389021</v>
      </c>
      <c r="S643" s="133">
        <v>0.977170154926232</v>
      </c>
      <c r="T643" s="135">
        <v>0.9</v>
      </c>
      <c r="U643" s="133">
        <v>0.915351506456241</v>
      </c>
      <c r="V643" s="133">
        <v>0.959390862944162</v>
      </c>
      <c r="W643" s="133">
        <v>0.947016706443914</v>
      </c>
      <c r="X643" s="133">
        <v>0.953812452162897</v>
      </c>
      <c r="Y643" s="135">
        <v>0.92</v>
      </c>
      <c r="Z643" s="135">
        <v>0.942396313364055</v>
      </c>
      <c r="AA643" s="135">
        <v>0.918367346938776</v>
      </c>
      <c r="AB643" s="135">
        <v>0.940902021772939</v>
      </c>
      <c r="AC643" s="135">
        <v>0.927350427350427</v>
      </c>
      <c r="AD643" s="135">
        <v>0.92</v>
      </c>
      <c r="AE643" s="133">
        <v>0.99601593625498</v>
      </c>
      <c r="AF643" s="133">
        <v>0.986013986013986</v>
      </c>
      <c r="AG643" s="133">
        <v>0.995614035087719</v>
      </c>
      <c r="AH643" s="133">
        <v>0.991954809996576</v>
      </c>
      <c r="AI643" s="135">
        <v>0.92</v>
      </c>
      <c r="AJ643" s="133">
        <v>0.954048140043764</v>
      </c>
      <c r="AK643" s="133">
        <v>0.959326788218794</v>
      </c>
      <c r="AL643" s="133">
        <v>0.96604600219058</v>
      </c>
      <c r="AM643" s="133">
        <v>0.964410496580434</v>
      </c>
      <c r="AN643" s="132">
        <v>0.99</v>
      </c>
      <c r="AO643" s="137">
        <v>1</v>
      </c>
      <c r="AP643" s="137">
        <v>1</v>
      </c>
      <c r="AQ643" s="137">
        <v>1</v>
      </c>
      <c r="AR643" s="137">
        <v>1</v>
      </c>
      <c r="AS643" s="158">
        <v>0.0810595228934205</v>
      </c>
      <c r="AT643" s="141">
        <v>0</v>
      </c>
      <c r="AU643" s="141">
        <v>0</v>
      </c>
      <c r="AV643" s="141">
        <v>0.04</v>
      </c>
      <c r="AW643" s="141">
        <v>0.0303030303030303</v>
      </c>
      <c r="AX643" s="95"/>
      <c r="AY643" s="93"/>
    </row>
    <row r="644" ht="15" spans="1:51">
      <c r="A644" s="91"/>
      <c r="B644" s="95"/>
      <c r="C644" s="152" t="s">
        <v>668</v>
      </c>
      <c r="D644" s="153" t="s">
        <v>25</v>
      </c>
      <c r="E644" s="130" t="s">
        <v>669</v>
      </c>
      <c r="F644" s="179" t="s">
        <v>671</v>
      </c>
      <c r="G644" s="179" t="s">
        <v>671</v>
      </c>
      <c r="H644" s="179" t="s">
        <v>671</v>
      </c>
      <c r="I644" s="179" t="s">
        <v>671</v>
      </c>
      <c r="J644" s="132">
        <v>0.9</v>
      </c>
      <c r="K644" s="133">
        <v>1</v>
      </c>
      <c r="L644" s="133">
        <v>1</v>
      </c>
      <c r="M644" s="134">
        <v>0.961538461538462</v>
      </c>
      <c r="N644" s="133">
        <v>0.995867768595041</v>
      </c>
      <c r="O644" s="135">
        <v>0.9</v>
      </c>
      <c r="P644" s="133">
        <v>0.985328185328185</v>
      </c>
      <c r="Q644" s="133">
        <v>0.981109799291617</v>
      </c>
      <c r="R644" s="133">
        <v>0.973981900452489</v>
      </c>
      <c r="S644" s="133">
        <v>0.980752110514198</v>
      </c>
      <c r="T644" s="135">
        <v>0.9</v>
      </c>
      <c r="U644" s="133">
        <v>0.95984555984556</v>
      </c>
      <c r="V644" s="133">
        <v>0.958677685950413</v>
      </c>
      <c r="W644" s="133">
        <v>0.953619909502262</v>
      </c>
      <c r="X644" s="133">
        <v>0.958618572524942</v>
      </c>
      <c r="Y644" s="135">
        <v>0.92</v>
      </c>
      <c r="Z644" s="135">
        <v>0.950520833333333</v>
      </c>
      <c r="AA644" s="135">
        <v>0.951086956521739</v>
      </c>
      <c r="AB644" s="135">
        <v>0.961013645224172</v>
      </c>
      <c r="AC644" s="135">
        <v>0.967617062458126</v>
      </c>
      <c r="AD644" s="135">
        <v>0.92</v>
      </c>
      <c r="AE644" s="133">
        <v>0.996934604904632</v>
      </c>
      <c r="AF644" s="133">
        <v>0.991994663108739</v>
      </c>
      <c r="AG644" s="133">
        <v>0.995391705069124</v>
      </c>
      <c r="AH644" s="133">
        <v>0.99170896508952</v>
      </c>
      <c r="AI644" s="135">
        <v>0.92</v>
      </c>
      <c r="AJ644" s="133">
        <v>0.975580702799285</v>
      </c>
      <c r="AK644" s="133">
        <v>0.974506578947368</v>
      </c>
      <c r="AL644" s="133">
        <v>0.982902235861464</v>
      </c>
      <c r="AM644" s="133">
        <v>0.982770982249549</v>
      </c>
      <c r="AN644" s="132">
        <v>0.99</v>
      </c>
      <c r="AO644" s="137">
        <v>1</v>
      </c>
      <c r="AP644" s="137">
        <v>1</v>
      </c>
      <c r="AQ644" s="137">
        <v>1</v>
      </c>
      <c r="AR644" s="137">
        <v>1</v>
      </c>
      <c r="AS644" s="158">
        <v>0.0810595228934205</v>
      </c>
      <c r="AT644" s="141">
        <v>0</v>
      </c>
      <c r="AU644" s="141">
        <v>0</v>
      </c>
      <c r="AV644" s="141">
        <v>0</v>
      </c>
      <c r="AW644" s="141">
        <v>0.0504201680672269</v>
      </c>
      <c r="AX644" s="95"/>
      <c r="AY644" s="93"/>
    </row>
    <row r="645" ht="15" spans="1:51">
      <c r="A645" s="91"/>
      <c r="B645" s="95"/>
      <c r="C645" s="152" t="s">
        <v>668</v>
      </c>
      <c r="D645" s="153" t="s">
        <v>25</v>
      </c>
      <c r="E645" s="130" t="s">
        <v>669</v>
      </c>
      <c r="F645" s="179" t="s">
        <v>672</v>
      </c>
      <c r="G645" s="179" t="s">
        <v>672</v>
      </c>
      <c r="H645" s="179" t="s">
        <v>672</v>
      </c>
      <c r="I645" s="179" t="s">
        <v>672</v>
      </c>
      <c r="J645" s="132">
        <v>0.9</v>
      </c>
      <c r="K645" s="133">
        <v>0.957446808510638</v>
      </c>
      <c r="L645" s="133">
        <v>0.947368421052632</v>
      </c>
      <c r="M645" s="134">
        <v>0.928571428571429</v>
      </c>
      <c r="N645" s="133">
        <v>0.979089790897909</v>
      </c>
      <c r="O645" s="135">
        <v>0.9</v>
      </c>
      <c r="P645" s="133">
        <v>0.980128893662728</v>
      </c>
      <c r="Q645" s="133">
        <v>0.838858905165767</v>
      </c>
      <c r="R645" s="133">
        <v>0.93609022556391</v>
      </c>
      <c r="S645" s="133">
        <v>0.964541840628059</v>
      </c>
      <c r="T645" s="135">
        <v>0.9</v>
      </c>
      <c r="U645" s="133">
        <v>0.938775510204082</v>
      </c>
      <c r="V645" s="133">
        <v>0.805705474171164</v>
      </c>
      <c r="W645" s="133">
        <v>0.919172932330827</v>
      </c>
      <c r="X645" s="133">
        <v>0.927305779180567</v>
      </c>
      <c r="Y645" s="135">
        <v>0.92</v>
      </c>
      <c r="Z645" s="135">
        <v>0.837786259541985</v>
      </c>
      <c r="AA645" s="135">
        <v>0.662454873646209</v>
      </c>
      <c r="AB645" s="135">
        <v>0.621301775147929</v>
      </c>
      <c r="AC645" s="135">
        <v>0.757379759762681</v>
      </c>
      <c r="AD645" s="135">
        <v>0.92</v>
      </c>
      <c r="AE645" s="133">
        <v>0.975609756097561</v>
      </c>
      <c r="AF645" s="133">
        <v>0.98</v>
      </c>
      <c r="AG645" s="133">
        <v>1</v>
      </c>
      <c r="AH645" s="133">
        <v>0.982062780269058</v>
      </c>
      <c r="AI645" s="135">
        <v>0.92</v>
      </c>
      <c r="AJ645" s="133">
        <v>0.933780385582565</v>
      </c>
      <c r="AK645" s="133">
        <v>0.829821717990275</v>
      </c>
      <c r="AL645" s="133">
        <v>0.876782658300057</v>
      </c>
      <c r="AM645" s="133">
        <v>0.905678809587858</v>
      </c>
      <c r="AN645" s="132">
        <v>0.99</v>
      </c>
      <c r="AO645" s="137">
        <v>1</v>
      </c>
      <c r="AP645" s="137">
        <v>1</v>
      </c>
      <c r="AQ645" s="137">
        <v>1</v>
      </c>
      <c r="AR645" s="137">
        <v>1</v>
      </c>
      <c r="AS645" s="158">
        <v>0.0810595228934205</v>
      </c>
      <c r="AT645" s="141">
        <v>0</v>
      </c>
      <c r="AU645" s="141">
        <v>0</v>
      </c>
      <c r="AV645" s="141">
        <v>0</v>
      </c>
      <c r="AW645" s="141">
        <v>0.0472103004291846</v>
      </c>
      <c r="AX645" s="95"/>
      <c r="AY645" s="93"/>
    </row>
    <row r="646" ht="15" spans="1:51">
      <c r="A646" s="91"/>
      <c r="B646" s="95"/>
      <c r="C646" s="152" t="s">
        <v>668</v>
      </c>
      <c r="D646" s="153" t="s">
        <v>25</v>
      </c>
      <c r="E646" s="130" t="s">
        <v>669</v>
      </c>
      <c r="F646" s="179" t="s">
        <v>673</v>
      </c>
      <c r="G646" s="179" t="s">
        <v>673</v>
      </c>
      <c r="H646" s="179" t="s">
        <v>673</v>
      </c>
      <c r="I646" s="179" t="s">
        <v>673</v>
      </c>
      <c r="J646" s="132">
        <v>0.9</v>
      </c>
      <c r="K646" s="133">
        <v>0.888888888888889</v>
      </c>
      <c r="L646" s="133">
        <v>0.9</v>
      </c>
      <c r="M646" s="134">
        <v>0.906976744186046</v>
      </c>
      <c r="N646" s="133">
        <v>0.896039603960396</v>
      </c>
      <c r="O646" s="135">
        <v>0.9</v>
      </c>
      <c r="P646" s="133">
        <v>0.985687022900763</v>
      </c>
      <c r="Q646" s="133">
        <v>0.988474576271186</v>
      </c>
      <c r="R646" s="133">
        <v>0.976895541815815</v>
      </c>
      <c r="S646" s="133">
        <v>0.981144106394607</v>
      </c>
      <c r="T646" s="135">
        <v>0.9</v>
      </c>
      <c r="U646" s="133">
        <v>0.95706106870229</v>
      </c>
      <c r="V646" s="133">
        <v>0.960677966101695</v>
      </c>
      <c r="W646" s="133">
        <v>0.953465668727628</v>
      </c>
      <c r="X646" s="133">
        <v>0.954581891054837</v>
      </c>
      <c r="Y646" s="135">
        <v>0.92</v>
      </c>
      <c r="Z646" s="135">
        <v>0.912576687116564</v>
      </c>
      <c r="AA646" s="135">
        <v>0.941653160453809</v>
      </c>
      <c r="AB646" s="135">
        <v>0.909592061742007</v>
      </c>
      <c r="AC646" s="135">
        <v>0.924147990982628</v>
      </c>
      <c r="AD646" s="135">
        <v>0.92</v>
      </c>
      <c r="AE646" s="133">
        <v>1</v>
      </c>
      <c r="AF646" s="133">
        <v>0.992555831265509</v>
      </c>
      <c r="AG646" s="133">
        <v>1</v>
      </c>
      <c r="AH646" s="133">
        <v>0.994093325457767</v>
      </c>
      <c r="AI646" s="135">
        <v>0.92</v>
      </c>
      <c r="AJ646" s="133">
        <v>0.957423580786026</v>
      </c>
      <c r="AK646" s="133">
        <v>0.965583173996176</v>
      </c>
      <c r="AL646" s="133">
        <v>0.964106425702811</v>
      </c>
      <c r="AM646" s="133">
        <v>0.964270973067795</v>
      </c>
      <c r="AN646" s="132">
        <v>0.99</v>
      </c>
      <c r="AO646" s="137">
        <v>1</v>
      </c>
      <c r="AP646" s="137">
        <v>1</v>
      </c>
      <c r="AQ646" s="137">
        <v>1</v>
      </c>
      <c r="AR646" s="137">
        <v>1</v>
      </c>
      <c r="AS646" s="158">
        <v>0.0810595228934205</v>
      </c>
      <c r="AT646" s="141">
        <v>0</v>
      </c>
      <c r="AU646" s="141">
        <v>0</v>
      </c>
      <c r="AV646" s="141">
        <v>0</v>
      </c>
      <c r="AW646" s="141">
        <v>0.0380228136882129</v>
      </c>
      <c r="AX646" s="95"/>
      <c r="AY646" s="93"/>
    </row>
    <row r="647" ht="15" spans="1:51">
      <c r="A647" s="91"/>
      <c r="B647" s="95"/>
      <c r="C647" s="152" t="s">
        <v>668</v>
      </c>
      <c r="D647" s="153" t="s">
        <v>25</v>
      </c>
      <c r="E647" s="130" t="s">
        <v>669</v>
      </c>
      <c r="F647" s="179" t="s">
        <v>674</v>
      </c>
      <c r="G647" s="179" t="s">
        <v>674</v>
      </c>
      <c r="H647" s="179" t="s">
        <v>674</v>
      </c>
      <c r="I647" s="179" t="s">
        <v>674</v>
      </c>
      <c r="J647" s="132">
        <v>0.9</v>
      </c>
      <c r="K647" s="133">
        <v>1</v>
      </c>
      <c r="L647" s="133">
        <v>1</v>
      </c>
      <c r="M647" s="134">
        <v>1</v>
      </c>
      <c r="N647" s="133">
        <v>1</v>
      </c>
      <c r="O647" s="135">
        <v>0.9</v>
      </c>
      <c r="P647" s="133">
        <v>0.998841251448436</v>
      </c>
      <c r="Q647" s="133">
        <v>0.995253164556962</v>
      </c>
      <c r="R647" s="133">
        <v>0.98273381294964</v>
      </c>
      <c r="S647" s="133">
        <v>0.991815663560816</v>
      </c>
      <c r="T647" s="135">
        <v>0.9</v>
      </c>
      <c r="U647" s="133">
        <v>0.981460023174971</v>
      </c>
      <c r="V647" s="133">
        <v>0.969936708860759</v>
      </c>
      <c r="W647" s="133">
        <v>0.959712230215827</v>
      </c>
      <c r="X647" s="133">
        <v>0.972005372282381</v>
      </c>
      <c r="Y647" s="135">
        <v>0.92</v>
      </c>
      <c r="Z647" s="135">
        <v>0.935483870967742</v>
      </c>
      <c r="AA647" s="135">
        <v>0.931654676258993</v>
      </c>
      <c r="AB647" s="135">
        <v>0.954081632653061</v>
      </c>
      <c r="AC647" s="135">
        <v>0.960237146069713</v>
      </c>
      <c r="AD647" s="135">
        <v>0.92</v>
      </c>
      <c r="AE647" s="133">
        <v>0.998058252427184</v>
      </c>
      <c r="AF647" s="133">
        <v>0.996644295302013</v>
      </c>
      <c r="AG647" s="133">
        <v>0.970430107526882</v>
      </c>
      <c r="AH647" s="133">
        <v>0.992167919799499</v>
      </c>
      <c r="AI647" s="135">
        <v>0.92</v>
      </c>
      <c r="AJ647" s="133">
        <v>0.973148148148148</v>
      </c>
      <c r="AK647" s="133">
        <v>0.968131868131868</v>
      </c>
      <c r="AL647" s="133">
        <v>0.983726150392817</v>
      </c>
      <c r="AM647" s="133">
        <v>0.981850639690568</v>
      </c>
      <c r="AN647" s="132">
        <v>0.99</v>
      </c>
      <c r="AO647" s="137">
        <v>1</v>
      </c>
      <c r="AP647" s="137">
        <v>1</v>
      </c>
      <c r="AQ647" s="137">
        <v>1</v>
      </c>
      <c r="AR647" s="137">
        <v>1</v>
      </c>
      <c r="AS647" s="158">
        <v>0.0810595228934205</v>
      </c>
      <c r="AT647" s="141">
        <v>0</v>
      </c>
      <c r="AU647" s="141">
        <v>0</v>
      </c>
      <c r="AV647" s="141">
        <v>0</v>
      </c>
      <c r="AW647" s="141">
        <v>0.054421768707483</v>
      </c>
      <c r="AX647" s="95"/>
      <c r="AY647" s="93"/>
    </row>
    <row r="648" ht="15" spans="1:51">
      <c r="A648" s="91"/>
      <c r="B648" s="95"/>
      <c r="C648" s="152" t="s">
        <v>668</v>
      </c>
      <c r="D648" s="153" t="s">
        <v>25</v>
      </c>
      <c r="E648" s="130" t="s">
        <v>669</v>
      </c>
      <c r="F648" s="179" t="s">
        <v>675</v>
      </c>
      <c r="G648" s="179" t="s">
        <v>675</v>
      </c>
      <c r="H648" s="179" t="s">
        <v>675</v>
      </c>
      <c r="I648" s="179" t="s">
        <v>675</v>
      </c>
      <c r="J648" s="132">
        <v>0.9</v>
      </c>
      <c r="K648" s="133">
        <v>1</v>
      </c>
      <c r="L648" s="133">
        <v>1</v>
      </c>
      <c r="M648" s="134">
        <v>0.958333333333333</v>
      </c>
      <c r="N648" s="133">
        <v>0.995798319327731</v>
      </c>
      <c r="O648" s="135">
        <v>0.9</v>
      </c>
      <c r="P648" s="133">
        <v>0.972593113141251</v>
      </c>
      <c r="Q648" s="133">
        <v>0.982793522267207</v>
      </c>
      <c r="R648" s="133">
        <v>0.965925925925926</v>
      </c>
      <c r="S648" s="133">
        <v>0.978460115858468</v>
      </c>
      <c r="T648" s="135">
        <v>0.9</v>
      </c>
      <c r="U648" s="133">
        <v>0.959241040056219</v>
      </c>
      <c r="V648" s="133">
        <v>0.97165991902834</v>
      </c>
      <c r="W648" s="133">
        <v>0.950617283950617</v>
      </c>
      <c r="X648" s="133">
        <v>0.966248742146917</v>
      </c>
      <c r="Y648" s="135">
        <v>0.92</v>
      </c>
      <c r="Z648" s="135">
        <v>0.925558312655087</v>
      </c>
      <c r="AA648" s="135">
        <v>0.946210268948655</v>
      </c>
      <c r="AB648" s="135">
        <v>0.930194805194805</v>
      </c>
      <c r="AC648" s="135">
        <v>0.947845361496838</v>
      </c>
      <c r="AD648" s="135">
        <v>0.92</v>
      </c>
      <c r="AE648" s="133">
        <v>0.995221027479092</v>
      </c>
      <c r="AF648" s="133">
        <v>0.982300884955752</v>
      </c>
      <c r="AG648" s="133">
        <v>0.987654320987654</v>
      </c>
      <c r="AH648" s="133">
        <v>0.987611982082867</v>
      </c>
      <c r="AI648" s="135">
        <v>0.92</v>
      </c>
      <c r="AJ648" s="133">
        <v>0.960569550930997</v>
      </c>
      <c r="AK648" s="133">
        <v>0.973514674302076</v>
      </c>
      <c r="AL648" s="133">
        <v>0.967070401211204</v>
      </c>
      <c r="AM648" s="133">
        <v>0.974018996450158</v>
      </c>
      <c r="AN648" s="132">
        <v>0.99</v>
      </c>
      <c r="AO648" s="137">
        <v>1</v>
      </c>
      <c r="AP648" s="137">
        <v>1</v>
      </c>
      <c r="AQ648" s="137">
        <v>1</v>
      </c>
      <c r="AR648" s="137">
        <v>1</v>
      </c>
      <c r="AS648" s="158">
        <v>0.0810595228934205</v>
      </c>
      <c r="AT648" s="141">
        <v>0</v>
      </c>
      <c r="AU648" s="141">
        <v>0</v>
      </c>
      <c r="AV648" s="141">
        <v>0</v>
      </c>
      <c r="AW648" s="141">
        <v>0.0316205533596838</v>
      </c>
      <c r="AX648" s="95"/>
      <c r="AY648" s="93"/>
    </row>
    <row r="649" ht="15" spans="1:51">
      <c r="A649" s="91"/>
      <c r="B649" s="95"/>
      <c r="C649" s="152" t="s">
        <v>668</v>
      </c>
      <c r="D649" s="153" t="s">
        <v>25</v>
      </c>
      <c r="E649" s="130" t="s">
        <v>669</v>
      </c>
      <c r="F649" s="179" t="s">
        <v>676</v>
      </c>
      <c r="G649" s="179" t="s">
        <v>676</v>
      </c>
      <c r="H649" s="179" t="s">
        <v>676</v>
      </c>
      <c r="I649" s="179" t="s">
        <v>676</v>
      </c>
      <c r="J649" s="132">
        <v>0.9</v>
      </c>
      <c r="K649" s="133">
        <v>1</v>
      </c>
      <c r="L649" s="133">
        <v>1</v>
      </c>
      <c r="M649" s="134">
        <v>1</v>
      </c>
      <c r="N649" s="133">
        <v>1</v>
      </c>
      <c r="O649" s="135">
        <v>0.9</v>
      </c>
      <c r="P649" s="133">
        <v>0.998199819981998</v>
      </c>
      <c r="Q649" s="133">
        <v>0.995989304812834</v>
      </c>
      <c r="R649" s="133">
        <v>0.977621483375959</v>
      </c>
      <c r="S649" s="133">
        <v>0.991505392229281</v>
      </c>
      <c r="T649" s="135">
        <v>0.9</v>
      </c>
      <c r="U649" s="133">
        <v>0.969396939693969</v>
      </c>
      <c r="V649" s="133">
        <v>0.955882352941177</v>
      </c>
      <c r="W649" s="133">
        <v>0.945012787723785</v>
      </c>
      <c r="X649" s="133">
        <v>0.953021125720195</v>
      </c>
      <c r="Y649" s="135">
        <v>0.92</v>
      </c>
      <c r="Z649" s="135">
        <v>0.920634920634921</v>
      </c>
      <c r="AA649" s="135">
        <v>0.817901234567901</v>
      </c>
      <c r="AB649" s="135">
        <v>0.808247422680412</v>
      </c>
      <c r="AC649" s="135">
        <v>0.889235708552573</v>
      </c>
      <c r="AD649" s="135">
        <v>0.92</v>
      </c>
      <c r="AE649" s="133">
        <v>1</v>
      </c>
      <c r="AF649" s="133">
        <v>0.997635933806147</v>
      </c>
      <c r="AG649" s="133">
        <v>0.992307692307692</v>
      </c>
      <c r="AH649" s="133">
        <v>0.994530737256618</v>
      </c>
      <c r="AI649" s="135">
        <v>0.92</v>
      </c>
      <c r="AJ649" s="133">
        <v>0.974053295932679</v>
      </c>
      <c r="AK649" s="133">
        <v>0.943097014925373</v>
      </c>
      <c r="AL649" s="133">
        <v>0.948267447535383</v>
      </c>
      <c r="AM649" s="133">
        <v>0.962003499334082</v>
      </c>
      <c r="AN649" s="132">
        <v>0.99</v>
      </c>
      <c r="AO649" s="137">
        <v>1</v>
      </c>
      <c r="AP649" s="137">
        <v>1</v>
      </c>
      <c r="AQ649" s="137">
        <v>1</v>
      </c>
      <c r="AR649" s="137">
        <v>1</v>
      </c>
      <c r="AS649" s="158">
        <v>0.0810595228934205</v>
      </c>
      <c r="AT649" s="141">
        <v>0</v>
      </c>
      <c r="AU649" s="141">
        <v>0</v>
      </c>
      <c r="AV649" s="141">
        <v>0</v>
      </c>
      <c r="AW649" s="141">
        <v>0.0521739130434783</v>
      </c>
      <c r="AX649" s="95"/>
      <c r="AY649" s="93"/>
    </row>
    <row r="650" ht="15" spans="1:51">
      <c r="A650" s="91"/>
      <c r="B650" s="95"/>
      <c r="C650" s="152" t="s">
        <v>668</v>
      </c>
      <c r="D650" s="153" t="s">
        <v>25</v>
      </c>
      <c r="E650" s="130" t="s">
        <v>669</v>
      </c>
      <c r="F650" s="179" t="s">
        <v>677</v>
      </c>
      <c r="G650" s="179" t="s">
        <v>677</v>
      </c>
      <c r="H650" s="179" t="s">
        <v>677</v>
      </c>
      <c r="I650" s="179" t="s">
        <v>677</v>
      </c>
      <c r="J650" s="132">
        <v>0.9</v>
      </c>
      <c r="K650" s="133">
        <v>0.870967741935484</v>
      </c>
      <c r="L650" s="133">
        <v>0.818181818181818</v>
      </c>
      <c r="M650" s="134">
        <v>0.8</v>
      </c>
      <c r="N650" s="133">
        <v>0.842209072978304</v>
      </c>
      <c r="O650" s="135">
        <v>0.9</v>
      </c>
      <c r="P650" s="133">
        <v>0.992769342010123</v>
      </c>
      <c r="Q650" s="133">
        <v>0.982010582010582</v>
      </c>
      <c r="R650" s="133">
        <v>0.970719602977667</v>
      </c>
      <c r="S650" s="133">
        <v>0.979618219826163</v>
      </c>
      <c r="T650" s="135">
        <v>0.9</v>
      </c>
      <c r="U650" s="133">
        <v>0.970354302241504</v>
      </c>
      <c r="V650" s="133">
        <v>0.966137566137566</v>
      </c>
      <c r="W650" s="133">
        <v>0.951861042183623</v>
      </c>
      <c r="X650" s="133">
        <v>0.962619650126527</v>
      </c>
      <c r="Y650" s="135">
        <v>0.92</v>
      </c>
      <c r="Z650" s="135">
        <v>0.955334987593052</v>
      </c>
      <c r="AA650" s="135">
        <v>0.950113378684807</v>
      </c>
      <c r="AB650" s="135">
        <v>0.969404186795491</v>
      </c>
      <c r="AC650" s="135">
        <v>0.967531168744583</v>
      </c>
      <c r="AD650" s="135">
        <v>0.92</v>
      </c>
      <c r="AE650" s="133">
        <v>0.997995991983968</v>
      </c>
      <c r="AF650" s="133">
        <v>1</v>
      </c>
      <c r="AG650" s="133">
        <v>0.994805194805195</v>
      </c>
      <c r="AH650" s="133">
        <v>0.995139300533491</v>
      </c>
      <c r="AI650" s="135">
        <v>0.92</v>
      </c>
      <c r="AJ650" s="133">
        <v>0.97817571348629</v>
      </c>
      <c r="AK650" s="133">
        <v>0.974747474747475</v>
      </c>
      <c r="AL650" s="133">
        <v>0.980652503793627</v>
      </c>
      <c r="AM650" s="133">
        <v>0.982437352752195</v>
      </c>
      <c r="AN650" s="132">
        <v>0.99</v>
      </c>
      <c r="AO650" s="137">
        <v>1</v>
      </c>
      <c r="AP650" s="137">
        <v>1</v>
      </c>
      <c r="AQ650" s="137">
        <v>1</v>
      </c>
      <c r="AR650" s="137">
        <v>1</v>
      </c>
      <c r="AS650" s="158">
        <v>0.0810595228934205</v>
      </c>
      <c r="AT650" s="141">
        <v>0</v>
      </c>
      <c r="AU650" s="141">
        <v>0</v>
      </c>
      <c r="AV650" s="141">
        <v>0</v>
      </c>
      <c r="AW650" s="141">
        <v>0.0285714285714286</v>
      </c>
      <c r="AX650" s="95"/>
      <c r="AY650" s="93"/>
    </row>
    <row r="651" ht="15" spans="1:51">
      <c r="A651" s="91"/>
      <c r="B651" s="95"/>
      <c r="C651" s="152" t="s">
        <v>668</v>
      </c>
      <c r="D651" s="153" t="s">
        <v>25</v>
      </c>
      <c r="E651" s="130" t="s">
        <v>669</v>
      </c>
      <c r="F651" s="179" t="s">
        <v>678</v>
      </c>
      <c r="G651" s="179" t="s">
        <v>678</v>
      </c>
      <c r="H651" s="179" t="s">
        <v>678</v>
      </c>
      <c r="I651" s="179" t="s">
        <v>678</v>
      </c>
      <c r="J651" s="132">
        <v>0.9</v>
      </c>
      <c r="K651" s="133">
        <v>0.928571428571429</v>
      </c>
      <c r="L651" s="133">
        <v>0.916666666666667</v>
      </c>
      <c r="M651" s="134">
        <v>0.904761904761905</v>
      </c>
      <c r="N651" s="133">
        <v>0.963777490297542</v>
      </c>
      <c r="O651" s="135">
        <v>0.9</v>
      </c>
      <c r="P651" s="133">
        <v>0.970406905055487</v>
      </c>
      <c r="Q651" s="133">
        <v>0.959885386819484</v>
      </c>
      <c r="R651" s="133">
        <v>0.947111472742067</v>
      </c>
      <c r="S651" s="133">
        <v>0.948964002673542</v>
      </c>
      <c r="T651" s="135">
        <v>0.9</v>
      </c>
      <c r="U651" s="133">
        <v>0.943896424167694</v>
      </c>
      <c r="V651" s="133">
        <v>0.916905444126075</v>
      </c>
      <c r="W651" s="133">
        <v>0.921074043938161</v>
      </c>
      <c r="X651" s="133">
        <v>0.936837582354626</v>
      </c>
      <c r="Y651" s="135">
        <v>0.92</v>
      </c>
      <c r="Z651" s="135">
        <v>0.848888888888889</v>
      </c>
      <c r="AA651" s="135">
        <v>0.828693790149893</v>
      </c>
      <c r="AB651" s="135">
        <v>0.825268817204301</v>
      </c>
      <c r="AC651" s="135">
        <v>0.817846188799273</v>
      </c>
      <c r="AD651" s="135">
        <v>0.92</v>
      </c>
      <c r="AE651" s="133">
        <v>0.977443609022556</v>
      </c>
      <c r="AF651" s="133">
        <v>0.994324631101022</v>
      </c>
      <c r="AG651" s="133">
        <v>0.995049504950495</v>
      </c>
      <c r="AH651" s="133">
        <v>0.987125956854558</v>
      </c>
      <c r="AI651" s="135">
        <v>0.92</v>
      </c>
      <c r="AJ651" s="133">
        <v>0.943532818532819</v>
      </c>
      <c r="AK651" s="133">
        <v>0.90885072655218</v>
      </c>
      <c r="AL651" s="133">
        <v>0.93316677076827</v>
      </c>
      <c r="AM651" s="133">
        <v>0.928224518947988</v>
      </c>
      <c r="AN651" s="132">
        <v>0.99</v>
      </c>
      <c r="AO651" s="137">
        <v>1</v>
      </c>
      <c r="AP651" s="137">
        <v>1</v>
      </c>
      <c r="AQ651" s="137">
        <v>1</v>
      </c>
      <c r="AR651" s="137">
        <v>1</v>
      </c>
      <c r="AS651" s="158">
        <v>0.0810595228934205</v>
      </c>
      <c r="AT651" s="141">
        <v>0</v>
      </c>
      <c r="AU651" s="141">
        <v>0</v>
      </c>
      <c r="AV651" s="141">
        <v>0</v>
      </c>
      <c r="AW651" s="141">
        <v>0.0515463917525773</v>
      </c>
      <c r="AX651" s="95"/>
      <c r="AY651" s="93"/>
    </row>
    <row r="652" ht="15" spans="1:51">
      <c r="A652" s="91"/>
      <c r="B652" s="95"/>
      <c r="C652" s="152" t="s">
        <v>668</v>
      </c>
      <c r="D652" s="153" t="s">
        <v>25</v>
      </c>
      <c r="E652" s="130" t="s">
        <v>669</v>
      </c>
      <c r="F652" s="179" t="s">
        <v>679</v>
      </c>
      <c r="G652" s="179" t="s">
        <v>679</v>
      </c>
      <c r="H652" s="179" t="s">
        <v>679</v>
      </c>
      <c r="I652" s="179" t="s">
        <v>679</v>
      </c>
      <c r="J652" s="132">
        <v>0.9</v>
      </c>
      <c r="K652" s="133">
        <v>1</v>
      </c>
      <c r="L652" s="133">
        <v>1</v>
      </c>
      <c r="M652" s="134">
        <v>1</v>
      </c>
      <c r="N652" s="133">
        <v>0.99604743083004</v>
      </c>
      <c r="O652" s="135">
        <v>0.9</v>
      </c>
      <c r="P652" s="133">
        <v>0.956452889944576</v>
      </c>
      <c r="Q652" s="133">
        <v>0.943170488534397</v>
      </c>
      <c r="R652" s="133">
        <v>0.955555555555556</v>
      </c>
      <c r="S652" s="133">
        <v>0.937079491652131</v>
      </c>
      <c r="T652" s="135">
        <v>0.9</v>
      </c>
      <c r="U652" s="133">
        <v>0.924782264449723</v>
      </c>
      <c r="V652" s="133">
        <v>0.911266201395813</v>
      </c>
      <c r="W652" s="133">
        <v>0.927891156462585</v>
      </c>
      <c r="X652" s="133">
        <v>0.920857214054323</v>
      </c>
      <c r="Y652" s="135">
        <v>0.92</v>
      </c>
      <c r="Z652" s="135">
        <v>0.912735849056604</v>
      </c>
      <c r="AA652" s="135">
        <v>0.845945945945946</v>
      </c>
      <c r="AB652" s="135">
        <v>0.837606837606838</v>
      </c>
      <c r="AC652" s="135">
        <v>0.872930699851581</v>
      </c>
      <c r="AD652" s="135">
        <v>0.92</v>
      </c>
      <c r="AE652" s="133">
        <v>0.997245868803205</v>
      </c>
      <c r="AF652" s="133">
        <v>0.998611111111111</v>
      </c>
      <c r="AG652" s="133">
        <v>0.993682880606443</v>
      </c>
      <c r="AH652" s="133">
        <v>0.994264817013926</v>
      </c>
      <c r="AI652" s="135">
        <v>0.92</v>
      </c>
      <c r="AJ652" s="133">
        <v>0.958530805687204</v>
      </c>
      <c r="AK652" s="133">
        <v>0.924253459577567</v>
      </c>
      <c r="AL652" s="133">
        <v>0.945879458794588</v>
      </c>
      <c r="AM652" s="133">
        <v>0.950404941099476</v>
      </c>
      <c r="AN652" s="132">
        <v>0.99</v>
      </c>
      <c r="AO652" s="137">
        <v>1</v>
      </c>
      <c r="AP652" s="137">
        <v>1</v>
      </c>
      <c r="AQ652" s="137">
        <v>1</v>
      </c>
      <c r="AR652" s="137">
        <v>1</v>
      </c>
      <c r="AS652" s="158">
        <v>0.0810595228934205</v>
      </c>
      <c r="AT652" s="141">
        <v>0</v>
      </c>
      <c r="AU652" s="141">
        <v>0</v>
      </c>
      <c r="AV652" s="141">
        <v>0.222222222222222</v>
      </c>
      <c r="AW652" s="141">
        <v>0.0421686746987952</v>
      </c>
      <c r="AX652" s="95"/>
      <c r="AY652" s="93"/>
    </row>
    <row r="653" ht="15" spans="1:51">
      <c r="A653" s="91"/>
      <c r="B653" s="95"/>
      <c r="C653" s="152" t="s">
        <v>668</v>
      </c>
      <c r="D653" s="153" t="s">
        <v>25</v>
      </c>
      <c r="E653" s="130" t="s">
        <v>669</v>
      </c>
      <c r="F653" s="179" t="s">
        <v>680</v>
      </c>
      <c r="G653" s="179" t="s">
        <v>680</v>
      </c>
      <c r="H653" s="179" t="s">
        <v>680</v>
      </c>
      <c r="I653" s="179" t="s">
        <v>680</v>
      </c>
      <c r="J653" s="132">
        <v>0.9</v>
      </c>
      <c r="K653" s="133">
        <v>0.986111111111111</v>
      </c>
      <c r="L653" s="133">
        <v>0.925925925925926</v>
      </c>
      <c r="M653" s="134">
        <v>0.967741935483871</v>
      </c>
      <c r="N653" s="133">
        <v>0.961157024793388</v>
      </c>
      <c r="O653" s="135">
        <v>0.9</v>
      </c>
      <c r="P653" s="133">
        <v>0.97787462286289</v>
      </c>
      <c r="Q653" s="133">
        <v>0.982813749000799</v>
      </c>
      <c r="R653" s="133">
        <v>0.97507714217897</v>
      </c>
      <c r="S653" s="133">
        <v>0.968370996164611</v>
      </c>
      <c r="T653" s="135">
        <v>0.9</v>
      </c>
      <c r="U653" s="133">
        <v>0.957760643647335</v>
      </c>
      <c r="V653" s="133">
        <v>0.956834532374101</v>
      </c>
      <c r="W653" s="133">
        <v>0.941846665084263</v>
      </c>
      <c r="X653" s="133">
        <v>0.947574375453509</v>
      </c>
      <c r="Y653" s="135">
        <v>0.92</v>
      </c>
      <c r="Z653" s="135">
        <v>0.974130240856378</v>
      </c>
      <c r="AA653" s="135">
        <v>0.971144278606965</v>
      </c>
      <c r="AB653" s="135">
        <v>0.984354628422425</v>
      </c>
      <c r="AC653" s="135">
        <v>0.970581919690788</v>
      </c>
      <c r="AD653" s="135">
        <v>0.92</v>
      </c>
      <c r="AE653" s="133">
        <v>0.972928140136686</v>
      </c>
      <c r="AF653" s="133">
        <v>0.899141630901288</v>
      </c>
      <c r="AG653" s="133">
        <v>0.970400165016502</v>
      </c>
      <c r="AH653" s="133">
        <v>0.96055697417921</v>
      </c>
      <c r="AI653" s="135">
        <v>0.92</v>
      </c>
      <c r="AJ653" s="133">
        <v>0.984165651644336</v>
      </c>
      <c r="AK653" s="133">
        <v>0.985465944713594</v>
      </c>
      <c r="AL653" s="133">
        <v>0.985547972701726</v>
      </c>
      <c r="AM653" s="133">
        <v>0.986611428809951</v>
      </c>
      <c r="AN653" s="132">
        <v>0.99</v>
      </c>
      <c r="AO653" s="137">
        <v>1</v>
      </c>
      <c r="AP653" s="137">
        <v>1</v>
      </c>
      <c r="AQ653" s="137">
        <v>1</v>
      </c>
      <c r="AR653" s="137">
        <v>1</v>
      </c>
      <c r="AS653" s="158">
        <v>0.0810595228934205</v>
      </c>
      <c r="AT653" s="141">
        <v>0</v>
      </c>
      <c r="AU653" s="141">
        <v>0</v>
      </c>
      <c r="AV653" s="141">
        <v>0</v>
      </c>
      <c r="AW653" s="141">
        <v>0.0291666666666667</v>
      </c>
      <c r="AX653" s="95"/>
      <c r="AY653" s="93"/>
    </row>
    <row r="654" ht="15" spans="1:51">
      <c r="A654" s="91"/>
      <c r="B654" s="95"/>
      <c r="C654" s="152" t="s">
        <v>668</v>
      </c>
      <c r="D654" s="153" t="s">
        <v>25</v>
      </c>
      <c r="E654" s="130" t="s">
        <v>669</v>
      </c>
      <c r="F654" s="179" t="s">
        <v>681</v>
      </c>
      <c r="G654" s="179" t="s">
        <v>681</v>
      </c>
      <c r="H654" s="179" t="s">
        <v>681</v>
      </c>
      <c r="I654" s="179" t="s">
        <v>681</v>
      </c>
      <c r="J654" s="132">
        <v>0.9</v>
      </c>
      <c r="K654" s="133">
        <v>1</v>
      </c>
      <c r="L654" s="133">
        <v>1</v>
      </c>
      <c r="M654" s="134">
        <v>0.944444444444444</v>
      </c>
      <c r="N654" s="133">
        <v>0.976331360946746</v>
      </c>
      <c r="O654" s="135">
        <v>0.9</v>
      </c>
      <c r="P654" s="133">
        <v>0.95707656612529</v>
      </c>
      <c r="Q654" s="133">
        <v>0.862849533954727</v>
      </c>
      <c r="R654" s="133">
        <v>0.9043250327654</v>
      </c>
      <c r="S654" s="133">
        <v>0.922532078699743</v>
      </c>
      <c r="T654" s="135">
        <v>0.9</v>
      </c>
      <c r="U654" s="133">
        <v>0.940835266821346</v>
      </c>
      <c r="V654" s="133">
        <v>0.854860186418109</v>
      </c>
      <c r="W654" s="133">
        <v>0.849934469200524</v>
      </c>
      <c r="X654" s="133">
        <v>0.892044482463644</v>
      </c>
      <c r="Y654" s="135">
        <v>0.92</v>
      </c>
      <c r="Z654" s="135">
        <v>0.830409356725146</v>
      </c>
      <c r="AA654" s="135">
        <v>0.83203125</v>
      </c>
      <c r="AB654" s="135">
        <v>0.869822485207101</v>
      </c>
      <c r="AC654" s="135">
        <v>0.812956346123971</v>
      </c>
      <c r="AD654" s="135">
        <v>0.92</v>
      </c>
      <c r="AE654" s="133">
        <v>0.948768689533861</v>
      </c>
      <c r="AF654" s="133">
        <v>0.989080218395632</v>
      </c>
      <c r="AG654" s="133">
        <v>0.998776009791922</v>
      </c>
      <c r="AH654" s="133">
        <v>0.987045103626618</v>
      </c>
      <c r="AI654" s="135">
        <v>0.92</v>
      </c>
      <c r="AJ654" s="133">
        <v>0.924418604651163</v>
      </c>
      <c r="AK654" s="133">
        <v>0.868917576961271</v>
      </c>
      <c r="AL654" s="133">
        <v>0.906194690265487</v>
      </c>
      <c r="AM654" s="133">
        <v>0.934671676106095</v>
      </c>
      <c r="AN654" s="132">
        <v>0.99</v>
      </c>
      <c r="AO654" s="137">
        <v>1</v>
      </c>
      <c r="AP654" s="137">
        <v>1</v>
      </c>
      <c r="AQ654" s="137">
        <v>1</v>
      </c>
      <c r="AR654" s="137">
        <v>1</v>
      </c>
      <c r="AS654" s="158">
        <v>0.0810595228934205</v>
      </c>
      <c r="AT654" s="141">
        <v>0</v>
      </c>
      <c r="AU654" s="141">
        <v>0</v>
      </c>
      <c r="AV654" s="141">
        <v>0.5</v>
      </c>
      <c r="AW654" s="141">
        <v>0.0705882352941176</v>
      </c>
      <c r="AX654" s="95"/>
      <c r="AY654" s="93"/>
    </row>
    <row r="655" ht="15" spans="1:51">
      <c r="A655" s="91"/>
      <c r="B655" s="95"/>
      <c r="C655" s="152" t="s">
        <v>668</v>
      </c>
      <c r="D655" s="153" t="s">
        <v>25</v>
      </c>
      <c r="E655" s="130" t="s">
        <v>669</v>
      </c>
      <c r="F655" s="179" t="s">
        <v>682</v>
      </c>
      <c r="G655" s="179" t="s">
        <v>682</v>
      </c>
      <c r="H655" s="179" t="s">
        <v>682</v>
      </c>
      <c r="I655" s="179" t="s">
        <v>682</v>
      </c>
      <c r="J655" s="132">
        <v>0.9</v>
      </c>
      <c r="K655" s="133">
        <v>1</v>
      </c>
      <c r="L655" s="133">
        <v>1</v>
      </c>
      <c r="M655" s="134">
        <v>0.92156862745098</v>
      </c>
      <c r="N655" s="133">
        <v>0.976768743400211</v>
      </c>
      <c r="O655" s="135">
        <v>0.9</v>
      </c>
      <c r="P655" s="133">
        <v>0.981352833638026</v>
      </c>
      <c r="Q655" s="133">
        <v>0.987465726596161</v>
      </c>
      <c r="R655" s="133">
        <v>0.975235849056604</v>
      </c>
      <c r="S655" s="133">
        <v>0.983311809441814</v>
      </c>
      <c r="T655" s="135">
        <v>0.9</v>
      </c>
      <c r="U655" s="133">
        <v>0.936380255941499</v>
      </c>
      <c r="V655" s="133">
        <v>0.923619271445358</v>
      </c>
      <c r="W655" s="133">
        <v>0.905188679245283</v>
      </c>
      <c r="X655" s="133">
        <v>0.901320132013201</v>
      </c>
      <c r="Y655" s="135">
        <v>0.92</v>
      </c>
      <c r="Z655" s="135">
        <v>0.886398763523957</v>
      </c>
      <c r="AA655" s="135">
        <v>0.913447782546495</v>
      </c>
      <c r="AB655" s="135">
        <v>0.899049881235154</v>
      </c>
      <c r="AC655" s="135">
        <v>0.86488318731748</v>
      </c>
      <c r="AD655" s="135">
        <v>0.92</v>
      </c>
      <c r="AE655" s="133">
        <v>0.999127272727273</v>
      </c>
      <c r="AF655" s="133">
        <v>0.989837345137379</v>
      </c>
      <c r="AG655" s="133">
        <v>0.994939950009145</v>
      </c>
      <c r="AH655" s="133">
        <v>0.980056687515823</v>
      </c>
      <c r="AI655" s="135">
        <v>0.92</v>
      </c>
      <c r="AJ655" s="133">
        <v>0.938492063492063</v>
      </c>
      <c r="AK655" s="133">
        <v>0.945357955982798</v>
      </c>
      <c r="AL655" s="133">
        <v>0.948662470495673</v>
      </c>
      <c r="AM655" s="133">
        <v>0.939825179151995</v>
      </c>
      <c r="AN655" s="132">
        <v>0.99</v>
      </c>
      <c r="AO655" s="137">
        <v>1</v>
      </c>
      <c r="AP655" s="137">
        <v>1</v>
      </c>
      <c r="AQ655" s="137">
        <v>1</v>
      </c>
      <c r="AR655" s="137">
        <v>1</v>
      </c>
      <c r="AS655" s="158">
        <v>0.0810595228934205</v>
      </c>
      <c r="AT655" s="141">
        <v>0.142857142857143</v>
      </c>
      <c r="AU655" s="141">
        <v>0</v>
      </c>
      <c r="AV655" s="141">
        <v>0.0769230769230769</v>
      </c>
      <c r="AW655" s="141">
        <v>0.0421686746987952</v>
      </c>
      <c r="AX655" s="95"/>
      <c r="AY655" s="93"/>
    </row>
    <row r="656" ht="15" spans="1:51">
      <c r="A656" s="91"/>
      <c r="B656" s="95"/>
      <c r="C656" s="152" t="s">
        <v>668</v>
      </c>
      <c r="D656" s="153" t="s">
        <v>25</v>
      </c>
      <c r="E656" s="130" t="s">
        <v>669</v>
      </c>
      <c r="F656" s="179" t="s">
        <v>683</v>
      </c>
      <c r="G656" s="179" t="s">
        <v>683</v>
      </c>
      <c r="H656" s="179" t="s">
        <v>683</v>
      </c>
      <c r="I656" s="179" t="s">
        <v>683</v>
      </c>
      <c r="J656" s="132">
        <v>0.9</v>
      </c>
      <c r="K656" s="133">
        <v>0.923076923076923</v>
      </c>
      <c r="L656" s="133">
        <v>0.9</v>
      </c>
      <c r="M656" s="134">
        <v>0.846153846153846</v>
      </c>
      <c r="N656" s="133">
        <v>0.909871244635193</v>
      </c>
      <c r="O656" s="135">
        <v>0.9</v>
      </c>
      <c r="P656" s="133">
        <v>0.986138613861386</v>
      </c>
      <c r="Q656" s="133">
        <v>0.899772209567198</v>
      </c>
      <c r="R656" s="133">
        <v>0.951244813278008</v>
      </c>
      <c r="S656" s="133">
        <v>0.934465612604056</v>
      </c>
      <c r="T656" s="135">
        <v>0.9</v>
      </c>
      <c r="U656" s="133">
        <v>0.954455445544554</v>
      </c>
      <c r="V656" s="133">
        <v>0.938496583143508</v>
      </c>
      <c r="W656" s="133">
        <v>0.919087136929461</v>
      </c>
      <c r="X656" s="133">
        <v>0.898206603720878</v>
      </c>
      <c r="Y656" s="135">
        <v>0.92</v>
      </c>
      <c r="Z656" s="135">
        <v>0.881773399014778</v>
      </c>
      <c r="AA656" s="135">
        <v>0.823076923076923</v>
      </c>
      <c r="AB656" s="135">
        <v>0.92156862745098</v>
      </c>
      <c r="AC656" s="135">
        <v>0.828309305373526</v>
      </c>
      <c r="AD656" s="135">
        <v>0.92</v>
      </c>
      <c r="AE656" s="133">
        <v>0.998516320474777</v>
      </c>
      <c r="AF656" s="133">
        <v>0.998011928429423</v>
      </c>
      <c r="AG656" s="133">
        <v>1</v>
      </c>
      <c r="AH656" s="133">
        <v>0.99690676093681</v>
      </c>
      <c r="AI656" s="135">
        <v>0.92</v>
      </c>
      <c r="AJ656" s="133">
        <v>0.952045133991537</v>
      </c>
      <c r="AK656" s="133">
        <v>0.949033391915642</v>
      </c>
      <c r="AL656" s="133">
        <v>0.950281425891182</v>
      </c>
      <c r="AM656" s="133">
        <v>0.941054570573336</v>
      </c>
      <c r="AN656" s="132">
        <v>0.99</v>
      </c>
      <c r="AO656" s="137">
        <v>1</v>
      </c>
      <c r="AP656" s="137">
        <v>1</v>
      </c>
      <c r="AQ656" s="137">
        <v>1</v>
      </c>
      <c r="AR656" s="137">
        <v>1</v>
      </c>
      <c r="AS656" s="158">
        <v>0.0810595228934205</v>
      </c>
      <c r="AT656" s="141">
        <v>0</v>
      </c>
      <c r="AU656" s="141">
        <v>0</v>
      </c>
      <c r="AV656" s="141">
        <v>0</v>
      </c>
      <c r="AW656" s="141">
        <v>0.0266666666666667</v>
      </c>
      <c r="AX656" s="95"/>
      <c r="AY656" s="93"/>
    </row>
    <row r="657" ht="15" spans="1:51">
      <c r="A657" s="91"/>
      <c r="B657" s="95"/>
      <c r="C657" s="152" t="s">
        <v>668</v>
      </c>
      <c r="D657" s="153" t="s">
        <v>25</v>
      </c>
      <c r="E657" s="130" t="s">
        <v>669</v>
      </c>
      <c r="F657" s="179" t="s">
        <v>684</v>
      </c>
      <c r="G657" s="179" t="s">
        <v>684</v>
      </c>
      <c r="H657" s="179" t="s">
        <v>684</v>
      </c>
      <c r="I657" s="179" t="s">
        <v>684</v>
      </c>
      <c r="J657" s="132">
        <v>0.9</v>
      </c>
      <c r="K657" s="133">
        <v>0.941176470588235</v>
      </c>
      <c r="L657" s="133">
        <v>0.96</v>
      </c>
      <c r="M657" s="134">
        <v>0.935483870967742</v>
      </c>
      <c r="N657" s="133">
        <v>0.964102564102564</v>
      </c>
      <c r="O657" s="135">
        <v>0.9</v>
      </c>
      <c r="P657" s="133">
        <v>0.975609756097561</v>
      </c>
      <c r="Q657" s="133">
        <v>0.98714859437751</v>
      </c>
      <c r="R657" s="133">
        <v>0.933569530558016</v>
      </c>
      <c r="S657" s="133">
        <v>0.890047991917151</v>
      </c>
      <c r="T657" s="135">
        <v>0.9</v>
      </c>
      <c r="U657" s="133">
        <v>0.960027100271003</v>
      </c>
      <c r="V657" s="133">
        <v>0.969477911646586</v>
      </c>
      <c r="W657" s="133">
        <v>0.938883968113375</v>
      </c>
      <c r="X657" s="133">
        <v>0.953902500631473</v>
      </c>
      <c r="Y657" s="135">
        <v>0.92</v>
      </c>
      <c r="Z657" s="135">
        <v>0.959074733096085</v>
      </c>
      <c r="AA657" s="135">
        <v>0.970070422535211</v>
      </c>
      <c r="AB657" s="135">
        <v>0.959537572254335</v>
      </c>
      <c r="AC657" s="135">
        <v>0.963644005463907</v>
      </c>
      <c r="AD657" s="135">
        <v>0.92</v>
      </c>
      <c r="AE657" s="133">
        <v>0.997259648321535</v>
      </c>
      <c r="AF657" s="133">
        <v>0.888040449901971</v>
      </c>
      <c r="AG657" s="133">
        <v>0.99492994100295</v>
      </c>
      <c r="AH657" s="133">
        <v>0.982821560403255</v>
      </c>
      <c r="AI657" s="135">
        <v>0.92</v>
      </c>
      <c r="AJ657" s="133">
        <v>0.975956820412169</v>
      </c>
      <c r="AK657" s="133">
        <v>0.979591836734694</v>
      </c>
      <c r="AL657" s="133">
        <v>0.98310291858679</v>
      </c>
      <c r="AM657" s="133">
        <v>0.983775090590774</v>
      </c>
      <c r="AN657" s="132">
        <v>0.99</v>
      </c>
      <c r="AO657" s="137">
        <v>1</v>
      </c>
      <c r="AP657" s="137">
        <v>1</v>
      </c>
      <c r="AQ657" s="137">
        <v>1</v>
      </c>
      <c r="AR657" s="137">
        <v>1</v>
      </c>
      <c r="AS657" s="158">
        <v>0.0810595228934205</v>
      </c>
      <c r="AT657" s="141">
        <v>0.142857142857143</v>
      </c>
      <c r="AU657" s="141">
        <v>0</v>
      </c>
      <c r="AV657" s="141">
        <v>0.0909090909090909</v>
      </c>
      <c r="AW657" s="141">
        <v>0.0512820512820513</v>
      </c>
      <c r="AX657" s="95"/>
      <c r="AY657" s="93"/>
    </row>
    <row r="658" ht="15" spans="1:51">
      <c r="A658" s="91"/>
      <c r="B658" s="95"/>
      <c r="C658" s="152" t="s">
        <v>668</v>
      </c>
      <c r="D658" s="153" t="s">
        <v>25</v>
      </c>
      <c r="E658" s="130" t="s">
        <v>669</v>
      </c>
      <c r="F658" s="179" t="s">
        <v>685</v>
      </c>
      <c r="G658" s="179" t="s">
        <v>685</v>
      </c>
      <c r="H658" s="179" t="s">
        <v>685</v>
      </c>
      <c r="I658" s="179" t="s">
        <v>685</v>
      </c>
      <c r="J658" s="132">
        <v>0.9</v>
      </c>
      <c r="K658" s="133">
        <v>1</v>
      </c>
      <c r="L658" s="133">
        <v>0.818181818181818</v>
      </c>
      <c r="M658" s="134">
        <v>0.941176470588235</v>
      </c>
      <c r="N658" s="133">
        <v>0.911885245901639</v>
      </c>
      <c r="O658" s="135">
        <v>0.9</v>
      </c>
      <c r="P658" s="133">
        <v>0.94109396914446</v>
      </c>
      <c r="Q658" s="133">
        <v>0.926267281105991</v>
      </c>
      <c r="R658" s="133">
        <v>0.858744394618834</v>
      </c>
      <c r="S658" s="133">
        <v>0.863731898283946</v>
      </c>
      <c r="T658" s="135">
        <v>0.9</v>
      </c>
      <c r="U658" s="133">
        <v>0.672510518934081</v>
      </c>
      <c r="V658" s="133">
        <v>0.552995391705069</v>
      </c>
      <c r="W658" s="133">
        <v>0.479820627802691</v>
      </c>
      <c r="X658" s="133">
        <v>0.516825646118669</v>
      </c>
      <c r="Y658" s="135">
        <v>0.92</v>
      </c>
      <c r="Z658" s="135">
        <v>0.541743970315399</v>
      </c>
      <c r="AA658" s="135">
        <v>0.566750629722922</v>
      </c>
      <c r="AB658" s="135">
        <v>0.440677966101695</v>
      </c>
      <c r="AC658" s="135">
        <v>0.4786217039605</v>
      </c>
      <c r="AD658" s="135">
        <v>0.92</v>
      </c>
      <c r="AE658" s="133">
        <v>0.941617446615175</v>
      </c>
      <c r="AF658" s="133">
        <v>0.998996487706974</v>
      </c>
      <c r="AG658" s="133">
        <v>0.999078341013825</v>
      </c>
      <c r="AH658" s="133">
        <v>0.97929916602737</v>
      </c>
      <c r="AI658" s="135">
        <v>0.92</v>
      </c>
      <c r="AJ658" s="133">
        <v>0.790330788804071</v>
      </c>
      <c r="AK658" s="133">
        <v>0.765856950067476</v>
      </c>
      <c r="AL658" s="133">
        <v>0.62043795620438</v>
      </c>
      <c r="AM658" s="133">
        <v>0.789818443422124</v>
      </c>
      <c r="AN658" s="132">
        <v>0.99</v>
      </c>
      <c r="AO658" s="137">
        <v>1</v>
      </c>
      <c r="AP658" s="137">
        <v>1</v>
      </c>
      <c r="AQ658" s="137">
        <v>1</v>
      </c>
      <c r="AR658" s="137">
        <v>1</v>
      </c>
      <c r="AS658" s="158">
        <v>0.0810595228934205</v>
      </c>
      <c r="AT658" s="141">
        <v>0.125</v>
      </c>
      <c r="AU658" s="141">
        <v>0</v>
      </c>
      <c r="AV658" s="141">
        <v>0</v>
      </c>
      <c r="AW658" s="141">
        <v>0.0240963855421687</v>
      </c>
      <c r="AX658" s="95"/>
      <c r="AY658" s="93"/>
    </row>
    <row r="659" ht="15" spans="1:51">
      <c r="A659" s="91"/>
      <c r="B659" s="95"/>
      <c r="C659" s="152" t="s">
        <v>668</v>
      </c>
      <c r="D659" s="153" t="s">
        <v>25</v>
      </c>
      <c r="E659" s="130" t="s">
        <v>669</v>
      </c>
      <c r="F659" s="179" t="s">
        <v>686</v>
      </c>
      <c r="G659" s="179" t="s">
        <v>686</v>
      </c>
      <c r="H659" s="179" t="s">
        <v>686</v>
      </c>
      <c r="I659" s="179" t="s">
        <v>686</v>
      </c>
      <c r="J659" s="132">
        <v>0.9</v>
      </c>
      <c r="K659" s="133">
        <v>1</v>
      </c>
      <c r="L659" s="133">
        <v>1</v>
      </c>
      <c r="M659" s="134">
        <v>1</v>
      </c>
      <c r="N659" s="133">
        <v>0.983458646616541</v>
      </c>
      <c r="O659" s="135">
        <v>0.9</v>
      </c>
      <c r="P659" s="133">
        <v>0.990942994139584</v>
      </c>
      <c r="Q659" s="133">
        <v>0.994733762434172</v>
      </c>
      <c r="R659" s="133">
        <v>0.984472049689441</v>
      </c>
      <c r="S659" s="133">
        <v>0.973559274231456</v>
      </c>
      <c r="T659" s="135">
        <v>0.9</v>
      </c>
      <c r="U659" s="133">
        <v>0.983484283431007</v>
      </c>
      <c r="V659" s="133">
        <v>0.980690462258631</v>
      </c>
      <c r="W659" s="133">
        <v>0.971273291925466</v>
      </c>
      <c r="X659" s="133">
        <v>0.964792704709975</v>
      </c>
      <c r="Y659" s="135">
        <v>0.92</v>
      </c>
      <c r="Z659" s="135">
        <v>0.963870967741935</v>
      </c>
      <c r="AA659" s="135">
        <v>0.980540540540541</v>
      </c>
      <c r="AB659" s="135">
        <v>0.98694942903752</v>
      </c>
      <c r="AC659" s="135">
        <v>0.973481748240301</v>
      </c>
      <c r="AD659" s="135">
        <v>0.92</v>
      </c>
      <c r="AE659" s="133">
        <v>0.985064494229464</v>
      </c>
      <c r="AF659" s="133">
        <v>0.989481098849495</v>
      </c>
      <c r="AG659" s="133">
        <v>0.996316758747698</v>
      </c>
      <c r="AH659" s="133">
        <v>0.979238612394675</v>
      </c>
      <c r="AI659" s="135">
        <v>0.92</v>
      </c>
      <c r="AJ659" s="133">
        <v>0.984174830444612</v>
      </c>
      <c r="AK659" s="133">
        <v>0.990129081245254</v>
      </c>
      <c r="AL659" s="133">
        <v>0.989338350580119</v>
      </c>
      <c r="AM659" s="133">
        <v>0.986474153037383</v>
      </c>
      <c r="AN659" s="132">
        <v>0.99</v>
      </c>
      <c r="AO659" s="137">
        <v>1</v>
      </c>
      <c r="AP659" s="137">
        <v>1</v>
      </c>
      <c r="AQ659" s="137">
        <v>1</v>
      </c>
      <c r="AR659" s="137">
        <v>1</v>
      </c>
      <c r="AS659" s="158">
        <v>0.0810595228934205</v>
      </c>
      <c r="AT659" s="141">
        <v>0</v>
      </c>
      <c r="AU659" s="141">
        <v>0</v>
      </c>
      <c r="AV659" s="141">
        <v>0</v>
      </c>
      <c r="AW659" s="141">
        <v>0.0350877192982456</v>
      </c>
      <c r="AX659" s="95"/>
      <c r="AY659" s="93"/>
    </row>
    <row r="660" ht="15" spans="1:51">
      <c r="A660" s="91"/>
      <c r="B660" s="95"/>
      <c r="C660" s="152" t="s">
        <v>668</v>
      </c>
      <c r="D660" s="153" t="s">
        <v>25</v>
      </c>
      <c r="E660" s="130" t="s">
        <v>669</v>
      </c>
      <c r="F660" s="179" t="s">
        <v>687</v>
      </c>
      <c r="G660" s="179" t="s">
        <v>687</v>
      </c>
      <c r="H660" s="179" t="s">
        <v>687</v>
      </c>
      <c r="I660" s="179" t="s">
        <v>687</v>
      </c>
      <c r="J660" s="132">
        <v>0.9</v>
      </c>
      <c r="K660" s="133">
        <v>0.917808219178082</v>
      </c>
      <c r="L660" s="133">
        <v>0.952380952380952</v>
      </c>
      <c r="M660" s="134">
        <v>0.880597014925373</v>
      </c>
      <c r="N660" s="133">
        <v>0.948194662480377</v>
      </c>
      <c r="O660" s="135">
        <v>0.9</v>
      </c>
      <c r="P660" s="133">
        <v>0.982943469785575</v>
      </c>
      <c r="Q660" s="133">
        <v>0.980910826288519</v>
      </c>
      <c r="R660" s="133">
        <v>0.969900240798074</v>
      </c>
      <c r="S660" s="133">
        <v>0.926811401879081</v>
      </c>
      <c r="T660" s="135">
        <v>0.9</v>
      </c>
      <c r="U660" s="133">
        <v>0.958820662768031</v>
      </c>
      <c r="V660" s="133">
        <v>0.958003817834742</v>
      </c>
      <c r="W660" s="133">
        <v>0.944788441692466</v>
      </c>
      <c r="X660" s="133">
        <v>0.948224428048198</v>
      </c>
      <c r="Y660" s="135">
        <v>0.92</v>
      </c>
      <c r="Z660" s="135">
        <v>0.902676399026764</v>
      </c>
      <c r="AA660" s="135">
        <v>0.931214174048984</v>
      </c>
      <c r="AB660" s="135">
        <v>0.857831325301205</v>
      </c>
      <c r="AC660" s="135">
        <v>0.885469419555902</v>
      </c>
      <c r="AD660" s="135">
        <v>0.92</v>
      </c>
      <c r="AE660" s="133">
        <v>0.993489346202877</v>
      </c>
      <c r="AF660" s="133">
        <v>0.925771809020019</v>
      </c>
      <c r="AG660" s="133">
        <v>0.989364351011987</v>
      </c>
      <c r="AH660" s="133">
        <v>0.97159081613622</v>
      </c>
      <c r="AI660" s="135">
        <v>0.92</v>
      </c>
      <c r="AJ660" s="133">
        <v>0.954426856844669</v>
      </c>
      <c r="AK660" s="133">
        <v>0.962956335003579</v>
      </c>
      <c r="AL660" s="133">
        <v>0.95257644394111</v>
      </c>
      <c r="AM660" s="133">
        <v>0.960070385535939</v>
      </c>
      <c r="AN660" s="132">
        <v>0.99</v>
      </c>
      <c r="AO660" s="137">
        <v>1</v>
      </c>
      <c r="AP660" s="137">
        <v>1</v>
      </c>
      <c r="AQ660" s="137">
        <v>1</v>
      </c>
      <c r="AR660" s="137">
        <v>1</v>
      </c>
      <c r="AS660" s="158">
        <v>0.0810595228934205</v>
      </c>
      <c r="AT660" s="141">
        <v>0</v>
      </c>
      <c r="AU660" s="141">
        <v>0.0769230769230769</v>
      </c>
      <c r="AV660" s="141">
        <v>0.0588235294117647</v>
      </c>
      <c r="AW660" s="141">
        <v>0.0214067278287462</v>
      </c>
      <c r="AX660" s="95"/>
      <c r="AY660" s="93"/>
    </row>
    <row r="661" ht="15" spans="1:51">
      <c r="A661" s="91"/>
      <c r="B661" s="95"/>
      <c r="C661" s="152" t="s">
        <v>668</v>
      </c>
      <c r="D661" s="153" t="s">
        <v>25</v>
      </c>
      <c r="E661" s="130" t="s">
        <v>669</v>
      </c>
      <c r="F661" s="179" t="s">
        <v>688</v>
      </c>
      <c r="G661" s="179" t="s">
        <v>688</v>
      </c>
      <c r="H661" s="179" t="s">
        <v>688</v>
      </c>
      <c r="I661" s="179" t="s">
        <v>688</v>
      </c>
      <c r="J661" s="132">
        <v>0.9</v>
      </c>
      <c r="K661" s="133">
        <v>1</v>
      </c>
      <c r="L661" s="133">
        <v>0.92</v>
      </c>
      <c r="M661" s="134">
        <v>0.96</v>
      </c>
      <c r="N661" s="133">
        <v>0.955465587044534</v>
      </c>
      <c r="O661" s="135">
        <v>0.9</v>
      </c>
      <c r="P661" s="133">
        <v>0.957207207207207</v>
      </c>
      <c r="Q661" s="133">
        <v>0.940978593272171</v>
      </c>
      <c r="R661" s="133">
        <v>0.966493094860765</v>
      </c>
      <c r="S661" s="133">
        <v>0.857441159800734</v>
      </c>
      <c r="T661" s="135">
        <v>0.9</v>
      </c>
      <c r="U661" s="133">
        <v>0.969594594594595</v>
      </c>
      <c r="V661" s="133">
        <v>0.963302752293578</v>
      </c>
      <c r="W661" s="133">
        <v>0.947022866198777</v>
      </c>
      <c r="X661" s="133">
        <v>0.943441816066581</v>
      </c>
      <c r="Y661" s="135">
        <v>0.92</v>
      </c>
      <c r="Z661" s="135">
        <v>0.971635883905013</v>
      </c>
      <c r="AA661" s="135">
        <v>0.980143408714837</v>
      </c>
      <c r="AB661" s="135">
        <v>0.896243291592129</v>
      </c>
      <c r="AC661" s="135">
        <v>0.949703292496171</v>
      </c>
      <c r="AD661" s="135">
        <v>0.92</v>
      </c>
      <c r="AE661" s="133">
        <v>0.980528835659298</v>
      </c>
      <c r="AF661" s="133">
        <v>0.896904387737285</v>
      </c>
      <c r="AG661" s="133">
        <v>0.979932281773887</v>
      </c>
      <c r="AH661" s="133">
        <v>0.957146696225572</v>
      </c>
      <c r="AI661" s="135">
        <v>0.92</v>
      </c>
      <c r="AJ661" s="133">
        <v>0.98164956590371</v>
      </c>
      <c r="AK661" s="133">
        <v>0.985048199881959</v>
      </c>
      <c r="AL661" s="133">
        <v>0.951950867052023</v>
      </c>
      <c r="AM661" s="133">
        <v>0.973108441403453</v>
      </c>
      <c r="AN661" s="132">
        <v>0.99</v>
      </c>
      <c r="AO661" s="137">
        <v>1</v>
      </c>
      <c r="AP661" s="137">
        <v>1</v>
      </c>
      <c r="AQ661" s="137">
        <v>1</v>
      </c>
      <c r="AR661" s="137">
        <v>1</v>
      </c>
      <c r="AS661" s="158">
        <v>0.0810595228934205</v>
      </c>
      <c r="AT661" s="141">
        <v>0</v>
      </c>
      <c r="AU661" s="141">
        <v>0</v>
      </c>
      <c r="AV661" s="141">
        <v>0</v>
      </c>
      <c r="AW661" s="141">
        <v>0.0236220472440945</v>
      </c>
      <c r="AX661" s="95"/>
      <c r="AY661" s="93"/>
    </row>
    <row r="662" ht="15" spans="1:51">
      <c r="A662" s="91"/>
      <c r="B662" s="95"/>
      <c r="C662" s="152" t="s">
        <v>668</v>
      </c>
      <c r="D662" s="153" t="s">
        <v>25</v>
      </c>
      <c r="E662" s="130" t="s">
        <v>669</v>
      </c>
      <c r="F662" s="179" t="s">
        <v>689</v>
      </c>
      <c r="G662" s="179" t="s">
        <v>689</v>
      </c>
      <c r="H662" s="179" t="s">
        <v>689</v>
      </c>
      <c r="I662" s="179" t="s">
        <v>689</v>
      </c>
      <c r="J662" s="132">
        <v>0.9</v>
      </c>
      <c r="K662" s="133">
        <v>0.972972972972973</v>
      </c>
      <c r="L662" s="133">
        <v>0.96969696969697</v>
      </c>
      <c r="M662" s="134">
        <v>0.885714285714286</v>
      </c>
      <c r="N662" s="133">
        <v>0.97503671071953</v>
      </c>
      <c r="O662" s="135">
        <v>0.9</v>
      </c>
      <c r="P662" s="133">
        <v>0.967086834733894</v>
      </c>
      <c r="Q662" s="133">
        <v>0.952542372881356</v>
      </c>
      <c r="R662" s="133">
        <v>0.83942908117752</v>
      </c>
      <c r="S662" s="133">
        <v>0.949414386854296</v>
      </c>
      <c r="T662" s="135">
        <v>0.9</v>
      </c>
      <c r="U662" s="133">
        <v>0.939775910364146</v>
      </c>
      <c r="V662" s="133">
        <v>0.916101694915254</v>
      </c>
      <c r="W662" s="133">
        <v>0.938893844781445</v>
      </c>
      <c r="X662" s="133">
        <v>0.926361332051394</v>
      </c>
      <c r="Y662" s="135">
        <v>0.92</v>
      </c>
      <c r="Z662" s="135">
        <v>0.920325203252032</v>
      </c>
      <c r="AA662" s="135">
        <v>0.90126582278481</v>
      </c>
      <c r="AB662" s="135">
        <v>0.917748917748918</v>
      </c>
      <c r="AC662" s="135">
        <v>0.920096618357488</v>
      </c>
      <c r="AD662" s="135">
        <v>0.92</v>
      </c>
      <c r="AE662" s="133">
        <v>0.99922420480993</v>
      </c>
      <c r="AF662" s="133">
        <v>0.987364620938628</v>
      </c>
      <c r="AG662" s="133">
        <v>0.977246207701284</v>
      </c>
      <c r="AH662" s="133">
        <v>0.988804648196698</v>
      </c>
      <c r="AI662" s="135">
        <v>0.92</v>
      </c>
      <c r="AJ662" s="133">
        <v>0.950562897699462</v>
      </c>
      <c r="AK662" s="133">
        <v>0.93968253968254</v>
      </c>
      <c r="AL662" s="133">
        <v>0.958367016976556</v>
      </c>
      <c r="AM662" s="133">
        <v>0.956147540983607</v>
      </c>
      <c r="AN662" s="132">
        <v>0.99</v>
      </c>
      <c r="AO662" s="137">
        <v>1</v>
      </c>
      <c r="AP662" s="137">
        <v>1</v>
      </c>
      <c r="AQ662" s="137">
        <v>1</v>
      </c>
      <c r="AR662" s="137">
        <v>1</v>
      </c>
      <c r="AS662" s="158">
        <v>0.0810595228934205</v>
      </c>
      <c r="AT662" s="141">
        <v>0.0666666666666667</v>
      </c>
      <c r="AU662" s="141">
        <v>0</v>
      </c>
      <c r="AV662" s="141">
        <v>0</v>
      </c>
      <c r="AW662" s="141">
        <v>0.0187667560321716</v>
      </c>
      <c r="AX662" s="95"/>
      <c r="AY662" s="93"/>
    </row>
    <row r="663" ht="15" spans="1:51">
      <c r="A663" s="91"/>
      <c r="B663" s="95"/>
      <c r="C663" s="152" t="s">
        <v>668</v>
      </c>
      <c r="D663" s="153" t="s">
        <v>25</v>
      </c>
      <c r="E663" s="130" t="s">
        <v>669</v>
      </c>
      <c r="F663" s="179" t="s">
        <v>690</v>
      </c>
      <c r="G663" s="179" t="s">
        <v>690</v>
      </c>
      <c r="H663" s="179" t="s">
        <v>690</v>
      </c>
      <c r="I663" s="179" t="s">
        <v>690</v>
      </c>
      <c r="J663" s="132">
        <v>0.9</v>
      </c>
      <c r="K663" s="133">
        <v>0.875</v>
      </c>
      <c r="L663" s="133">
        <v>1</v>
      </c>
      <c r="M663" s="134">
        <v>0.791666666666667</v>
      </c>
      <c r="N663" s="133">
        <v>0.904231625835189</v>
      </c>
      <c r="O663" s="135">
        <v>0.9</v>
      </c>
      <c r="P663" s="133">
        <v>0.729533678756477</v>
      </c>
      <c r="Q663" s="133">
        <v>0.672554347826087</v>
      </c>
      <c r="R663" s="133">
        <v>0.680333564975678</v>
      </c>
      <c r="S663" s="133">
        <v>0.729830677290837</v>
      </c>
      <c r="T663" s="135">
        <v>0.9</v>
      </c>
      <c r="U663" s="133">
        <v>0.909844559585492</v>
      </c>
      <c r="V663" s="133">
        <v>0.918478260869565</v>
      </c>
      <c r="W663" s="133">
        <v>0.92911744266852</v>
      </c>
      <c r="X663" s="133">
        <v>0.918717985202049</v>
      </c>
      <c r="Y663" s="135">
        <v>0.92</v>
      </c>
      <c r="Z663" s="135">
        <v>0.936170212765957</v>
      </c>
      <c r="AA663" s="135">
        <v>0.936254980079681</v>
      </c>
      <c r="AB663" s="135">
        <v>0.928571428571429</v>
      </c>
      <c r="AC663" s="135">
        <v>0.936672248439641</v>
      </c>
      <c r="AD663" s="135">
        <v>0.92</v>
      </c>
      <c r="AE663" s="133">
        <v>0.995738636363636</v>
      </c>
      <c r="AF663" s="133">
        <v>0.992424242424242</v>
      </c>
      <c r="AG663" s="133">
        <v>0.987341772151899</v>
      </c>
      <c r="AH663" s="133">
        <v>0.988851230824117</v>
      </c>
      <c r="AI663" s="135">
        <v>0.92</v>
      </c>
      <c r="AJ663" s="133">
        <v>0.949291573452647</v>
      </c>
      <c r="AK663" s="133">
        <v>0.951367781155015</v>
      </c>
      <c r="AL663" s="133">
        <v>0.95457373988799</v>
      </c>
      <c r="AM663" s="133">
        <v>0.964075654480452</v>
      </c>
      <c r="AN663" s="132">
        <v>0.99</v>
      </c>
      <c r="AO663" s="137">
        <v>1</v>
      </c>
      <c r="AP663" s="137">
        <v>1</v>
      </c>
      <c r="AQ663" s="137">
        <v>1</v>
      </c>
      <c r="AR663" s="137">
        <v>1</v>
      </c>
      <c r="AS663" s="158">
        <v>0.0810595228934205</v>
      </c>
      <c r="AT663" s="141">
        <v>0.142857142857143</v>
      </c>
      <c r="AU663" s="141">
        <v>0</v>
      </c>
      <c r="AV663" s="141">
        <v>0</v>
      </c>
      <c r="AW663" s="141">
        <v>0.0276497695852535</v>
      </c>
      <c r="AX663" s="95"/>
      <c r="AY663" s="93"/>
    </row>
    <row r="664" ht="15" spans="1:51">
      <c r="A664" s="91"/>
      <c r="B664" s="95"/>
      <c r="C664" s="152" t="s">
        <v>668</v>
      </c>
      <c r="D664" s="153" t="s">
        <v>25</v>
      </c>
      <c r="E664" s="130" t="s">
        <v>669</v>
      </c>
      <c r="F664" s="179" t="s">
        <v>691</v>
      </c>
      <c r="G664" s="179" t="s">
        <v>691</v>
      </c>
      <c r="H664" s="179" t="s">
        <v>691</v>
      </c>
      <c r="I664" s="179" t="s">
        <v>691</v>
      </c>
      <c r="J664" s="132">
        <v>0.9</v>
      </c>
      <c r="K664" s="133">
        <v>1</v>
      </c>
      <c r="L664" s="133">
        <v>1</v>
      </c>
      <c r="M664" s="134">
        <v>0.966666666666667</v>
      </c>
      <c r="N664" s="133">
        <v>0.954144620811287</v>
      </c>
      <c r="O664" s="135">
        <v>0.9</v>
      </c>
      <c r="P664" s="133">
        <v>0.990689013035382</v>
      </c>
      <c r="Q664" s="133">
        <v>0.755526657997399</v>
      </c>
      <c r="R664" s="133">
        <v>0.995037220843672</v>
      </c>
      <c r="S664" s="133">
        <v>0.916230194024443</v>
      </c>
      <c r="T664" s="135">
        <v>0.9</v>
      </c>
      <c r="U664" s="133">
        <v>0.92364990689013</v>
      </c>
      <c r="V664" s="133">
        <v>0.894668400520156</v>
      </c>
      <c r="W664" s="133">
        <v>0.897022332506203</v>
      </c>
      <c r="X664" s="133">
        <v>0.913627828836842</v>
      </c>
      <c r="Y664" s="135">
        <v>0.92</v>
      </c>
      <c r="Z664" s="135">
        <v>0.839907192575406</v>
      </c>
      <c r="AA664" s="135">
        <v>0.816849816849817</v>
      </c>
      <c r="AB664" s="135">
        <v>0.878453038674033</v>
      </c>
      <c r="AC664" s="135">
        <v>0.857990674014413</v>
      </c>
      <c r="AD664" s="135">
        <v>0.92</v>
      </c>
      <c r="AE664" s="133">
        <v>0.999278499278499</v>
      </c>
      <c r="AF664" s="133">
        <v>0.995994659546061</v>
      </c>
      <c r="AG664" s="133">
        <v>0.980769230769231</v>
      </c>
      <c r="AH664" s="133">
        <v>0.989461866244801</v>
      </c>
      <c r="AI664" s="135">
        <v>0.92</v>
      </c>
      <c r="AJ664" s="133">
        <v>0.916334661354582</v>
      </c>
      <c r="AK664" s="133">
        <v>0.905081495685523</v>
      </c>
      <c r="AL664" s="133">
        <v>0.950390189520624</v>
      </c>
      <c r="AM664" s="133">
        <v>0.936485042735043</v>
      </c>
      <c r="AN664" s="132">
        <v>0.99</v>
      </c>
      <c r="AO664" s="137">
        <v>1</v>
      </c>
      <c r="AP664" s="137">
        <v>1</v>
      </c>
      <c r="AQ664" s="137">
        <v>1</v>
      </c>
      <c r="AR664" s="137">
        <v>1</v>
      </c>
      <c r="AS664" s="158">
        <v>0.0810595228934205</v>
      </c>
      <c r="AT664" s="141">
        <v>0</v>
      </c>
      <c r="AU664" s="141">
        <v>0</v>
      </c>
      <c r="AV664" s="141">
        <v>0</v>
      </c>
      <c r="AW664" s="141">
        <v>0.023121387283237</v>
      </c>
      <c r="AX664" s="95"/>
      <c r="AY664" s="93"/>
    </row>
    <row r="665" ht="15" spans="1:51">
      <c r="A665" s="91"/>
      <c r="B665" s="95"/>
      <c r="C665" s="152" t="s">
        <v>668</v>
      </c>
      <c r="D665" s="153" t="s">
        <v>25</v>
      </c>
      <c r="E665" s="130" t="s">
        <v>669</v>
      </c>
      <c r="F665" s="179" t="s">
        <v>692</v>
      </c>
      <c r="G665" s="179" t="s">
        <v>692</v>
      </c>
      <c r="H665" s="179" t="s">
        <v>692</v>
      </c>
      <c r="I665" s="179" t="s">
        <v>692</v>
      </c>
      <c r="J665" s="132">
        <v>0.9</v>
      </c>
      <c r="K665" s="133">
        <v>1</v>
      </c>
      <c r="L665" s="133">
        <v>1</v>
      </c>
      <c r="M665" s="134">
        <v>0.96</v>
      </c>
      <c r="N665" s="133">
        <v>0.955684007707129</v>
      </c>
      <c r="O665" s="135">
        <v>0.9</v>
      </c>
      <c r="P665" s="133">
        <v>0.97514033680834</v>
      </c>
      <c r="Q665" s="133">
        <v>0.98703888334995</v>
      </c>
      <c r="R665" s="133">
        <v>0.97275204359673</v>
      </c>
      <c r="S665" s="133">
        <v>0.968255745598074</v>
      </c>
      <c r="T665" s="135">
        <v>0.9</v>
      </c>
      <c r="U665" s="133">
        <v>0.911788291900561</v>
      </c>
      <c r="V665" s="133">
        <v>0.909272183449651</v>
      </c>
      <c r="W665" s="133">
        <v>0.93133514986376</v>
      </c>
      <c r="X665" s="133">
        <v>0.933516222041822</v>
      </c>
      <c r="Y665" s="135">
        <v>0.92</v>
      </c>
      <c r="Z665" s="135">
        <v>0.879464285714286</v>
      </c>
      <c r="AA665" s="135">
        <v>0.9</v>
      </c>
      <c r="AB665" s="135">
        <v>0.886255924170616</v>
      </c>
      <c r="AC665" s="135">
        <v>0.913038160469667</v>
      </c>
      <c r="AD665" s="135">
        <v>0.92</v>
      </c>
      <c r="AE665" s="133">
        <v>0.996865203761755</v>
      </c>
      <c r="AF665" s="133">
        <v>0.984284051222352</v>
      </c>
      <c r="AG665" s="133">
        <v>0.996542185338866</v>
      </c>
      <c r="AH665" s="133">
        <v>0.987668251793342</v>
      </c>
      <c r="AI665" s="135">
        <v>0.92</v>
      </c>
      <c r="AJ665" s="133">
        <v>0.932783018867924</v>
      </c>
      <c r="AK665" s="133">
        <v>0.936708860759494</v>
      </c>
      <c r="AL665" s="133">
        <v>0.965298142717498</v>
      </c>
      <c r="AM665" s="133">
        <v>0.962530180857364</v>
      </c>
      <c r="AN665" s="132">
        <v>0.99</v>
      </c>
      <c r="AO665" s="137">
        <v>1</v>
      </c>
      <c r="AP665" s="137">
        <v>1</v>
      </c>
      <c r="AQ665" s="137">
        <v>1</v>
      </c>
      <c r="AR665" s="137">
        <v>1</v>
      </c>
      <c r="AS665" s="158">
        <v>0.0810595228934205</v>
      </c>
      <c r="AT665" s="141">
        <v>0</v>
      </c>
      <c r="AU665" s="141">
        <v>0</v>
      </c>
      <c r="AV665" s="141">
        <v>0</v>
      </c>
      <c r="AW665" s="141">
        <v>0.0186567164179104</v>
      </c>
      <c r="AX665" s="95"/>
      <c r="AY665" s="93"/>
    </row>
    <row r="666" ht="15" spans="1:51">
      <c r="A666" s="91"/>
      <c r="B666" s="95"/>
      <c r="C666" s="152" t="s">
        <v>668</v>
      </c>
      <c r="D666" s="153" t="s">
        <v>25</v>
      </c>
      <c r="E666" s="130" t="s">
        <v>669</v>
      </c>
      <c r="F666" s="179" t="s">
        <v>693</v>
      </c>
      <c r="G666" s="179" t="s">
        <v>693</v>
      </c>
      <c r="H666" s="179" t="s">
        <v>693</v>
      </c>
      <c r="I666" s="179" t="s">
        <v>693</v>
      </c>
      <c r="J666" s="132">
        <v>0.9</v>
      </c>
      <c r="K666" s="133">
        <v>0.92</v>
      </c>
      <c r="L666" s="133">
        <v>0.952380952380952</v>
      </c>
      <c r="M666" s="134">
        <v>0.956521739130435</v>
      </c>
      <c r="N666" s="133">
        <v>0.954643628509719</v>
      </c>
      <c r="O666" s="135">
        <v>0.9</v>
      </c>
      <c r="P666" s="133">
        <v>0.966557911908646</v>
      </c>
      <c r="Q666" s="133">
        <v>0.977</v>
      </c>
      <c r="R666" s="133">
        <v>0.980936819172113</v>
      </c>
      <c r="S666" s="133">
        <v>0.974448628294782</v>
      </c>
      <c r="T666" s="135">
        <v>0.9</v>
      </c>
      <c r="U666" s="133">
        <v>0.921696574225122</v>
      </c>
      <c r="V666" s="133">
        <v>0.938</v>
      </c>
      <c r="W666" s="133">
        <v>0.94281045751634</v>
      </c>
      <c r="X666" s="133">
        <v>0.946342119419042</v>
      </c>
      <c r="Y666" s="135">
        <v>0.92</v>
      </c>
      <c r="Z666" s="135">
        <v>0.943107221006565</v>
      </c>
      <c r="AA666" s="135">
        <v>0.924914675767918</v>
      </c>
      <c r="AB666" s="135">
        <v>0.936170212765957</v>
      </c>
      <c r="AC666" s="135">
        <v>0.934117647058823</v>
      </c>
      <c r="AD666" s="135">
        <v>0.92</v>
      </c>
      <c r="AE666" s="133">
        <v>1</v>
      </c>
      <c r="AF666" s="133">
        <v>0.998107852412488</v>
      </c>
      <c r="AG666" s="133">
        <v>0.997798972853999</v>
      </c>
      <c r="AH666" s="133">
        <v>0.996266526112356</v>
      </c>
      <c r="AI666" s="135">
        <v>0.92</v>
      </c>
      <c r="AJ666" s="133">
        <v>0.947712418300654</v>
      </c>
      <c r="AK666" s="133">
        <v>0.954369682907966</v>
      </c>
      <c r="AL666" s="133">
        <v>0.970355731225296</v>
      </c>
      <c r="AM666" s="133">
        <v>0.973317281383386</v>
      </c>
      <c r="AN666" s="132">
        <v>0.99</v>
      </c>
      <c r="AO666" s="137">
        <v>1</v>
      </c>
      <c r="AP666" s="137">
        <v>1</v>
      </c>
      <c r="AQ666" s="137">
        <v>1</v>
      </c>
      <c r="AR666" s="137">
        <v>1</v>
      </c>
      <c r="AS666" s="158">
        <v>0.0810595228934205</v>
      </c>
      <c r="AT666" s="141">
        <v>0</v>
      </c>
      <c r="AU666" s="141">
        <v>0</v>
      </c>
      <c r="AV666" s="141">
        <v>0</v>
      </c>
      <c r="AW666" s="141">
        <v>0.0566037735849057</v>
      </c>
      <c r="AX666" s="95"/>
      <c r="AY666" s="93"/>
    </row>
    <row r="667" ht="15" spans="1:51">
      <c r="A667" s="91"/>
      <c r="B667" s="95"/>
      <c r="C667" s="152" t="s">
        <v>668</v>
      </c>
      <c r="D667" s="153" t="s">
        <v>25</v>
      </c>
      <c r="E667" s="130" t="s">
        <v>669</v>
      </c>
      <c r="F667" s="179" t="s">
        <v>694</v>
      </c>
      <c r="G667" s="179" t="s">
        <v>694</v>
      </c>
      <c r="H667" s="179" t="s">
        <v>694</v>
      </c>
      <c r="I667" s="179" t="s">
        <v>694</v>
      </c>
      <c r="J667" s="132">
        <v>0.9</v>
      </c>
      <c r="K667" s="133">
        <v>1</v>
      </c>
      <c r="L667" s="133">
        <v>1</v>
      </c>
      <c r="M667" s="134">
        <v>1</v>
      </c>
      <c r="N667" s="133">
        <v>1</v>
      </c>
      <c r="O667" s="135">
        <v>0.9</v>
      </c>
      <c r="P667" s="133">
        <v>0.922209026128266</v>
      </c>
      <c r="Q667" s="133">
        <v>0.902891030392884</v>
      </c>
      <c r="R667" s="133">
        <v>0.938701923076923</v>
      </c>
      <c r="S667" s="133">
        <v>0.954569970543086</v>
      </c>
      <c r="T667" s="135">
        <v>0.9</v>
      </c>
      <c r="U667" s="133">
        <v>0.975059382422803</v>
      </c>
      <c r="V667" s="133">
        <v>0.980726464047443</v>
      </c>
      <c r="W667" s="133">
        <v>0.977564102564103</v>
      </c>
      <c r="X667" s="133">
        <v>0.977803592913745</v>
      </c>
      <c r="Y667" s="135">
        <v>0.92</v>
      </c>
      <c r="Z667" s="135">
        <v>0.975530179445351</v>
      </c>
      <c r="AA667" s="135">
        <v>0.963048498845266</v>
      </c>
      <c r="AB667" s="135">
        <v>0.926829268292683</v>
      </c>
      <c r="AC667" s="135">
        <v>0.966988505747126</v>
      </c>
      <c r="AD667" s="135">
        <v>0.92</v>
      </c>
      <c r="AE667" s="133">
        <v>0.999500124968758</v>
      </c>
      <c r="AF667" s="133">
        <v>0.998190863862506</v>
      </c>
      <c r="AG667" s="133">
        <v>0.995294117647059</v>
      </c>
      <c r="AH667" s="133">
        <v>0.99658876375236</v>
      </c>
      <c r="AI667" s="135">
        <v>0.92</v>
      </c>
      <c r="AJ667" s="133">
        <v>0.983556901774124</v>
      </c>
      <c r="AK667" s="133">
        <v>0.98443579766537</v>
      </c>
      <c r="AL667" s="133">
        <v>0.985714285714286</v>
      </c>
      <c r="AM667" s="133">
        <v>0.988092825293879</v>
      </c>
      <c r="AN667" s="132">
        <v>0.99</v>
      </c>
      <c r="AO667" s="137">
        <v>1</v>
      </c>
      <c r="AP667" s="137">
        <v>1</v>
      </c>
      <c r="AQ667" s="137">
        <v>1</v>
      </c>
      <c r="AR667" s="137">
        <v>1</v>
      </c>
      <c r="AS667" s="158">
        <v>0.0810595228934205</v>
      </c>
      <c r="AT667" s="141">
        <v>0</v>
      </c>
      <c r="AU667" s="141">
        <v>0.142857142857143</v>
      </c>
      <c r="AV667" s="141">
        <v>0</v>
      </c>
      <c r="AW667" s="141">
        <v>0.0198412698412698</v>
      </c>
      <c r="AX667" s="95"/>
      <c r="AY667" s="93"/>
    </row>
    <row r="668" ht="15" spans="1:51">
      <c r="A668" s="91"/>
      <c r="B668" s="95"/>
      <c r="C668" s="152" t="s">
        <v>668</v>
      </c>
      <c r="D668" s="153" t="s">
        <v>25</v>
      </c>
      <c r="E668" s="130" t="s">
        <v>669</v>
      </c>
      <c r="F668" s="179" t="s">
        <v>695</v>
      </c>
      <c r="G668" s="179" t="s">
        <v>695</v>
      </c>
      <c r="H668" s="179" t="s">
        <v>695</v>
      </c>
      <c r="I668" s="179" t="s">
        <v>695</v>
      </c>
      <c r="J668" s="132">
        <v>0.9</v>
      </c>
      <c r="K668" s="133">
        <v>1</v>
      </c>
      <c r="L668" s="133">
        <v>1</v>
      </c>
      <c r="M668" s="134">
        <v>0.970588235294118</v>
      </c>
      <c r="N668" s="133">
        <v>0.995475113122172</v>
      </c>
      <c r="O668" s="135">
        <v>0.9</v>
      </c>
      <c r="P668" s="133">
        <v>0.989589358010411</v>
      </c>
      <c r="Q668" s="133">
        <v>0.995481927710843</v>
      </c>
      <c r="R668" s="133">
        <v>0.994704992435703</v>
      </c>
      <c r="S668" s="133">
        <v>0.99324650265316</v>
      </c>
      <c r="T668" s="135">
        <v>0.9</v>
      </c>
      <c r="U668" s="133">
        <v>0.943898207056102</v>
      </c>
      <c r="V668" s="133">
        <v>0.938253012048193</v>
      </c>
      <c r="W668" s="133">
        <v>0.953479576399395</v>
      </c>
      <c r="X668" s="133">
        <v>0.953150024119633</v>
      </c>
      <c r="Y668" s="135">
        <v>0.92</v>
      </c>
      <c r="Z668" s="135">
        <v>0.905523255813954</v>
      </c>
      <c r="AA668" s="135">
        <v>0.908510638297872</v>
      </c>
      <c r="AB668" s="135">
        <v>0.8825</v>
      </c>
      <c r="AC668" s="135">
        <v>0.926198056984244</v>
      </c>
      <c r="AD668" s="135">
        <v>0.92</v>
      </c>
      <c r="AE668" s="133">
        <v>0.996350364963504</v>
      </c>
      <c r="AF668" s="133">
        <v>0.995633187772926</v>
      </c>
      <c r="AG668" s="133">
        <v>0.992405063291139</v>
      </c>
      <c r="AH668" s="133">
        <v>0.996506467755642</v>
      </c>
      <c r="AI668" s="135">
        <v>0.92</v>
      </c>
      <c r="AJ668" s="133">
        <v>0.952006619776583</v>
      </c>
      <c r="AK668" s="133">
        <v>0.949444444444444</v>
      </c>
      <c r="AL668" s="133">
        <v>0.967180833606826</v>
      </c>
      <c r="AM668" s="133">
        <v>0.970555650912041</v>
      </c>
      <c r="AN668" s="132">
        <v>0.99</v>
      </c>
      <c r="AO668" s="137">
        <v>1</v>
      </c>
      <c r="AP668" s="137">
        <v>1</v>
      </c>
      <c r="AQ668" s="137">
        <v>1</v>
      </c>
      <c r="AR668" s="137">
        <v>1</v>
      </c>
      <c r="AS668" s="158">
        <v>0.0810595228934205</v>
      </c>
      <c r="AT668" s="141">
        <v>0</v>
      </c>
      <c r="AU668" s="141">
        <v>0</v>
      </c>
      <c r="AV668" s="141">
        <v>0.0833333333333333</v>
      </c>
      <c r="AW668" s="141">
        <v>0.0222222222222222</v>
      </c>
      <c r="AX668" s="95"/>
      <c r="AY668" s="93"/>
    </row>
    <row r="669" ht="15" spans="1:51">
      <c r="A669" s="91"/>
      <c r="B669" s="95"/>
      <c r="C669" s="152" t="s">
        <v>668</v>
      </c>
      <c r="D669" s="153" t="s">
        <v>25</v>
      </c>
      <c r="E669" s="130" t="s">
        <v>669</v>
      </c>
      <c r="F669" s="179" t="s">
        <v>696</v>
      </c>
      <c r="G669" s="179" t="s">
        <v>696</v>
      </c>
      <c r="H669" s="179" t="s">
        <v>696</v>
      </c>
      <c r="I669" s="179" t="s">
        <v>696</v>
      </c>
      <c r="J669" s="132">
        <v>0.9</v>
      </c>
      <c r="K669" s="133">
        <v>1</v>
      </c>
      <c r="L669" s="133">
        <v>1</v>
      </c>
      <c r="M669" s="134">
        <v>1</v>
      </c>
      <c r="N669" s="133">
        <v>0.996282527881041</v>
      </c>
      <c r="O669" s="135">
        <v>0.9</v>
      </c>
      <c r="P669" s="133">
        <v>0.989690721649485</v>
      </c>
      <c r="Q669" s="133">
        <v>0.980968858131488</v>
      </c>
      <c r="R669" s="133">
        <v>0.986026200873362</v>
      </c>
      <c r="S669" s="133">
        <v>0.982728311505669</v>
      </c>
      <c r="T669" s="135">
        <v>0.9</v>
      </c>
      <c r="U669" s="133">
        <v>0.920103092783505</v>
      </c>
      <c r="V669" s="133">
        <v>0.922145328719723</v>
      </c>
      <c r="W669" s="133">
        <v>0.922270742358079</v>
      </c>
      <c r="X669" s="133">
        <v>0.934253318097917</v>
      </c>
      <c r="Y669" s="135">
        <v>0.92</v>
      </c>
      <c r="Z669" s="135">
        <v>0.941747572815534</v>
      </c>
      <c r="AA669" s="135">
        <v>0.972477064220184</v>
      </c>
      <c r="AB669" s="135">
        <v>0.900709219858156</v>
      </c>
      <c r="AC669" s="135">
        <v>0.937777777777778</v>
      </c>
      <c r="AD669" s="135">
        <v>0.92</v>
      </c>
      <c r="AE669" s="133">
        <v>0.993197278911565</v>
      </c>
      <c r="AF669" s="133">
        <v>1</v>
      </c>
      <c r="AG669" s="133">
        <v>0.976744186046512</v>
      </c>
      <c r="AH669" s="133">
        <v>0.993261989694808</v>
      </c>
      <c r="AI669" s="135">
        <v>0.92</v>
      </c>
      <c r="AJ669" s="133">
        <v>0.954838709677419</v>
      </c>
      <c r="AK669" s="133">
        <v>0.958542713567839</v>
      </c>
      <c r="AL669" s="133">
        <v>0.969673405909798</v>
      </c>
      <c r="AM669" s="133">
        <v>0.972430090586845</v>
      </c>
      <c r="AN669" s="132">
        <v>0.99</v>
      </c>
      <c r="AO669" s="137">
        <v>1</v>
      </c>
      <c r="AP669" s="137">
        <v>1</v>
      </c>
      <c r="AQ669" s="137">
        <v>1</v>
      </c>
      <c r="AR669" s="137">
        <v>1</v>
      </c>
      <c r="AS669" s="158">
        <v>0.0810595228934205</v>
      </c>
      <c r="AT669" s="141">
        <v>0</v>
      </c>
      <c r="AU669" s="141">
        <v>0</v>
      </c>
      <c r="AV669" s="141">
        <v>0</v>
      </c>
      <c r="AW669" s="141">
        <v>0.023121387283237</v>
      </c>
      <c r="AX669" s="95"/>
      <c r="AY669" s="93"/>
    </row>
    <row r="670" ht="15" spans="1:51">
      <c r="A670" s="91"/>
      <c r="B670" s="95"/>
      <c r="C670" s="152" t="s">
        <v>668</v>
      </c>
      <c r="D670" s="153" t="s">
        <v>25</v>
      </c>
      <c r="E670" s="130" t="s">
        <v>669</v>
      </c>
      <c r="F670" s="179" t="s">
        <v>697</v>
      </c>
      <c r="G670" s="179" t="s">
        <v>697</v>
      </c>
      <c r="H670" s="179" t="s">
        <v>697</v>
      </c>
      <c r="I670" s="179" t="s">
        <v>697</v>
      </c>
      <c r="J670" s="132">
        <v>0.9</v>
      </c>
      <c r="K670" s="133" t="s">
        <v>35</v>
      </c>
      <c r="L670" s="133" t="s">
        <v>35</v>
      </c>
      <c r="M670" s="134" t="s">
        <v>35</v>
      </c>
      <c r="N670" s="133" t="s">
        <v>35</v>
      </c>
      <c r="O670" s="135">
        <v>0.9</v>
      </c>
      <c r="P670" s="133" t="s">
        <v>35</v>
      </c>
      <c r="Q670" s="133" t="s">
        <v>35</v>
      </c>
      <c r="R670" s="133" t="s">
        <v>35</v>
      </c>
      <c r="S670" s="133" t="s">
        <v>35</v>
      </c>
      <c r="T670" s="135">
        <v>0.9</v>
      </c>
      <c r="U670" s="133" t="s">
        <v>35</v>
      </c>
      <c r="V670" s="133" t="s">
        <v>35</v>
      </c>
      <c r="W670" s="133" t="s">
        <v>35</v>
      </c>
      <c r="X670" s="133" t="s">
        <v>35</v>
      </c>
      <c r="Y670" s="135">
        <v>0.92</v>
      </c>
      <c r="Z670" s="135" t="s">
        <v>35</v>
      </c>
      <c r="AA670" s="135" t="s">
        <v>35</v>
      </c>
      <c r="AB670" s="135" t="s">
        <v>35</v>
      </c>
      <c r="AC670" s="135" t="s">
        <v>35</v>
      </c>
      <c r="AD670" s="135">
        <v>0.92</v>
      </c>
      <c r="AE670" s="133" t="s">
        <v>35</v>
      </c>
      <c r="AF670" s="133" t="s">
        <v>35</v>
      </c>
      <c r="AG670" s="133" t="s">
        <v>35</v>
      </c>
      <c r="AH670" s="133" t="s">
        <v>35</v>
      </c>
      <c r="AI670" s="135">
        <v>0.92</v>
      </c>
      <c r="AJ670" s="133" t="s">
        <v>35</v>
      </c>
      <c r="AK670" s="133" t="s">
        <v>35</v>
      </c>
      <c r="AL670" s="133" t="s">
        <v>35</v>
      </c>
      <c r="AM670" s="133" t="s">
        <v>35</v>
      </c>
      <c r="AN670" s="132">
        <v>0.99</v>
      </c>
      <c r="AO670" s="137" t="s">
        <v>35</v>
      </c>
      <c r="AP670" s="137" t="s">
        <v>35</v>
      </c>
      <c r="AQ670" s="137" t="s">
        <v>35</v>
      </c>
      <c r="AR670" s="137" t="s">
        <v>35</v>
      </c>
      <c r="AS670" s="158">
        <v>0.0810595228934205</v>
      </c>
      <c r="AT670" s="141" t="s">
        <v>35</v>
      </c>
      <c r="AU670" s="141" t="s">
        <v>35</v>
      </c>
      <c r="AV670" s="141" t="s">
        <v>35</v>
      </c>
      <c r="AW670" s="141" t="s">
        <v>35</v>
      </c>
      <c r="AX670" s="95"/>
      <c r="AY670" s="93"/>
    </row>
    <row r="671" ht="15" spans="1:51">
      <c r="A671" s="91"/>
      <c r="B671" s="95"/>
      <c r="C671" s="152" t="s">
        <v>668</v>
      </c>
      <c r="D671" s="153" t="s">
        <v>25</v>
      </c>
      <c r="E671" s="130" t="s">
        <v>669</v>
      </c>
      <c r="F671" s="179" t="s">
        <v>698</v>
      </c>
      <c r="G671" s="179" t="s">
        <v>698</v>
      </c>
      <c r="H671" s="179" t="s">
        <v>698</v>
      </c>
      <c r="I671" s="179" t="s">
        <v>698</v>
      </c>
      <c r="J671" s="132">
        <v>0.9</v>
      </c>
      <c r="K671" s="133">
        <v>0.892857142857143</v>
      </c>
      <c r="L671" s="133">
        <v>0.956521739130435</v>
      </c>
      <c r="M671" s="134">
        <v>0.807692307692308</v>
      </c>
      <c r="N671" s="133">
        <v>0.881782945736434</v>
      </c>
      <c r="O671" s="135">
        <v>0.9</v>
      </c>
      <c r="P671" s="133">
        <v>0.954307116104869</v>
      </c>
      <c r="Q671" s="133">
        <v>0.953862660944206</v>
      </c>
      <c r="R671" s="133">
        <v>0.950124688279302</v>
      </c>
      <c r="S671" s="133">
        <v>0.950541325587536</v>
      </c>
      <c r="T671" s="135">
        <v>0.9</v>
      </c>
      <c r="U671" s="133">
        <v>0.964044943820225</v>
      </c>
      <c r="V671" s="133">
        <v>0.944206008583691</v>
      </c>
      <c r="W671" s="133">
        <v>0.954114713216958</v>
      </c>
      <c r="X671" s="133">
        <v>0.948666490625825</v>
      </c>
      <c r="Y671" s="135">
        <v>0.92</v>
      </c>
      <c r="Z671" s="135">
        <v>0.94</v>
      </c>
      <c r="AA671" s="135">
        <v>0.961608775137112</v>
      </c>
      <c r="AB671" s="135">
        <v>0.951111111111111</v>
      </c>
      <c r="AC671" s="135">
        <v>0.959494702526487</v>
      </c>
      <c r="AD671" s="135">
        <v>0.92</v>
      </c>
      <c r="AE671" s="133">
        <v>1</v>
      </c>
      <c r="AF671" s="133">
        <v>0.998542274052478</v>
      </c>
      <c r="AG671" s="133">
        <v>0.996937212863706</v>
      </c>
      <c r="AH671" s="133">
        <v>0.997532754806874</v>
      </c>
      <c r="AI671" s="135">
        <v>0.92</v>
      </c>
      <c r="AJ671" s="133">
        <v>0.970291777188329</v>
      </c>
      <c r="AK671" s="133">
        <v>0.973630831643002</v>
      </c>
      <c r="AL671" s="133">
        <v>0.975560081466395</v>
      </c>
      <c r="AM671" s="133">
        <v>0.978126059300911</v>
      </c>
      <c r="AN671" s="132">
        <v>0.99</v>
      </c>
      <c r="AO671" s="137">
        <v>1</v>
      </c>
      <c r="AP671" s="137">
        <v>1</v>
      </c>
      <c r="AQ671" s="137">
        <v>1</v>
      </c>
      <c r="AR671" s="137">
        <v>1</v>
      </c>
      <c r="AS671" s="158">
        <v>0.0810595228934205</v>
      </c>
      <c r="AT671" s="141">
        <v>0</v>
      </c>
      <c r="AU671" s="141">
        <v>0.285714285714286</v>
      </c>
      <c r="AV671" s="141">
        <v>0</v>
      </c>
      <c r="AW671" s="141">
        <v>0.0465116279069767</v>
      </c>
      <c r="AX671" s="95"/>
      <c r="AY671" s="93"/>
    </row>
    <row r="672" ht="15" spans="1:51">
      <c r="A672" s="91"/>
      <c r="B672" s="95"/>
      <c r="C672" s="152" t="s">
        <v>668</v>
      </c>
      <c r="D672" s="153" t="s">
        <v>25</v>
      </c>
      <c r="E672" s="130" t="s">
        <v>669</v>
      </c>
      <c r="F672" s="179" t="s">
        <v>699</v>
      </c>
      <c r="G672" s="179" t="s">
        <v>699</v>
      </c>
      <c r="H672" s="179" t="s">
        <v>699</v>
      </c>
      <c r="I672" s="179" t="s">
        <v>699</v>
      </c>
      <c r="J672" s="132">
        <v>0.9</v>
      </c>
      <c r="K672" s="133">
        <v>0.814814814814815</v>
      </c>
      <c r="L672" s="133">
        <v>0.833333333333333</v>
      </c>
      <c r="M672" s="134">
        <v>0.851851851851852</v>
      </c>
      <c r="N672" s="133">
        <v>0.847695390781563</v>
      </c>
      <c r="O672" s="135">
        <v>0.9</v>
      </c>
      <c r="P672" s="133">
        <v>0.961672473867596</v>
      </c>
      <c r="Q672" s="133">
        <v>0.950505050505051</v>
      </c>
      <c r="R672" s="133">
        <v>0.954664341761116</v>
      </c>
      <c r="S672" s="133">
        <v>0.955925514860032</v>
      </c>
      <c r="T672" s="135">
        <v>0.9</v>
      </c>
      <c r="U672" s="133">
        <v>0.945644599303136</v>
      </c>
      <c r="V672" s="133">
        <v>0.932323232323232</v>
      </c>
      <c r="W672" s="133">
        <v>0.941150828247602</v>
      </c>
      <c r="X672" s="133">
        <v>0.944876063633</v>
      </c>
      <c r="Y672" s="135">
        <v>0.92</v>
      </c>
      <c r="Z672" s="135">
        <v>0.931654676258993</v>
      </c>
      <c r="AA672" s="135">
        <v>0.891588785046729</v>
      </c>
      <c r="AB672" s="135">
        <v>0.903719912472648</v>
      </c>
      <c r="AC672" s="135">
        <v>0.92745822622108</v>
      </c>
      <c r="AD672" s="135">
        <v>0.92</v>
      </c>
      <c r="AE672" s="133">
        <v>0.983471074380165</v>
      </c>
      <c r="AF672" s="133">
        <v>0.989130434782609</v>
      </c>
      <c r="AG672" s="133">
        <v>0.975806451612903</v>
      </c>
      <c r="AH672" s="133">
        <v>0.985589685248388</v>
      </c>
      <c r="AI672" s="135">
        <v>0.92</v>
      </c>
      <c r="AJ672" s="133">
        <v>0.966850828729282</v>
      </c>
      <c r="AK672" s="133">
        <v>0.946229508196721</v>
      </c>
      <c r="AL672" s="133">
        <v>0.965830607051981</v>
      </c>
      <c r="AM672" s="133">
        <v>0.968382352941176</v>
      </c>
      <c r="AN672" s="132">
        <v>0.99</v>
      </c>
      <c r="AO672" s="137">
        <v>1</v>
      </c>
      <c r="AP672" s="137">
        <v>1</v>
      </c>
      <c r="AQ672" s="137">
        <v>1</v>
      </c>
      <c r="AR672" s="137">
        <v>1</v>
      </c>
      <c r="AS672" s="158">
        <v>0.0810595228934205</v>
      </c>
      <c r="AT672" s="141">
        <v>0</v>
      </c>
      <c r="AU672" s="141" t="s">
        <v>35</v>
      </c>
      <c r="AV672" s="141">
        <v>0</v>
      </c>
      <c r="AW672" s="141">
        <v>0.0222222222222222</v>
      </c>
      <c r="AX672" s="95"/>
      <c r="AY672" s="93"/>
    </row>
    <row r="673" ht="15" spans="1:51">
      <c r="A673" s="91"/>
      <c r="B673" s="95"/>
      <c r="C673" s="152" t="s">
        <v>668</v>
      </c>
      <c r="D673" s="153" t="s">
        <v>25</v>
      </c>
      <c r="E673" s="130" t="s">
        <v>669</v>
      </c>
      <c r="F673" s="179" t="s">
        <v>700</v>
      </c>
      <c r="G673" s="179" t="s">
        <v>700</v>
      </c>
      <c r="H673" s="179" t="s">
        <v>700</v>
      </c>
      <c r="I673" s="179" t="s">
        <v>700</v>
      </c>
      <c r="J673" s="132">
        <v>0.9</v>
      </c>
      <c r="K673" s="133">
        <v>0.846153846153846</v>
      </c>
      <c r="L673" s="133">
        <v>0.794117647058823</v>
      </c>
      <c r="M673" s="134">
        <v>0.852941176470588</v>
      </c>
      <c r="N673" s="133">
        <v>0.835311572700297</v>
      </c>
      <c r="O673" s="135">
        <v>0.9</v>
      </c>
      <c r="P673" s="133">
        <v>0.950158227848101</v>
      </c>
      <c r="Q673" s="133">
        <v>0.952571428571429</v>
      </c>
      <c r="R673" s="133">
        <v>0.792255363683935</v>
      </c>
      <c r="S673" s="133">
        <v>0.869515851989869</v>
      </c>
      <c r="T673" s="135">
        <v>0.9</v>
      </c>
      <c r="U673" s="133">
        <v>0.935522151898734</v>
      </c>
      <c r="V673" s="133">
        <v>0.922857142857143</v>
      </c>
      <c r="W673" s="133">
        <v>0.932496075353218</v>
      </c>
      <c r="X673" s="133">
        <v>0.919313517132959</v>
      </c>
      <c r="Y673" s="135">
        <v>0.92</v>
      </c>
      <c r="Z673" s="135">
        <v>0.94692144373673</v>
      </c>
      <c r="AA673" s="135">
        <v>0.94613124387855</v>
      </c>
      <c r="AB673" s="135">
        <v>0.920980926430518</v>
      </c>
      <c r="AC673" s="135">
        <v>0.931182194906179</v>
      </c>
      <c r="AD673" s="135">
        <v>0.92</v>
      </c>
      <c r="AE673" s="133">
        <v>0.998990578734859</v>
      </c>
      <c r="AF673" s="133">
        <v>0.98518995492595</v>
      </c>
      <c r="AG673" s="133">
        <v>0.956317795367927</v>
      </c>
      <c r="AH673" s="133">
        <v>0.989912079586914</v>
      </c>
      <c r="AI673" s="135">
        <v>0.92</v>
      </c>
      <c r="AJ673" s="133">
        <v>0.969164265129683</v>
      </c>
      <c r="AK673" s="133">
        <v>0.964646464646465</v>
      </c>
      <c r="AL673" s="133">
        <v>0.971685689201054</v>
      </c>
      <c r="AM673" s="133">
        <v>0.970905865395277</v>
      </c>
      <c r="AN673" s="132">
        <v>0.99</v>
      </c>
      <c r="AO673" s="137">
        <v>1</v>
      </c>
      <c r="AP673" s="137">
        <v>1</v>
      </c>
      <c r="AQ673" s="137">
        <v>1</v>
      </c>
      <c r="AR673" s="137">
        <v>1</v>
      </c>
      <c r="AS673" s="158">
        <v>0.0810595228934205</v>
      </c>
      <c r="AT673" s="141">
        <v>0</v>
      </c>
      <c r="AU673" s="141">
        <v>0.230769230769231</v>
      </c>
      <c r="AV673" s="141">
        <v>0</v>
      </c>
      <c r="AW673" s="141">
        <v>0.0276497695852535</v>
      </c>
      <c r="AX673" s="95"/>
      <c r="AY673" s="93"/>
    </row>
    <row r="674" ht="15" spans="1:51">
      <c r="A674" s="91"/>
      <c r="B674" s="95"/>
      <c r="C674" s="152" t="s">
        <v>668</v>
      </c>
      <c r="D674" s="153" t="s">
        <v>25</v>
      </c>
      <c r="E674" s="130" t="s">
        <v>669</v>
      </c>
      <c r="F674" s="179" t="s">
        <v>701</v>
      </c>
      <c r="G674" s="179" t="s">
        <v>701</v>
      </c>
      <c r="H674" s="179" t="s">
        <v>701</v>
      </c>
      <c r="I674" s="179" t="s">
        <v>701</v>
      </c>
      <c r="J674" s="132">
        <v>0.9</v>
      </c>
      <c r="K674" s="133">
        <v>0.7</v>
      </c>
      <c r="L674" s="133">
        <v>0.791666666666667</v>
      </c>
      <c r="M674" s="134">
        <v>0.814814814814815</v>
      </c>
      <c r="N674" s="133">
        <v>0.752399232245681</v>
      </c>
      <c r="O674" s="135">
        <v>0.9</v>
      </c>
      <c r="P674" s="133">
        <v>0.949227373068433</v>
      </c>
      <c r="Q674" s="133">
        <v>0.937381404174573</v>
      </c>
      <c r="R674" s="133">
        <v>0.930755395683453</v>
      </c>
      <c r="S674" s="133">
        <v>0.936470588235294</v>
      </c>
      <c r="T674" s="135">
        <v>0.9</v>
      </c>
      <c r="U674" s="133">
        <v>0.919058130978661</v>
      </c>
      <c r="V674" s="133">
        <v>0.92314990512334</v>
      </c>
      <c r="W674" s="133">
        <v>0.919514388489209</v>
      </c>
      <c r="X674" s="133">
        <v>0.925139920045688</v>
      </c>
      <c r="Y674" s="135">
        <v>0.92</v>
      </c>
      <c r="Z674" s="135">
        <v>0.885826771653543</v>
      </c>
      <c r="AA674" s="135">
        <v>0.89612676056338</v>
      </c>
      <c r="AB674" s="135">
        <v>0.867256637168142</v>
      </c>
      <c r="AC674" s="135">
        <v>0.905196261682243</v>
      </c>
      <c r="AD674" s="135">
        <v>0.92</v>
      </c>
      <c r="AE674" s="133">
        <v>1</v>
      </c>
      <c r="AF674" s="133">
        <v>0.99953488372093</v>
      </c>
      <c r="AG674" s="133">
        <v>0.981015452538631</v>
      </c>
      <c r="AH674" s="133">
        <v>0.997957737673488</v>
      </c>
      <c r="AI674" s="135">
        <v>0.92</v>
      </c>
      <c r="AJ674" s="133">
        <v>0.939475093733262</v>
      </c>
      <c r="AK674" s="133">
        <v>0.939001848428835</v>
      </c>
      <c r="AL674" s="133">
        <v>0.950298953662182</v>
      </c>
      <c r="AM674" s="133">
        <v>0.954551815828144</v>
      </c>
      <c r="AN674" s="132">
        <v>0.99</v>
      </c>
      <c r="AO674" s="137">
        <v>1</v>
      </c>
      <c r="AP674" s="137">
        <v>1</v>
      </c>
      <c r="AQ674" s="137">
        <v>1</v>
      </c>
      <c r="AR674" s="137">
        <v>1</v>
      </c>
      <c r="AS674" s="158">
        <v>0.0810595228934205</v>
      </c>
      <c r="AT674" s="141">
        <v>0.111111111111111</v>
      </c>
      <c r="AU674" s="141">
        <v>0</v>
      </c>
      <c r="AV674" s="141">
        <v>0</v>
      </c>
      <c r="AW674" s="141">
        <v>0.0192307692307692</v>
      </c>
      <c r="AX674" s="95"/>
      <c r="AY674" s="93"/>
    </row>
    <row r="675" ht="15" spans="1:51">
      <c r="A675" s="91"/>
      <c r="B675" s="95"/>
      <c r="C675" s="152" t="s">
        <v>668</v>
      </c>
      <c r="D675" s="153" t="s">
        <v>25</v>
      </c>
      <c r="E675" s="130" t="s">
        <v>669</v>
      </c>
      <c r="F675" s="179" t="s">
        <v>702</v>
      </c>
      <c r="G675" s="179" t="s">
        <v>702</v>
      </c>
      <c r="H675" s="179" t="s">
        <v>702</v>
      </c>
      <c r="I675" s="179" t="s">
        <v>702</v>
      </c>
      <c r="J675" s="132">
        <v>0.9</v>
      </c>
      <c r="K675" s="133">
        <v>0.5</v>
      </c>
      <c r="L675" s="133">
        <v>0.647058823529412</v>
      </c>
      <c r="M675" s="134">
        <v>0.666666666666667</v>
      </c>
      <c r="N675" s="133">
        <v>0.755043227665706</v>
      </c>
      <c r="O675" s="135">
        <v>0.9</v>
      </c>
      <c r="P675" s="133">
        <v>0.989637305699482</v>
      </c>
      <c r="Q675" s="133">
        <v>0.97841726618705</v>
      </c>
      <c r="R675" s="133">
        <v>0.978148361127085</v>
      </c>
      <c r="S675" s="133">
        <v>0.98294394027161</v>
      </c>
      <c r="T675" s="135">
        <v>0.9</v>
      </c>
      <c r="U675" s="133">
        <v>0.943868739205527</v>
      </c>
      <c r="V675" s="133">
        <v>0.928057553956835</v>
      </c>
      <c r="W675" s="133">
        <v>0.945370902817711</v>
      </c>
      <c r="X675" s="133">
        <v>0.941301409538521</v>
      </c>
      <c r="Y675" s="135">
        <v>0.92</v>
      </c>
      <c r="Z675" s="135">
        <v>0.931707317073171</v>
      </c>
      <c r="AA675" s="135">
        <v>0.954648526077097</v>
      </c>
      <c r="AB675" s="135">
        <v>0.914285714285714</v>
      </c>
      <c r="AC675" s="135">
        <v>0.942361668003208</v>
      </c>
      <c r="AD675" s="135">
        <v>0.92</v>
      </c>
      <c r="AE675" s="133">
        <v>1</v>
      </c>
      <c r="AF675" s="133">
        <v>0.998899889988999</v>
      </c>
      <c r="AG675" s="133">
        <v>0.997148288973384</v>
      </c>
      <c r="AH675" s="133">
        <v>0.997002141327623</v>
      </c>
      <c r="AI675" s="135">
        <v>0.92</v>
      </c>
      <c r="AJ675" s="133">
        <v>0.964285714285714</v>
      </c>
      <c r="AK675" s="133">
        <v>0.962382445141066</v>
      </c>
      <c r="AL675" s="133">
        <v>0.967514124293785</v>
      </c>
      <c r="AM675" s="133">
        <v>0.971775077320215</v>
      </c>
      <c r="AN675" s="132">
        <v>0.99</v>
      </c>
      <c r="AO675" s="137">
        <v>1</v>
      </c>
      <c r="AP675" s="137">
        <v>1</v>
      </c>
      <c r="AQ675" s="137">
        <v>1</v>
      </c>
      <c r="AR675" s="137">
        <v>1</v>
      </c>
      <c r="AS675" s="158">
        <v>0.0810595228934205</v>
      </c>
      <c r="AT675" s="141">
        <v>0</v>
      </c>
      <c r="AU675" s="141">
        <v>0</v>
      </c>
      <c r="AV675" s="141">
        <v>0</v>
      </c>
      <c r="AW675" s="141">
        <v>0.0693069306930693</v>
      </c>
      <c r="AX675" s="95"/>
      <c r="AY675" s="93"/>
    </row>
    <row r="676" ht="15" spans="1:51">
      <c r="A676" s="91"/>
      <c r="B676" s="95"/>
      <c r="C676" s="152" t="s">
        <v>668</v>
      </c>
      <c r="D676" s="153" t="s">
        <v>25</v>
      </c>
      <c r="E676" s="130" t="s">
        <v>669</v>
      </c>
      <c r="F676" s="179" t="s">
        <v>703</v>
      </c>
      <c r="G676" s="179" t="s">
        <v>703</v>
      </c>
      <c r="H676" s="179" t="s">
        <v>703</v>
      </c>
      <c r="I676" s="179" t="s">
        <v>703</v>
      </c>
      <c r="J676" s="132">
        <v>0.9</v>
      </c>
      <c r="K676" s="133">
        <v>1</v>
      </c>
      <c r="L676" s="133">
        <v>0.941176470588235</v>
      </c>
      <c r="M676" s="134">
        <v>1</v>
      </c>
      <c r="N676" s="133">
        <v>0.969773299748111</v>
      </c>
      <c r="O676" s="135">
        <v>0.9</v>
      </c>
      <c r="P676" s="133">
        <v>0.996096799375488</v>
      </c>
      <c r="Q676" s="133">
        <v>1</v>
      </c>
      <c r="R676" s="133">
        <v>0.994341563786008</v>
      </c>
      <c r="S676" s="133">
        <v>0.996128380653125</v>
      </c>
      <c r="T676" s="135">
        <v>0.9</v>
      </c>
      <c r="U676" s="133">
        <v>0.961748633879781</v>
      </c>
      <c r="V676" s="133">
        <v>0.958762886597938</v>
      </c>
      <c r="W676" s="133">
        <v>0.965534979423868</v>
      </c>
      <c r="X676" s="133">
        <v>0.963696554819886</v>
      </c>
      <c r="Y676" s="135">
        <v>0.92</v>
      </c>
      <c r="Z676" s="135">
        <v>0.986842105263158</v>
      </c>
      <c r="AA676" s="135">
        <v>0.97752808988764</v>
      </c>
      <c r="AB676" s="135">
        <v>0.972972972972973</v>
      </c>
      <c r="AC676" s="135">
        <v>0.975885328836425</v>
      </c>
      <c r="AD676" s="135">
        <v>0.92</v>
      </c>
      <c r="AE676" s="133">
        <v>1</v>
      </c>
      <c r="AF676" s="133">
        <v>0.993055555555556</v>
      </c>
      <c r="AG676" s="133">
        <v>0.975206611570248</v>
      </c>
      <c r="AH676" s="133">
        <v>0.991433278418451</v>
      </c>
      <c r="AI676" s="135">
        <v>0.92</v>
      </c>
      <c r="AJ676" s="133">
        <v>0.990623276337562</v>
      </c>
      <c r="AK676" s="133">
        <v>0.985785358919687</v>
      </c>
      <c r="AL676" s="133">
        <v>0.988693467336683</v>
      </c>
      <c r="AM676" s="133">
        <v>0.988780128407536</v>
      </c>
      <c r="AN676" s="132">
        <v>0.99</v>
      </c>
      <c r="AO676" s="137">
        <v>1</v>
      </c>
      <c r="AP676" s="137">
        <v>1</v>
      </c>
      <c r="AQ676" s="137">
        <v>1</v>
      </c>
      <c r="AR676" s="137">
        <v>1</v>
      </c>
      <c r="AS676" s="158">
        <v>0.0810595228934205</v>
      </c>
      <c r="AT676" s="141">
        <v>0.333333333333333</v>
      </c>
      <c r="AU676" s="141">
        <v>0</v>
      </c>
      <c r="AV676" s="141">
        <v>0</v>
      </c>
      <c r="AW676" s="141">
        <v>0.0458715596330275</v>
      </c>
      <c r="AX676" s="95"/>
      <c r="AY676" s="93"/>
    </row>
    <row r="677" ht="15" spans="1:51">
      <c r="A677" s="91"/>
      <c r="B677" s="95"/>
      <c r="C677" s="152" t="s">
        <v>668</v>
      </c>
      <c r="D677" s="153" t="s">
        <v>25</v>
      </c>
      <c r="E677" s="130" t="s">
        <v>669</v>
      </c>
      <c r="F677" s="179" t="s">
        <v>704</v>
      </c>
      <c r="G677" s="179" t="s">
        <v>704</v>
      </c>
      <c r="H677" s="179" t="s">
        <v>704</v>
      </c>
      <c r="I677" s="179" t="s">
        <v>704</v>
      </c>
      <c r="J677" s="132">
        <v>0.9</v>
      </c>
      <c r="K677" s="133">
        <v>0.96</v>
      </c>
      <c r="L677" s="133">
        <v>0.926470588235294</v>
      </c>
      <c r="M677" s="134">
        <v>0.930555555555556</v>
      </c>
      <c r="N677" s="133">
        <v>0.886938202247191</v>
      </c>
      <c r="O677" s="135">
        <v>0.9</v>
      </c>
      <c r="P677" s="133">
        <v>0.969147005444646</v>
      </c>
      <c r="Q677" s="133">
        <v>0.967983367983368</v>
      </c>
      <c r="R677" s="133">
        <v>0.962703962703963</v>
      </c>
      <c r="S677" s="133">
        <v>0.907704622368128</v>
      </c>
      <c r="T677" s="135">
        <v>0.9</v>
      </c>
      <c r="U677" s="133">
        <v>0.94010889292196</v>
      </c>
      <c r="V677" s="133">
        <v>0.918918918918919</v>
      </c>
      <c r="W677" s="133">
        <v>0.931041181041181</v>
      </c>
      <c r="X677" s="133">
        <v>0.929570186637486</v>
      </c>
      <c r="Y677" s="135">
        <v>0.92</v>
      </c>
      <c r="Z677" s="135">
        <v>0.906018136850783</v>
      </c>
      <c r="AA677" s="135">
        <v>0.900855920114123</v>
      </c>
      <c r="AB677" s="135">
        <v>0.885034687809713</v>
      </c>
      <c r="AC677" s="135">
        <v>0.907648706756141</v>
      </c>
      <c r="AD677" s="135">
        <v>0.92</v>
      </c>
      <c r="AE677" s="133">
        <v>1</v>
      </c>
      <c r="AF677" s="133">
        <v>0.998296422487223</v>
      </c>
      <c r="AG677" s="133">
        <v>0.989915966386555</v>
      </c>
      <c r="AH677" s="133">
        <v>0.995503260136401</v>
      </c>
      <c r="AI677" s="135">
        <v>0.92</v>
      </c>
      <c r="AJ677" s="133">
        <v>0.954193405620713</v>
      </c>
      <c r="AK677" s="133">
        <v>0.938534278959811</v>
      </c>
      <c r="AL677" s="133">
        <v>0.955660224135131</v>
      </c>
      <c r="AM677" s="133">
        <v>0.96100504531512</v>
      </c>
      <c r="AN677" s="132">
        <v>0.99</v>
      </c>
      <c r="AO677" s="137">
        <v>1</v>
      </c>
      <c r="AP677" s="137">
        <v>1</v>
      </c>
      <c r="AQ677" s="137">
        <v>1</v>
      </c>
      <c r="AR677" s="137">
        <v>1</v>
      </c>
      <c r="AS677" s="158">
        <v>0.0810595228934205</v>
      </c>
      <c r="AT677" s="141">
        <v>0.05</v>
      </c>
      <c r="AU677" s="141">
        <v>0.125</v>
      </c>
      <c r="AV677" s="141">
        <v>0</v>
      </c>
      <c r="AW677" s="141">
        <v>0.0581896551724138</v>
      </c>
      <c r="AX677" s="95"/>
      <c r="AY677" s="93"/>
    </row>
    <row r="678" ht="15" spans="1:51">
      <c r="A678" s="91"/>
      <c r="B678" s="95"/>
      <c r="C678" s="152" t="s">
        <v>668</v>
      </c>
      <c r="D678" s="153" t="s">
        <v>25</v>
      </c>
      <c r="E678" s="130" t="s">
        <v>669</v>
      </c>
      <c r="F678" s="179" t="s">
        <v>705</v>
      </c>
      <c r="G678" s="179" t="s">
        <v>705</v>
      </c>
      <c r="H678" s="179" t="s">
        <v>705</v>
      </c>
      <c r="I678" s="179" t="s">
        <v>705</v>
      </c>
      <c r="J678" s="132">
        <v>0.9</v>
      </c>
      <c r="K678" s="133">
        <v>0.833333333333333</v>
      </c>
      <c r="L678" s="133">
        <v>0.833333333333333</v>
      </c>
      <c r="M678" s="134">
        <v>0.833333333333333</v>
      </c>
      <c r="N678" s="133">
        <v>0.81140350877193</v>
      </c>
      <c r="O678" s="135">
        <v>0.9</v>
      </c>
      <c r="P678" s="133">
        <v>0.995260663507109</v>
      </c>
      <c r="Q678" s="133">
        <v>0.993079584775087</v>
      </c>
      <c r="R678" s="133">
        <v>0.991489361702128</v>
      </c>
      <c r="S678" s="133">
        <v>0.987730351982567</v>
      </c>
      <c r="T678" s="135">
        <v>0.9</v>
      </c>
      <c r="U678" s="133">
        <v>0.933649289099526</v>
      </c>
      <c r="V678" s="133">
        <v>0.923875432525952</v>
      </c>
      <c r="W678" s="133">
        <v>0.941276595744681</v>
      </c>
      <c r="X678" s="133">
        <v>0.939457103605097</v>
      </c>
      <c r="Y678" s="135">
        <v>0.92</v>
      </c>
      <c r="Z678" s="135">
        <v>0.915178571428571</v>
      </c>
      <c r="AA678" s="135">
        <v>0.913183279742765</v>
      </c>
      <c r="AB678" s="135">
        <v>0.829457364341085</v>
      </c>
      <c r="AC678" s="135">
        <v>0.877221563981043</v>
      </c>
      <c r="AD678" s="135">
        <v>0.92</v>
      </c>
      <c r="AE678" s="133">
        <v>1</v>
      </c>
      <c r="AF678" s="133">
        <v>1</v>
      </c>
      <c r="AG678" s="133">
        <v>0.983050847457627</v>
      </c>
      <c r="AH678" s="133">
        <v>0.988823142669296</v>
      </c>
      <c r="AI678" s="135">
        <v>0.92</v>
      </c>
      <c r="AJ678" s="133">
        <v>0.956826137689615</v>
      </c>
      <c r="AK678" s="133">
        <v>0.94488188976378</v>
      </c>
      <c r="AL678" s="133">
        <v>0.955338450802512</v>
      </c>
      <c r="AM678" s="133">
        <v>0.957400229687051</v>
      </c>
      <c r="AN678" s="132">
        <v>0.99</v>
      </c>
      <c r="AO678" s="137">
        <v>1</v>
      </c>
      <c r="AP678" s="137">
        <v>1</v>
      </c>
      <c r="AQ678" s="137">
        <v>1</v>
      </c>
      <c r="AR678" s="137">
        <v>1</v>
      </c>
      <c r="AS678" s="158">
        <v>0.0810595228934205</v>
      </c>
      <c r="AT678" s="141">
        <v>0</v>
      </c>
      <c r="AU678" s="141">
        <v>0</v>
      </c>
      <c r="AV678" s="141">
        <v>0</v>
      </c>
      <c r="AW678" s="141">
        <v>0.0126582278481013</v>
      </c>
      <c r="AX678" s="95"/>
      <c r="AY678" s="93"/>
    </row>
    <row r="679" ht="15" spans="1:51">
      <c r="A679" s="91"/>
      <c r="B679" s="95"/>
      <c r="C679" s="152" t="s">
        <v>668</v>
      </c>
      <c r="D679" s="153" t="s">
        <v>25</v>
      </c>
      <c r="E679" s="130" t="s">
        <v>669</v>
      </c>
      <c r="F679" s="179" t="s">
        <v>706</v>
      </c>
      <c r="G679" s="179" t="s">
        <v>706</v>
      </c>
      <c r="H679" s="179" t="s">
        <v>706</v>
      </c>
      <c r="I679" s="179" t="s">
        <v>706</v>
      </c>
      <c r="J679" s="132">
        <v>0.9</v>
      </c>
      <c r="K679" s="133">
        <v>0.863636363636364</v>
      </c>
      <c r="L679" s="133">
        <v>0.8</v>
      </c>
      <c r="M679" s="134">
        <v>0.909090909090909</v>
      </c>
      <c r="N679" s="133">
        <v>0.8274231678487</v>
      </c>
      <c r="O679" s="135">
        <v>0.9</v>
      </c>
      <c r="P679" s="133">
        <v>0.972049689440994</v>
      </c>
      <c r="Q679" s="133">
        <v>0.877551020408163</v>
      </c>
      <c r="R679" s="133">
        <v>0.88875077688005</v>
      </c>
      <c r="S679" s="133">
        <v>0.907107935314028</v>
      </c>
      <c r="T679" s="135">
        <v>0.9</v>
      </c>
      <c r="U679" s="133">
        <v>0.910973084886128</v>
      </c>
      <c r="V679" s="133">
        <v>0.887755102040816</v>
      </c>
      <c r="W679" s="133">
        <v>0.890615288999378</v>
      </c>
      <c r="X679" s="133">
        <v>0.902492392902321</v>
      </c>
      <c r="Y679" s="135">
        <v>0.92</v>
      </c>
      <c r="Z679" s="135">
        <v>0.788135593220339</v>
      </c>
      <c r="AA679" s="135">
        <v>0.818984547461369</v>
      </c>
      <c r="AB679" s="135">
        <v>0.847352024922118</v>
      </c>
      <c r="AC679" s="135">
        <v>0.871903451196274</v>
      </c>
      <c r="AD679" s="135">
        <v>0.92</v>
      </c>
      <c r="AE679" s="133">
        <v>1</v>
      </c>
      <c r="AF679" s="133">
        <v>0.825</v>
      </c>
      <c r="AG679" s="133">
        <v>0.976190476190476</v>
      </c>
      <c r="AH679" s="133">
        <v>0.959821428571429</v>
      </c>
      <c r="AI679" s="135">
        <v>0.92</v>
      </c>
      <c r="AJ679" s="133">
        <v>0.904545454545455</v>
      </c>
      <c r="AK679" s="133">
        <v>0.885964912280702</v>
      </c>
      <c r="AL679" s="133">
        <v>0.929533678756477</v>
      </c>
      <c r="AM679" s="133">
        <v>0.932632177373508</v>
      </c>
      <c r="AN679" s="132">
        <v>0.99</v>
      </c>
      <c r="AO679" s="137">
        <v>1</v>
      </c>
      <c r="AP679" s="137">
        <v>1</v>
      </c>
      <c r="AQ679" s="137">
        <v>1</v>
      </c>
      <c r="AR679" s="137">
        <v>1</v>
      </c>
      <c r="AS679" s="158">
        <v>0.0810595228934205</v>
      </c>
      <c r="AT679" s="141">
        <v>0</v>
      </c>
      <c r="AU679" s="141">
        <v>0.333333333333333</v>
      </c>
      <c r="AV679" s="141">
        <v>0</v>
      </c>
      <c r="AW679" s="141">
        <v>0.0576923076923077</v>
      </c>
      <c r="AX679" s="95"/>
      <c r="AY679" s="93"/>
    </row>
    <row r="680" ht="15" spans="1:51">
      <c r="A680" s="91"/>
      <c r="B680" s="95"/>
      <c r="C680" s="152" t="s">
        <v>668</v>
      </c>
      <c r="D680" s="153" t="s">
        <v>25</v>
      </c>
      <c r="E680" s="130" t="s">
        <v>669</v>
      </c>
      <c r="F680" s="179" t="s">
        <v>707</v>
      </c>
      <c r="G680" s="179" t="s">
        <v>707</v>
      </c>
      <c r="H680" s="179" t="s">
        <v>707</v>
      </c>
      <c r="I680" s="179" t="s">
        <v>707</v>
      </c>
      <c r="J680" s="132">
        <v>0.9</v>
      </c>
      <c r="K680" s="133">
        <v>0.941176470588235</v>
      </c>
      <c r="L680" s="133">
        <v>0.90625</v>
      </c>
      <c r="M680" s="134">
        <v>0.870967741935484</v>
      </c>
      <c r="N680" s="133">
        <v>0.91866028708134</v>
      </c>
      <c r="O680" s="135">
        <v>0.9</v>
      </c>
      <c r="P680" s="133">
        <v>0.973313565604151</v>
      </c>
      <c r="Q680" s="133">
        <v>0.946088794926004</v>
      </c>
      <c r="R680" s="133">
        <v>0.965360072926162</v>
      </c>
      <c r="S680" s="133">
        <v>0.971004649704822</v>
      </c>
      <c r="T680" s="135">
        <v>0.9</v>
      </c>
      <c r="U680" s="133">
        <v>0.901408450704225</v>
      </c>
      <c r="V680" s="133">
        <v>0.883720930232558</v>
      </c>
      <c r="W680" s="133">
        <v>0.913400182315406</v>
      </c>
      <c r="X680" s="133">
        <v>0.935687790606551</v>
      </c>
      <c r="Y680" s="135">
        <v>0.92</v>
      </c>
      <c r="Z680" s="135">
        <v>0.900928792569659</v>
      </c>
      <c r="AA680" s="135">
        <v>0.927710843373494</v>
      </c>
      <c r="AB680" s="135">
        <v>0.950793650793651</v>
      </c>
      <c r="AC680" s="135">
        <v>0.927975934679845</v>
      </c>
      <c r="AD680" s="135">
        <v>0.92</v>
      </c>
      <c r="AE680" s="133">
        <v>1</v>
      </c>
      <c r="AF680" s="133">
        <v>1</v>
      </c>
      <c r="AG680" s="133">
        <v>0.99622641509434</v>
      </c>
      <c r="AH680" s="133">
        <v>0.996582448431588</v>
      </c>
      <c r="AI680" s="135">
        <v>0.92</v>
      </c>
      <c r="AJ680" s="133">
        <v>0.933333333333333</v>
      </c>
      <c r="AK680" s="133">
        <v>0.931924882629108</v>
      </c>
      <c r="AL680" s="133">
        <v>0.953330504879084</v>
      </c>
      <c r="AM680" s="133">
        <v>0.958192271479797</v>
      </c>
      <c r="AN680" s="132">
        <v>0.99</v>
      </c>
      <c r="AO680" s="137">
        <v>1</v>
      </c>
      <c r="AP680" s="137">
        <v>1</v>
      </c>
      <c r="AQ680" s="137">
        <v>1</v>
      </c>
      <c r="AR680" s="137">
        <v>1</v>
      </c>
      <c r="AS680" s="158">
        <v>0.0810595228934205</v>
      </c>
      <c r="AT680" s="141">
        <v>0</v>
      </c>
      <c r="AU680" s="141">
        <v>0</v>
      </c>
      <c r="AV680" s="141">
        <v>0.125</v>
      </c>
      <c r="AW680" s="141">
        <v>0.0299625468164794</v>
      </c>
      <c r="AX680" s="95"/>
      <c r="AY680" s="93"/>
    </row>
    <row r="681" ht="15" spans="1:51">
      <c r="A681" s="91"/>
      <c r="B681" s="95"/>
      <c r="C681" s="152" t="s">
        <v>668</v>
      </c>
      <c r="D681" s="153" t="s">
        <v>25</v>
      </c>
      <c r="E681" s="130" t="s">
        <v>669</v>
      </c>
      <c r="F681" s="179" t="s">
        <v>708</v>
      </c>
      <c r="G681" s="179" t="s">
        <v>708</v>
      </c>
      <c r="H681" s="179" t="s">
        <v>708</v>
      </c>
      <c r="I681" s="179" t="s">
        <v>708</v>
      </c>
      <c r="J681" s="132">
        <v>0.9</v>
      </c>
      <c r="K681" s="133">
        <v>0.8</v>
      </c>
      <c r="L681" s="133">
        <v>0.894736842105263</v>
      </c>
      <c r="M681" s="134">
        <v>0.8</v>
      </c>
      <c r="N681" s="133">
        <v>0.845953002610966</v>
      </c>
      <c r="O681" s="135">
        <v>0.9</v>
      </c>
      <c r="P681" s="133">
        <v>0.904597701149425</v>
      </c>
      <c r="Q681" s="133">
        <v>0.948581560283688</v>
      </c>
      <c r="R681" s="133">
        <v>0.95852534562212</v>
      </c>
      <c r="S681" s="133">
        <v>0.966527529318227</v>
      </c>
      <c r="T681" s="135">
        <v>0.9</v>
      </c>
      <c r="U681" s="133">
        <v>0.918390804597701</v>
      </c>
      <c r="V681" s="133">
        <v>0.923758865248227</v>
      </c>
      <c r="W681" s="133">
        <v>0.931643625192012</v>
      </c>
      <c r="X681" s="133">
        <v>0.940131186642815</v>
      </c>
      <c r="Y681" s="135">
        <v>0.92</v>
      </c>
      <c r="Z681" s="135">
        <v>0.945026178010471</v>
      </c>
      <c r="AA681" s="135">
        <v>0.921739130434783</v>
      </c>
      <c r="AB681" s="135">
        <v>0.885714285714286</v>
      </c>
      <c r="AC681" s="135">
        <v>0.941835415769065</v>
      </c>
      <c r="AD681" s="135">
        <v>0.92</v>
      </c>
      <c r="AE681" s="133">
        <v>0.996212121212121</v>
      </c>
      <c r="AF681" s="133">
        <v>0.998011928429423</v>
      </c>
      <c r="AG681" s="133">
        <v>1</v>
      </c>
      <c r="AH681" s="133">
        <v>0.998714525857807</v>
      </c>
      <c r="AI681" s="135">
        <v>0.92</v>
      </c>
      <c r="AJ681" s="133">
        <v>0.954509177972865</v>
      </c>
      <c r="AK681" s="133">
        <v>0.942065491183879</v>
      </c>
      <c r="AL681" s="133">
        <v>0.948682385575589</v>
      </c>
      <c r="AM681" s="133">
        <v>0.961799501867995</v>
      </c>
      <c r="AN681" s="132">
        <v>0.99</v>
      </c>
      <c r="AO681" s="137">
        <v>1</v>
      </c>
      <c r="AP681" s="137">
        <v>1</v>
      </c>
      <c r="AQ681" s="137">
        <v>1</v>
      </c>
      <c r="AR681" s="137">
        <v>1</v>
      </c>
      <c r="AS681" s="158">
        <v>0.0810595228934205</v>
      </c>
      <c r="AT681" s="141">
        <v>0</v>
      </c>
      <c r="AU681" s="141">
        <v>0</v>
      </c>
      <c r="AV681" s="141">
        <v>0</v>
      </c>
      <c r="AW681" s="141">
        <v>0.0454545454545455</v>
      </c>
      <c r="AX681" s="95"/>
      <c r="AY681" s="93"/>
    </row>
    <row r="682" ht="15" spans="1:51">
      <c r="A682" s="91"/>
      <c r="B682" s="95"/>
      <c r="C682" s="152" t="s">
        <v>668</v>
      </c>
      <c r="D682" s="153" t="s">
        <v>25</v>
      </c>
      <c r="E682" s="130" t="s">
        <v>669</v>
      </c>
      <c r="F682" s="179" t="s">
        <v>709</v>
      </c>
      <c r="G682" s="179" t="s">
        <v>709</v>
      </c>
      <c r="H682" s="179" t="s">
        <v>709</v>
      </c>
      <c r="I682" s="179" t="s">
        <v>709</v>
      </c>
      <c r="J682" s="132">
        <v>0.9</v>
      </c>
      <c r="K682" s="133">
        <v>0.870967741935484</v>
      </c>
      <c r="L682" s="133">
        <v>0.923076923076923</v>
      </c>
      <c r="M682" s="134">
        <v>0.846153846153846</v>
      </c>
      <c r="N682" s="133">
        <v>0.918149466192171</v>
      </c>
      <c r="O682" s="135">
        <v>0.9</v>
      </c>
      <c r="P682" s="133">
        <v>0.952325581395349</v>
      </c>
      <c r="Q682" s="133">
        <v>0.758998435054773</v>
      </c>
      <c r="R682" s="133">
        <v>0.936564504632929</v>
      </c>
      <c r="S682" s="133">
        <v>0.937569655992273</v>
      </c>
      <c r="T682" s="135">
        <v>0.9</v>
      </c>
      <c r="U682" s="133">
        <v>0.919767441860465</v>
      </c>
      <c r="V682" s="133">
        <v>0.853677621283255</v>
      </c>
      <c r="W682" s="133">
        <v>0.909836065573771</v>
      </c>
      <c r="X682" s="133">
        <v>0.924845828070436</v>
      </c>
      <c r="Y682" s="135">
        <v>0.92</v>
      </c>
      <c r="Z682" s="135">
        <v>0.904486251808972</v>
      </c>
      <c r="AA682" s="135">
        <v>0.923250564334086</v>
      </c>
      <c r="AB682" s="135">
        <v>0.912087912087912</v>
      </c>
      <c r="AC682" s="135">
        <v>0.935726469220034</v>
      </c>
      <c r="AD682" s="135">
        <v>0.92</v>
      </c>
      <c r="AE682" s="133">
        <v>1</v>
      </c>
      <c r="AF682" s="133">
        <v>0.995454545454545</v>
      </c>
      <c r="AG682" s="133">
        <v>0.994106090373281</v>
      </c>
      <c r="AH682" s="133">
        <v>0.993861024033438</v>
      </c>
      <c r="AI682" s="135">
        <v>0.92</v>
      </c>
      <c r="AJ682" s="133">
        <v>0.932421227197347</v>
      </c>
      <c r="AK682" s="133">
        <v>0.933836331979106</v>
      </c>
      <c r="AL682" s="133">
        <v>0.941539460863917</v>
      </c>
      <c r="AM682" s="133">
        <v>0.959036902746355</v>
      </c>
      <c r="AN682" s="132">
        <v>0.99</v>
      </c>
      <c r="AO682" s="137">
        <v>1</v>
      </c>
      <c r="AP682" s="137">
        <v>1</v>
      </c>
      <c r="AQ682" s="137">
        <v>1</v>
      </c>
      <c r="AR682" s="137">
        <v>1</v>
      </c>
      <c r="AS682" s="158">
        <v>0.0810595228934205</v>
      </c>
      <c r="AT682" s="141">
        <v>0.0666666666666667</v>
      </c>
      <c r="AU682" s="141">
        <v>0.1</v>
      </c>
      <c r="AV682" s="141">
        <v>0.166666666666667</v>
      </c>
      <c r="AW682" s="141">
        <v>0.0627306273062731</v>
      </c>
      <c r="AX682" s="95"/>
      <c r="AY682" s="93"/>
    </row>
    <row r="683" ht="15" spans="1:51">
      <c r="A683" s="91"/>
      <c r="B683" s="95"/>
      <c r="C683" s="152" t="s">
        <v>668</v>
      </c>
      <c r="D683" s="153" t="s">
        <v>25</v>
      </c>
      <c r="E683" s="130" t="s">
        <v>669</v>
      </c>
      <c r="F683" s="179" t="s">
        <v>710</v>
      </c>
      <c r="G683" s="179" t="s">
        <v>710</v>
      </c>
      <c r="H683" s="179" t="s">
        <v>710</v>
      </c>
      <c r="I683" s="179" t="s">
        <v>710</v>
      </c>
      <c r="J683" s="132">
        <v>0.9</v>
      </c>
      <c r="K683" s="133">
        <v>0.96</v>
      </c>
      <c r="L683" s="133">
        <v>0.863636363636364</v>
      </c>
      <c r="M683" s="134">
        <v>0.875</v>
      </c>
      <c r="N683" s="133">
        <v>0.94273127753304</v>
      </c>
      <c r="O683" s="135">
        <v>0.9</v>
      </c>
      <c r="P683" s="133">
        <v>0.93891797556719</v>
      </c>
      <c r="Q683" s="133">
        <v>0.944527736131934</v>
      </c>
      <c r="R683" s="133">
        <v>0.945159106296547</v>
      </c>
      <c r="S683" s="133">
        <v>0.941765421274429</v>
      </c>
      <c r="T683" s="135">
        <v>0.9</v>
      </c>
      <c r="U683" s="133">
        <v>0.940663176265271</v>
      </c>
      <c r="V683" s="133">
        <v>0.905547226386807</v>
      </c>
      <c r="W683" s="133">
        <v>0.939742721733243</v>
      </c>
      <c r="X683" s="133">
        <v>0.924456260429335</v>
      </c>
      <c r="Y683" s="135">
        <v>0.92</v>
      </c>
      <c r="Z683" s="135">
        <v>0.905838041431262</v>
      </c>
      <c r="AA683" s="135">
        <v>0.900958466453674</v>
      </c>
      <c r="AB683" s="135">
        <v>0.930232558139535</v>
      </c>
      <c r="AC683" s="135">
        <v>0.918415637860082</v>
      </c>
      <c r="AD683" s="135">
        <v>0.92</v>
      </c>
      <c r="AE683" s="133">
        <v>0.997368421052632</v>
      </c>
      <c r="AF683" s="133">
        <v>0.998607242339833</v>
      </c>
      <c r="AG683" s="133">
        <v>0.991071428571429</v>
      </c>
      <c r="AH683" s="133">
        <v>0.996062992125984</v>
      </c>
      <c r="AI683" s="135">
        <v>0.92</v>
      </c>
      <c r="AJ683" s="133">
        <v>0.937388193202147</v>
      </c>
      <c r="AK683" s="133">
        <v>0.926530612244898</v>
      </c>
      <c r="AL683" s="133">
        <v>0.955124317768344</v>
      </c>
      <c r="AM683" s="133">
        <v>0.957429344691424</v>
      </c>
      <c r="AN683" s="132">
        <v>0.99</v>
      </c>
      <c r="AO683" s="137">
        <v>1</v>
      </c>
      <c r="AP683" s="137">
        <v>1</v>
      </c>
      <c r="AQ683" s="137">
        <v>1</v>
      </c>
      <c r="AR683" s="137">
        <v>1</v>
      </c>
      <c r="AS683" s="158">
        <v>0.0810595228934205</v>
      </c>
      <c r="AT683" s="141">
        <v>0</v>
      </c>
      <c r="AU683" s="141">
        <v>0</v>
      </c>
      <c r="AV683" s="141">
        <v>0.142857142857143</v>
      </c>
      <c r="AW683" s="141">
        <v>0.0531400966183575</v>
      </c>
      <c r="AX683" s="95"/>
      <c r="AY683" s="93"/>
    </row>
    <row r="684" ht="15" spans="1:51">
      <c r="A684" s="91"/>
      <c r="B684" s="95"/>
      <c r="C684" s="152" t="s">
        <v>668</v>
      </c>
      <c r="D684" s="153" t="s">
        <v>25</v>
      </c>
      <c r="E684" s="130" t="s">
        <v>669</v>
      </c>
      <c r="F684" s="179" t="s">
        <v>711</v>
      </c>
      <c r="G684" s="179" t="s">
        <v>711</v>
      </c>
      <c r="H684" s="179" t="s">
        <v>711</v>
      </c>
      <c r="I684" s="179" t="s">
        <v>711</v>
      </c>
      <c r="J684" s="132">
        <v>0.9</v>
      </c>
      <c r="K684" s="133">
        <v>0.838709677419355</v>
      </c>
      <c r="L684" s="133">
        <v>0.826086956521739</v>
      </c>
      <c r="M684" s="134">
        <v>0.769230769230769</v>
      </c>
      <c r="N684" s="133">
        <v>0.880149812734082</v>
      </c>
      <c r="O684" s="135">
        <v>0.9</v>
      </c>
      <c r="P684" s="133">
        <v>0.897101449275362</v>
      </c>
      <c r="Q684" s="133">
        <v>0.935911602209945</v>
      </c>
      <c r="R684" s="133">
        <v>0.851912568306011</v>
      </c>
      <c r="S684" s="133">
        <v>0.894552520391333</v>
      </c>
      <c r="T684" s="135">
        <v>0.9</v>
      </c>
      <c r="U684" s="133">
        <v>0.93768115942029</v>
      </c>
      <c r="V684" s="133">
        <v>0.912707182320442</v>
      </c>
      <c r="W684" s="133">
        <v>0.927868852459016</v>
      </c>
      <c r="X684" s="133">
        <v>0.935041460493911</v>
      </c>
      <c r="Y684" s="135">
        <v>0.92</v>
      </c>
      <c r="Z684" s="135">
        <v>0.920325203252032</v>
      </c>
      <c r="AA684" s="135">
        <v>0.912234042553192</v>
      </c>
      <c r="AB684" s="135">
        <v>0.932489451476793</v>
      </c>
      <c r="AC684" s="135">
        <v>0.944022227670181</v>
      </c>
      <c r="AD684" s="135">
        <v>0.92</v>
      </c>
      <c r="AE684" s="133">
        <v>1</v>
      </c>
      <c r="AF684" s="133">
        <v>0.996389891696751</v>
      </c>
      <c r="AG684" s="133">
        <v>0.995934959349594</v>
      </c>
      <c r="AH684" s="133">
        <v>0.996247427672195</v>
      </c>
      <c r="AI684" s="135">
        <v>0.92</v>
      </c>
      <c r="AJ684" s="133">
        <v>0.944360902255639</v>
      </c>
      <c r="AK684" s="133">
        <v>0.928181108508977</v>
      </c>
      <c r="AL684" s="133">
        <v>0.955491049830672</v>
      </c>
      <c r="AM684" s="133">
        <v>0.960867256637168</v>
      </c>
      <c r="AN684" s="132">
        <v>0.99</v>
      </c>
      <c r="AO684" s="137">
        <v>1</v>
      </c>
      <c r="AP684" s="137">
        <v>1</v>
      </c>
      <c r="AQ684" s="137">
        <v>1</v>
      </c>
      <c r="AR684" s="137">
        <v>1</v>
      </c>
      <c r="AS684" s="158">
        <v>0.0810595228934205</v>
      </c>
      <c r="AT684" s="141">
        <v>0</v>
      </c>
      <c r="AU684" s="141">
        <v>0.3</v>
      </c>
      <c r="AV684" s="141">
        <v>0.0714285714285714</v>
      </c>
      <c r="AW684" s="141">
        <v>0.0585774058577406</v>
      </c>
      <c r="AX684" s="95"/>
      <c r="AY684" s="93"/>
    </row>
    <row r="685" ht="15" spans="1:51">
      <c r="A685" s="91"/>
      <c r="B685" s="95"/>
      <c r="C685" s="152" t="s">
        <v>668</v>
      </c>
      <c r="D685" s="153" t="s">
        <v>25</v>
      </c>
      <c r="E685" s="130" t="s">
        <v>669</v>
      </c>
      <c r="F685" s="179" t="s">
        <v>712</v>
      </c>
      <c r="G685" s="179" t="s">
        <v>712</v>
      </c>
      <c r="H685" s="179" t="s">
        <v>712</v>
      </c>
      <c r="I685" s="179" t="s">
        <v>712</v>
      </c>
      <c r="J685" s="132">
        <v>0.9</v>
      </c>
      <c r="K685" s="133">
        <v>0.9</v>
      </c>
      <c r="L685" s="133">
        <v>0.888888888888889</v>
      </c>
      <c r="M685" s="134">
        <v>0.888888888888889</v>
      </c>
      <c r="N685" s="133">
        <v>0.956756756756757</v>
      </c>
      <c r="O685" s="135">
        <v>0.9</v>
      </c>
      <c r="P685" s="133">
        <v>0.986666666666667</v>
      </c>
      <c r="Q685" s="133">
        <v>0.986371379897785</v>
      </c>
      <c r="R685" s="133">
        <v>0.981566820276498</v>
      </c>
      <c r="S685" s="133">
        <v>0.980735551663748</v>
      </c>
      <c r="T685" s="135">
        <v>0.9</v>
      </c>
      <c r="U685" s="133">
        <v>0.950769230769231</v>
      </c>
      <c r="V685" s="133">
        <v>0.972742759795571</v>
      </c>
      <c r="W685" s="133">
        <v>0.948540706605223</v>
      </c>
      <c r="X685" s="133">
        <v>0.96195550918508</v>
      </c>
      <c r="Y685" s="135">
        <v>0.92</v>
      </c>
      <c r="Z685" s="135">
        <v>0.81063829787234</v>
      </c>
      <c r="AA685" s="135">
        <v>0.871369294605809</v>
      </c>
      <c r="AB685" s="135">
        <v>0.703448275862069</v>
      </c>
      <c r="AC685" s="135">
        <v>0.860695150432752</v>
      </c>
      <c r="AD685" s="135">
        <v>0.92</v>
      </c>
      <c r="AE685" s="133">
        <v>1</v>
      </c>
      <c r="AF685" s="133">
        <v>0.996688741721854</v>
      </c>
      <c r="AG685" s="133">
        <v>0.987179487179487</v>
      </c>
      <c r="AH685" s="133">
        <v>0.994651214620013</v>
      </c>
      <c r="AI685" s="135">
        <v>0.92</v>
      </c>
      <c r="AJ685" s="133">
        <v>0.914186851211073</v>
      </c>
      <c r="AK685" s="133">
        <v>0.944444444444444</v>
      </c>
      <c r="AL685" s="133">
        <v>0.941948859709744</v>
      </c>
      <c r="AM685" s="133">
        <v>0.952750828032945</v>
      </c>
      <c r="AN685" s="132">
        <v>0.99</v>
      </c>
      <c r="AO685" s="137">
        <v>1</v>
      </c>
      <c r="AP685" s="137">
        <v>1</v>
      </c>
      <c r="AQ685" s="137">
        <v>1</v>
      </c>
      <c r="AR685" s="137">
        <v>1</v>
      </c>
      <c r="AS685" s="158">
        <v>0.0810595228934205</v>
      </c>
      <c r="AT685" s="141">
        <v>0</v>
      </c>
      <c r="AU685" s="141">
        <v>0.5</v>
      </c>
      <c r="AV685" s="141">
        <v>0.5</v>
      </c>
      <c r="AW685" s="141">
        <v>0.0327868852459016</v>
      </c>
      <c r="AX685" s="95"/>
      <c r="AY685" s="93"/>
    </row>
    <row r="686" ht="15" spans="1:51">
      <c r="A686" s="91"/>
      <c r="B686" s="95"/>
      <c r="C686" s="152" t="s">
        <v>668</v>
      </c>
      <c r="D686" s="153" t="s">
        <v>25</v>
      </c>
      <c r="E686" s="130" t="s">
        <v>669</v>
      </c>
      <c r="F686" s="179" t="s">
        <v>713</v>
      </c>
      <c r="G686" s="179" t="s">
        <v>713</v>
      </c>
      <c r="H686" s="179" t="s">
        <v>713</v>
      </c>
      <c r="I686" s="179" t="s">
        <v>713</v>
      </c>
      <c r="J686" s="132">
        <v>0.9</v>
      </c>
      <c r="K686" s="133">
        <v>0.883720930232558</v>
      </c>
      <c r="L686" s="133">
        <v>0.868421052631579</v>
      </c>
      <c r="M686" s="134">
        <v>0.82051282051282</v>
      </c>
      <c r="N686" s="133">
        <v>0.889908256880734</v>
      </c>
      <c r="O686" s="135">
        <v>0.9</v>
      </c>
      <c r="P686" s="133">
        <v>0.97244094488189</v>
      </c>
      <c r="Q686" s="133">
        <v>0.973476702508961</v>
      </c>
      <c r="R686" s="133">
        <v>0.9501414427157</v>
      </c>
      <c r="S686" s="133">
        <v>0.959006694164582</v>
      </c>
      <c r="T686" s="135">
        <v>0.9</v>
      </c>
      <c r="U686" s="133">
        <v>0.922947131608549</v>
      </c>
      <c r="V686" s="133">
        <v>0.925448028673835</v>
      </c>
      <c r="W686" s="133">
        <v>0.93033946251768</v>
      </c>
      <c r="X686" s="133">
        <v>0.94171343566164</v>
      </c>
      <c r="Y686" s="135">
        <v>0.92</v>
      </c>
      <c r="Z686" s="135">
        <v>0.942938659058488</v>
      </c>
      <c r="AA686" s="135">
        <v>0.927385892116183</v>
      </c>
      <c r="AB686" s="135">
        <v>0.880952380952381</v>
      </c>
      <c r="AC686" s="135">
        <v>0.933975141892377</v>
      </c>
      <c r="AD686" s="135">
        <v>0.92</v>
      </c>
      <c r="AE686" s="133">
        <v>0.999258160237389</v>
      </c>
      <c r="AF686" s="133">
        <v>0.997115384615385</v>
      </c>
      <c r="AG686" s="133">
        <v>0.998109640831758</v>
      </c>
      <c r="AH686" s="133">
        <v>0.997406526907283</v>
      </c>
      <c r="AI686" s="135">
        <v>0.92</v>
      </c>
      <c r="AJ686" s="133">
        <v>0.942315449778136</v>
      </c>
      <c r="AK686" s="133">
        <v>0.947256259989345</v>
      </c>
      <c r="AL686" s="133">
        <v>0.942985265855221</v>
      </c>
      <c r="AM686" s="133">
        <v>0.959986862991954</v>
      </c>
      <c r="AN686" s="132">
        <v>0.99</v>
      </c>
      <c r="AO686" s="137">
        <v>1</v>
      </c>
      <c r="AP686" s="137">
        <v>1</v>
      </c>
      <c r="AQ686" s="137">
        <v>1</v>
      </c>
      <c r="AR686" s="137">
        <v>1</v>
      </c>
      <c r="AS686" s="158">
        <v>0.0810595228934205</v>
      </c>
      <c r="AT686" s="141">
        <v>0.133333333333333</v>
      </c>
      <c r="AU686" s="141">
        <v>0</v>
      </c>
      <c r="AV686" s="141">
        <v>0.111111111111111</v>
      </c>
      <c r="AW686" s="141">
        <v>0.0539772727272727</v>
      </c>
      <c r="AX686" s="95"/>
      <c r="AY686" s="93"/>
    </row>
    <row r="687" ht="15" spans="1:51">
      <c r="A687" s="91"/>
      <c r="B687" s="95"/>
      <c r="C687" s="152" t="s">
        <v>668</v>
      </c>
      <c r="D687" s="153" t="s">
        <v>25</v>
      </c>
      <c r="E687" s="130" t="s">
        <v>669</v>
      </c>
      <c r="F687" s="179" t="s">
        <v>714</v>
      </c>
      <c r="G687" s="179" t="s">
        <v>714</v>
      </c>
      <c r="H687" s="179" t="s">
        <v>714</v>
      </c>
      <c r="I687" s="179" t="s">
        <v>714</v>
      </c>
      <c r="J687" s="132">
        <v>0.9</v>
      </c>
      <c r="K687" s="133">
        <v>1</v>
      </c>
      <c r="L687" s="133">
        <v>1</v>
      </c>
      <c r="M687" s="134">
        <v>0.956521739130435</v>
      </c>
      <c r="N687" s="133">
        <v>0.980561555075594</v>
      </c>
      <c r="O687" s="135">
        <v>0.9</v>
      </c>
      <c r="P687" s="133">
        <v>0.887234042553191</v>
      </c>
      <c r="Q687" s="133">
        <v>0.976447497546614</v>
      </c>
      <c r="R687" s="133">
        <v>0.975175644028103</v>
      </c>
      <c r="S687" s="133">
        <v>0.963342640606302</v>
      </c>
      <c r="T687" s="135">
        <v>0.9</v>
      </c>
      <c r="U687" s="133">
        <v>0.875886524822695</v>
      </c>
      <c r="V687" s="133">
        <v>0.932286555446516</v>
      </c>
      <c r="W687" s="133">
        <v>0.938173302107728</v>
      </c>
      <c r="X687" s="133">
        <v>0.942261667331472</v>
      </c>
      <c r="Y687" s="135">
        <v>0.92</v>
      </c>
      <c r="Z687" s="135">
        <v>0.938230383973289</v>
      </c>
      <c r="AA687" s="135">
        <v>0.920424403183024</v>
      </c>
      <c r="AB687" s="135">
        <v>0.950413223140496</v>
      </c>
      <c r="AC687" s="135">
        <v>0.937912490833537</v>
      </c>
      <c r="AD687" s="135">
        <v>0.92</v>
      </c>
      <c r="AE687" s="133">
        <v>1</v>
      </c>
      <c r="AF687" s="133">
        <v>1</v>
      </c>
      <c r="AG687" s="133">
        <v>0.991803278688525</v>
      </c>
      <c r="AH687" s="133">
        <v>0.994410805775501</v>
      </c>
      <c r="AI687" s="135">
        <v>0.92</v>
      </c>
      <c r="AJ687" s="133">
        <v>0.950223992035839</v>
      </c>
      <c r="AK687" s="133">
        <v>0.945597709377237</v>
      </c>
      <c r="AL687" s="133">
        <v>0.961295750946571</v>
      </c>
      <c r="AM687" s="133">
        <v>0.965345424250192</v>
      </c>
      <c r="AN687" s="132">
        <v>0.99</v>
      </c>
      <c r="AO687" s="137">
        <v>1</v>
      </c>
      <c r="AP687" s="137">
        <v>1</v>
      </c>
      <c r="AQ687" s="137">
        <v>1</v>
      </c>
      <c r="AR687" s="137">
        <v>1</v>
      </c>
      <c r="AS687" s="158">
        <v>0.0810595228934205</v>
      </c>
      <c r="AT687" s="141">
        <v>0.166666666666667</v>
      </c>
      <c r="AU687" s="141">
        <v>0.0909090909090909</v>
      </c>
      <c r="AV687" s="141">
        <v>0.0769230769230769</v>
      </c>
      <c r="AW687" s="141">
        <v>0.0362694300518135</v>
      </c>
      <c r="AX687" s="95"/>
      <c r="AY687" s="93"/>
    </row>
    <row r="688" ht="15" spans="1:51">
      <c r="A688" s="91"/>
      <c r="B688" s="95"/>
      <c r="C688" s="152" t="s">
        <v>668</v>
      </c>
      <c r="D688" s="153" t="s">
        <v>25</v>
      </c>
      <c r="E688" s="130" t="s">
        <v>669</v>
      </c>
      <c r="F688" s="179" t="s">
        <v>715</v>
      </c>
      <c r="G688" s="179" t="s">
        <v>715</v>
      </c>
      <c r="H688" s="179" t="s">
        <v>715</v>
      </c>
      <c r="I688" s="179" t="s">
        <v>715</v>
      </c>
      <c r="J688" s="132">
        <v>0.9</v>
      </c>
      <c r="K688" s="133">
        <v>0.96969696969697</v>
      </c>
      <c r="L688" s="133">
        <v>0.966101694915254</v>
      </c>
      <c r="M688" s="134">
        <v>0.949152542372881</v>
      </c>
      <c r="N688" s="133">
        <v>0.964853556485356</v>
      </c>
      <c r="O688" s="135">
        <v>0.9</v>
      </c>
      <c r="P688" s="133">
        <v>0.967482645232006</v>
      </c>
      <c r="Q688" s="133">
        <v>0.936016511867905</v>
      </c>
      <c r="R688" s="133">
        <v>0.951404707668945</v>
      </c>
      <c r="S688" s="133">
        <v>0.961880315684622</v>
      </c>
      <c r="T688" s="135">
        <v>0.9</v>
      </c>
      <c r="U688" s="133">
        <v>0.912678114724151</v>
      </c>
      <c r="V688" s="133">
        <v>0.897316821465428</v>
      </c>
      <c r="W688" s="133">
        <v>0.901037711971653</v>
      </c>
      <c r="X688" s="133">
        <v>0.934870891119454</v>
      </c>
      <c r="Y688" s="135">
        <v>0.92</v>
      </c>
      <c r="Z688" s="135">
        <v>0.88708430007734</v>
      </c>
      <c r="AA688" s="135">
        <v>0.873469387755102</v>
      </c>
      <c r="AB688" s="135">
        <v>0.835164835164835</v>
      </c>
      <c r="AC688" s="135">
        <v>0.900613855597778</v>
      </c>
      <c r="AD688" s="135">
        <v>0.92</v>
      </c>
      <c r="AE688" s="133">
        <v>0.998405466970387</v>
      </c>
      <c r="AF688" s="133">
        <v>0.995534947621501</v>
      </c>
      <c r="AG688" s="133">
        <v>0.995661605206074</v>
      </c>
      <c r="AH688" s="133">
        <v>0.996085837272113</v>
      </c>
      <c r="AI688" s="135">
        <v>0.92</v>
      </c>
      <c r="AJ688" s="133">
        <v>0.930803571428571</v>
      </c>
      <c r="AK688" s="133">
        <v>0.921150971599402</v>
      </c>
      <c r="AL688" s="133">
        <v>0.935132683148106</v>
      </c>
      <c r="AM688" s="133">
        <v>0.952258638648154</v>
      </c>
      <c r="AN688" s="132">
        <v>0.99</v>
      </c>
      <c r="AO688" s="137">
        <v>1</v>
      </c>
      <c r="AP688" s="137">
        <v>1</v>
      </c>
      <c r="AQ688" s="137">
        <v>1</v>
      </c>
      <c r="AR688" s="137">
        <v>1</v>
      </c>
      <c r="AS688" s="158">
        <v>0.0810595228934205</v>
      </c>
      <c r="AT688" s="141">
        <v>0</v>
      </c>
      <c r="AU688" s="141">
        <v>0.0909090909090909</v>
      </c>
      <c r="AV688" s="141">
        <v>0.0697674418604651</v>
      </c>
      <c r="AW688" s="141">
        <v>0.0351648351648352</v>
      </c>
      <c r="AX688" s="95"/>
      <c r="AY688" s="93"/>
    </row>
    <row r="689" ht="15" spans="1:51">
      <c r="A689" s="91"/>
      <c r="B689" s="95"/>
      <c r="C689" s="152" t="s">
        <v>668</v>
      </c>
      <c r="D689" s="153" t="s">
        <v>25</v>
      </c>
      <c r="E689" s="130" t="s">
        <v>669</v>
      </c>
      <c r="F689" s="179" t="s">
        <v>716</v>
      </c>
      <c r="G689" s="179" t="s">
        <v>716</v>
      </c>
      <c r="H689" s="179" t="s">
        <v>716</v>
      </c>
      <c r="I689" s="179" t="s">
        <v>716</v>
      </c>
      <c r="J689" s="132">
        <v>0.9</v>
      </c>
      <c r="K689" s="133">
        <v>0.931034482758621</v>
      </c>
      <c r="L689" s="133">
        <v>0.96</v>
      </c>
      <c r="M689" s="134">
        <v>1</v>
      </c>
      <c r="N689" s="133">
        <v>0.978764478764479</v>
      </c>
      <c r="O689" s="135">
        <v>0.9</v>
      </c>
      <c r="P689" s="133">
        <v>0.987111448066717</v>
      </c>
      <c r="Q689" s="133">
        <v>0.979957805907173</v>
      </c>
      <c r="R689" s="133">
        <v>0.938908362543816</v>
      </c>
      <c r="S689" s="133">
        <v>0.961489022571855</v>
      </c>
      <c r="T689" s="135">
        <v>0.9</v>
      </c>
      <c r="U689" s="133">
        <v>0.918119787717968</v>
      </c>
      <c r="V689" s="133">
        <v>0.927215189873418</v>
      </c>
      <c r="W689" s="133">
        <v>0.923385077616425</v>
      </c>
      <c r="X689" s="133">
        <v>0.928865237287264</v>
      </c>
      <c r="Y689" s="135">
        <v>0.92</v>
      </c>
      <c r="Z689" s="135">
        <v>0.929042904290429</v>
      </c>
      <c r="AA689" s="135">
        <v>0.904347826086957</v>
      </c>
      <c r="AB689" s="135">
        <v>0.918918918918919</v>
      </c>
      <c r="AC689" s="135">
        <v>0.929281767955801</v>
      </c>
      <c r="AD689" s="135">
        <v>0.92</v>
      </c>
      <c r="AE689" s="133">
        <v>0.9971870604782</v>
      </c>
      <c r="AF689" s="133">
        <v>0.993606138107417</v>
      </c>
      <c r="AG689" s="133">
        <v>0.991423670668954</v>
      </c>
      <c r="AH689" s="133">
        <v>0.996035011595721</v>
      </c>
      <c r="AI689" s="135">
        <v>0.92</v>
      </c>
      <c r="AJ689" s="133">
        <v>0.944415584415584</v>
      </c>
      <c r="AK689" s="133">
        <v>0.938901778808971</v>
      </c>
      <c r="AL689" s="133">
        <v>0.952681388012618</v>
      </c>
      <c r="AM689" s="133">
        <v>0.959821519945965</v>
      </c>
      <c r="AN689" s="132">
        <v>0.99</v>
      </c>
      <c r="AO689" s="137">
        <v>1</v>
      </c>
      <c r="AP689" s="137">
        <v>1</v>
      </c>
      <c r="AQ689" s="137">
        <v>1</v>
      </c>
      <c r="AR689" s="137">
        <v>1</v>
      </c>
      <c r="AS689" s="158">
        <v>0.0810595228934205</v>
      </c>
      <c r="AT689" s="141">
        <v>0.111111111111111</v>
      </c>
      <c r="AU689" s="141">
        <v>0</v>
      </c>
      <c r="AV689" s="141">
        <v>0.1</v>
      </c>
      <c r="AW689" s="141">
        <v>0.0636042402826855</v>
      </c>
      <c r="AX689" s="95"/>
      <c r="AY689" s="93"/>
    </row>
    <row r="690" ht="15" spans="1:51">
      <c r="A690" s="91"/>
      <c r="B690" s="95"/>
      <c r="C690" s="152" t="s">
        <v>668</v>
      </c>
      <c r="D690" s="153" t="s">
        <v>25</v>
      </c>
      <c r="E690" s="130" t="s">
        <v>669</v>
      </c>
      <c r="F690" s="179" t="s">
        <v>717</v>
      </c>
      <c r="G690" s="179" t="s">
        <v>717</v>
      </c>
      <c r="H690" s="179" t="s">
        <v>717</v>
      </c>
      <c r="I690" s="179" t="s">
        <v>717</v>
      </c>
      <c r="J690" s="132">
        <v>0.9</v>
      </c>
      <c r="K690" s="133">
        <v>0.904761904761905</v>
      </c>
      <c r="L690" s="133">
        <v>0.878787878787879</v>
      </c>
      <c r="M690" s="134">
        <v>0.941176470588235</v>
      </c>
      <c r="N690" s="133">
        <v>0.922343324250681</v>
      </c>
      <c r="O690" s="135">
        <v>0.9</v>
      </c>
      <c r="P690" s="133">
        <v>0.940970192869667</v>
      </c>
      <c r="Q690" s="133">
        <v>0.93042071197411</v>
      </c>
      <c r="R690" s="133">
        <v>0.923342276734381</v>
      </c>
      <c r="S690" s="133">
        <v>0.945807266483788</v>
      </c>
      <c r="T690" s="135">
        <v>0.9</v>
      </c>
      <c r="U690" s="133">
        <v>0.903565166569258</v>
      </c>
      <c r="V690" s="133">
        <v>0.881067961165049</v>
      </c>
      <c r="W690" s="133">
        <v>0.921809122269069</v>
      </c>
      <c r="X690" s="133">
        <v>0.908073651595587</v>
      </c>
      <c r="Y690" s="135">
        <v>0.92</v>
      </c>
      <c r="Z690" s="135">
        <v>0.917085427135678</v>
      </c>
      <c r="AA690" s="135">
        <v>0.879907621247113</v>
      </c>
      <c r="AB690" s="135">
        <v>0.866920152091255</v>
      </c>
      <c r="AC690" s="135">
        <v>0.909679361734156</v>
      </c>
      <c r="AD690" s="135">
        <v>0.92</v>
      </c>
      <c r="AE690" s="133">
        <v>0.998857795545403</v>
      </c>
      <c r="AF690" s="133">
        <v>0.998327759197324</v>
      </c>
      <c r="AG690" s="133">
        <v>0.999527186761229</v>
      </c>
      <c r="AH690" s="133">
        <v>0.98878453038674</v>
      </c>
      <c r="AI690" s="135">
        <v>0.92</v>
      </c>
      <c r="AJ690" s="133">
        <v>0.936602870813397</v>
      </c>
      <c r="AK690" s="133">
        <v>0.919760479041916</v>
      </c>
      <c r="AL690" s="133">
        <v>0.949530107901149</v>
      </c>
      <c r="AM690" s="133">
        <v>0.94724006940862</v>
      </c>
      <c r="AN690" s="132">
        <v>0.99</v>
      </c>
      <c r="AO690" s="137">
        <v>1</v>
      </c>
      <c r="AP690" s="137">
        <v>1</v>
      </c>
      <c r="AQ690" s="137">
        <v>1</v>
      </c>
      <c r="AR690" s="137">
        <v>1</v>
      </c>
      <c r="AS690" s="158">
        <v>0.0810595228934205</v>
      </c>
      <c r="AT690" s="141">
        <v>0.125</v>
      </c>
      <c r="AU690" s="141">
        <v>0.0833333333333333</v>
      </c>
      <c r="AV690" s="141">
        <v>0.133333333333333</v>
      </c>
      <c r="AW690" s="141">
        <v>0.0763358778625954</v>
      </c>
      <c r="AX690" s="95"/>
      <c r="AY690" s="93"/>
    </row>
    <row r="691" ht="15" spans="1:51">
      <c r="A691" s="91"/>
      <c r="B691" s="95"/>
      <c r="C691" s="152" t="s">
        <v>668</v>
      </c>
      <c r="D691" s="153" t="s">
        <v>25</v>
      </c>
      <c r="E691" s="130" t="s">
        <v>669</v>
      </c>
      <c r="F691" s="179" t="s">
        <v>718</v>
      </c>
      <c r="G691" s="179" t="s">
        <v>718</v>
      </c>
      <c r="H691" s="179" t="s">
        <v>718</v>
      </c>
      <c r="I691" s="179" t="s">
        <v>718</v>
      </c>
      <c r="J691" s="132">
        <v>0.9</v>
      </c>
      <c r="K691" s="133">
        <v>0.6875</v>
      </c>
      <c r="L691" s="133">
        <v>0.851851851851852</v>
      </c>
      <c r="M691" s="134">
        <v>0.814814814814815</v>
      </c>
      <c r="N691" s="133">
        <v>0.788830715532286</v>
      </c>
      <c r="O691" s="135">
        <v>0.9</v>
      </c>
      <c r="P691" s="133">
        <v>0.933949801849406</v>
      </c>
      <c r="Q691" s="133">
        <v>0.932220039292731</v>
      </c>
      <c r="R691" s="133">
        <v>0.96671866874675</v>
      </c>
      <c r="S691" s="133">
        <v>0.948989547038327</v>
      </c>
      <c r="T691" s="135">
        <v>0.9</v>
      </c>
      <c r="U691" s="133">
        <v>0.927344782034346</v>
      </c>
      <c r="V691" s="133">
        <v>0.932220039292731</v>
      </c>
      <c r="W691" s="133">
        <v>0.918356734269371</v>
      </c>
      <c r="X691" s="133">
        <v>0.926341463414634</v>
      </c>
      <c r="Y691" s="135">
        <v>0.92</v>
      </c>
      <c r="Z691" s="135">
        <v>0.911949685534591</v>
      </c>
      <c r="AA691" s="135">
        <v>0.928909952606635</v>
      </c>
      <c r="AB691" s="135">
        <v>0.853754940711462</v>
      </c>
      <c r="AC691" s="135">
        <v>0.902923769984984</v>
      </c>
      <c r="AD691" s="135">
        <v>0.92</v>
      </c>
      <c r="AE691" s="133">
        <v>0.999219968798752</v>
      </c>
      <c r="AF691" s="133">
        <v>0.996731540632893</v>
      </c>
      <c r="AG691" s="133">
        <v>0.998247978436658</v>
      </c>
      <c r="AH691" s="133">
        <v>0.997015350696293</v>
      </c>
      <c r="AI691" s="135">
        <v>0.92</v>
      </c>
      <c r="AJ691" s="133">
        <v>0.94046511627907</v>
      </c>
      <c r="AK691" s="133">
        <v>0.947988904299584</v>
      </c>
      <c r="AL691" s="133">
        <v>0.939797794117647</v>
      </c>
      <c r="AM691" s="133">
        <v>0.952483404130119</v>
      </c>
      <c r="AN691" s="132">
        <v>0.99</v>
      </c>
      <c r="AO691" s="137">
        <v>1</v>
      </c>
      <c r="AP691" s="137">
        <v>1</v>
      </c>
      <c r="AQ691" s="137">
        <v>1</v>
      </c>
      <c r="AR691" s="137">
        <v>1</v>
      </c>
      <c r="AS691" s="158">
        <v>0.0810595228934205</v>
      </c>
      <c r="AT691" s="141">
        <v>0.0454545454545455</v>
      </c>
      <c r="AU691" s="141">
        <v>0</v>
      </c>
      <c r="AV691" s="141">
        <v>0.0434782608695652</v>
      </c>
      <c r="AW691" s="141">
        <v>0.0283553875236295</v>
      </c>
      <c r="AX691" s="95"/>
      <c r="AY691" s="93"/>
    </row>
    <row r="692" ht="15" spans="1:51">
      <c r="A692" s="91"/>
      <c r="B692" s="95"/>
      <c r="C692" s="152" t="s">
        <v>668</v>
      </c>
      <c r="D692" s="153" t="s">
        <v>25</v>
      </c>
      <c r="E692" s="130" t="s">
        <v>669</v>
      </c>
      <c r="F692" s="179" t="s">
        <v>719</v>
      </c>
      <c r="G692" s="179" t="s">
        <v>719</v>
      </c>
      <c r="H692" s="179" t="s">
        <v>719</v>
      </c>
      <c r="I692" s="179" t="s">
        <v>719</v>
      </c>
      <c r="J692" s="132">
        <v>0.9</v>
      </c>
      <c r="K692" s="133">
        <v>1</v>
      </c>
      <c r="L692" s="133">
        <v>1</v>
      </c>
      <c r="M692" s="134">
        <v>0.928571428571429</v>
      </c>
      <c r="N692" s="133">
        <v>0.974708171206226</v>
      </c>
      <c r="O692" s="135">
        <v>0.9</v>
      </c>
      <c r="P692" s="133">
        <v>0.963810930576071</v>
      </c>
      <c r="Q692" s="133">
        <v>0.949484536082474</v>
      </c>
      <c r="R692" s="133">
        <v>0.966782350024789</v>
      </c>
      <c r="S692" s="133">
        <v>0.950870936062439</v>
      </c>
      <c r="T692" s="135">
        <v>0.9</v>
      </c>
      <c r="U692" s="133">
        <v>0.914327917282127</v>
      </c>
      <c r="V692" s="133">
        <v>0.906185567010309</v>
      </c>
      <c r="W692" s="133">
        <v>0.920178482895389</v>
      </c>
      <c r="X692" s="133">
        <v>0.920090970176255</v>
      </c>
      <c r="Y692" s="135">
        <v>0.92</v>
      </c>
      <c r="Z692" s="135">
        <v>0.884676145339652</v>
      </c>
      <c r="AA692" s="135">
        <v>0.834269662921348</v>
      </c>
      <c r="AB692" s="135">
        <v>0.758620689655172</v>
      </c>
      <c r="AC692" s="135">
        <v>0.863005551149881</v>
      </c>
      <c r="AD692" s="135">
        <v>0.92</v>
      </c>
      <c r="AE692" s="133">
        <v>0.994334277620397</v>
      </c>
      <c r="AF692" s="133">
        <v>0.992574257425743</v>
      </c>
      <c r="AG692" s="133">
        <v>0.994778067885117</v>
      </c>
      <c r="AH692" s="133">
        <v>0.991433021806854</v>
      </c>
      <c r="AI692" s="135">
        <v>0.92</v>
      </c>
      <c r="AJ692" s="133">
        <v>0.928032209360846</v>
      </c>
      <c r="AK692" s="133">
        <v>0.914845516201959</v>
      </c>
      <c r="AL692" s="133">
        <v>0.936860827034237</v>
      </c>
      <c r="AM692" s="133">
        <v>0.943016439142377</v>
      </c>
      <c r="AN692" s="132">
        <v>0.99</v>
      </c>
      <c r="AO692" s="137">
        <v>1</v>
      </c>
      <c r="AP692" s="137">
        <v>1</v>
      </c>
      <c r="AQ692" s="137">
        <v>1</v>
      </c>
      <c r="AR692" s="137">
        <v>1</v>
      </c>
      <c r="AS692" s="158">
        <v>0.0810595228934205</v>
      </c>
      <c r="AT692" s="141">
        <v>0.142857142857143</v>
      </c>
      <c r="AU692" s="141">
        <v>0.166666666666667</v>
      </c>
      <c r="AV692" s="141">
        <v>0.0555555555555556</v>
      </c>
      <c r="AW692" s="141">
        <v>0.087719298245614</v>
      </c>
      <c r="AX692" s="95"/>
      <c r="AY692" s="93"/>
    </row>
    <row r="693" ht="15" spans="1:51">
      <c r="A693" s="91"/>
      <c r="B693" s="95"/>
      <c r="C693" s="152" t="s">
        <v>668</v>
      </c>
      <c r="D693" s="153" t="s">
        <v>25</v>
      </c>
      <c r="E693" s="130" t="s">
        <v>669</v>
      </c>
      <c r="F693" s="179" t="s">
        <v>720</v>
      </c>
      <c r="G693" s="179" t="s">
        <v>720</v>
      </c>
      <c r="H693" s="179" t="s">
        <v>720</v>
      </c>
      <c r="I693" s="179" t="s">
        <v>720</v>
      </c>
      <c r="J693" s="132">
        <v>0.9</v>
      </c>
      <c r="K693" s="133">
        <v>0.892857142857143</v>
      </c>
      <c r="L693" s="133">
        <v>0.818181818181818</v>
      </c>
      <c r="M693" s="134">
        <v>0.851851851851852</v>
      </c>
      <c r="N693" s="133">
        <v>0.935922330097087</v>
      </c>
      <c r="O693" s="135">
        <v>0.9</v>
      </c>
      <c r="P693" s="133">
        <v>0.987001733102253</v>
      </c>
      <c r="Q693" s="133">
        <v>0.928834355828221</v>
      </c>
      <c r="R693" s="133">
        <v>0.919484702093398</v>
      </c>
      <c r="S693" s="133">
        <v>0.978271949354865</v>
      </c>
      <c r="T693" s="135">
        <v>0.9</v>
      </c>
      <c r="U693" s="133">
        <v>0.947140381282496</v>
      </c>
      <c r="V693" s="133">
        <v>0.916564417177914</v>
      </c>
      <c r="W693" s="133">
        <v>0.855072463768116</v>
      </c>
      <c r="X693" s="133">
        <v>0.933045414308324</v>
      </c>
      <c r="Y693" s="135">
        <v>0.92</v>
      </c>
      <c r="Z693" s="135">
        <v>0.886409736308316</v>
      </c>
      <c r="AA693" s="135">
        <v>0.784090909090909</v>
      </c>
      <c r="AB693" s="135">
        <v>0.879166666666667</v>
      </c>
      <c r="AC693" s="135">
        <v>0.876457399103139</v>
      </c>
      <c r="AD693" s="135">
        <v>0.92</v>
      </c>
      <c r="AE693" s="133">
        <v>0.9983429991715</v>
      </c>
      <c r="AF693" s="133">
        <v>0.993686868686869</v>
      </c>
      <c r="AG693" s="133">
        <v>0.987531172069825</v>
      </c>
      <c r="AH693" s="133">
        <v>0.993653909061171</v>
      </c>
      <c r="AI693" s="135">
        <v>0.92</v>
      </c>
      <c r="AJ693" s="133">
        <v>0.948391013964784</v>
      </c>
      <c r="AK693" s="133">
        <v>0.902788844621514</v>
      </c>
      <c r="AL693" s="133">
        <v>0.946672354948805</v>
      </c>
      <c r="AM693" s="133">
        <v>0.95065432366816</v>
      </c>
      <c r="AN693" s="132">
        <v>0.99</v>
      </c>
      <c r="AO693" s="137">
        <v>1</v>
      </c>
      <c r="AP693" s="137">
        <v>1</v>
      </c>
      <c r="AQ693" s="137">
        <v>1</v>
      </c>
      <c r="AR693" s="137">
        <v>1</v>
      </c>
      <c r="AS693" s="158">
        <v>0.0810595228934205</v>
      </c>
      <c r="AT693" s="141">
        <v>0.230769230769231</v>
      </c>
      <c r="AU693" s="141">
        <v>0</v>
      </c>
      <c r="AV693" s="141">
        <v>0.1</v>
      </c>
      <c r="AW693" s="141">
        <v>0.0414201183431953</v>
      </c>
      <c r="AX693" s="95"/>
      <c r="AY693" s="93"/>
    </row>
    <row r="694" ht="15" spans="1:51">
      <c r="A694" s="91"/>
      <c r="B694" s="95"/>
      <c r="C694" s="152" t="s">
        <v>668</v>
      </c>
      <c r="D694" s="153" t="s">
        <v>25</v>
      </c>
      <c r="E694" s="130" t="s">
        <v>669</v>
      </c>
      <c r="F694" s="179" t="s">
        <v>721</v>
      </c>
      <c r="G694" s="179" t="s">
        <v>721</v>
      </c>
      <c r="H694" s="179" t="s">
        <v>721</v>
      </c>
      <c r="I694" s="179" t="s">
        <v>721</v>
      </c>
      <c r="J694" s="132">
        <v>0.9</v>
      </c>
      <c r="K694" s="133">
        <v>0.707317073170732</v>
      </c>
      <c r="L694" s="133">
        <v>0.8</v>
      </c>
      <c r="M694" s="134">
        <v>0.829268292682927</v>
      </c>
      <c r="N694" s="133">
        <v>0.859416445623342</v>
      </c>
      <c r="O694" s="135">
        <v>0.9</v>
      </c>
      <c r="P694" s="133">
        <v>0.953420669577875</v>
      </c>
      <c r="Q694" s="133">
        <v>0.906876790830946</v>
      </c>
      <c r="R694" s="133">
        <v>0.906550760633344</v>
      </c>
      <c r="S694" s="133">
        <v>0.957923533953207</v>
      </c>
      <c r="T694" s="135">
        <v>0.9</v>
      </c>
      <c r="U694" s="133">
        <v>0.925764192139738</v>
      </c>
      <c r="V694" s="133">
        <v>0.913323782234957</v>
      </c>
      <c r="W694" s="133">
        <v>0.940701645451723</v>
      </c>
      <c r="X694" s="133">
        <v>0.931757913463798</v>
      </c>
      <c r="Y694" s="135">
        <v>0.92</v>
      </c>
      <c r="Z694" s="135">
        <v>0.83881230116649</v>
      </c>
      <c r="AA694" s="135">
        <v>0.852272727272727</v>
      </c>
      <c r="AB694" s="135">
        <v>0.864155251141553</v>
      </c>
      <c r="AC694" s="135">
        <v>0.871155861314866</v>
      </c>
      <c r="AD694" s="135">
        <v>0.92</v>
      </c>
      <c r="AE694" s="133">
        <v>1</v>
      </c>
      <c r="AF694" s="133">
        <v>0.997241033358415</v>
      </c>
      <c r="AG694" s="133">
        <v>0.980066445182724</v>
      </c>
      <c r="AH694" s="133">
        <v>0.984429685014317</v>
      </c>
      <c r="AI694" s="135">
        <v>0.92</v>
      </c>
      <c r="AJ694" s="133">
        <v>0.920798668885191</v>
      </c>
      <c r="AK694" s="133">
        <v>0.9113750571037</v>
      </c>
      <c r="AL694" s="133">
        <v>0.941190824792582</v>
      </c>
      <c r="AM694" s="133">
        <v>0.941310639132781</v>
      </c>
      <c r="AN694" s="132">
        <v>0.99</v>
      </c>
      <c r="AO694" s="137">
        <v>1</v>
      </c>
      <c r="AP694" s="137">
        <v>1</v>
      </c>
      <c r="AQ694" s="137">
        <v>1</v>
      </c>
      <c r="AR694" s="137">
        <v>1</v>
      </c>
      <c r="AS694" s="158">
        <v>0.0810595228934205</v>
      </c>
      <c r="AT694" s="141">
        <v>0</v>
      </c>
      <c r="AU694" s="141">
        <v>0</v>
      </c>
      <c r="AV694" s="141">
        <v>0</v>
      </c>
      <c r="AW694" s="141">
        <v>0.0155642023346304</v>
      </c>
      <c r="AX694" s="95"/>
      <c r="AY694" s="93"/>
    </row>
    <row r="695" ht="15" spans="1:51">
      <c r="A695" s="91"/>
      <c r="B695" s="95"/>
      <c r="C695" s="152" t="s">
        <v>668</v>
      </c>
      <c r="D695" s="153" t="s">
        <v>25</v>
      </c>
      <c r="E695" s="130" t="s">
        <v>669</v>
      </c>
      <c r="F695" s="179" t="s">
        <v>722</v>
      </c>
      <c r="G695" s="179" t="s">
        <v>722</v>
      </c>
      <c r="H695" s="179" t="s">
        <v>722</v>
      </c>
      <c r="I695" s="179" t="s">
        <v>722</v>
      </c>
      <c r="J695" s="132">
        <v>0.9</v>
      </c>
      <c r="K695" s="133">
        <v>0.705882352941177</v>
      </c>
      <c r="L695" s="133">
        <v>0.733333333333333</v>
      </c>
      <c r="M695" s="134">
        <v>0.625</v>
      </c>
      <c r="N695" s="133">
        <v>0.789383561643836</v>
      </c>
      <c r="O695" s="135">
        <v>0.9</v>
      </c>
      <c r="P695" s="133">
        <v>0.98828125</v>
      </c>
      <c r="Q695" s="133">
        <v>0.981651376146789</v>
      </c>
      <c r="R695" s="133">
        <v>0.975650713685978</v>
      </c>
      <c r="S695" s="133">
        <v>0.970977127043073</v>
      </c>
      <c r="T695" s="135">
        <v>0.9</v>
      </c>
      <c r="U695" s="133">
        <v>0.959635416666667</v>
      </c>
      <c r="V695" s="133">
        <v>0.957798165137615</v>
      </c>
      <c r="W695" s="133">
        <v>0.956339210747271</v>
      </c>
      <c r="X695" s="133">
        <v>0.94748917851314</v>
      </c>
      <c r="Y695" s="135">
        <v>0.92</v>
      </c>
      <c r="Z695" s="135">
        <v>0.897959183673469</v>
      </c>
      <c r="AA695" s="135">
        <v>0.953125</v>
      </c>
      <c r="AB695" s="135">
        <v>0.934375</v>
      </c>
      <c r="AC695" s="135">
        <v>0.958919278042299</v>
      </c>
      <c r="AD695" s="135">
        <v>0.92</v>
      </c>
      <c r="AE695" s="133">
        <v>0.998162890385793</v>
      </c>
      <c r="AF695" s="133">
        <v>0.993975903614458</v>
      </c>
      <c r="AG695" s="133">
        <v>1</v>
      </c>
      <c r="AH695" s="133">
        <v>0.996891474659217</v>
      </c>
      <c r="AI695" s="135">
        <v>0.92</v>
      </c>
      <c r="AJ695" s="133">
        <v>0.959532374100719</v>
      </c>
      <c r="AK695" s="133">
        <v>0.972254335260116</v>
      </c>
      <c r="AL695" s="133">
        <v>0.976851851851852</v>
      </c>
      <c r="AM695" s="133">
        <v>0.977200424178155</v>
      </c>
      <c r="AN695" s="132">
        <v>0.99</v>
      </c>
      <c r="AO695" s="137">
        <v>1</v>
      </c>
      <c r="AP695" s="137">
        <v>1</v>
      </c>
      <c r="AQ695" s="137">
        <v>1</v>
      </c>
      <c r="AR695" s="137">
        <v>1</v>
      </c>
      <c r="AS695" s="158">
        <v>0.0810595228934205</v>
      </c>
      <c r="AT695" s="141">
        <v>0</v>
      </c>
      <c r="AU695" s="141">
        <v>0.166666666666667</v>
      </c>
      <c r="AV695" s="141">
        <v>0</v>
      </c>
      <c r="AW695" s="141">
        <v>0.072289156626506</v>
      </c>
      <c r="AX695" s="95"/>
      <c r="AY695" s="93"/>
    </row>
    <row r="696" ht="15" spans="1:51">
      <c r="A696" s="91"/>
      <c r="B696" s="95"/>
      <c r="C696" s="152" t="s">
        <v>668</v>
      </c>
      <c r="D696" s="153" t="s">
        <v>25</v>
      </c>
      <c r="E696" s="130" t="s">
        <v>669</v>
      </c>
      <c r="F696" s="179" t="s">
        <v>723</v>
      </c>
      <c r="G696" s="179" t="s">
        <v>723</v>
      </c>
      <c r="H696" s="179" t="s">
        <v>723</v>
      </c>
      <c r="I696" s="179" t="s">
        <v>723</v>
      </c>
      <c r="J696" s="132">
        <v>0.9</v>
      </c>
      <c r="K696" s="133">
        <v>0.904761904761905</v>
      </c>
      <c r="L696" s="133">
        <v>1</v>
      </c>
      <c r="M696" s="134">
        <v>0.952380952380952</v>
      </c>
      <c r="N696" s="133">
        <v>0.951156812339332</v>
      </c>
      <c r="O696" s="135">
        <v>0.9</v>
      </c>
      <c r="P696" s="133">
        <v>0.999137187230371</v>
      </c>
      <c r="Q696" s="133">
        <v>1</v>
      </c>
      <c r="R696" s="133">
        <v>1</v>
      </c>
      <c r="S696" s="133">
        <v>0.999127069572555</v>
      </c>
      <c r="T696" s="135">
        <v>0.9</v>
      </c>
      <c r="U696" s="133">
        <v>0.974978429680759</v>
      </c>
      <c r="V696" s="133">
        <v>0.962056303549572</v>
      </c>
      <c r="W696" s="133">
        <v>0.977777777777778</v>
      </c>
      <c r="X696" s="133">
        <v>0.975179678179649</v>
      </c>
      <c r="Y696" s="135">
        <v>0.92</v>
      </c>
      <c r="Z696" s="135">
        <v>0.958257713248639</v>
      </c>
      <c r="AA696" s="135">
        <v>0.958041958041958</v>
      </c>
      <c r="AB696" s="135">
        <v>0.964426877470356</v>
      </c>
      <c r="AC696" s="135">
        <v>0.965892714171337</v>
      </c>
      <c r="AD696" s="135">
        <v>0.92</v>
      </c>
      <c r="AE696" s="133">
        <v>1</v>
      </c>
      <c r="AF696" s="133">
        <v>0.991471215351812</v>
      </c>
      <c r="AG696" s="133">
        <v>0.993265993265993</v>
      </c>
      <c r="AH696" s="133">
        <v>0.97903981264637</v>
      </c>
      <c r="AI696" s="135">
        <v>0.92</v>
      </c>
      <c r="AJ696" s="133">
        <v>0.976608187134503</v>
      </c>
      <c r="AK696" s="133">
        <v>0.973515248796148</v>
      </c>
      <c r="AL696" s="133">
        <v>0.984262016163335</v>
      </c>
      <c r="AM696" s="133">
        <v>0.98386649309631</v>
      </c>
      <c r="AN696" s="132">
        <v>0.99</v>
      </c>
      <c r="AO696" s="137">
        <v>1</v>
      </c>
      <c r="AP696" s="137">
        <v>1</v>
      </c>
      <c r="AQ696" s="137">
        <v>1</v>
      </c>
      <c r="AR696" s="137">
        <v>1</v>
      </c>
      <c r="AS696" s="158">
        <v>0.0810595228934205</v>
      </c>
      <c r="AT696" s="141">
        <v>0.333333333333333</v>
      </c>
      <c r="AU696" s="141">
        <v>0</v>
      </c>
      <c r="AV696" s="141">
        <v>0.142857142857143</v>
      </c>
      <c r="AW696" s="141">
        <v>0.0466666666666667</v>
      </c>
      <c r="AX696" s="95"/>
      <c r="AY696" s="93"/>
    </row>
    <row r="697" ht="15" spans="1:51">
      <c r="A697" s="91"/>
      <c r="B697" s="95"/>
      <c r="C697" s="152" t="s">
        <v>668</v>
      </c>
      <c r="D697" s="153" t="s">
        <v>25</v>
      </c>
      <c r="E697" s="130" t="s">
        <v>669</v>
      </c>
      <c r="F697" s="179" t="s">
        <v>724</v>
      </c>
      <c r="G697" s="179" t="s">
        <v>724</v>
      </c>
      <c r="H697" s="179" t="s">
        <v>724</v>
      </c>
      <c r="I697" s="179" t="s">
        <v>724</v>
      </c>
      <c r="J697" s="132">
        <v>0.9</v>
      </c>
      <c r="K697" s="133">
        <v>1</v>
      </c>
      <c r="L697" s="133">
        <v>1</v>
      </c>
      <c r="M697" s="134">
        <v>0.975</v>
      </c>
      <c r="N697" s="133">
        <v>0.99181446111869</v>
      </c>
      <c r="O697" s="135">
        <v>0.9</v>
      </c>
      <c r="P697" s="133">
        <v>0.998112020138452</v>
      </c>
      <c r="Q697" s="133">
        <v>0.956441149212234</v>
      </c>
      <c r="R697" s="133">
        <v>0.997322111706197</v>
      </c>
      <c r="S697" s="133">
        <v>0.993261756408435</v>
      </c>
      <c r="T697" s="135">
        <v>0.9</v>
      </c>
      <c r="U697" s="133">
        <v>0.947765890497168</v>
      </c>
      <c r="V697" s="133">
        <v>0.944392956441149</v>
      </c>
      <c r="W697" s="133">
        <v>0.903596021423106</v>
      </c>
      <c r="X697" s="133">
        <v>0.942927888616022</v>
      </c>
      <c r="Y697" s="135">
        <v>0.92</v>
      </c>
      <c r="Z697" s="135">
        <v>0.903401360544218</v>
      </c>
      <c r="AA697" s="135">
        <v>0.913764510779436</v>
      </c>
      <c r="AB697" s="135">
        <v>0.910299003322259</v>
      </c>
      <c r="AC697" s="135">
        <v>0.934195850992639</v>
      </c>
      <c r="AD697" s="135">
        <v>0.92</v>
      </c>
      <c r="AE697" s="133">
        <v>0.997899159663866</v>
      </c>
      <c r="AF697" s="133">
        <v>0.997340425531915</v>
      </c>
      <c r="AG697" s="133">
        <v>0.997326203208556</v>
      </c>
      <c r="AH697" s="133">
        <v>0.996048407014078</v>
      </c>
      <c r="AI697" s="135">
        <v>0.92</v>
      </c>
      <c r="AJ697" s="133">
        <v>0.948817204301075</v>
      </c>
      <c r="AK697" s="133">
        <v>0.950653983353151</v>
      </c>
      <c r="AL697" s="133">
        <v>0.964885021752641</v>
      </c>
      <c r="AM697" s="133">
        <v>0.969187966792633</v>
      </c>
      <c r="AN697" s="132">
        <v>0.99</v>
      </c>
      <c r="AO697" s="137">
        <v>1</v>
      </c>
      <c r="AP697" s="137">
        <v>1</v>
      </c>
      <c r="AQ697" s="137">
        <v>1</v>
      </c>
      <c r="AR697" s="137">
        <v>1</v>
      </c>
      <c r="AS697" s="158">
        <v>0.0810595228934205</v>
      </c>
      <c r="AT697" s="141">
        <v>0.0769230769230769</v>
      </c>
      <c r="AU697" s="141">
        <v>0</v>
      </c>
      <c r="AV697" s="141">
        <v>0</v>
      </c>
      <c r="AW697" s="141">
        <v>0.0365296803652968</v>
      </c>
      <c r="AX697" s="95"/>
      <c r="AY697" s="93"/>
    </row>
    <row r="698" ht="15" spans="1:51">
      <c r="A698" s="91"/>
      <c r="B698" s="95"/>
      <c r="C698" s="152" t="s">
        <v>668</v>
      </c>
      <c r="D698" s="153" t="s">
        <v>25</v>
      </c>
      <c r="E698" s="130" t="s">
        <v>669</v>
      </c>
      <c r="F698" s="179" t="s">
        <v>725</v>
      </c>
      <c r="G698" s="179" t="s">
        <v>725</v>
      </c>
      <c r="H698" s="179" t="s">
        <v>725</v>
      </c>
      <c r="I698" s="179" t="s">
        <v>725</v>
      </c>
      <c r="J698" s="132">
        <v>0.9</v>
      </c>
      <c r="K698" s="133">
        <v>0.814814814814815</v>
      </c>
      <c r="L698" s="133">
        <v>0.793650793650794</v>
      </c>
      <c r="M698" s="134">
        <v>0.815789473684211</v>
      </c>
      <c r="N698" s="133">
        <v>0.822981366459627</v>
      </c>
      <c r="O698" s="135">
        <v>0.9</v>
      </c>
      <c r="P698" s="133">
        <v>0.950144927536232</v>
      </c>
      <c r="Q698" s="133">
        <v>0.931828242585215</v>
      </c>
      <c r="R698" s="133">
        <v>0.932678311499272</v>
      </c>
      <c r="S698" s="133">
        <v>0.939395726735184</v>
      </c>
      <c r="T698" s="135">
        <v>0.9</v>
      </c>
      <c r="U698" s="133">
        <v>0.923188405797101</v>
      </c>
      <c r="V698" s="133">
        <v>0.895086321381142</v>
      </c>
      <c r="W698" s="133">
        <v>0.904657933042213</v>
      </c>
      <c r="X698" s="133">
        <v>0.92429626789743</v>
      </c>
      <c r="Y698" s="135">
        <v>0.92</v>
      </c>
      <c r="Z698" s="135">
        <v>0.902071563088512</v>
      </c>
      <c r="AA698" s="135">
        <v>0.891195418754474</v>
      </c>
      <c r="AB698" s="135">
        <v>0.871611982881598</v>
      </c>
      <c r="AC698" s="135">
        <v>0.907619980411361</v>
      </c>
      <c r="AD698" s="135">
        <v>0.92</v>
      </c>
      <c r="AE698" s="133">
        <v>0.998769230769231</v>
      </c>
      <c r="AF698" s="133">
        <v>0.994216310005784</v>
      </c>
      <c r="AG698" s="133">
        <v>0.990967741935484</v>
      </c>
      <c r="AH698" s="133">
        <v>0.989506235425327</v>
      </c>
      <c r="AI698" s="135">
        <v>0.92</v>
      </c>
      <c r="AJ698" s="133">
        <v>0.946658734880032</v>
      </c>
      <c r="AK698" s="133">
        <v>0.92589554279464</v>
      </c>
      <c r="AL698" s="133">
        <v>0.931429399826037</v>
      </c>
      <c r="AM698" s="133">
        <v>0.949166523825848</v>
      </c>
      <c r="AN698" s="132">
        <v>0.99</v>
      </c>
      <c r="AO698" s="137">
        <v>1</v>
      </c>
      <c r="AP698" s="137">
        <v>1</v>
      </c>
      <c r="AQ698" s="137">
        <v>1</v>
      </c>
      <c r="AR698" s="137">
        <v>1</v>
      </c>
      <c r="AS698" s="158">
        <v>0.0810595228934205</v>
      </c>
      <c r="AT698" s="141">
        <v>0.0344827586206897</v>
      </c>
      <c r="AU698" s="141">
        <v>0</v>
      </c>
      <c r="AV698" s="141">
        <v>0.025</v>
      </c>
      <c r="AW698" s="141">
        <v>0.0459558823529412</v>
      </c>
      <c r="AX698" s="95"/>
      <c r="AY698" s="93"/>
    </row>
    <row r="699" ht="15" spans="1:51">
      <c r="A699" s="91"/>
      <c r="B699" s="95"/>
      <c r="C699" s="152" t="s">
        <v>668</v>
      </c>
      <c r="D699" s="153" t="s">
        <v>25</v>
      </c>
      <c r="E699" s="130" t="s">
        <v>669</v>
      </c>
      <c r="F699" s="179" t="s">
        <v>726</v>
      </c>
      <c r="G699" s="179" t="s">
        <v>726</v>
      </c>
      <c r="H699" s="179" t="s">
        <v>726</v>
      </c>
      <c r="I699" s="179" t="s">
        <v>726</v>
      </c>
      <c r="J699" s="132">
        <v>0.9</v>
      </c>
      <c r="K699" s="133">
        <v>0.830188679245283</v>
      </c>
      <c r="L699" s="133">
        <v>0.815789473684211</v>
      </c>
      <c r="M699" s="134">
        <v>0.791666666666667</v>
      </c>
      <c r="N699" s="133">
        <v>0.832426550598477</v>
      </c>
      <c r="O699" s="135">
        <v>0.9</v>
      </c>
      <c r="P699" s="133">
        <v>0.970883054892601</v>
      </c>
      <c r="Q699" s="133">
        <v>0.975816993464052</v>
      </c>
      <c r="R699" s="133">
        <v>0.977427977427977</v>
      </c>
      <c r="S699" s="133">
        <v>0.976631844113507</v>
      </c>
      <c r="T699" s="135">
        <v>0.9</v>
      </c>
      <c r="U699" s="133">
        <v>0.93508353221957</v>
      </c>
      <c r="V699" s="133">
        <v>0.929411764705882</v>
      </c>
      <c r="W699" s="133">
        <v>0.915354915354915</v>
      </c>
      <c r="X699" s="133">
        <v>0.942076016892643</v>
      </c>
      <c r="Y699" s="135">
        <v>0.92</v>
      </c>
      <c r="Z699" s="135">
        <v>0.933753943217666</v>
      </c>
      <c r="AA699" s="135">
        <v>0.9275</v>
      </c>
      <c r="AB699" s="135">
        <v>0.925389755011136</v>
      </c>
      <c r="AC699" s="135">
        <v>0.94279436894784</v>
      </c>
      <c r="AD699" s="135">
        <v>0.92</v>
      </c>
      <c r="AE699" s="133">
        <v>0.998412698412698</v>
      </c>
      <c r="AF699" s="133">
        <v>0.99625468164794</v>
      </c>
      <c r="AG699" s="133">
        <v>0.980113636363636</v>
      </c>
      <c r="AH699" s="133">
        <v>0.985592357685381</v>
      </c>
      <c r="AI699" s="135">
        <v>0.92</v>
      </c>
      <c r="AJ699" s="133">
        <v>0.960617000328192</v>
      </c>
      <c r="AK699" s="133">
        <v>0.950643776824034</v>
      </c>
      <c r="AL699" s="133">
        <v>0.96084407971864</v>
      </c>
      <c r="AM699" s="133">
        <v>0.971922011622223</v>
      </c>
      <c r="AN699" s="132">
        <v>0.99</v>
      </c>
      <c r="AO699" s="137">
        <v>1</v>
      </c>
      <c r="AP699" s="137">
        <v>1</v>
      </c>
      <c r="AQ699" s="137">
        <v>1</v>
      </c>
      <c r="AR699" s="137">
        <v>1</v>
      </c>
      <c r="AS699" s="158">
        <v>0.0810595228934205</v>
      </c>
      <c r="AT699" s="141">
        <v>0.142857142857143</v>
      </c>
      <c r="AU699" s="141">
        <v>0.15</v>
      </c>
      <c r="AV699" s="141">
        <v>0.0909090909090909</v>
      </c>
      <c r="AW699" s="141">
        <v>0.0463709677419355</v>
      </c>
      <c r="AX699" s="95"/>
      <c r="AY699" s="93"/>
    </row>
    <row r="700" ht="15" spans="1:51">
      <c r="A700" s="91"/>
      <c r="B700" s="95"/>
      <c r="C700" s="152" t="s">
        <v>668</v>
      </c>
      <c r="D700" s="153" t="s">
        <v>25</v>
      </c>
      <c r="E700" s="130" t="s">
        <v>669</v>
      </c>
      <c r="F700" s="179" t="s">
        <v>727</v>
      </c>
      <c r="G700" s="179" t="s">
        <v>727</v>
      </c>
      <c r="H700" s="179" t="s">
        <v>727</v>
      </c>
      <c r="I700" s="179" t="s">
        <v>727</v>
      </c>
      <c r="J700" s="132">
        <v>0.9</v>
      </c>
      <c r="K700" s="133">
        <v>0.978723404255319</v>
      </c>
      <c r="L700" s="133">
        <v>1</v>
      </c>
      <c r="M700" s="134">
        <v>0.974358974358974</v>
      </c>
      <c r="N700" s="133">
        <v>0.974747474747475</v>
      </c>
      <c r="O700" s="135">
        <v>0.9</v>
      </c>
      <c r="P700" s="133">
        <v>0.949967928159076</v>
      </c>
      <c r="Q700" s="133">
        <v>0.994666666666667</v>
      </c>
      <c r="R700" s="133">
        <v>0.993869731800766</v>
      </c>
      <c r="S700" s="133">
        <v>0.990668520869863</v>
      </c>
      <c r="T700" s="135">
        <v>0.9</v>
      </c>
      <c r="U700" s="133">
        <v>0.912123155869147</v>
      </c>
      <c r="V700" s="133">
        <v>0.938666666666667</v>
      </c>
      <c r="W700" s="133">
        <v>0.927586206896552</v>
      </c>
      <c r="X700" s="133">
        <v>0.951004695971139</v>
      </c>
      <c r="Y700" s="135">
        <v>0.92</v>
      </c>
      <c r="Z700" s="135">
        <v>0.890804597701149</v>
      </c>
      <c r="AA700" s="135">
        <v>0.91846921797005</v>
      </c>
      <c r="AB700" s="135">
        <v>0.912462908011869</v>
      </c>
      <c r="AC700" s="135">
        <v>0.935948845778693</v>
      </c>
      <c r="AD700" s="135">
        <v>0.92</v>
      </c>
      <c r="AE700" s="133">
        <v>0.999623068224651</v>
      </c>
      <c r="AF700" s="133">
        <v>0.997937536829699</v>
      </c>
      <c r="AG700" s="133">
        <v>0.999281092739037</v>
      </c>
      <c r="AH700" s="133">
        <v>0.99693514772588</v>
      </c>
      <c r="AI700" s="135">
        <v>0.92</v>
      </c>
      <c r="AJ700" s="133">
        <v>0.945035460992908</v>
      </c>
      <c r="AK700" s="133">
        <v>0.957225433526012</v>
      </c>
      <c r="AL700" s="133">
        <v>0.964709461515059</v>
      </c>
      <c r="AM700" s="133">
        <v>0.970935953356538</v>
      </c>
      <c r="AN700" s="132">
        <v>0.99</v>
      </c>
      <c r="AO700" s="137">
        <v>1</v>
      </c>
      <c r="AP700" s="137">
        <v>1</v>
      </c>
      <c r="AQ700" s="137">
        <v>1</v>
      </c>
      <c r="AR700" s="137">
        <v>1</v>
      </c>
      <c r="AS700" s="158">
        <v>0.0810595228934205</v>
      </c>
      <c r="AT700" s="141">
        <v>0</v>
      </c>
      <c r="AU700" s="141">
        <v>0</v>
      </c>
      <c r="AV700" s="141">
        <v>0.2</v>
      </c>
      <c r="AW700" s="141">
        <v>0.0648464163822526</v>
      </c>
      <c r="AX700" s="95"/>
      <c r="AY700" s="93"/>
    </row>
    <row r="701" ht="15" spans="1:51">
      <c r="A701" s="91"/>
      <c r="B701" s="95"/>
      <c r="C701" s="152" t="s">
        <v>668</v>
      </c>
      <c r="D701" s="153" t="s">
        <v>25</v>
      </c>
      <c r="E701" s="130" t="s">
        <v>669</v>
      </c>
      <c r="F701" s="179" t="s">
        <v>728</v>
      </c>
      <c r="G701" s="179" t="s">
        <v>728</v>
      </c>
      <c r="H701" s="179" t="s">
        <v>728</v>
      </c>
      <c r="I701" s="179" t="s">
        <v>728</v>
      </c>
      <c r="J701" s="132">
        <v>0.9</v>
      </c>
      <c r="K701" s="133">
        <v>0.927272727272727</v>
      </c>
      <c r="L701" s="133">
        <v>1</v>
      </c>
      <c r="M701" s="134">
        <v>0.891304347826087</v>
      </c>
      <c r="N701" s="133">
        <v>0.930540242557883</v>
      </c>
      <c r="O701" s="135">
        <v>0.9</v>
      </c>
      <c r="P701" s="133">
        <v>0.991100702576112</v>
      </c>
      <c r="Q701" s="133">
        <v>0.995798319327731</v>
      </c>
      <c r="R701" s="133">
        <v>0.98469387755102</v>
      </c>
      <c r="S701" s="133">
        <v>0.985065141404512</v>
      </c>
      <c r="T701" s="135">
        <v>0.9</v>
      </c>
      <c r="U701" s="133">
        <v>0.950819672131147</v>
      </c>
      <c r="V701" s="133">
        <v>0.937675070028011</v>
      </c>
      <c r="W701" s="133">
        <v>0.95828331332533</v>
      </c>
      <c r="X701" s="133">
        <v>0.958627264061011</v>
      </c>
      <c r="Y701" s="135">
        <v>0.92</v>
      </c>
      <c r="Z701" s="135">
        <v>0.951195219123506</v>
      </c>
      <c r="AA701" s="135">
        <v>0.927950310559006</v>
      </c>
      <c r="AB701" s="135">
        <v>0.920544835414302</v>
      </c>
      <c r="AC701" s="135">
        <v>0.954104300565069</v>
      </c>
      <c r="AD701" s="135">
        <v>0.92</v>
      </c>
      <c r="AE701" s="133">
        <v>0.995880535530381</v>
      </c>
      <c r="AF701" s="133">
        <v>0.996018579960186</v>
      </c>
      <c r="AG701" s="133">
        <v>0.991833030852995</v>
      </c>
      <c r="AH701" s="133">
        <v>0.995312950677819</v>
      </c>
      <c r="AI701" s="135">
        <v>0.92</v>
      </c>
      <c r="AJ701" s="133">
        <v>0.97100987575661</v>
      </c>
      <c r="AK701" s="133">
        <v>0.956560680698612</v>
      </c>
      <c r="AL701" s="133">
        <v>0.972710014238253</v>
      </c>
      <c r="AM701" s="133">
        <v>0.979693486590038</v>
      </c>
      <c r="AN701" s="132">
        <v>0.99</v>
      </c>
      <c r="AO701" s="137">
        <v>1</v>
      </c>
      <c r="AP701" s="137">
        <v>1</v>
      </c>
      <c r="AQ701" s="137">
        <v>1</v>
      </c>
      <c r="AR701" s="137">
        <v>1</v>
      </c>
      <c r="AS701" s="158">
        <v>0.0810595228934205</v>
      </c>
      <c r="AT701" s="141">
        <v>0.0666666666666667</v>
      </c>
      <c r="AU701" s="141">
        <v>0.181818181818182</v>
      </c>
      <c r="AV701" s="141">
        <v>0</v>
      </c>
      <c r="AW701" s="141">
        <v>0.0264026402640264</v>
      </c>
      <c r="AX701" s="95"/>
      <c r="AY701" s="93"/>
    </row>
    <row r="702" ht="15" spans="1:51">
      <c r="A702" s="91"/>
      <c r="B702" s="95"/>
      <c r="C702" s="152" t="s">
        <v>668</v>
      </c>
      <c r="D702" s="153" t="s">
        <v>25</v>
      </c>
      <c r="E702" s="130" t="s">
        <v>669</v>
      </c>
      <c r="F702" s="179" t="s">
        <v>729</v>
      </c>
      <c r="G702" s="179" t="s">
        <v>729</v>
      </c>
      <c r="H702" s="179" t="s">
        <v>729</v>
      </c>
      <c r="I702" s="179" t="s">
        <v>729</v>
      </c>
      <c r="J702" s="132">
        <v>0.9</v>
      </c>
      <c r="K702" s="133">
        <v>0.75</v>
      </c>
      <c r="L702" s="133">
        <v>0.666666666666667</v>
      </c>
      <c r="M702" s="134">
        <v>0.777777777777778</v>
      </c>
      <c r="N702" s="133">
        <v>0.791176470588235</v>
      </c>
      <c r="O702" s="135">
        <v>0.9</v>
      </c>
      <c r="P702" s="133">
        <v>0.994439295644115</v>
      </c>
      <c r="Q702" s="133">
        <v>0.994134897360704</v>
      </c>
      <c r="R702" s="133">
        <v>0.990985189954926</v>
      </c>
      <c r="S702" s="133">
        <v>0.99035271816397</v>
      </c>
      <c r="T702" s="135">
        <v>0.9</v>
      </c>
      <c r="U702" s="133">
        <v>0.967562557924004</v>
      </c>
      <c r="V702" s="133">
        <v>0.963343108504399</v>
      </c>
      <c r="W702" s="133">
        <v>0.973599484867997</v>
      </c>
      <c r="X702" s="133">
        <v>0.969331798794936</v>
      </c>
      <c r="Y702" s="135">
        <v>0.92</v>
      </c>
      <c r="Z702" s="135">
        <v>0.929245283018868</v>
      </c>
      <c r="AA702" s="135">
        <v>0.961439588688946</v>
      </c>
      <c r="AB702" s="135">
        <v>0.960954446854664</v>
      </c>
      <c r="AC702" s="135">
        <v>0.971363333650461</v>
      </c>
      <c r="AD702" s="135">
        <v>0.92</v>
      </c>
      <c r="AE702" s="133">
        <v>1</v>
      </c>
      <c r="AF702" s="133">
        <v>0.998355263157895</v>
      </c>
      <c r="AG702" s="133">
        <v>1</v>
      </c>
      <c r="AH702" s="133">
        <v>0.996733360555329</v>
      </c>
      <c r="AI702" s="135">
        <v>0.92</v>
      </c>
      <c r="AJ702" s="133">
        <v>0.968063872255489</v>
      </c>
      <c r="AK702" s="133">
        <v>0.977591036414566</v>
      </c>
      <c r="AL702" s="133">
        <v>0.985600794438927</v>
      </c>
      <c r="AM702" s="133">
        <v>0.986394387997104</v>
      </c>
      <c r="AN702" s="132">
        <v>0.99</v>
      </c>
      <c r="AO702" s="137">
        <v>1</v>
      </c>
      <c r="AP702" s="137">
        <v>1</v>
      </c>
      <c r="AQ702" s="137">
        <v>1</v>
      </c>
      <c r="AR702" s="137">
        <v>1</v>
      </c>
      <c r="AS702" s="158">
        <v>0.0810595228934205</v>
      </c>
      <c r="AT702" s="141">
        <v>0</v>
      </c>
      <c r="AU702" s="141">
        <v>0</v>
      </c>
      <c r="AV702" s="141">
        <v>0</v>
      </c>
      <c r="AW702" s="141">
        <v>0.0184049079754601</v>
      </c>
      <c r="AX702" s="95"/>
      <c r="AY702" s="93"/>
    </row>
    <row r="703" ht="15" spans="1:51">
      <c r="A703" s="91"/>
      <c r="B703" s="95"/>
      <c r="C703" s="152" t="s">
        <v>668</v>
      </c>
      <c r="D703" s="153" t="s">
        <v>25</v>
      </c>
      <c r="E703" s="130" t="s">
        <v>669</v>
      </c>
      <c r="F703" s="179" t="s">
        <v>730</v>
      </c>
      <c r="G703" s="179" t="s">
        <v>730</v>
      </c>
      <c r="H703" s="179" t="s">
        <v>730</v>
      </c>
      <c r="I703" s="179" t="s">
        <v>730</v>
      </c>
      <c r="J703" s="132">
        <v>0.9</v>
      </c>
      <c r="K703" s="133">
        <v>0.953488372093023</v>
      </c>
      <c r="L703" s="133">
        <v>0.90625</v>
      </c>
      <c r="M703" s="134">
        <v>0.837209302325581</v>
      </c>
      <c r="N703" s="133">
        <v>0.940040650406504</v>
      </c>
      <c r="O703" s="135">
        <v>0.9</v>
      </c>
      <c r="P703" s="133">
        <v>0.898183556405354</v>
      </c>
      <c r="Q703" s="133">
        <v>0.934890304317056</v>
      </c>
      <c r="R703" s="133">
        <v>0.935254127549369</v>
      </c>
      <c r="S703" s="133">
        <v>0.93064787790735</v>
      </c>
      <c r="T703" s="135">
        <v>0.9</v>
      </c>
      <c r="U703" s="133">
        <v>0.890057361376673</v>
      </c>
      <c r="V703" s="133">
        <v>0.89313517338995</v>
      </c>
      <c r="W703" s="133">
        <v>0.924894787957268</v>
      </c>
      <c r="X703" s="133">
        <v>0.920002057163429</v>
      </c>
      <c r="Y703" s="135">
        <v>0.92</v>
      </c>
      <c r="Z703" s="135">
        <v>0.879345603271984</v>
      </c>
      <c r="AA703" s="135">
        <v>0.864089775561097</v>
      </c>
      <c r="AB703" s="135">
        <v>0.883610451306413</v>
      </c>
      <c r="AC703" s="135">
        <v>0.902663331371395</v>
      </c>
      <c r="AD703" s="135">
        <v>0.92</v>
      </c>
      <c r="AE703" s="133">
        <v>0.998486377396569</v>
      </c>
      <c r="AF703" s="133">
        <v>0.997320471596999</v>
      </c>
      <c r="AG703" s="133">
        <v>0.998154981549816</v>
      </c>
      <c r="AH703" s="133">
        <v>0.990154079193392</v>
      </c>
      <c r="AI703" s="135">
        <v>0.92</v>
      </c>
      <c r="AJ703" s="133">
        <v>0.93485342019544</v>
      </c>
      <c r="AK703" s="133">
        <v>0.916930022573363</v>
      </c>
      <c r="AL703" s="133">
        <v>0.944543373187484</v>
      </c>
      <c r="AM703" s="133">
        <v>0.952100143851994</v>
      </c>
      <c r="AN703" s="132">
        <v>0.99</v>
      </c>
      <c r="AO703" s="137">
        <v>1</v>
      </c>
      <c r="AP703" s="137">
        <v>1</v>
      </c>
      <c r="AQ703" s="137">
        <v>1</v>
      </c>
      <c r="AR703" s="137">
        <v>1</v>
      </c>
      <c r="AS703" s="158">
        <v>0.0810595228934205</v>
      </c>
      <c r="AT703" s="141">
        <v>0</v>
      </c>
      <c r="AU703" s="141">
        <v>0</v>
      </c>
      <c r="AV703" s="141">
        <v>0</v>
      </c>
      <c r="AW703" s="141">
        <v>0.0394477317554241</v>
      </c>
      <c r="AX703" s="95"/>
      <c r="AY703" s="93"/>
    </row>
    <row r="704" ht="15" spans="1:51">
      <c r="A704" s="91"/>
      <c r="B704" s="95"/>
      <c r="C704" s="152" t="s">
        <v>668</v>
      </c>
      <c r="D704" s="153" t="s">
        <v>25</v>
      </c>
      <c r="E704" s="130" t="s">
        <v>669</v>
      </c>
      <c r="F704" s="179" t="s">
        <v>731</v>
      </c>
      <c r="G704" s="179" t="s">
        <v>731</v>
      </c>
      <c r="H704" s="179" t="s">
        <v>731</v>
      </c>
      <c r="I704" s="179" t="s">
        <v>731</v>
      </c>
      <c r="J704" s="132">
        <v>0.9</v>
      </c>
      <c r="K704" s="133">
        <v>1</v>
      </c>
      <c r="L704" s="133">
        <v>0.96</v>
      </c>
      <c r="M704" s="134">
        <v>0.972222222222222</v>
      </c>
      <c r="N704" s="133">
        <v>0.982785602503912</v>
      </c>
      <c r="O704" s="135">
        <v>0.9</v>
      </c>
      <c r="P704" s="133">
        <v>0.987179487179487</v>
      </c>
      <c r="Q704" s="133">
        <v>0.947816826411076</v>
      </c>
      <c r="R704" s="133">
        <v>0.98928238583411</v>
      </c>
      <c r="S704" s="133">
        <v>0.984954547664187</v>
      </c>
      <c r="T704" s="135">
        <v>0.9</v>
      </c>
      <c r="U704" s="133">
        <v>0.911764705882353</v>
      </c>
      <c r="V704" s="133">
        <v>0.896698615548456</v>
      </c>
      <c r="W704" s="133">
        <v>0.901677539608574</v>
      </c>
      <c r="X704" s="133">
        <v>0.933474308492538</v>
      </c>
      <c r="Y704" s="135">
        <v>0.92</v>
      </c>
      <c r="Z704" s="135">
        <v>0.888059701492537</v>
      </c>
      <c r="AA704" s="135">
        <v>0.858283433133733</v>
      </c>
      <c r="AB704" s="135">
        <v>0.921985815602837</v>
      </c>
      <c r="AC704" s="135">
        <v>0.9131156613171</v>
      </c>
      <c r="AD704" s="135">
        <v>0.92</v>
      </c>
      <c r="AE704" s="133">
        <v>0.998211091234347</v>
      </c>
      <c r="AF704" s="133">
        <v>0.995397008055236</v>
      </c>
      <c r="AG704" s="133">
        <v>0.99469964664311</v>
      </c>
      <c r="AH704" s="133">
        <v>0.995522182419399</v>
      </c>
      <c r="AI704" s="135">
        <v>0.92</v>
      </c>
      <c r="AJ704" s="133">
        <v>0.937734836285561</v>
      </c>
      <c r="AK704" s="133">
        <v>0.917361111111111</v>
      </c>
      <c r="AL704" s="133">
        <v>0.965313653136531</v>
      </c>
      <c r="AM704" s="133">
        <v>0.96386950579095</v>
      </c>
      <c r="AN704" s="132">
        <v>0.99</v>
      </c>
      <c r="AO704" s="137">
        <v>1</v>
      </c>
      <c r="AP704" s="137">
        <v>1</v>
      </c>
      <c r="AQ704" s="137">
        <v>1</v>
      </c>
      <c r="AR704" s="137">
        <v>1</v>
      </c>
      <c r="AS704" s="158">
        <v>0.0810595228934205</v>
      </c>
      <c r="AT704" s="141">
        <v>0</v>
      </c>
      <c r="AU704" s="141">
        <v>0</v>
      </c>
      <c r="AV704" s="141">
        <v>0</v>
      </c>
      <c r="AW704" s="141">
        <v>0.0339805825242718</v>
      </c>
      <c r="AX704" s="95"/>
      <c r="AY704" s="93"/>
    </row>
    <row r="705" ht="15" spans="1:51">
      <c r="A705" s="91"/>
      <c r="B705" s="95"/>
      <c r="C705" s="152" t="s">
        <v>668</v>
      </c>
      <c r="D705" s="153" t="s">
        <v>25</v>
      </c>
      <c r="E705" s="130" t="s">
        <v>669</v>
      </c>
      <c r="F705" s="179" t="s">
        <v>732</v>
      </c>
      <c r="G705" s="179" t="s">
        <v>732</v>
      </c>
      <c r="H705" s="179" t="s">
        <v>732</v>
      </c>
      <c r="I705" s="179" t="s">
        <v>732</v>
      </c>
      <c r="J705" s="132">
        <v>0.9</v>
      </c>
      <c r="K705" s="133">
        <v>0.85</v>
      </c>
      <c r="L705" s="133">
        <v>0.764705882352941</v>
      </c>
      <c r="M705" s="134">
        <v>0.8</v>
      </c>
      <c r="N705" s="133">
        <v>0.808785529715762</v>
      </c>
      <c r="O705" s="135">
        <v>0.9</v>
      </c>
      <c r="P705" s="133">
        <v>0.96688132474701</v>
      </c>
      <c r="Q705" s="133">
        <v>0.961077844311377</v>
      </c>
      <c r="R705" s="133">
        <v>0.961606615475487</v>
      </c>
      <c r="S705" s="133">
        <v>0.969549115278349</v>
      </c>
      <c r="T705" s="135">
        <v>0.9</v>
      </c>
      <c r="U705" s="133">
        <v>0.931002759889604</v>
      </c>
      <c r="V705" s="133">
        <v>0.919161676646707</v>
      </c>
      <c r="W705" s="133">
        <v>0.913762551683402</v>
      </c>
      <c r="X705" s="133">
        <v>0.937628593263183</v>
      </c>
      <c r="Y705" s="135">
        <v>0.92</v>
      </c>
      <c r="Z705" s="135">
        <v>0.921212121212121</v>
      </c>
      <c r="AA705" s="135">
        <v>0.905325443786982</v>
      </c>
      <c r="AB705" s="135">
        <v>0.920245398773006</v>
      </c>
      <c r="AC705" s="135">
        <v>0.940541799270356</v>
      </c>
      <c r="AD705" s="135">
        <v>0.92</v>
      </c>
      <c r="AE705" s="133">
        <v>0.997542997542998</v>
      </c>
      <c r="AF705" s="133">
        <v>1</v>
      </c>
      <c r="AG705" s="133">
        <v>0.992932862190813</v>
      </c>
      <c r="AH705" s="133">
        <v>0.985182571882166</v>
      </c>
      <c r="AI705" s="135">
        <v>0.92</v>
      </c>
      <c r="AJ705" s="133">
        <v>0.953223767383059</v>
      </c>
      <c r="AK705" s="133">
        <v>0.937872340425532</v>
      </c>
      <c r="AL705" s="133">
        <v>0.952665245202559</v>
      </c>
      <c r="AM705" s="133">
        <v>0.970068433282879</v>
      </c>
      <c r="AN705" s="132">
        <v>0.99</v>
      </c>
      <c r="AO705" s="137">
        <v>1</v>
      </c>
      <c r="AP705" s="137">
        <v>1</v>
      </c>
      <c r="AQ705" s="137" t="s">
        <v>35</v>
      </c>
      <c r="AR705" s="137">
        <v>1</v>
      </c>
      <c r="AS705" s="158">
        <v>0.0810595228934205</v>
      </c>
      <c r="AT705" s="141">
        <v>0</v>
      </c>
      <c r="AU705" s="141">
        <v>0.375</v>
      </c>
      <c r="AV705" s="141">
        <v>0</v>
      </c>
      <c r="AW705" s="141">
        <v>0.0310880829015544</v>
      </c>
      <c r="AX705" s="95"/>
      <c r="AY705" s="93"/>
    </row>
    <row r="706" ht="15" spans="1:51">
      <c r="A706" s="91"/>
      <c r="B706" s="95"/>
      <c r="C706" s="152" t="s">
        <v>668</v>
      </c>
      <c r="D706" s="153" t="s">
        <v>25</v>
      </c>
      <c r="E706" s="130" t="s">
        <v>669</v>
      </c>
      <c r="F706" s="179" t="s">
        <v>733</v>
      </c>
      <c r="G706" s="179" t="s">
        <v>733</v>
      </c>
      <c r="H706" s="179" t="s">
        <v>733</v>
      </c>
      <c r="I706" s="179" t="s">
        <v>733</v>
      </c>
      <c r="J706" s="132">
        <v>0.9</v>
      </c>
      <c r="K706" s="133">
        <v>0.8</v>
      </c>
      <c r="L706" s="133">
        <v>0.846153846153846</v>
      </c>
      <c r="M706" s="134">
        <v>0.8</v>
      </c>
      <c r="N706" s="133">
        <v>0.838129496402878</v>
      </c>
      <c r="O706" s="135">
        <v>0.9</v>
      </c>
      <c r="P706" s="133">
        <v>0.997297297297297</v>
      </c>
      <c r="Q706" s="133">
        <v>1</v>
      </c>
      <c r="R706" s="133">
        <v>1</v>
      </c>
      <c r="S706" s="133">
        <v>0.998473482205164</v>
      </c>
      <c r="T706" s="135">
        <v>0.9</v>
      </c>
      <c r="U706" s="133">
        <v>0.975675675675676</v>
      </c>
      <c r="V706" s="133">
        <v>0.986547085201794</v>
      </c>
      <c r="W706" s="133">
        <v>0.976461038961039</v>
      </c>
      <c r="X706" s="133">
        <v>0.977015003489184</v>
      </c>
      <c r="Y706" s="135">
        <v>0.92</v>
      </c>
      <c r="Z706" s="135">
        <v>0.958791208791209</v>
      </c>
      <c r="AA706" s="135">
        <v>0.972868217054264</v>
      </c>
      <c r="AB706" s="135">
        <v>0.954983922829582</v>
      </c>
      <c r="AC706" s="135">
        <v>0.974704890387858</v>
      </c>
      <c r="AD706" s="135">
        <v>0.92</v>
      </c>
      <c r="AE706" s="133">
        <v>1</v>
      </c>
      <c r="AF706" s="133">
        <v>1</v>
      </c>
      <c r="AG706" s="133">
        <v>0.998452012383901</v>
      </c>
      <c r="AH706" s="133">
        <v>0.998239675016926</v>
      </c>
      <c r="AI706" s="135">
        <v>0.92</v>
      </c>
      <c r="AJ706" s="133">
        <v>0.976449275362319</v>
      </c>
      <c r="AK706" s="133">
        <v>0.988636363636364</v>
      </c>
      <c r="AL706" s="133">
        <v>0.984445884640311</v>
      </c>
      <c r="AM706" s="133">
        <v>0.989209439339118</v>
      </c>
      <c r="AN706" s="132">
        <v>0.99</v>
      </c>
      <c r="AO706" s="137">
        <v>1</v>
      </c>
      <c r="AP706" s="137">
        <v>1</v>
      </c>
      <c r="AQ706" s="137">
        <v>1</v>
      </c>
      <c r="AR706" s="137">
        <v>1</v>
      </c>
      <c r="AS706" s="158">
        <v>0.0810595228934205</v>
      </c>
      <c r="AT706" s="141">
        <v>0.166666666666667</v>
      </c>
      <c r="AU706" s="141">
        <v>0</v>
      </c>
      <c r="AV706" s="141">
        <v>0</v>
      </c>
      <c r="AW706" s="141">
        <v>0.0470588235294118</v>
      </c>
      <c r="AX706" s="95"/>
      <c r="AY706" s="93"/>
    </row>
    <row r="707" ht="15" spans="1:51">
      <c r="A707" s="91"/>
      <c r="B707" s="95"/>
      <c r="C707" s="152" t="s">
        <v>668</v>
      </c>
      <c r="D707" s="153" t="s">
        <v>25</v>
      </c>
      <c r="E707" s="130" t="s">
        <v>669</v>
      </c>
      <c r="F707" s="179" t="s">
        <v>734</v>
      </c>
      <c r="G707" s="179" t="s">
        <v>734</v>
      </c>
      <c r="H707" s="179" t="s">
        <v>734</v>
      </c>
      <c r="I707" s="179" t="s">
        <v>734</v>
      </c>
      <c r="J707" s="132">
        <v>0.9</v>
      </c>
      <c r="K707" s="133">
        <v>0.875</v>
      </c>
      <c r="L707" s="133">
        <v>0.866666666666667</v>
      </c>
      <c r="M707" s="134">
        <v>0.733333333333333</v>
      </c>
      <c r="N707" s="133">
        <v>0.836120401337793</v>
      </c>
      <c r="O707" s="135">
        <v>0.9</v>
      </c>
      <c r="P707" s="133">
        <v>0.985623003194888</v>
      </c>
      <c r="Q707" s="133">
        <v>0.971315529179031</v>
      </c>
      <c r="R707" s="133">
        <v>0.983930211202938</v>
      </c>
      <c r="S707" s="133">
        <v>0.961658785012732</v>
      </c>
      <c r="T707" s="135">
        <v>0.9</v>
      </c>
      <c r="U707" s="133">
        <v>0.96405750798722</v>
      </c>
      <c r="V707" s="133">
        <v>0.893175074183976</v>
      </c>
      <c r="W707" s="133">
        <v>0.947199265381084</v>
      </c>
      <c r="X707" s="133">
        <v>0.936534497392991</v>
      </c>
      <c r="Y707" s="135">
        <v>0.92</v>
      </c>
      <c r="Z707" s="135">
        <v>0.938428874734607</v>
      </c>
      <c r="AA707" s="135">
        <v>0.955465587044534</v>
      </c>
      <c r="AB707" s="135">
        <v>0.946153846153846</v>
      </c>
      <c r="AC707" s="135">
        <v>0.947464823911415</v>
      </c>
      <c r="AD707" s="135">
        <v>0.92</v>
      </c>
      <c r="AE707" s="133">
        <v>0.994082840236686</v>
      </c>
      <c r="AF707" s="133">
        <v>0.990430622009569</v>
      </c>
      <c r="AG707" s="133">
        <v>0.992857142857143</v>
      </c>
      <c r="AH707" s="133">
        <v>0.981803143093466</v>
      </c>
      <c r="AI707" s="135">
        <v>0.92</v>
      </c>
      <c r="AJ707" s="133">
        <v>0.966337782936738</v>
      </c>
      <c r="AK707" s="133">
        <v>0.967441860465116</v>
      </c>
      <c r="AL707" s="133">
        <v>0.975476839237057</v>
      </c>
      <c r="AM707" s="133">
        <v>0.973067322310017</v>
      </c>
      <c r="AN707" s="132">
        <v>0.99</v>
      </c>
      <c r="AO707" s="137">
        <v>1</v>
      </c>
      <c r="AP707" s="137">
        <v>1</v>
      </c>
      <c r="AQ707" s="137">
        <v>1</v>
      </c>
      <c r="AR707" s="137">
        <v>1</v>
      </c>
      <c r="AS707" s="158">
        <v>0.0810595228934205</v>
      </c>
      <c r="AT707" s="141">
        <v>0</v>
      </c>
      <c r="AU707" s="141">
        <v>0</v>
      </c>
      <c r="AV707" s="141">
        <v>0.142857142857143</v>
      </c>
      <c r="AW707" s="141">
        <v>0.0304568527918782</v>
      </c>
      <c r="AX707" s="95"/>
      <c r="AY707" s="93"/>
    </row>
    <row r="708" ht="15" spans="1:51">
      <c r="A708" s="91"/>
      <c r="B708" s="95"/>
      <c r="C708" s="152" t="s">
        <v>668</v>
      </c>
      <c r="D708" s="153" t="s">
        <v>25</v>
      </c>
      <c r="E708" s="130" t="s">
        <v>669</v>
      </c>
      <c r="F708" s="179" t="s">
        <v>735</v>
      </c>
      <c r="G708" s="179" t="s">
        <v>735</v>
      </c>
      <c r="H708" s="179" t="s">
        <v>735</v>
      </c>
      <c r="I708" s="179" t="s">
        <v>735</v>
      </c>
      <c r="J708" s="132">
        <v>0.9</v>
      </c>
      <c r="K708" s="133">
        <v>0.857142857142857</v>
      </c>
      <c r="L708" s="133">
        <v>0.916666666666667</v>
      </c>
      <c r="M708" s="134">
        <v>0.825396825396825</v>
      </c>
      <c r="N708" s="133">
        <v>0.878070175438596</v>
      </c>
      <c r="O708" s="135">
        <v>0.9</v>
      </c>
      <c r="P708" s="133">
        <v>0.977281478629188</v>
      </c>
      <c r="Q708" s="133">
        <v>0.967320261437909</v>
      </c>
      <c r="R708" s="133">
        <v>0.984615384615385</v>
      </c>
      <c r="S708" s="133">
        <v>0.97263255157992</v>
      </c>
      <c r="T708" s="135">
        <v>0.9</v>
      </c>
      <c r="U708" s="133">
        <v>0.957643434732384</v>
      </c>
      <c r="V708" s="133">
        <v>0.96078431372549</v>
      </c>
      <c r="W708" s="133">
        <v>0.965034965034965</v>
      </c>
      <c r="X708" s="133">
        <v>0.945593366645998</v>
      </c>
      <c r="Y708" s="135">
        <v>0.92</v>
      </c>
      <c r="Z708" s="135">
        <v>0.951011714589989</v>
      </c>
      <c r="AA708" s="135">
        <v>0.959770114942529</v>
      </c>
      <c r="AB708" s="135">
        <v>0.965325936199723</v>
      </c>
      <c r="AC708" s="135">
        <v>0.940826655419654</v>
      </c>
      <c r="AD708" s="135">
        <v>0.92</v>
      </c>
      <c r="AE708" s="133">
        <v>0.995018679950187</v>
      </c>
      <c r="AF708" s="133">
        <v>0.987619047619048</v>
      </c>
      <c r="AG708" s="133">
        <v>0.972972972972973</v>
      </c>
      <c r="AH708" s="133">
        <v>0.96843023255814</v>
      </c>
      <c r="AI708" s="135">
        <v>0.92</v>
      </c>
      <c r="AJ708" s="133">
        <v>0.965799886941775</v>
      </c>
      <c r="AK708" s="133">
        <v>0.976581614819993</v>
      </c>
      <c r="AL708" s="133">
        <v>0.977458607620188</v>
      </c>
      <c r="AM708" s="133">
        <v>0.963780344096158</v>
      </c>
      <c r="AN708" s="132">
        <v>0.99</v>
      </c>
      <c r="AO708" s="137">
        <v>1</v>
      </c>
      <c r="AP708" s="137">
        <v>1</v>
      </c>
      <c r="AQ708" s="137">
        <v>1</v>
      </c>
      <c r="AR708" s="137">
        <v>1</v>
      </c>
      <c r="AS708" s="158">
        <v>0.0810595228934205</v>
      </c>
      <c r="AT708" s="141">
        <v>0.0588235294117647</v>
      </c>
      <c r="AU708" s="141">
        <v>0</v>
      </c>
      <c r="AV708" s="141">
        <v>0.0476190476190476</v>
      </c>
      <c r="AW708" s="141">
        <v>0.0277777777777778</v>
      </c>
      <c r="AX708" s="95"/>
      <c r="AY708" s="93"/>
    </row>
    <row r="709" ht="15" spans="1:51">
      <c r="A709" s="91"/>
      <c r="B709" s="95"/>
      <c r="C709" s="152" t="s">
        <v>668</v>
      </c>
      <c r="D709" s="153" t="s">
        <v>25</v>
      </c>
      <c r="E709" s="130" t="s">
        <v>669</v>
      </c>
      <c r="F709" s="179" t="s">
        <v>736</v>
      </c>
      <c r="G709" s="179" t="s">
        <v>736</v>
      </c>
      <c r="H709" s="179" t="s">
        <v>736</v>
      </c>
      <c r="I709" s="179" t="s">
        <v>736</v>
      </c>
      <c r="J709" s="132">
        <v>0.9</v>
      </c>
      <c r="K709" s="133">
        <v>0.85</v>
      </c>
      <c r="L709" s="133">
        <v>0.810810810810811</v>
      </c>
      <c r="M709" s="134">
        <v>0.75609756097561</v>
      </c>
      <c r="N709" s="133">
        <v>0.851900393184797</v>
      </c>
      <c r="O709" s="135">
        <v>0.9</v>
      </c>
      <c r="P709" s="133">
        <v>0.886352357320099</v>
      </c>
      <c r="Q709" s="133">
        <v>0.863722397476341</v>
      </c>
      <c r="R709" s="133">
        <v>0.914577259475219</v>
      </c>
      <c r="S709" s="133">
        <v>0.908599546981176</v>
      </c>
      <c r="T709" s="135">
        <v>0.9</v>
      </c>
      <c r="U709" s="133">
        <v>0.89181141439206</v>
      </c>
      <c r="V709" s="133">
        <v>0.936908517350158</v>
      </c>
      <c r="W709" s="133">
        <v>0.937609329446064</v>
      </c>
      <c r="X709" s="133">
        <v>0.93082871202062</v>
      </c>
      <c r="Y709" s="135">
        <v>0.92</v>
      </c>
      <c r="Z709" s="135">
        <v>0.938028169014084</v>
      </c>
      <c r="AA709" s="135">
        <v>0.949302915082383</v>
      </c>
      <c r="AB709" s="135">
        <v>0.95993031358885</v>
      </c>
      <c r="AC709" s="135">
        <v>0.941822916666667</v>
      </c>
      <c r="AD709" s="135">
        <v>0.92</v>
      </c>
      <c r="AE709" s="133">
        <v>0.997444633730835</v>
      </c>
      <c r="AF709" s="133">
        <v>0.98741610738255</v>
      </c>
      <c r="AG709" s="133">
        <v>0.983870967741935</v>
      </c>
      <c r="AH709" s="133">
        <v>0.967694933599767</v>
      </c>
      <c r="AI709" s="135">
        <v>0.92</v>
      </c>
      <c r="AJ709" s="133">
        <v>0.947889908256881</v>
      </c>
      <c r="AK709" s="133">
        <v>0.964631578947368</v>
      </c>
      <c r="AL709" s="133">
        <v>0.963036963036963</v>
      </c>
      <c r="AM709" s="133">
        <v>0.962092649071828</v>
      </c>
      <c r="AN709" s="132">
        <v>0.99</v>
      </c>
      <c r="AO709" s="137">
        <v>1</v>
      </c>
      <c r="AP709" s="137">
        <v>1</v>
      </c>
      <c r="AQ709" s="137">
        <v>1</v>
      </c>
      <c r="AR709" s="137">
        <v>1</v>
      </c>
      <c r="AS709" s="158">
        <v>0.0810595228934205</v>
      </c>
      <c r="AT709" s="141">
        <v>0</v>
      </c>
      <c r="AU709" s="141">
        <v>0</v>
      </c>
      <c r="AV709" s="141">
        <v>0</v>
      </c>
      <c r="AW709" s="141">
        <v>0.0626702997275204</v>
      </c>
      <c r="AX709" s="95"/>
      <c r="AY709" s="93"/>
    </row>
    <row r="710" ht="15" spans="1:51">
      <c r="A710" s="91"/>
      <c r="B710" s="95"/>
      <c r="C710" s="152" t="s">
        <v>668</v>
      </c>
      <c r="D710" s="153" t="s">
        <v>25</v>
      </c>
      <c r="E710" s="130" t="s">
        <v>669</v>
      </c>
      <c r="F710" s="179" t="s">
        <v>737</v>
      </c>
      <c r="G710" s="179" t="s">
        <v>737</v>
      </c>
      <c r="H710" s="179" t="s">
        <v>737</v>
      </c>
      <c r="I710" s="179" t="s">
        <v>737</v>
      </c>
      <c r="J710" s="132">
        <v>0.9</v>
      </c>
      <c r="K710" s="133">
        <v>0.957446808510638</v>
      </c>
      <c r="L710" s="133">
        <v>0.945945945945946</v>
      </c>
      <c r="M710" s="134">
        <v>0.911111111111111</v>
      </c>
      <c r="N710" s="133">
        <v>0.90414201183432</v>
      </c>
      <c r="O710" s="135">
        <v>0.9</v>
      </c>
      <c r="P710" s="133">
        <v>0.977399036680252</v>
      </c>
      <c r="Q710" s="133">
        <v>0.957575757575758</v>
      </c>
      <c r="R710" s="133">
        <v>0.972645739910314</v>
      </c>
      <c r="S710" s="133">
        <v>0.951007824239598</v>
      </c>
      <c r="T710" s="135">
        <v>0.9</v>
      </c>
      <c r="U710" s="133">
        <v>0.963690255650241</v>
      </c>
      <c r="V710" s="133">
        <v>0.967365967365967</v>
      </c>
      <c r="W710" s="133">
        <v>0.962331838565022</v>
      </c>
      <c r="X710" s="133">
        <v>0.953779988600446</v>
      </c>
      <c r="Y710" s="135">
        <v>0.92</v>
      </c>
      <c r="Z710" s="135">
        <v>0.954162768942937</v>
      </c>
      <c r="AA710" s="135">
        <v>0.967370441458733</v>
      </c>
      <c r="AB710" s="135">
        <v>0.965745856353591</v>
      </c>
      <c r="AC710" s="135">
        <v>0.969241028633351</v>
      </c>
      <c r="AD710" s="135">
        <v>0.92</v>
      </c>
      <c r="AE710" s="133">
        <v>0.999255121042831</v>
      </c>
      <c r="AF710" s="133">
        <v>0.999006359300477</v>
      </c>
      <c r="AG710" s="133">
        <v>0.997945205479452</v>
      </c>
      <c r="AH710" s="133">
        <v>0.993680085950831</v>
      </c>
      <c r="AI710" s="135">
        <v>0.92</v>
      </c>
      <c r="AJ710" s="133">
        <v>0.975331564986737</v>
      </c>
      <c r="AK710" s="133">
        <v>0.983056165673047</v>
      </c>
      <c r="AL710" s="133">
        <v>0.98434588147596</v>
      </c>
      <c r="AM710" s="133">
        <v>0.981337127162433</v>
      </c>
      <c r="AN710" s="132">
        <v>0.99</v>
      </c>
      <c r="AO710" s="137">
        <v>1</v>
      </c>
      <c r="AP710" s="137">
        <v>1</v>
      </c>
      <c r="AQ710" s="137">
        <v>1</v>
      </c>
      <c r="AR710" s="137">
        <v>1</v>
      </c>
      <c r="AS710" s="158">
        <v>0.0810595228934205</v>
      </c>
      <c r="AT710" s="141">
        <v>0.0714285714285714</v>
      </c>
      <c r="AU710" s="141">
        <v>0</v>
      </c>
      <c r="AV710" s="141">
        <v>0</v>
      </c>
      <c r="AW710" s="141">
        <v>0.0346820809248555</v>
      </c>
      <c r="AX710" s="95"/>
      <c r="AY710" s="93"/>
    </row>
    <row r="711" ht="15" spans="1:51">
      <c r="A711" s="91"/>
      <c r="B711" s="95"/>
      <c r="C711" s="152" t="s">
        <v>668</v>
      </c>
      <c r="D711" s="153" t="s">
        <v>25</v>
      </c>
      <c r="E711" s="130" t="s">
        <v>669</v>
      </c>
      <c r="F711" s="179" t="s">
        <v>738</v>
      </c>
      <c r="G711" s="179" t="s">
        <v>738</v>
      </c>
      <c r="H711" s="179" t="s">
        <v>738</v>
      </c>
      <c r="I711" s="179" t="s">
        <v>738</v>
      </c>
      <c r="J711" s="132">
        <v>0.9</v>
      </c>
      <c r="K711" s="133">
        <v>1</v>
      </c>
      <c r="L711" s="133">
        <v>0.916666666666667</v>
      </c>
      <c r="M711" s="134">
        <v>0.96551724137931</v>
      </c>
      <c r="N711" s="133">
        <v>0.95910780669145</v>
      </c>
      <c r="O711" s="135">
        <v>0.9</v>
      </c>
      <c r="P711" s="133">
        <v>0.956043956043956</v>
      </c>
      <c r="Q711" s="133">
        <v>0.963796477495108</v>
      </c>
      <c r="R711" s="133">
        <v>0.953238953238953</v>
      </c>
      <c r="S711" s="133">
        <v>0.935565298259599</v>
      </c>
      <c r="T711" s="135">
        <v>0.9</v>
      </c>
      <c r="U711" s="133">
        <v>0.934065934065934</v>
      </c>
      <c r="V711" s="133">
        <v>0.928571428571429</v>
      </c>
      <c r="W711" s="133">
        <v>0.939081939081939</v>
      </c>
      <c r="X711" s="133">
        <v>0.916810592976396</v>
      </c>
      <c r="Y711" s="135">
        <v>0.92</v>
      </c>
      <c r="Z711" s="135">
        <v>0.946153846153846</v>
      </c>
      <c r="AA711" s="135">
        <v>0.951644100580271</v>
      </c>
      <c r="AB711" s="135">
        <v>0.937354988399072</v>
      </c>
      <c r="AC711" s="135">
        <v>0.947333431821539</v>
      </c>
      <c r="AD711" s="135">
        <v>0.92</v>
      </c>
      <c r="AE711" s="133">
        <v>1</v>
      </c>
      <c r="AF711" s="133">
        <v>1</v>
      </c>
      <c r="AG711" s="133">
        <v>0.996055226824458</v>
      </c>
      <c r="AH711" s="133">
        <v>0.9884941089838</v>
      </c>
      <c r="AI711" s="135">
        <v>0.92</v>
      </c>
      <c r="AJ711" s="133">
        <v>0.958620689655172</v>
      </c>
      <c r="AK711" s="133">
        <v>0.960440985732815</v>
      </c>
      <c r="AL711" s="133">
        <v>0.967088607594937</v>
      </c>
      <c r="AM711" s="133">
        <v>0.964952316076294</v>
      </c>
      <c r="AN711" s="132">
        <v>0.99</v>
      </c>
      <c r="AO711" s="137">
        <v>1</v>
      </c>
      <c r="AP711" s="137">
        <v>1</v>
      </c>
      <c r="AQ711" s="137">
        <v>1</v>
      </c>
      <c r="AR711" s="137">
        <v>1</v>
      </c>
      <c r="AS711" s="158">
        <v>0.0810595228934205</v>
      </c>
      <c r="AT711" s="141">
        <v>0.111111111111111</v>
      </c>
      <c r="AU711" s="141">
        <v>0.0769230769230769</v>
      </c>
      <c r="AV711" s="141">
        <v>0.117647058823529</v>
      </c>
      <c r="AW711" s="141">
        <v>0.0352941176470588</v>
      </c>
      <c r="AX711" s="95"/>
      <c r="AY711" s="93"/>
    </row>
    <row r="712" ht="15" spans="1:51">
      <c r="A712" s="91"/>
      <c r="B712" s="95"/>
      <c r="C712" s="152" t="s">
        <v>668</v>
      </c>
      <c r="D712" s="153" t="s">
        <v>25</v>
      </c>
      <c r="E712" s="130" t="s">
        <v>669</v>
      </c>
      <c r="F712" s="179" t="s">
        <v>739</v>
      </c>
      <c r="G712" s="179" t="s">
        <v>739</v>
      </c>
      <c r="H712" s="179" t="s">
        <v>739</v>
      </c>
      <c r="I712" s="179" t="s">
        <v>739</v>
      </c>
      <c r="J712" s="132">
        <v>0.9</v>
      </c>
      <c r="K712" s="133">
        <v>0.795918367346939</v>
      </c>
      <c r="L712" s="133">
        <v>0.8</v>
      </c>
      <c r="M712" s="134">
        <v>0.702127659574468</v>
      </c>
      <c r="N712" s="133">
        <v>0.74</v>
      </c>
      <c r="O712" s="135">
        <v>0.9</v>
      </c>
      <c r="P712" s="133">
        <v>0.965009208103131</v>
      </c>
      <c r="Q712" s="133">
        <v>0.932304038004751</v>
      </c>
      <c r="R712" s="133">
        <v>0.93121057374587</v>
      </c>
      <c r="S712" s="133">
        <v>0.95305577219853</v>
      </c>
      <c r="T712" s="135">
        <v>0.9</v>
      </c>
      <c r="U712" s="133">
        <v>0.927255985267035</v>
      </c>
      <c r="V712" s="133">
        <v>0.916864608076009</v>
      </c>
      <c r="W712" s="133">
        <v>0.896064884349655</v>
      </c>
      <c r="X712" s="133">
        <v>0.91389409753912</v>
      </c>
      <c r="Y712" s="135">
        <v>0.92</v>
      </c>
      <c r="Z712" s="135">
        <v>0.968160377358491</v>
      </c>
      <c r="AA712" s="135">
        <v>0.962219598583235</v>
      </c>
      <c r="AB712" s="135">
        <v>0.96671490593343</v>
      </c>
      <c r="AC712" s="135">
        <v>0.964687335785602</v>
      </c>
      <c r="AD712" s="135">
        <v>0.92</v>
      </c>
      <c r="AE712" s="133">
        <v>0.998233215547703</v>
      </c>
      <c r="AF712" s="133">
        <v>0.98876404494382</v>
      </c>
      <c r="AG712" s="133">
        <v>0.994183933115231</v>
      </c>
      <c r="AH712" s="133">
        <v>0.99323556319481</v>
      </c>
      <c r="AI712" s="135">
        <v>0.92</v>
      </c>
      <c r="AJ712" s="133">
        <v>0.975827814569536</v>
      </c>
      <c r="AK712" s="133">
        <v>0.971552745950217</v>
      </c>
      <c r="AL712" s="133">
        <v>0.976616915422886</v>
      </c>
      <c r="AM712" s="133">
        <v>0.976865210871839</v>
      </c>
      <c r="AN712" s="132">
        <v>0.99</v>
      </c>
      <c r="AO712" s="137">
        <v>1</v>
      </c>
      <c r="AP712" s="137">
        <v>1</v>
      </c>
      <c r="AQ712" s="137">
        <v>1</v>
      </c>
      <c r="AR712" s="137">
        <v>1</v>
      </c>
      <c r="AS712" s="158">
        <v>0.0810595228934205</v>
      </c>
      <c r="AT712" s="141">
        <v>0</v>
      </c>
      <c r="AU712" s="141">
        <v>0</v>
      </c>
      <c r="AV712" s="141">
        <v>0.0769230769230769</v>
      </c>
      <c r="AW712" s="141">
        <v>0.0233333333333333</v>
      </c>
      <c r="AX712" s="95"/>
      <c r="AY712" s="93"/>
    </row>
    <row r="713" ht="15" spans="1:51">
      <c r="A713" s="91"/>
      <c r="B713" s="95"/>
      <c r="C713" s="152" t="s">
        <v>668</v>
      </c>
      <c r="D713" s="153" t="s">
        <v>25</v>
      </c>
      <c r="E713" s="130" t="s">
        <v>669</v>
      </c>
      <c r="F713" s="179" t="s">
        <v>740</v>
      </c>
      <c r="G713" s="179" t="s">
        <v>740</v>
      </c>
      <c r="H713" s="179" t="s">
        <v>740</v>
      </c>
      <c r="I713" s="179" t="s">
        <v>740</v>
      </c>
      <c r="J713" s="132">
        <v>0.9</v>
      </c>
      <c r="K713" s="133">
        <v>0.891891891891892</v>
      </c>
      <c r="L713" s="133">
        <v>0.964285714285714</v>
      </c>
      <c r="M713" s="134">
        <v>0.911764705882353</v>
      </c>
      <c r="N713" s="133">
        <v>0.903323262839879</v>
      </c>
      <c r="O713" s="135">
        <v>0.9</v>
      </c>
      <c r="P713" s="133">
        <v>0.964531498147168</v>
      </c>
      <c r="Q713" s="133">
        <v>0.924773022049287</v>
      </c>
      <c r="R713" s="133">
        <v>0.967029548989114</v>
      </c>
      <c r="S713" s="133">
        <v>0.956641682281907</v>
      </c>
      <c r="T713" s="135">
        <v>0.9</v>
      </c>
      <c r="U713" s="133">
        <v>0.9571201694018</v>
      </c>
      <c r="V713" s="133">
        <v>0.954604409857328</v>
      </c>
      <c r="W713" s="133">
        <v>0.939968895800933</v>
      </c>
      <c r="X713" s="133">
        <v>0.927926990075647</v>
      </c>
      <c r="Y713" s="135">
        <v>0.92</v>
      </c>
      <c r="Z713" s="135">
        <v>0.964232488822653</v>
      </c>
      <c r="AA713" s="135">
        <v>0.976366322008863</v>
      </c>
      <c r="AB713" s="135">
        <v>0.976277372262774</v>
      </c>
      <c r="AC713" s="135">
        <v>0.964972083455774</v>
      </c>
      <c r="AD713" s="135">
        <v>0.92</v>
      </c>
      <c r="AE713" s="133">
        <v>0.997858672376874</v>
      </c>
      <c r="AF713" s="133">
        <v>0.993243243243243</v>
      </c>
      <c r="AG713" s="133">
        <v>0.986979166666667</v>
      </c>
      <c r="AH713" s="133">
        <v>0.994485294117647</v>
      </c>
      <c r="AI713" s="135">
        <v>0.92</v>
      </c>
      <c r="AJ713" s="133">
        <v>0.966809839906287</v>
      </c>
      <c r="AK713" s="133">
        <v>0.976126126126126</v>
      </c>
      <c r="AL713" s="133">
        <v>0.97980334839224</v>
      </c>
      <c r="AM713" s="133">
        <v>0.9720730972622</v>
      </c>
      <c r="AN713" s="132">
        <v>0.99</v>
      </c>
      <c r="AO713" s="137">
        <v>1</v>
      </c>
      <c r="AP713" s="137">
        <v>1</v>
      </c>
      <c r="AQ713" s="137">
        <v>1</v>
      </c>
      <c r="AR713" s="137">
        <v>1</v>
      </c>
      <c r="AS713" s="158">
        <v>0.0810595228934205</v>
      </c>
      <c r="AT713" s="141">
        <v>0</v>
      </c>
      <c r="AU713" s="141">
        <v>0</v>
      </c>
      <c r="AV713" s="141">
        <v>0</v>
      </c>
      <c r="AW713" s="141">
        <v>0.0334728033472803</v>
      </c>
      <c r="AX713" s="95"/>
      <c r="AY713" s="93"/>
    </row>
    <row r="714" ht="15" spans="1:51">
      <c r="A714" s="91"/>
      <c r="B714" s="95"/>
      <c r="C714" s="152" t="s">
        <v>668</v>
      </c>
      <c r="D714" s="153" t="s">
        <v>25</v>
      </c>
      <c r="E714" s="130" t="s">
        <v>669</v>
      </c>
      <c r="F714" s="179" t="s">
        <v>741</v>
      </c>
      <c r="G714" s="179" t="s">
        <v>741</v>
      </c>
      <c r="H714" s="179" t="s">
        <v>741</v>
      </c>
      <c r="I714" s="179" t="s">
        <v>741</v>
      </c>
      <c r="J714" s="132">
        <v>0.9</v>
      </c>
      <c r="K714" s="133">
        <v>0.739130434782609</v>
      </c>
      <c r="L714" s="133">
        <v>0.866666666666667</v>
      </c>
      <c r="M714" s="134">
        <v>0.6</v>
      </c>
      <c r="N714" s="133">
        <v>0.697336561743341</v>
      </c>
      <c r="O714" s="135">
        <v>0.9</v>
      </c>
      <c r="P714" s="133">
        <v>0.967196819085487</v>
      </c>
      <c r="Q714" s="133">
        <v>0.951837769328264</v>
      </c>
      <c r="R714" s="133">
        <v>0.956572769953052</v>
      </c>
      <c r="S714" s="133">
        <v>0.941103497164461</v>
      </c>
      <c r="T714" s="135">
        <v>0.9</v>
      </c>
      <c r="U714" s="133">
        <v>0.934393638170974</v>
      </c>
      <c r="V714" s="133">
        <v>0.856780735107731</v>
      </c>
      <c r="W714" s="133">
        <v>0.929577464788732</v>
      </c>
      <c r="X714" s="133">
        <v>0.895291824196597</v>
      </c>
      <c r="Y714" s="135">
        <v>0.92</v>
      </c>
      <c r="Z714" s="135">
        <v>0.950549450549451</v>
      </c>
      <c r="AA714" s="135">
        <v>0.922077922077922</v>
      </c>
      <c r="AB714" s="135">
        <v>0.955631399317406</v>
      </c>
      <c r="AC714" s="135">
        <v>0.912968416776683</v>
      </c>
      <c r="AD714" s="135">
        <v>0.92</v>
      </c>
      <c r="AE714" s="133">
        <v>0.99</v>
      </c>
      <c r="AF714" s="133">
        <v>0.989795918367347</v>
      </c>
      <c r="AG714" s="133">
        <v>1</v>
      </c>
      <c r="AH714" s="133">
        <v>0.984375</v>
      </c>
      <c r="AI714" s="135">
        <v>0.92</v>
      </c>
      <c r="AJ714" s="133">
        <v>0.964233576642336</v>
      </c>
      <c r="AK714" s="133">
        <v>0.955706984667802</v>
      </c>
      <c r="AL714" s="133">
        <v>0.961461461461461</v>
      </c>
      <c r="AM714" s="133">
        <v>0.949020414694923</v>
      </c>
      <c r="AN714" s="132">
        <v>0.99</v>
      </c>
      <c r="AO714" s="137">
        <v>1</v>
      </c>
      <c r="AP714" s="137">
        <v>1</v>
      </c>
      <c r="AQ714" s="137" t="s">
        <v>35</v>
      </c>
      <c r="AR714" s="137">
        <v>1</v>
      </c>
      <c r="AS714" s="158">
        <v>0.0810595228934205</v>
      </c>
      <c r="AT714" s="141">
        <v>0</v>
      </c>
      <c r="AU714" s="141">
        <v>1.5</v>
      </c>
      <c r="AV714" s="141">
        <v>0</v>
      </c>
      <c r="AW714" s="141">
        <v>0.0437956204379562</v>
      </c>
      <c r="AX714" s="95"/>
      <c r="AY714" s="93"/>
    </row>
    <row r="715" ht="15" spans="1:51">
      <c r="A715" s="91"/>
      <c r="B715" s="95"/>
      <c r="C715" s="152" t="s">
        <v>668</v>
      </c>
      <c r="D715" s="153" t="s">
        <v>25</v>
      </c>
      <c r="E715" s="130" t="s">
        <v>669</v>
      </c>
      <c r="F715" s="179" t="s">
        <v>742</v>
      </c>
      <c r="G715" s="179" t="s">
        <v>742</v>
      </c>
      <c r="H715" s="179" t="s">
        <v>742</v>
      </c>
      <c r="I715" s="179" t="s">
        <v>742</v>
      </c>
      <c r="J715" s="132">
        <v>0.9</v>
      </c>
      <c r="K715" s="133">
        <v>0.896551724137931</v>
      </c>
      <c r="L715" s="133">
        <v>0.896551724137931</v>
      </c>
      <c r="M715" s="134">
        <v>0.896551724137931</v>
      </c>
      <c r="N715" s="133">
        <v>0.887884267631103</v>
      </c>
      <c r="O715" s="135">
        <v>0.9</v>
      </c>
      <c r="P715" s="133">
        <v>0.974393530997305</v>
      </c>
      <c r="Q715" s="133">
        <v>0.975580702799285</v>
      </c>
      <c r="R715" s="133">
        <v>0.975560667050029</v>
      </c>
      <c r="S715" s="133">
        <v>0.961417954500734</v>
      </c>
      <c r="T715" s="135">
        <v>0.9</v>
      </c>
      <c r="U715" s="133">
        <v>0.955525606469003</v>
      </c>
      <c r="V715" s="133">
        <v>0.951161405598571</v>
      </c>
      <c r="W715" s="133">
        <v>0.953709028177113</v>
      </c>
      <c r="X715" s="133">
        <v>0.943148621853573</v>
      </c>
      <c r="Y715" s="135">
        <v>0.92</v>
      </c>
      <c r="Z715" s="135">
        <v>0.971098265895954</v>
      </c>
      <c r="AA715" s="135">
        <v>0.968085106382979</v>
      </c>
      <c r="AB715" s="135">
        <v>0.978448275862069</v>
      </c>
      <c r="AC715" s="135">
        <v>0.96625472887768</v>
      </c>
      <c r="AD715" s="135">
        <v>0.92</v>
      </c>
      <c r="AE715" s="133">
        <v>1</v>
      </c>
      <c r="AF715" s="133">
        <v>1</v>
      </c>
      <c r="AG715" s="133">
        <v>0.997574777687955</v>
      </c>
      <c r="AH715" s="133">
        <v>0.99910001799964</v>
      </c>
      <c r="AI715" s="135">
        <v>0.92</v>
      </c>
      <c r="AJ715" s="133">
        <v>0.972824328696215</v>
      </c>
      <c r="AK715" s="133">
        <v>0.977830562153603</v>
      </c>
      <c r="AL715" s="133">
        <v>0.983712574850299</v>
      </c>
      <c r="AM715" s="133">
        <v>0.975187374889437</v>
      </c>
      <c r="AN715" s="132">
        <v>0.99</v>
      </c>
      <c r="AO715" s="137">
        <v>1</v>
      </c>
      <c r="AP715" s="137">
        <v>1</v>
      </c>
      <c r="AQ715" s="137">
        <v>1</v>
      </c>
      <c r="AR715" s="137">
        <v>1</v>
      </c>
      <c r="AS715" s="158">
        <v>0.0810595228934205</v>
      </c>
      <c r="AT715" s="141">
        <v>0.0714285714285714</v>
      </c>
      <c r="AU715" s="141">
        <v>0</v>
      </c>
      <c r="AV715" s="141">
        <v>0</v>
      </c>
      <c r="AW715" s="141">
        <v>0.0524475524475524</v>
      </c>
      <c r="AX715" s="95"/>
      <c r="AY715" s="93"/>
    </row>
    <row r="716" ht="15" spans="1:51">
      <c r="A716" s="91"/>
      <c r="B716" s="95"/>
      <c r="C716" s="152" t="s">
        <v>668</v>
      </c>
      <c r="D716" s="153" t="s">
        <v>25</v>
      </c>
      <c r="E716" s="130" t="s">
        <v>669</v>
      </c>
      <c r="F716" s="179" t="s">
        <v>743</v>
      </c>
      <c r="G716" s="179" t="s">
        <v>743</v>
      </c>
      <c r="H716" s="179" t="s">
        <v>743</v>
      </c>
      <c r="I716" s="179" t="s">
        <v>743</v>
      </c>
      <c r="J716" s="132">
        <v>0.9</v>
      </c>
      <c r="K716" s="133">
        <v>0.761904761904762</v>
      </c>
      <c r="L716" s="133">
        <v>0.8125</v>
      </c>
      <c r="M716" s="134">
        <v>0.7</v>
      </c>
      <c r="N716" s="133">
        <v>0.797814207650273</v>
      </c>
      <c r="O716" s="135">
        <v>0.9</v>
      </c>
      <c r="P716" s="133">
        <v>0.95979381443299</v>
      </c>
      <c r="Q716" s="133">
        <v>0.959006211180124</v>
      </c>
      <c r="R716" s="133">
        <v>0.948084054388133</v>
      </c>
      <c r="S716" s="133">
        <v>0.931692985677562</v>
      </c>
      <c r="T716" s="135">
        <v>0.9</v>
      </c>
      <c r="U716" s="133">
        <v>0.939175257731959</v>
      </c>
      <c r="V716" s="133">
        <v>0.915527950310559</v>
      </c>
      <c r="W716" s="133">
        <v>0.935723114956737</v>
      </c>
      <c r="X716" s="133">
        <v>0.913731512703235</v>
      </c>
      <c r="Y716" s="135">
        <v>0.92</v>
      </c>
      <c r="Z716" s="135">
        <v>0.876750700280112</v>
      </c>
      <c r="AA716" s="135">
        <v>0.901369863013699</v>
      </c>
      <c r="AB716" s="135">
        <v>0.888888888888889</v>
      </c>
      <c r="AC716" s="135">
        <v>0.888493607559755</v>
      </c>
      <c r="AD716" s="135">
        <v>0.92</v>
      </c>
      <c r="AE716" s="133">
        <v>0.979310344827586</v>
      </c>
      <c r="AF716" s="133">
        <v>0.922305764411028</v>
      </c>
      <c r="AG716" s="133">
        <v>0.976744186046512</v>
      </c>
      <c r="AH716" s="133">
        <v>0.972361375021593</v>
      </c>
      <c r="AI716" s="135">
        <v>0.92</v>
      </c>
      <c r="AJ716" s="133">
        <v>0.94197437829691</v>
      </c>
      <c r="AK716" s="133">
        <v>0.935042735042735</v>
      </c>
      <c r="AL716" s="133">
        <v>0.951436031331593</v>
      </c>
      <c r="AM716" s="133">
        <v>0.942228723950313</v>
      </c>
      <c r="AN716" s="132">
        <v>0.99</v>
      </c>
      <c r="AO716" s="137">
        <v>1</v>
      </c>
      <c r="AP716" s="137">
        <v>1</v>
      </c>
      <c r="AQ716" s="137">
        <v>1</v>
      </c>
      <c r="AR716" s="137">
        <v>1</v>
      </c>
      <c r="AS716" s="158">
        <v>0.0810595228934205</v>
      </c>
      <c r="AT716" s="141">
        <v>0</v>
      </c>
      <c r="AU716" s="141">
        <v>0</v>
      </c>
      <c r="AV716" s="141">
        <v>0</v>
      </c>
      <c r="AW716" s="141">
        <v>0.0425531914893617</v>
      </c>
      <c r="AX716" s="95"/>
      <c r="AY716" s="93"/>
    </row>
    <row r="717" ht="15" spans="1:51">
      <c r="A717" s="91"/>
      <c r="B717" s="95"/>
      <c r="C717" s="152" t="s">
        <v>668</v>
      </c>
      <c r="D717" s="153" t="s">
        <v>25</v>
      </c>
      <c r="E717" s="130" t="s">
        <v>669</v>
      </c>
      <c r="F717" s="179" t="s">
        <v>744</v>
      </c>
      <c r="G717" s="179" t="s">
        <v>744</v>
      </c>
      <c r="H717" s="179" t="s">
        <v>744</v>
      </c>
      <c r="I717" s="179" t="s">
        <v>744</v>
      </c>
      <c r="J717" s="132">
        <v>0.9</v>
      </c>
      <c r="K717" s="133">
        <v>0.741935483870968</v>
      </c>
      <c r="L717" s="133">
        <v>0.592592592592593</v>
      </c>
      <c r="M717" s="134">
        <v>0.59375</v>
      </c>
      <c r="N717" s="133">
        <v>0.63681592039801</v>
      </c>
      <c r="O717" s="135">
        <v>0.9</v>
      </c>
      <c r="P717" s="133">
        <v>0.919264588329337</v>
      </c>
      <c r="Q717" s="133">
        <v>0.900723888314374</v>
      </c>
      <c r="R717" s="133">
        <v>0.928421052631579</v>
      </c>
      <c r="S717" s="133">
        <v>0.846445055229995</v>
      </c>
      <c r="T717" s="135">
        <v>0.9</v>
      </c>
      <c r="U717" s="133">
        <v>0.831334932054356</v>
      </c>
      <c r="V717" s="133">
        <v>0.760082730093071</v>
      </c>
      <c r="W717" s="133">
        <v>0.864210526315789</v>
      </c>
      <c r="X717" s="133">
        <v>0.820126536327335</v>
      </c>
      <c r="Y717" s="135">
        <v>0.92</v>
      </c>
      <c r="Z717" s="135">
        <v>0.917547568710359</v>
      </c>
      <c r="AA717" s="135">
        <v>0.891891891891892</v>
      </c>
      <c r="AB717" s="135">
        <v>0.890374331550802</v>
      </c>
      <c r="AC717" s="135">
        <v>0.892463867859601</v>
      </c>
      <c r="AD717" s="135">
        <v>0.92</v>
      </c>
      <c r="AE717" s="133">
        <v>0.989795918367347</v>
      </c>
      <c r="AF717" s="133">
        <v>1</v>
      </c>
      <c r="AG717" s="133">
        <v>0.987903225806452</v>
      </c>
      <c r="AH717" s="133">
        <v>0.977902272019919</v>
      </c>
      <c r="AI717" s="135">
        <v>0.92</v>
      </c>
      <c r="AJ717" s="133">
        <v>0.933874709976798</v>
      </c>
      <c r="AK717" s="133">
        <v>0.895718232044199</v>
      </c>
      <c r="AL717" s="133">
        <v>0.923043095866315</v>
      </c>
      <c r="AM717" s="133">
        <v>0.927199936262598</v>
      </c>
      <c r="AN717" s="132">
        <v>0.99</v>
      </c>
      <c r="AO717" s="137">
        <v>1</v>
      </c>
      <c r="AP717" s="137">
        <v>1</v>
      </c>
      <c r="AQ717" s="137">
        <v>1</v>
      </c>
      <c r="AR717" s="137">
        <v>1</v>
      </c>
      <c r="AS717" s="158">
        <v>0.0810595228934205</v>
      </c>
      <c r="AT717" s="141">
        <v>0</v>
      </c>
      <c r="AU717" s="141">
        <v>0.5</v>
      </c>
      <c r="AV717" s="141">
        <v>0</v>
      </c>
      <c r="AW717" s="141">
        <v>0.0522388059701493</v>
      </c>
      <c r="AX717" s="95"/>
      <c r="AY717" s="93"/>
    </row>
    <row r="718" ht="15" spans="1:51">
      <c r="A718" s="91"/>
      <c r="B718" s="95"/>
      <c r="C718" s="152" t="s">
        <v>668</v>
      </c>
      <c r="D718" s="153" t="s">
        <v>25</v>
      </c>
      <c r="E718" s="130" t="s">
        <v>669</v>
      </c>
      <c r="F718" s="179" t="s">
        <v>745</v>
      </c>
      <c r="G718" s="179" t="s">
        <v>745</v>
      </c>
      <c r="H718" s="179" t="s">
        <v>745</v>
      </c>
      <c r="I718" s="179" t="s">
        <v>745</v>
      </c>
      <c r="J718" s="132">
        <v>0.9</v>
      </c>
      <c r="K718" s="133">
        <v>0.941176470588235</v>
      </c>
      <c r="L718" s="133">
        <v>0.976190476190476</v>
      </c>
      <c r="M718" s="134">
        <v>0.897959183673469</v>
      </c>
      <c r="N718" s="133">
        <v>0.942553191489362</v>
      </c>
      <c r="O718" s="135">
        <v>0.9</v>
      </c>
      <c r="P718" s="133">
        <v>0.980737704918033</v>
      </c>
      <c r="Q718" s="133">
        <v>0.970404984423676</v>
      </c>
      <c r="R718" s="133">
        <v>0.956645344705046</v>
      </c>
      <c r="S718" s="133">
        <v>0.968706242051308</v>
      </c>
      <c r="T718" s="135">
        <v>0.9</v>
      </c>
      <c r="U718" s="133">
        <v>0.961065573770492</v>
      </c>
      <c r="V718" s="133">
        <v>0.956386292834891</v>
      </c>
      <c r="W718" s="133">
        <v>0.955934612651031</v>
      </c>
      <c r="X718" s="133">
        <v>0.955667176239354</v>
      </c>
      <c r="Y718" s="135">
        <v>0.92</v>
      </c>
      <c r="Z718" s="135">
        <v>0.948275862068966</v>
      </c>
      <c r="AA718" s="135">
        <v>0.966244725738397</v>
      </c>
      <c r="AB718" s="135">
        <v>0.954128440366973</v>
      </c>
      <c r="AC718" s="135">
        <v>0.95997727967842</v>
      </c>
      <c r="AD718" s="135">
        <v>0.92</v>
      </c>
      <c r="AE718" s="133">
        <v>1</v>
      </c>
      <c r="AF718" s="133">
        <v>0.994186046511628</v>
      </c>
      <c r="AG718" s="133">
        <v>0.993512511584801</v>
      </c>
      <c r="AH718" s="133">
        <v>0.98499735868991</v>
      </c>
      <c r="AI718" s="135">
        <v>0.92</v>
      </c>
      <c r="AJ718" s="133">
        <v>0.96437054631829</v>
      </c>
      <c r="AK718" s="133">
        <v>0.96972860125261</v>
      </c>
      <c r="AL718" s="133">
        <v>0.970712136409228</v>
      </c>
      <c r="AM718" s="133">
        <v>0.973850306651053</v>
      </c>
      <c r="AN718" s="132">
        <v>0.99</v>
      </c>
      <c r="AO718" s="137">
        <v>1</v>
      </c>
      <c r="AP718" s="137">
        <v>1</v>
      </c>
      <c r="AQ718" s="137">
        <v>1</v>
      </c>
      <c r="AR718" s="137">
        <v>1</v>
      </c>
      <c r="AS718" s="158">
        <v>0.0810595228934205</v>
      </c>
      <c r="AT718" s="141">
        <v>0.1</v>
      </c>
      <c r="AU718" s="141">
        <v>0</v>
      </c>
      <c r="AV718" s="141">
        <v>0</v>
      </c>
      <c r="AW718" s="141">
        <v>0.0346020761245675</v>
      </c>
      <c r="AX718" s="95"/>
      <c r="AY718" s="93"/>
    </row>
    <row r="719" ht="15" spans="1:51">
      <c r="A719" s="91"/>
      <c r="B719" s="95"/>
      <c r="C719" s="152" t="s">
        <v>668</v>
      </c>
      <c r="D719" s="153" t="s">
        <v>25</v>
      </c>
      <c r="E719" s="130" t="s">
        <v>669</v>
      </c>
      <c r="F719" s="179" t="s">
        <v>746</v>
      </c>
      <c r="G719" s="179" t="s">
        <v>746</v>
      </c>
      <c r="H719" s="179" t="s">
        <v>746</v>
      </c>
      <c r="I719" s="179" t="s">
        <v>746</v>
      </c>
      <c r="J719" s="132">
        <v>0.9</v>
      </c>
      <c r="K719" s="133">
        <v>0.978723404255319</v>
      </c>
      <c r="L719" s="133">
        <v>0.972222222222222</v>
      </c>
      <c r="M719" s="134">
        <v>0.9</v>
      </c>
      <c r="N719" s="133">
        <v>0.967701863354037</v>
      </c>
      <c r="O719" s="135">
        <v>0.9</v>
      </c>
      <c r="P719" s="133">
        <v>0.985700667302193</v>
      </c>
      <c r="Q719" s="133">
        <v>0.989525569932224</v>
      </c>
      <c r="R719" s="133">
        <v>0.96952380952381</v>
      </c>
      <c r="S719" s="133">
        <v>0.968342080473691</v>
      </c>
      <c r="T719" s="135">
        <v>0.9</v>
      </c>
      <c r="U719" s="133">
        <v>0.944709246901811</v>
      </c>
      <c r="V719" s="133">
        <v>0.943314849044978</v>
      </c>
      <c r="W719" s="133">
        <v>0.916507936507936</v>
      </c>
      <c r="X719" s="133">
        <v>0.927028663706096</v>
      </c>
      <c r="Y719" s="135">
        <v>0.92</v>
      </c>
      <c r="Z719" s="135">
        <v>0.936590436590437</v>
      </c>
      <c r="AA719" s="135">
        <v>0.902061855670103</v>
      </c>
      <c r="AB719" s="135">
        <v>0.925</v>
      </c>
      <c r="AC719" s="135">
        <v>0.927517508669341</v>
      </c>
      <c r="AD719" s="135">
        <v>0.92</v>
      </c>
      <c r="AE719" s="133">
        <v>1</v>
      </c>
      <c r="AF719" s="133">
        <v>0.998846597462514</v>
      </c>
      <c r="AG719" s="133">
        <v>0.998891352549889</v>
      </c>
      <c r="AH719" s="133">
        <v>0.997933991012861</v>
      </c>
      <c r="AI719" s="135">
        <v>0.92</v>
      </c>
      <c r="AJ719" s="133">
        <v>0.958496732026144</v>
      </c>
      <c r="AK719" s="133">
        <v>0.951020408163265</v>
      </c>
      <c r="AL719" s="133">
        <v>0.957549857549858</v>
      </c>
      <c r="AM719" s="133">
        <v>0.962256263653281</v>
      </c>
      <c r="AN719" s="132">
        <v>0.99</v>
      </c>
      <c r="AO719" s="137">
        <v>1</v>
      </c>
      <c r="AP719" s="137">
        <v>1</v>
      </c>
      <c r="AQ719" s="137">
        <v>1</v>
      </c>
      <c r="AR719" s="137">
        <v>1</v>
      </c>
      <c r="AS719" s="158">
        <v>0.0810595228934205</v>
      </c>
      <c r="AT719" s="141">
        <v>0.1</v>
      </c>
      <c r="AU719" s="141">
        <v>0</v>
      </c>
      <c r="AV719" s="141">
        <v>0.107142857142857</v>
      </c>
      <c r="AW719" s="141">
        <v>0.0205338809034908</v>
      </c>
      <c r="AX719" s="95"/>
      <c r="AY719" s="93"/>
    </row>
    <row r="720" ht="15" spans="1:51">
      <c r="A720" s="91"/>
      <c r="B720" s="95"/>
      <c r="C720" s="152" t="s">
        <v>668</v>
      </c>
      <c r="D720" s="153" t="s">
        <v>25</v>
      </c>
      <c r="E720" s="130" t="s">
        <v>669</v>
      </c>
      <c r="F720" s="179" t="s">
        <v>747</v>
      </c>
      <c r="G720" s="179" t="s">
        <v>747</v>
      </c>
      <c r="H720" s="179" t="s">
        <v>747</v>
      </c>
      <c r="I720" s="179" t="s">
        <v>747</v>
      </c>
      <c r="J720" s="132">
        <v>0.9</v>
      </c>
      <c r="K720" s="133">
        <v>0.973333333333333</v>
      </c>
      <c r="L720" s="133">
        <v>0.971014492753623</v>
      </c>
      <c r="M720" s="134">
        <v>0.928571428571429</v>
      </c>
      <c r="N720" s="133">
        <v>0.972242512783053</v>
      </c>
      <c r="O720" s="135">
        <v>0.9</v>
      </c>
      <c r="P720" s="133">
        <v>0.988982161594963</v>
      </c>
      <c r="Q720" s="133">
        <v>0.989061397318278</v>
      </c>
      <c r="R720" s="133">
        <v>0.988285960378984</v>
      </c>
      <c r="S720" s="133">
        <v>0.981885678504338</v>
      </c>
      <c r="T720" s="135">
        <v>0.9</v>
      </c>
      <c r="U720" s="133">
        <v>0.935729275970619</v>
      </c>
      <c r="V720" s="133">
        <v>0.954481298517996</v>
      </c>
      <c r="W720" s="133">
        <v>0.952627045650301</v>
      </c>
      <c r="X720" s="133">
        <v>0.93677430897218</v>
      </c>
      <c r="Y720" s="135">
        <v>0.92</v>
      </c>
      <c r="Z720" s="135">
        <v>0.928108808290155</v>
      </c>
      <c r="AA720" s="135">
        <v>0.937743190661479</v>
      </c>
      <c r="AB720" s="135">
        <v>0.937689969604863</v>
      </c>
      <c r="AC720" s="135">
        <v>0.947011064808162</v>
      </c>
      <c r="AD720" s="135">
        <v>0.92</v>
      </c>
      <c r="AE720" s="133">
        <v>1</v>
      </c>
      <c r="AF720" s="133">
        <v>0.968911917098446</v>
      </c>
      <c r="AG720" s="133">
        <v>0.952173913043478</v>
      </c>
      <c r="AH720" s="133">
        <v>0.979243174197669</v>
      </c>
      <c r="AI720" s="135">
        <v>0.92</v>
      </c>
      <c r="AJ720" s="133">
        <v>0.954256908140403</v>
      </c>
      <c r="AK720" s="133">
        <v>0.962713619886069</v>
      </c>
      <c r="AL720" s="133">
        <v>0.969054618598174</v>
      </c>
      <c r="AM720" s="133">
        <v>0.972034432381334</v>
      </c>
      <c r="AN720" s="132">
        <v>0.99</v>
      </c>
      <c r="AO720" s="137">
        <v>1</v>
      </c>
      <c r="AP720" s="137">
        <v>1</v>
      </c>
      <c r="AQ720" s="137">
        <v>1</v>
      </c>
      <c r="AR720" s="137">
        <v>1</v>
      </c>
      <c r="AS720" s="158">
        <v>0.0810595228934205</v>
      </c>
      <c r="AT720" s="141">
        <v>0</v>
      </c>
      <c r="AU720" s="141">
        <v>0.0333333333333333</v>
      </c>
      <c r="AV720" s="141">
        <v>0</v>
      </c>
      <c r="AW720" s="141">
        <v>0.026530612244898</v>
      </c>
      <c r="AX720" s="95"/>
      <c r="AY720" s="93"/>
    </row>
    <row r="721" ht="15" spans="1:51">
      <c r="A721" s="91"/>
      <c r="B721" s="95"/>
      <c r="C721" s="152" t="s">
        <v>668</v>
      </c>
      <c r="D721" s="153" t="s">
        <v>25</v>
      </c>
      <c r="E721" s="130" t="s">
        <v>669</v>
      </c>
      <c r="F721" s="179" t="s">
        <v>748</v>
      </c>
      <c r="G721" s="179" t="s">
        <v>748</v>
      </c>
      <c r="H721" s="179" t="s">
        <v>748</v>
      </c>
      <c r="I721" s="179" t="s">
        <v>748</v>
      </c>
      <c r="J721" s="132">
        <v>0.9</v>
      </c>
      <c r="K721" s="133">
        <v>0.98</v>
      </c>
      <c r="L721" s="133">
        <v>0.975609756097561</v>
      </c>
      <c r="M721" s="134">
        <v>0.976744186046512</v>
      </c>
      <c r="N721" s="133">
        <v>0.956926658905704</v>
      </c>
      <c r="O721" s="135">
        <v>0.9</v>
      </c>
      <c r="P721" s="133">
        <v>0.951004409603136</v>
      </c>
      <c r="Q721" s="133">
        <v>0.965494359654944</v>
      </c>
      <c r="R721" s="133">
        <v>0.921146953405018</v>
      </c>
      <c r="S721" s="133">
        <v>0.919317366496976</v>
      </c>
      <c r="T721" s="135">
        <v>0.9</v>
      </c>
      <c r="U721" s="133">
        <v>0.842234198922097</v>
      </c>
      <c r="V721" s="133">
        <v>0.778367617783676</v>
      </c>
      <c r="W721" s="133">
        <v>0.79048550016292</v>
      </c>
      <c r="X721" s="133">
        <v>0.798934025761044</v>
      </c>
      <c r="Y721" s="135">
        <v>0.92</v>
      </c>
      <c r="Z721" s="135">
        <v>0.904231625835189</v>
      </c>
      <c r="AA721" s="135">
        <v>0.907749077490775</v>
      </c>
      <c r="AB721" s="135">
        <v>0.947368421052632</v>
      </c>
      <c r="AC721" s="135">
        <v>0.912615211426159</v>
      </c>
      <c r="AD721" s="135">
        <v>0.92</v>
      </c>
      <c r="AE721" s="133">
        <v>0.9979035639413</v>
      </c>
      <c r="AF721" s="133">
        <v>0.991228070175439</v>
      </c>
      <c r="AG721" s="133">
        <v>0.996746203904555</v>
      </c>
      <c r="AH721" s="133">
        <v>0.990083791957955</v>
      </c>
      <c r="AI721" s="135">
        <v>0.92</v>
      </c>
      <c r="AJ721" s="133">
        <v>0.944879210615856</v>
      </c>
      <c r="AK721" s="133">
        <v>0.939482674475354</v>
      </c>
      <c r="AL721" s="133">
        <v>0.958101377087606</v>
      </c>
      <c r="AM721" s="133">
        <v>0.952486977556041</v>
      </c>
      <c r="AN721" s="132">
        <v>0.99</v>
      </c>
      <c r="AO721" s="137">
        <v>1</v>
      </c>
      <c r="AP721" s="137">
        <v>1</v>
      </c>
      <c r="AQ721" s="137">
        <v>1</v>
      </c>
      <c r="AR721" s="137">
        <v>1</v>
      </c>
      <c r="AS721" s="158">
        <v>0.0810595228934205</v>
      </c>
      <c r="AT721" s="141">
        <v>0</v>
      </c>
      <c r="AU721" s="141">
        <v>0.25</v>
      </c>
      <c r="AV721" s="141">
        <v>0</v>
      </c>
      <c r="AW721" s="141">
        <v>0.0331632653061225</v>
      </c>
      <c r="AX721" s="95"/>
      <c r="AY721" s="93"/>
    </row>
    <row r="722" ht="15" spans="1:51">
      <c r="A722" s="91"/>
      <c r="B722" s="95"/>
      <c r="C722" s="152" t="s">
        <v>668</v>
      </c>
      <c r="D722" s="153" t="s">
        <v>25</v>
      </c>
      <c r="E722" s="130" t="s">
        <v>669</v>
      </c>
      <c r="F722" s="179" t="s">
        <v>749</v>
      </c>
      <c r="G722" s="179" t="s">
        <v>749</v>
      </c>
      <c r="H722" s="179" t="s">
        <v>749</v>
      </c>
      <c r="I722" s="179" t="s">
        <v>749</v>
      </c>
      <c r="J722" s="132">
        <v>0.9</v>
      </c>
      <c r="K722" s="133">
        <v>0.975609756097561</v>
      </c>
      <c r="L722" s="133">
        <v>0.966666666666667</v>
      </c>
      <c r="M722" s="134">
        <v>0.911764705882353</v>
      </c>
      <c r="N722" s="133">
        <v>0.963235294117647</v>
      </c>
      <c r="O722" s="135">
        <v>0.9</v>
      </c>
      <c r="P722" s="133">
        <v>0.966425619834711</v>
      </c>
      <c r="Q722" s="133">
        <v>0.975103734439834</v>
      </c>
      <c r="R722" s="133">
        <v>0.954968944099379</v>
      </c>
      <c r="S722" s="133">
        <v>0.96121531019265</v>
      </c>
      <c r="T722" s="135">
        <v>0.9</v>
      </c>
      <c r="U722" s="133">
        <v>0.923553719008264</v>
      </c>
      <c r="V722" s="133">
        <v>0.906639004149378</v>
      </c>
      <c r="W722" s="133">
        <v>0.921428571428571</v>
      </c>
      <c r="X722" s="133">
        <v>0.927488754985997</v>
      </c>
      <c r="Y722" s="135">
        <v>0.92</v>
      </c>
      <c r="Z722" s="135">
        <v>0.953922789539228</v>
      </c>
      <c r="AA722" s="135">
        <v>0.948121645796064</v>
      </c>
      <c r="AB722" s="135">
        <v>0.959459459459459</v>
      </c>
      <c r="AC722" s="135">
        <v>0.959905937683715</v>
      </c>
      <c r="AD722" s="135">
        <v>0.92</v>
      </c>
      <c r="AE722" s="133">
        <v>0.996865203761755</v>
      </c>
      <c r="AF722" s="133">
        <v>0.992462311557789</v>
      </c>
      <c r="AG722" s="133">
        <v>0.996323529411765</v>
      </c>
      <c r="AH722" s="133">
        <v>0.991528132992327</v>
      </c>
      <c r="AI722" s="135">
        <v>0.92</v>
      </c>
      <c r="AJ722" s="133">
        <v>0.964598540145985</v>
      </c>
      <c r="AK722" s="133">
        <v>0.963092269326683</v>
      </c>
      <c r="AL722" s="133">
        <v>0.96714007240323</v>
      </c>
      <c r="AM722" s="133">
        <v>0.969261161596207</v>
      </c>
      <c r="AN722" s="132">
        <v>0.99</v>
      </c>
      <c r="AO722" s="137">
        <v>1</v>
      </c>
      <c r="AP722" s="137">
        <v>1</v>
      </c>
      <c r="AQ722" s="137">
        <v>1</v>
      </c>
      <c r="AR722" s="137">
        <v>1</v>
      </c>
      <c r="AS722" s="158">
        <v>0.0810595228934205</v>
      </c>
      <c r="AT722" s="141">
        <v>0.0625</v>
      </c>
      <c r="AU722" s="141">
        <v>0</v>
      </c>
      <c r="AV722" s="141">
        <v>0</v>
      </c>
      <c r="AW722" s="141">
        <v>0.015625</v>
      </c>
      <c r="AX722" s="95"/>
      <c r="AY722" s="93"/>
    </row>
    <row r="723" ht="15" spans="1:51">
      <c r="A723" s="91"/>
      <c r="B723" s="95"/>
      <c r="C723" s="152" t="s">
        <v>668</v>
      </c>
      <c r="D723" s="153" t="s">
        <v>25</v>
      </c>
      <c r="E723" s="130" t="s">
        <v>669</v>
      </c>
      <c r="F723" s="179" t="s">
        <v>750</v>
      </c>
      <c r="G723" s="179" t="s">
        <v>750</v>
      </c>
      <c r="H723" s="179" t="s">
        <v>750</v>
      </c>
      <c r="I723" s="179" t="s">
        <v>750</v>
      </c>
      <c r="J723" s="132">
        <v>0.9</v>
      </c>
      <c r="K723" s="133">
        <v>0.96875</v>
      </c>
      <c r="L723" s="133">
        <v>1</v>
      </c>
      <c r="M723" s="134">
        <v>0.9375</v>
      </c>
      <c r="N723" s="133">
        <v>0.993254637436762</v>
      </c>
      <c r="O723" s="135">
        <v>0.9</v>
      </c>
      <c r="P723" s="133">
        <v>0.941588785046729</v>
      </c>
      <c r="Q723" s="133">
        <v>0.987012987012987</v>
      </c>
      <c r="R723" s="133">
        <v>0.983020231213873</v>
      </c>
      <c r="S723" s="133">
        <v>0.960213685103757</v>
      </c>
      <c r="T723" s="135">
        <v>0.9</v>
      </c>
      <c r="U723" s="133">
        <v>0.928738317757009</v>
      </c>
      <c r="V723" s="133">
        <v>0.940746753246753</v>
      </c>
      <c r="W723" s="133">
        <v>0.939306358381503</v>
      </c>
      <c r="X723" s="133">
        <v>0.933098048291291</v>
      </c>
      <c r="Y723" s="135">
        <v>0.92</v>
      </c>
      <c r="Z723" s="135">
        <v>0.861428571428571</v>
      </c>
      <c r="AA723" s="135">
        <v>0.87914691943128</v>
      </c>
      <c r="AB723" s="135">
        <v>0.829268292682927</v>
      </c>
      <c r="AC723" s="135">
        <v>0.891772848828064</v>
      </c>
      <c r="AD723" s="135">
        <v>0.92</v>
      </c>
      <c r="AE723" s="133">
        <v>0.996638655462185</v>
      </c>
      <c r="AF723" s="133">
        <v>1</v>
      </c>
      <c r="AG723" s="133">
        <v>0.993023255813953</v>
      </c>
      <c r="AH723" s="133">
        <v>0.998013034493721</v>
      </c>
      <c r="AI723" s="135">
        <v>0.92</v>
      </c>
      <c r="AJ723" s="133">
        <v>0.923427152317881</v>
      </c>
      <c r="AK723" s="133">
        <v>0.937273823884198</v>
      </c>
      <c r="AL723" s="133">
        <v>0.956218905472637</v>
      </c>
      <c r="AM723" s="133">
        <v>0.956872272600662</v>
      </c>
      <c r="AN723" s="132">
        <v>0.99</v>
      </c>
      <c r="AO723" s="137">
        <v>1</v>
      </c>
      <c r="AP723" s="137">
        <v>1</v>
      </c>
      <c r="AQ723" s="137">
        <v>1</v>
      </c>
      <c r="AR723" s="137">
        <v>1</v>
      </c>
      <c r="AS723" s="158">
        <v>0.0810595228934205</v>
      </c>
      <c r="AT723" s="141">
        <v>0.0625</v>
      </c>
      <c r="AU723" s="141">
        <v>0</v>
      </c>
      <c r="AV723" s="141">
        <v>0.05</v>
      </c>
      <c r="AW723" s="141">
        <v>0.0272596843615495</v>
      </c>
      <c r="AX723" s="95"/>
      <c r="AY723" s="93"/>
    </row>
    <row r="724" ht="15" spans="1:51">
      <c r="A724" s="91"/>
      <c r="B724" s="95"/>
      <c r="C724" s="152" t="s">
        <v>668</v>
      </c>
      <c r="D724" s="153" t="s">
        <v>25</v>
      </c>
      <c r="E724" s="130" t="s">
        <v>669</v>
      </c>
      <c r="F724" s="179" t="s">
        <v>751</v>
      </c>
      <c r="G724" s="179" t="s">
        <v>751</v>
      </c>
      <c r="H724" s="179" t="s">
        <v>751</v>
      </c>
      <c r="I724" s="179" t="s">
        <v>751</v>
      </c>
      <c r="J724" s="132">
        <v>0.9</v>
      </c>
      <c r="K724" s="133">
        <v>0.982142857142857</v>
      </c>
      <c r="L724" s="133">
        <v>0.96</v>
      </c>
      <c r="M724" s="134">
        <v>0.962264150943396</v>
      </c>
      <c r="N724" s="133">
        <v>0.964430894308943</v>
      </c>
      <c r="O724" s="135">
        <v>0.9</v>
      </c>
      <c r="P724" s="133">
        <v>0.971619365609349</v>
      </c>
      <c r="Q724" s="133">
        <v>0.982440342188204</v>
      </c>
      <c r="R724" s="133">
        <v>0.92967223789885</v>
      </c>
      <c r="S724" s="133">
        <v>0.951743190231505</v>
      </c>
      <c r="T724" s="135">
        <v>0.9</v>
      </c>
      <c r="U724" s="133">
        <v>0.876794657762938</v>
      </c>
      <c r="V724" s="133">
        <v>0.841963079693832</v>
      </c>
      <c r="W724" s="133">
        <v>0.784024310831344</v>
      </c>
      <c r="X724" s="133">
        <v>0.739620973534449</v>
      </c>
      <c r="Y724" s="135">
        <v>0.92</v>
      </c>
      <c r="Z724" s="135">
        <v>0.909235668789809</v>
      </c>
      <c r="AA724" s="135">
        <v>0.886506935687264</v>
      </c>
      <c r="AB724" s="135">
        <v>0.861060329067642</v>
      </c>
      <c r="AC724" s="135">
        <v>0.888234765414345</v>
      </c>
      <c r="AD724" s="135">
        <v>0.92</v>
      </c>
      <c r="AE724" s="133">
        <v>0.999710815500289</v>
      </c>
      <c r="AF724" s="133">
        <v>0.99844768705371</v>
      </c>
      <c r="AG724" s="133">
        <v>0.999213630406291</v>
      </c>
      <c r="AH724" s="133">
        <v>0.998252090157923</v>
      </c>
      <c r="AI724" s="135">
        <v>0.92</v>
      </c>
      <c r="AJ724" s="133">
        <v>0.931310279934133</v>
      </c>
      <c r="AK724" s="133">
        <v>0.925348374253484</v>
      </c>
      <c r="AL724" s="133">
        <v>0.92801707411719</v>
      </c>
      <c r="AM724" s="133">
        <v>0.939407377187303</v>
      </c>
      <c r="AN724" s="132">
        <v>0.99</v>
      </c>
      <c r="AO724" s="137">
        <v>1</v>
      </c>
      <c r="AP724" s="137">
        <v>1</v>
      </c>
      <c r="AQ724" s="137">
        <v>1</v>
      </c>
      <c r="AR724" s="137">
        <v>1</v>
      </c>
      <c r="AS724" s="158">
        <v>0.0810595228934205</v>
      </c>
      <c r="AT724" s="141">
        <v>0.0487804878048781</v>
      </c>
      <c r="AU724" s="141">
        <v>0</v>
      </c>
      <c r="AV724" s="141">
        <v>0.0526315789473684</v>
      </c>
      <c r="AW724" s="141">
        <v>0.0356652949245542</v>
      </c>
      <c r="AX724" s="95"/>
      <c r="AY724" s="93"/>
    </row>
    <row r="725" ht="15" spans="1:51">
      <c r="A725" s="91"/>
      <c r="B725" s="95"/>
      <c r="C725" s="152" t="s">
        <v>668</v>
      </c>
      <c r="D725" s="153" t="s">
        <v>25</v>
      </c>
      <c r="E725" s="130" t="s">
        <v>669</v>
      </c>
      <c r="F725" s="179" t="s">
        <v>752</v>
      </c>
      <c r="G725" s="179" t="s">
        <v>752</v>
      </c>
      <c r="H725" s="179" t="s">
        <v>752</v>
      </c>
      <c r="I725" s="179" t="s">
        <v>752</v>
      </c>
      <c r="J725" s="132">
        <v>0.9</v>
      </c>
      <c r="K725" s="133">
        <v>1</v>
      </c>
      <c r="L725" s="133">
        <v>0.961538461538462</v>
      </c>
      <c r="M725" s="134">
        <v>0.862068965517241</v>
      </c>
      <c r="N725" s="133">
        <v>0.935135135135135</v>
      </c>
      <c r="O725" s="135">
        <v>0.9</v>
      </c>
      <c r="P725" s="133">
        <v>0.985044187627464</v>
      </c>
      <c r="Q725" s="133">
        <v>0.969750889679715</v>
      </c>
      <c r="R725" s="133">
        <v>0.967148488830486</v>
      </c>
      <c r="S725" s="133">
        <v>0.961925048259336</v>
      </c>
      <c r="T725" s="135">
        <v>0.9</v>
      </c>
      <c r="U725" s="133">
        <v>0.922501699524133</v>
      </c>
      <c r="V725" s="133">
        <v>0.894128113879004</v>
      </c>
      <c r="W725" s="133">
        <v>0.909767849321069</v>
      </c>
      <c r="X725" s="133">
        <v>0.916550178615013</v>
      </c>
      <c r="Y725" s="135">
        <v>0.92</v>
      </c>
      <c r="Z725" s="135">
        <v>0.945425361155698</v>
      </c>
      <c r="AA725" s="135">
        <v>0.902313624678663</v>
      </c>
      <c r="AB725" s="135">
        <v>0.926070038910506</v>
      </c>
      <c r="AC725" s="135">
        <v>0.927355379267314</v>
      </c>
      <c r="AD725" s="135">
        <v>0.92</v>
      </c>
      <c r="AE725" s="133">
        <v>1</v>
      </c>
      <c r="AF725" s="133">
        <v>0.988023952095808</v>
      </c>
      <c r="AG725" s="133">
        <v>0.990654205607477</v>
      </c>
      <c r="AH725" s="133">
        <v>0.979347826086956</v>
      </c>
      <c r="AI725" s="135">
        <v>0.92</v>
      </c>
      <c r="AJ725" s="133">
        <v>0.950334288443171</v>
      </c>
      <c r="AK725" s="133">
        <v>0.941837409120952</v>
      </c>
      <c r="AL725" s="133">
        <v>0.96259842519685</v>
      </c>
      <c r="AM725" s="133">
        <v>0.957627871444561</v>
      </c>
      <c r="AN725" s="132">
        <v>0.99</v>
      </c>
      <c r="AO725" s="137">
        <v>1</v>
      </c>
      <c r="AP725" s="137">
        <v>1</v>
      </c>
      <c r="AQ725" s="137">
        <v>1</v>
      </c>
      <c r="AR725" s="137">
        <v>1</v>
      </c>
      <c r="AS725" s="158">
        <v>0.0810595228934205</v>
      </c>
      <c r="AT725" s="141">
        <v>0</v>
      </c>
      <c r="AU725" s="141">
        <v>0</v>
      </c>
      <c r="AV725" s="141">
        <v>0</v>
      </c>
      <c r="AW725" s="141">
        <v>0.0453074433656958</v>
      </c>
      <c r="AX725" s="95"/>
      <c r="AY725" s="93"/>
    </row>
    <row r="726" ht="15" spans="1:51">
      <c r="A726" s="91"/>
      <c r="B726" s="95"/>
      <c r="C726" s="152" t="s">
        <v>668</v>
      </c>
      <c r="D726" s="153" t="s">
        <v>25</v>
      </c>
      <c r="E726" s="130" t="s">
        <v>669</v>
      </c>
      <c r="F726" s="179" t="s">
        <v>753</v>
      </c>
      <c r="G726" s="179" t="s">
        <v>753</v>
      </c>
      <c r="H726" s="179" t="s">
        <v>753</v>
      </c>
      <c r="I726" s="179" t="s">
        <v>753</v>
      </c>
      <c r="J726" s="132">
        <v>0.9</v>
      </c>
      <c r="K726" s="133">
        <v>1</v>
      </c>
      <c r="L726" s="133">
        <v>0.967741935483871</v>
      </c>
      <c r="M726" s="134">
        <v>1</v>
      </c>
      <c r="N726" s="133">
        <v>0.984</v>
      </c>
      <c r="O726" s="135">
        <v>0.9</v>
      </c>
      <c r="P726" s="133">
        <v>0.962168266516093</v>
      </c>
      <c r="Q726" s="133">
        <v>0.966292134831461</v>
      </c>
      <c r="R726" s="133">
        <v>0.957685352622061</v>
      </c>
      <c r="S726" s="133">
        <v>0.954776951672862</v>
      </c>
      <c r="T726" s="135">
        <v>0.9</v>
      </c>
      <c r="U726" s="133">
        <v>0.848108413325805</v>
      </c>
      <c r="V726" s="133">
        <v>0.830711610486891</v>
      </c>
      <c r="W726" s="133">
        <v>0.84629294755877</v>
      </c>
      <c r="X726" s="133">
        <v>0.844089219330855</v>
      </c>
      <c r="Y726" s="135">
        <v>0.92</v>
      </c>
      <c r="Z726" s="135">
        <v>0.890429958391123</v>
      </c>
      <c r="AA726" s="135">
        <v>0.906605922551253</v>
      </c>
      <c r="AB726" s="135">
        <v>0.819188191881919</v>
      </c>
      <c r="AC726" s="135">
        <v>0.904021695991533</v>
      </c>
      <c r="AD726" s="135">
        <v>0.92</v>
      </c>
      <c r="AE726" s="133">
        <v>0.984962406015038</v>
      </c>
      <c r="AF726" s="133">
        <v>0.990740740740741</v>
      </c>
      <c r="AG726" s="133">
        <v>1</v>
      </c>
      <c r="AH726" s="133">
        <v>0.961118251928021</v>
      </c>
      <c r="AI726" s="135">
        <v>0.92</v>
      </c>
      <c r="AJ726" s="133">
        <v>0.921780986762936</v>
      </c>
      <c r="AK726" s="133">
        <v>0.92108229988726</v>
      </c>
      <c r="AL726" s="133">
        <v>0.943017127799736</v>
      </c>
      <c r="AM726" s="133">
        <v>0.943049086608918</v>
      </c>
      <c r="AN726" s="132">
        <v>0.99</v>
      </c>
      <c r="AO726" s="137">
        <v>1</v>
      </c>
      <c r="AP726" s="137">
        <v>1</v>
      </c>
      <c r="AQ726" s="137">
        <v>1</v>
      </c>
      <c r="AR726" s="137">
        <v>1</v>
      </c>
      <c r="AS726" s="158">
        <v>0.0810595228934205</v>
      </c>
      <c r="AT726" s="141">
        <v>0.1</v>
      </c>
      <c r="AU726" s="141">
        <v>0</v>
      </c>
      <c r="AV726" s="141">
        <v>0</v>
      </c>
      <c r="AW726" s="141">
        <v>0.0272108843537415</v>
      </c>
      <c r="AX726" s="95"/>
      <c r="AY726" s="93"/>
    </row>
    <row r="727" ht="15" spans="1:51">
      <c r="A727" s="91"/>
      <c r="B727" s="95"/>
      <c r="C727" s="152" t="s">
        <v>668</v>
      </c>
      <c r="D727" s="153" t="s">
        <v>25</v>
      </c>
      <c r="E727" s="130" t="s">
        <v>669</v>
      </c>
      <c r="F727" s="179" t="s">
        <v>754</v>
      </c>
      <c r="G727" s="179" t="s">
        <v>754</v>
      </c>
      <c r="H727" s="179" t="s">
        <v>754</v>
      </c>
      <c r="I727" s="179" t="s">
        <v>754</v>
      </c>
      <c r="J727" s="132">
        <v>0.9</v>
      </c>
      <c r="K727" s="133">
        <v>0.944444444444444</v>
      </c>
      <c r="L727" s="133">
        <v>0.928571428571429</v>
      </c>
      <c r="M727" s="134">
        <v>0.875</v>
      </c>
      <c r="N727" s="133">
        <v>0.892976588628763</v>
      </c>
      <c r="O727" s="135">
        <v>0.9</v>
      </c>
      <c r="P727" s="133">
        <v>0.988322717622081</v>
      </c>
      <c r="Q727" s="133">
        <v>0.96652719665272</v>
      </c>
      <c r="R727" s="133">
        <v>0.982035928143713</v>
      </c>
      <c r="S727" s="133">
        <v>0.980322378061545</v>
      </c>
      <c r="T727" s="135">
        <v>0.9</v>
      </c>
      <c r="U727" s="133">
        <v>0.954352441613588</v>
      </c>
      <c r="V727" s="133">
        <v>0.921896792189679</v>
      </c>
      <c r="W727" s="133">
        <v>0.942781104457751</v>
      </c>
      <c r="X727" s="133">
        <v>0.945677203265648</v>
      </c>
      <c r="Y727" s="135">
        <v>0.92</v>
      </c>
      <c r="Z727" s="135">
        <v>0.886178861788618</v>
      </c>
      <c r="AA727" s="135">
        <v>0.847583643122677</v>
      </c>
      <c r="AB727" s="135">
        <v>0.837078651685393</v>
      </c>
      <c r="AC727" s="135">
        <v>0.880903490759754</v>
      </c>
      <c r="AD727" s="135">
        <v>0.92</v>
      </c>
      <c r="AE727" s="133">
        <v>0.986301369863014</v>
      </c>
      <c r="AF727" s="133">
        <v>1</v>
      </c>
      <c r="AG727" s="133">
        <v>0.971428571428571</v>
      </c>
      <c r="AH727" s="133">
        <v>0.992722602739726</v>
      </c>
      <c r="AI727" s="135">
        <v>0.92</v>
      </c>
      <c r="AJ727" s="133">
        <v>0.948131197559115</v>
      </c>
      <c r="AK727" s="133">
        <v>0.933062880324544</v>
      </c>
      <c r="AL727" s="133">
        <v>0.957763236168947</v>
      </c>
      <c r="AM727" s="133">
        <v>0.961698889577814</v>
      </c>
      <c r="AN727" s="132">
        <v>0.99</v>
      </c>
      <c r="AO727" s="137">
        <v>1</v>
      </c>
      <c r="AP727" s="137">
        <v>1</v>
      </c>
      <c r="AQ727" s="137">
        <v>1</v>
      </c>
      <c r="AR727" s="137">
        <v>1</v>
      </c>
      <c r="AS727" s="158">
        <v>0.0810595228934205</v>
      </c>
      <c r="AT727" s="141">
        <v>0</v>
      </c>
      <c r="AU727" s="141">
        <v>0</v>
      </c>
      <c r="AV727" s="141">
        <v>0</v>
      </c>
      <c r="AW727" s="141">
        <v>0.0381679389312977</v>
      </c>
      <c r="AX727" s="95"/>
      <c r="AY727" s="93"/>
    </row>
    <row r="728" ht="15" spans="1:51">
      <c r="A728" s="91"/>
      <c r="B728" s="95"/>
      <c r="C728" s="152" t="s">
        <v>668</v>
      </c>
      <c r="D728" s="153" t="s">
        <v>25</v>
      </c>
      <c r="E728" s="130" t="s">
        <v>669</v>
      </c>
      <c r="F728" s="179" t="s">
        <v>755</v>
      </c>
      <c r="G728" s="179" t="s">
        <v>755</v>
      </c>
      <c r="H728" s="179" t="s">
        <v>755</v>
      </c>
      <c r="I728" s="179" t="s">
        <v>755</v>
      </c>
      <c r="J728" s="132">
        <v>0.9</v>
      </c>
      <c r="K728" s="133">
        <v>1</v>
      </c>
      <c r="L728" s="133">
        <v>0.925925925925926</v>
      </c>
      <c r="M728" s="134">
        <v>1</v>
      </c>
      <c r="N728" s="133">
        <v>0.950086058519793</v>
      </c>
      <c r="O728" s="135">
        <v>0.9</v>
      </c>
      <c r="P728" s="133">
        <v>0.98425735797399</v>
      </c>
      <c r="Q728" s="133">
        <v>0.994867408041061</v>
      </c>
      <c r="R728" s="133">
        <v>0.97837578087458</v>
      </c>
      <c r="S728" s="133">
        <v>0.977267878730415</v>
      </c>
      <c r="T728" s="135">
        <v>0.9</v>
      </c>
      <c r="U728" s="133">
        <v>0.953456536618754</v>
      </c>
      <c r="V728" s="133">
        <v>0.961505560307956</v>
      </c>
      <c r="W728" s="133">
        <v>0.964440172993753</v>
      </c>
      <c r="X728" s="133">
        <v>0.968521108398322</v>
      </c>
      <c r="Y728" s="135">
        <v>0.92</v>
      </c>
      <c r="Z728" s="135">
        <v>0.948296122209166</v>
      </c>
      <c r="AA728" s="135">
        <v>0.943127962085308</v>
      </c>
      <c r="AB728" s="135">
        <v>0.941724941724942</v>
      </c>
      <c r="AC728" s="135">
        <v>0.957008875180966</v>
      </c>
      <c r="AD728" s="135">
        <v>0.92</v>
      </c>
      <c r="AE728" s="133">
        <v>0.999646892655367</v>
      </c>
      <c r="AF728" s="133">
        <v>1</v>
      </c>
      <c r="AG728" s="133">
        <v>0.998377501352082</v>
      </c>
      <c r="AH728" s="133">
        <v>0.99901189455237</v>
      </c>
      <c r="AI728" s="135">
        <v>0.92</v>
      </c>
      <c r="AJ728" s="133">
        <v>0.966262975778547</v>
      </c>
      <c r="AK728" s="133">
        <v>0.966167498613422</v>
      </c>
      <c r="AL728" s="133">
        <v>0.970517928286853</v>
      </c>
      <c r="AM728" s="133">
        <v>0.978580898431447</v>
      </c>
      <c r="AN728" s="132">
        <v>0.99</v>
      </c>
      <c r="AO728" s="137">
        <v>1</v>
      </c>
      <c r="AP728" s="137">
        <v>1</v>
      </c>
      <c r="AQ728" s="137">
        <v>1</v>
      </c>
      <c r="AR728" s="137">
        <v>1</v>
      </c>
      <c r="AS728" s="158">
        <v>0.0810595228934205</v>
      </c>
      <c r="AT728" s="141">
        <v>0.0833333333333333</v>
      </c>
      <c r="AU728" s="141">
        <v>0</v>
      </c>
      <c r="AV728" s="141">
        <v>0.222222222222222</v>
      </c>
      <c r="AW728" s="141">
        <v>0.0440528634361234</v>
      </c>
      <c r="AX728" s="95"/>
      <c r="AY728" s="93"/>
    </row>
    <row r="729" ht="15" spans="1:51">
      <c r="A729" s="91"/>
      <c r="B729" s="95"/>
      <c r="C729" s="152" t="s">
        <v>668</v>
      </c>
      <c r="D729" s="153" t="s">
        <v>25</v>
      </c>
      <c r="E729" s="130" t="s">
        <v>669</v>
      </c>
      <c r="F729" s="179" t="s">
        <v>756</v>
      </c>
      <c r="G729" s="179" t="s">
        <v>756</v>
      </c>
      <c r="H729" s="179" t="s">
        <v>756</v>
      </c>
      <c r="I729" s="179" t="s">
        <v>756</v>
      </c>
      <c r="J729" s="132">
        <v>0.9</v>
      </c>
      <c r="K729" s="133">
        <v>0.959459459459459</v>
      </c>
      <c r="L729" s="133">
        <v>0.970588235294118</v>
      </c>
      <c r="M729" s="134">
        <v>0.972602739726027</v>
      </c>
      <c r="N729" s="133">
        <v>0.971902017291066</v>
      </c>
      <c r="O729" s="135">
        <v>0.9</v>
      </c>
      <c r="P729" s="133">
        <v>0.997616919868931</v>
      </c>
      <c r="Q729" s="133">
        <v>0.997946611909651</v>
      </c>
      <c r="R729" s="133">
        <v>0.98136527857007</v>
      </c>
      <c r="S729" s="133">
        <v>0.993059593023256</v>
      </c>
      <c r="T729" s="135">
        <v>0.9</v>
      </c>
      <c r="U729" s="133">
        <v>0.946082812034555</v>
      </c>
      <c r="V729" s="133">
        <v>0.945585215605749</v>
      </c>
      <c r="W729" s="133">
        <v>0.941814033086138</v>
      </c>
      <c r="X729" s="133">
        <v>0.947946947674419</v>
      </c>
      <c r="Y729" s="135">
        <v>0.92</v>
      </c>
      <c r="Z729" s="135">
        <v>0.957788944723618</v>
      </c>
      <c r="AA729" s="135">
        <v>0.936724565756824</v>
      </c>
      <c r="AB729" s="135">
        <v>0.928881179531656</v>
      </c>
      <c r="AC729" s="135">
        <v>0.955483887351126</v>
      </c>
      <c r="AD729" s="135">
        <v>0.92</v>
      </c>
      <c r="AE729" s="133">
        <v>0.999438517686693</v>
      </c>
      <c r="AF729" s="133">
        <v>0.999654775604143</v>
      </c>
      <c r="AG729" s="133">
        <v>0.999242997728993</v>
      </c>
      <c r="AH729" s="133">
        <v>0.998650719738357</v>
      </c>
      <c r="AI729" s="135">
        <v>0.92</v>
      </c>
      <c r="AJ729" s="133">
        <v>0.974402092675635</v>
      </c>
      <c r="AK729" s="133">
        <v>0.965380374862183</v>
      </c>
      <c r="AL729" s="133">
        <v>0.963511617027912</v>
      </c>
      <c r="AM729" s="133">
        <v>0.973697937565203</v>
      </c>
      <c r="AN729" s="132">
        <v>0.99</v>
      </c>
      <c r="AO729" s="137">
        <v>1</v>
      </c>
      <c r="AP729" s="137">
        <v>1</v>
      </c>
      <c r="AQ729" s="137">
        <v>1</v>
      </c>
      <c r="AR729" s="137">
        <v>1</v>
      </c>
      <c r="AS729" s="158">
        <v>0.0810595228934205</v>
      </c>
      <c r="AT729" s="141">
        <v>0</v>
      </c>
      <c r="AU729" s="141">
        <v>0.0833333333333333</v>
      </c>
      <c r="AV729" s="141">
        <v>0.0952380952380952</v>
      </c>
      <c r="AW729" s="141">
        <v>0.0340030911901082</v>
      </c>
      <c r="AX729" s="95"/>
      <c r="AY729" s="93"/>
    </row>
    <row r="730" ht="15" spans="1:51">
      <c r="A730" s="91"/>
      <c r="B730" s="95"/>
      <c r="C730" s="152" t="s">
        <v>668</v>
      </c>
      <c r="D730" s="153" t="s">
        <v>25</v>
      </c>
      <c r="E730" s="130" t="s">
        <v>669</v>
      </c>
      <c r="F730" s="179" t="s">
        <v>757</v>
      </c>
      <c r="G730" s="179" t="s">
        <v>757</v>
      </c>
      <c r="H730" s="179" t="s">
        <v>757</v>
      </c>
      <c r="I730" s="179" t="s">
        <v>757</v>
      </c>
      <c r="J730" s="132">
        <v>0.9</v>
      </c>
      <c r="K730" s="133">
        <v>0.934782608695652</v>
      </c>
      <c r="L730" s="133">
        <v>0.891891891891892</v>
      </c>
      <c r="M730" s="134">
        <v>0.945945945945946</v>
      </c>
      <c r="N730" s="133">
        <v>0.955070603337612</v>
      </c>
      <c r="O730" s="135">
        <v>0.9</v>
      </c>
      <c r="P730" s="133">
        <v>0.989624505928854</v>
      </c>
      <c r="Q730" s="133">
        <v>0.993464052287582</v>
      </c>
      <c r="R730" s="133">
        <v>0.988903833221251</v>
      </c>
      <c r="S730" s="133">
        <v>0.986843395548001</v>
      </c>
      <c r="T730" s="135">
        <v>0.9</v>
      </c>
      <c r="U730" s="133">
        <v>0.95998023715415</v>
      </c>
      <c r="V730" s="133">
        <v>0.946524064171123</v>
      </c>
      <c r="W730" s="133">
        <v>0.957296570275723</v>
      </c>
      <c r="X730" s="133">
        <v>0.958340143170006</v>
      </c>
      <c r="Y730" s="135">
        <v>0.92</v>
      </c>
      <c r="Z730" s="135">
        <v>0.960088691796009</v>
      </c>
      <c r="AA730" s="135">
        <v>0.946564885496183</v>
      </c>
      <c r="AB730" s="135">
        <v>0.951907131011609</v>
      </c>
      <c r="AC730" s="135">
        <v>0.964016348544221</v>
      </c>
      <c r="AD730" s="135">
        <v>0.92</v>
      </c>
      <c r="AE730" s="133">
        <v>0.999696048632219</v>
      </c>
      <c r="AF730" s="133">
        <v>0.999306157849089</v>
      </c>
      <c r="AG730" s="133">
        <v>0.998466257668712</v>
      </c>
      <c r="AH730" s="133">
        <v>0.998448529982158</v>
      </c>
      <c r="AI730" s="135">
        <v>0.92</v>
      </c>
      <c r="AJ730" s="133">
        <v>0.977205447010065</v>
      </c>
      <c r="AK730" s="133">
        <v>0.970011534025375</v>
      </c>
      <c r="AL730" s="133">
        <v>0.982107911657814</v>
      </c>
      <c r="AM730" s="133">
        <v>0.982679650060639</v>
      </c>
      <c r="AN730" s="132">
        <v>0.99</v>
      </c>
      <c r="AO730" s="137">
        <v>1</v>
      </c>
      <c r="AP730" s="137">
        <v>1</v>
      </c>
      <c r="AQ730" s="137">
        <v>1</v>
      </c>
      <c r="AR730" s="137">
        <v>1</v>
      </c>
      <c r="AS730" s="158">
        <v>0.0810595228934205</v>
      </c>
      <c r="AT730" s="141">
        <v>0.0588235294117647</v>
      </c>
      <c r="AU730" s="141">
        <v>0.0714285714285714</v>
      </c>
      <c r="AV730" s="141">
        <v>0</v>
      </c>
      <c r="AW730" s="141">
        <v>0.0249307479224377</v>
      </c>
      <c r="AX730" s="95"/>
      <c r="AY730" s="93"/>
    </row>
    <row r="731" ht="15" spans="1:51">
      <c r="A731" s="91"/>
      <c r="B731" s="95"/>
      <c r="C731" s="152" t="s">
        <v>668</v>
      </c>
      <c r="D731" s="153" t="s">
        <v>25</v>
      </c>
      <c r="E731" s="130" t="s">
        <v>669</v>
      </c>
      <c r="F731" s="179" t="s">
        <v>758</v>
      </c>
      <c r="G731" s="179" t="s">
        <v>758</v>
      </c>
      <c r="H731" s="179" t="s">
        <v>758</v>
      </c>
      <c r="I731" s="179" t="s">
        <v>758</v>
      </c>
      <c r="J731" s="132">
        <v>0.9</v>
      </c>
      <c r="K731" s="133">
        <v>0.943396226415094</v>
      </c>
      <c r="L731" s="133">
        <v>0.91304347826087</v>
      </c>
      <c r="M731" s="134">
        <v>0.893617021276596</v>
      </c>
      <c r="N731" s="133">
        <v>0.921081081081081</v>
      </c>
      <c r="O731" s="135">
        <v>0.9</v>
      </c>
      <c r="P731" s="133">
        <v>0.972826086956522</v>
      </c>
      <c r="Q731" s="133">
        <v>0.971313312415957</v>
      </c>
      <c r="R731" s="133">
        <v>0.975499334221039</v>
      </c>
      <c r="S731" s="133">
        <v>0.971511512832355</v>
      </c>
      <c r="T731" s="135">
        <v>0.9</v>
      </c>
      <c r="U731" s="133">
        <v>0.937111801242236</v>
      </c>
      <c r="V731" s="133">
        <v>0.9332138054684</v>
      </c>
      <c r="W731" s="133">
        <v>0.924367509986684</v>
      </c>
      <c r="X731" s="133">
        <v>0.932176552088144</v>
      </c>
      <c r="Y731" s="135">
        <v>0.92</v>
      </c>
      <c r="Z731" s="135">
        <v>0.957281553398058</v>
      </c>
      <c r="AA731" s="135">
        <v>0.947826086956522</v>
      </c>
      <c r="AB731" s="135">
        <v>0.923857868020305</v>
      </c>
      <c r="AC731" s="135">
        <v>0.94328168566689</v>
      </c>
      <c r="AD731" s="135">
        <v>0.92</v>
      </c>
      <c r="AE731" s="133">
        <v>0.992447313923742</v>
      </c>
      <c r="AF731" s="133">
        <v>0.984174982360649</v>
      </c>
      <c r="AG731" s="133">
        <v>0.998195307800281</v>
      </c>
      <c r="AH731" s="133">
        <v>0.987338586753329</v>
      </c>
      <c r="AI731" s="135">
        <v>0.92</v>
      </c>
      <c r="AJ731" s="133">
        <v>0.965826466311197</v>
      </c>
      <c r="AK731" s="133">
        <v>0.964549483013294</v>
      </c>
      <c r="AL731" s="133">
        <v>0.958415841584158</v>
      </c>
      <c r="AM731" s="133">
        <v>0.965035569252038</v>
      </c>
      <c r="AN731" s="132">
        <v>0.99</v>
      </c>
      <c r="AO731" s="137">
        <v>1</v>
      </c>
      <c r="AP731" s="137">
        <v>1</v>
      </c>
      <c r="AQ731" s="137">
        <v>1</v>
      </c>
      <c r="AR731" s="137">
        <v>1</v>
      </c>
      <c r="AS731" s="158">
        <v>0.0810595228934205</v>
      </c>
      <c r="AT731" s="141">
        <v>0.0333333333333333</v>
      </c>
      <c r="AU731" s="141">
        <v>0.05</v>
      </c>
      <c r="AV731" s="141">
        <v>0.157894736842105</v>
      </c>
      <c r="AW731" s="141">
        <v>0.0482573726541555</v>
      </c>
      <c r="AX731" s="95"/>
      <c r="AY731" s="93"/>
    </row>
    <row r="732" ht="15" spans="1:51">
      <c r="A732" s="91"/>
      <c r="B732" s="95"/>
      <c r="C732" s="152" t="s">
        <v>668</v>
      </c>
      <c r="D732" s="153" t="s">
        <v>25</v>
      </c>
      <c r="E732" s="130" t="s">
        <v>669</v>
      </c>
      <c r="F732" s="179" t="s">
        <v>759</v>
      </c>
      <c r="G732" s="179" t="s">
        <v>759</v>
      </c>
      <c r="H732" s="179" t="s">
        <v>759</v>
      </c>
      <c r="I732" s="179" t="s">
        <v>759</v>
      </c>
      <c r="J732" s="132">
        <v>0.9</v>
      </c>
      <c r="K732" s="133">
        <v>0.947368421052632</v>
      </c>
      <c r="L732" s="133">
        <v>1</v>
      </c>
      <c r="M732" s="134">
        <v>0.733333333333333</v>
      </c>
      <c r="N732" s="133">
        <v>0.920353982300885</v>
      </c>
      <c r="O732" s="135">
        <v>0.9</v>
      </c>
      <c r="P732" s="133">
        <v>0.978813559322034</v>
      </c>
      <c r="Q732" s="133">
        <v>0.938167938931298</v>
      </c>
      <c r="R732" s="133">
        <v>0.903654485049834</v>
      </c>
      <c r="S732" s="133">
        <v>0.938603823442177</v>
      </c>
      <c r="T732" s="135">
        <v>0.9</v>
      </c>
      <c r="U732" s="133">
        <v>0.939265536723164</v>
      </c>
      <c r="V732" s="133">
        <v>0.93206106870229</v>
      </c>
      <c r="W732" s="133">
        <v>0.899383009017561</v>
      </c>
      <c r="X732" s="133">
        <v>0.918138431256235</v>
      </c>
      <c r="Y732" s="135">
        <v>0.92</v>
      </c>
      <c r="Z732" s="135">
        <v>0.931671283471837</v>
      </c>
      <c r="AA732" s="135">
        <v>0.959367945823928</v>
      </c>
      <c r="AB732" s="135">
        <v>0.940711462450593</v>
      </c>
      <c r="AC732" s="135">
        <v>0.938625794196633</v>
      </c>
      <c r="AD732" s="135">
        <v>0.92</v>
      </c>
      <c r="AE732" s="133">
        <v>0.999759239195859</v>
      </c>
      <c r="AF732" s="133">
        <v>0.89970416335955</v>
      </c>
      <c r="AG732" s="133">
        <v>0.998210023866348</v>
      </c>
      <c r="AH732" s="133">
        <v>0.956476737811218</v>
      </c>
      <c r="AI732" s="135">
        <v>0.92</v>
      </c>
      <c r="AJ732" s="133">
        <v>0.950419832067173</v>
      </c>
      <c r="AK732" s="133">
        <v>0.968138370505234</v>
      </c>
      <c r="AL732" s="133">
        <v>0.96211251435132</v>
      </c>
      <c r="AM732" s="133">
        <v>0.963159603521705</v>
      </c>
      <c r="AN732" s="132">
        <v>0.99</v>
      </c>
      <c r="AO732" s="137">
        <v>1</v>
      </c>
      <c r="AP732" s="137">
        <v>1</v>
      </c>
      <c r="AQ732" s="137">
        <v>1</v>
      </c>
      <c r="AR732" s="137">
        <v>1</v>
      </c>
      <c r="AS732" s="158">
        <v>0.0810595228934205</v>
      </c>
      <c r="AT732" s="141">
        <v>0</v>
      </c>
      <c r="AU732" s="141">
        <v>0</v>
      </c>
      <c r="AV732" s="141">
        <v>0</v>
      </c>
      <c r="AW732" s="141">
        <v>0.0214285714285714</v>
      </c>
      <c r="AX732" s="95"/>
      <c r="AY732" s="93"/>
    </row>
    <row r="733" ht="15" spans="1:51">
      <c r="A733" s="91"/>
      <c r="B733" s="95"/>
      <c r="C733" s="152" t="s">
        <v>668</v>
      </c>
      <c r="D733" s="153" t="s">
        <v>25</v>
      </c>
      <c r="E733" s="130" t="s">
        <v>669</v>
      </c>
      <c r="F733" s="179" t="s">
        <v>760</v>
      </c>
      <c r="G733" s="179" t="s">
        <v>760</v>
      </c>
      <c r="H733" s="179" t="s">
        <v>760</v>
      </c>
      <c r="I733" s="179" t="s">
        <v>760</v>
      </c>
      <c r="J733" s="132">
        <v>0.9</v>
      </c>
      <c r="K733" s="133">
        <v>0.967741935483871</v>
      </c>
      <c r="L733" s="133">
        <v>1</v>
      </c>
      <c r="M733" s="134">
        <v>0.928571428571429</v>
      </c>
      <c r="N733" s="133">
        <v>0.976102941176471</v>
      </c>
      <c r="O733" s="135">
        <v>0.9</v>
      </c>
      <c r="P733" s="133">
        <v>0.981494174091844</v>
      </c>
      <c r="Q733" s="133">
        <v>0.985221674876847</v>
      </c>
      <c r="R733" s="133">
        <v>0.981209899175069</v>
      </c>
      <c r="S733" s="133">
        <v>0.986242739223479</v>
      </c>
      <c r="T733" s="135">
        <v>0.9</v>
      </c>
      <c r="U733" s="133">
        <v>0.951336531871145</v>
      </c>
      <c r="V733" s="133">
        <v>0.950738916256158</v>
      </c>
      <c r="W733" s="133">
        <v>0.961961503208066</v>
      </c>
      <c r="X733" s="133">
        <v>0.950356277779084</v>
      </c>
      <c r="Y733" s="135">
        <v>0.92</v>
      </c>
      <c r="Z733" s="135">
        <v>0.957336108220604</v>
      </c>
      <c r="AA733" s="135">
        <v>0.966019417475728</v>
      </c>
      <c r="AB733" s="135">
        <v>0.963282937365011</v>
      </c>
      <c r="AC733" s="135">
        <v>0.969171722174075</v>
      </c>
      <c r="AD733" s="135">
        <v>0.92</v>
      </c>
      <c r="AE733" s="133">
        <v>1</v>
      </c>
      <c r="AF733" s="133">
        <v>1</v>
      </c>
      <c r="AG733" s="133">
        <v>0.994100294985251</v>
      </c>
      <c r="AH733" s="133">
        <v>0.997682089685299</v>
      </c>
      <c r="AI733" s="135">
        <v>0.92</v>
      </c>
      <c r="AJ733" s="133">
        <v>0.972727272727273</v>
      </c>
      <c r="AK733" s="133">
        <v>0.977668845315904</v>
      </c>
      <c r="AL733" s="133">
        <v>0.980718336483932</v>
      </c>
      <c r="AM733" s="133">
        <v>0.982160200378265</v>
      </c>
      <c r="AN733" s="132">
        <v>0.99</v>
      </c>
      <c r="AO733" s="137">
        <v>1</v>
      </c>
      <c r="AP733" s="137">
        <v>1</v>
      </c>
      <c r="AQ733" s="137">
        <v>1</v>
      </c>
      <c r="AR733" s="137">
        <v>1</v>
      </c>
      <c r="AS733" s="158">
        <v>0.0810595228934205</v>
      </c>
      <c r="AT733" s="141">
        <v>0</v>
      </c>
      <c r="AU733" s="141">
        <v>0</v>
      </c>
      <c r="AV733" s="141">
        <v>0</v>
      </c>
      <c r="AW733" s="141">
        <v>0.0335195530726257</v>
      </c>
      <c r="AX733" s="95"/>
      <c r="AY733" s="93"/>
    </row>
    <row r="734" ht="15" spans="1:51">
      <c r="A734" s="91"/>
      <c r="B734" s="95"/>
      <c r="C734" s="152" t="s">
        <v>668</v>
      </c>
      <c r="D734" s="153" t="s">
        <v>25</v>
      </c>
      <c r="E734" s="130" t="s">
        <v>669</v>
      </c>
      <c r="F734" s="179" t="s">
        <v>761</v>
      </c>
      <c r="G734" s="179" t="s">
        <v>761</v>
      </c>
      <c r="H734" s="179" t="s">
        <v>761</v>
      </c>
      <c r="I734" s="179" t="s">
        <v>761</v>
      </c>
      <c r="J734" s="132">
        <v>0.9</v>
      </c>
      <c r="K734" s="133">
        <v>1</v>
      </c>
      <c r="L734" s="133">
        <v>0.972972972972973</v>
      </c>
      <c r="M734" s="134">
        <v>0.894736842105263</v>
      </c>
      <c r="N734" s="133">
        <v>0.956756756756757</v>
      </c>
      <c r="O734" s="135">
        <v>0.9</v>
      </c>
      <c r="P734" s="133">
        <v>0.980739989863153</v>
      </c>
      <c r="Q734" s="133">
        <v>0.979242979242979</v>
      </c>
      <c r="R734" s="133">
        <v>0.983514556296036</v>
      </c>
      <c r="S734" s="133">
        <v>0.974884708536545</v>
      </c>
      <c r="T734" s="135">
        <v>0.9</v>
      </c>
      <c r="U734" s="133">
        <v>0.896604156107451</v>
      </c>
      <c r="V734" s="133">
        <v>0.90964590964591</v>
      </c>
      <c r="W734" s="133">
        <v>0.938968782883199</v>
      </c>
      <c r="X734" s="133">
        <v>0.929564380743837</v>
      </c>
      <c r="Y734" s="135">
        <v>0.92</v>
      </c>
      <c r="Z734" s="135">
        <v>0.950792326939116</v>
      </c>
      <c r="AA734" s="135">
        <v>0.945570971184632</v>
      </c>
      <c r="AB734" s="135">
        <v>0.933229813664596</v>
      </c>
      <c r="AC734" s="135">
        <v>0.950746268656716</v>
      </c>
      <c r="AD734" s="135">
        <v>0.92</v>
      </c>
      <c r="AE734" s="133">
        <v>0.999683143219265</v>
      </c>
      <c r="AF734" s="133">
        <v>0.999836467702371</v>
      </c>
      <c r="AG734" s="133">
        <v>0.997524752475248</v>
      </c>
      <c r="AH734" s="133">
        <v>0.999105788423154</v>
      </c>
      <c r="AI734" s="135">
        <v>0.92</v>
      </c>
      <c r="AJ734" s="133">
        <v>0.956823195713835</v>
      </c>
      <c r="AK734" s="133">
        <v>0.956538610787738</v>
      </c>
      <c r="AL734" s="133">
        <v>0.971118101229625</v>
      </c>
      <c r="AM734" s="133">
        <v>0.969714835759836</v>
      </c>
      <c r="AN734" s="132">
        <v>0.99</v>
      </c>
      <c r="AO734" s="137">
        <v>1</v>
      </c>
      <c r="AP734" s="137">
        <v>1</v>
      </c>
      <c r="AQ734" s="137">
        <v>1</v>
      </c>
      <c r="AR734" s="137">
        <v>1</v>
      </c>
      <c r="AS734" s="158">
        <v>0.0810595228934205</v>
      </c>
      <c r="AT734" s="141">
        <v>0</v>
      </c>
      <c r="AU734" s="141">
        <v>0.037037037037037</v>
      </c>
      <c r="AV734" s="141">
        <v>0.05</v>
      </c>
      <c r="AW734" s="141">
        <v>0.0417457305502846</v>
      </c>
      <c r="AX734" s="95"/>
      <c r="AY734" s="93"/>
    </row>
    <row r="735" ht="15" spans="1:51">
      <c r="A735" s="91"/>
      <c r="B735" s="95"/>
      <c r="C735" s="152" t="s">
        <v>668</v>
      </c>
      <c r="D735" s="153" t="s">
        <v>25</v>
      </c>
      <c r="E735" s="130" t="s">
        <v>669</v>
      </c>
      <c r="F735" s="179" t="s">
        <v>762</v>
      </c>
      <c r="G735" s="179" t="s">
        <v>762</v>
      </c>
      <c r="H735" s="179" t="s">
        <v>762</v>
      </c>
      <c r="I735" s="179" t="s">
        <v>762</v>
      </c>
      <c r="J735" s="132">
        <v>0.9</v>
      </c>
      <c r="K735" s="133">
        <v>0.871794871794872</v>
      </c>
      <c r="L735" s="133">
        <v>0.942857142857143</v>
      </c>
      <c r="M735" s="134">
        <v>0.878787878787879</v>
      </c>
      <c r="N735" s="133">
        <v>0.912663755458515</v>
      </c>
      <c r="O735" s="135">
        <v>0.9</v>
      </c>
      <c r="P735" s="133">
        <v>0.986052152819891</v>
      </c>
      <c r="Q735" s="133">
        <v>0.978118161925602</v>
      </c>
      <c r="R735" s="133">
        <v>0.945440063719634</v>
      </c>
      <c r="S735" s="133">
        <v>0.970057634612348</v>
      </c>
      <c r="T735" s="135">
        <v>0.9</v>
      </c>
      <c r="U735" s="133">
        <v>0.951485748938751</v>
      </c>
      <c r="V735" s="133">
        <v>0.944566010211524</v>
      </c>
      <c r="W735" s="133">
        <v>0.95499800876145</v>
      </c>
      <c r="X735" s="133">
        <v>0.954760776882994</v>
      </c>
      <c r="Y735" s="135">
        <v>0.92</v>
      </c>
      <c r="Z735" s="135">
        <v>0.960251046025105</v>
      </c>
      <c r="AA735" s="135">
        <v>0.955585464333782</v>
      </c>
      <c r="AB735" s="135">
        <v>0.916015625</v>
      </c>
      <c r="AC735" s="135">
        <v>0.955007784120394</v>
      </c>
      <c r="AD735" s="135">
        <v>0.92</v>
      </c>
      <c r="AE735" s="133">
        <v>1</v>
      </c>
      <c r="AF735" s="133">
        <v>0.999858216361832</v>
      </c>
      <c r="AG735" s="133">
        <v>0.999026290165531</v>
      </c>
      <c r="AH735" s="133">
        <v>0.999261249879552</v>
      </c>
      <c r="AI735" s="135">
        <v>0.92</v>
      </c>
      <c r="AJ735" s="133">
        <v>0.975057559478127</v>
      </c>
      <c r="AK735" s="133">
        <v>0.971617786187323</v>
      </c>
      <c r="AL735" s="133">
        <v>0.966920277869666</v>
      </c>
      <c r="AM735" s="133">
        <v>0.977741243745533</v>
      </c>
      <c r="AN735" s="132">
        <v>0.99</v>
      </c>
      <c r="AO735" s="137">
        <v>1</v>
      </c>
      <c r="AP735" s="137">
        <v>1</v>
      </c>
      <c r="AQ735" s="137">
        <v>1</v>
      </c>
      <c r="AR735" s="137">
        <v>1</v>
      </c>
      <c r="AS735" s="158">
        <v>0.0810595228934205</v>
      </c>
      <c r="AT735" s="141">
        <v>0</v>
      </c>
      <c r="AU735" s="141">
        <v>0</v>
      </c>
      <c r="AV735" s="141">
        <v>0</v>
      </c>
      <c r="AW735" s="141">
        <v>0.0215384615384615</v>
      </c>
      <c r="AX735" s="95"/>
      <c r="AY735" s="93"/>
    </row>
    <row r="736" ht="15" spans="1:51">
      <c r="A736" s="91"/>
      <c r="B736" s="95"/>
      <c r="C736" s="152" t="s">
        <v>668</v>
      </c>
      <c r="D736" s="153" t="s">
        <v>25</v>
      </c>
      <c r="E736" s="130" t="s">
        <v>669</v>
      </c>
      <c r="F736" s="179" t="s">
        <v>763</v>
      </c>
      <c r="G736" s="179" t="s">
        <v>763</v>
      </c>
      <c r="H736" s="179" t="s">
        <v>763</v>
      </c>
      <c r="I736" s="179" t="s">
        <v>763</v>
      </c>
      <c r="J736" s="132">
        <v>0.9</v>
      </c>
      <c r="K736" s="133">
        <v>0.954545454545455</v>
      </c>
      <c r="L736" s="133">
        <v>0.882352941176471</v>
      </c>
      <c r="M736" s="134">
        <v>0.85</v>
      </c>
      <c r="N736" s="133">
        <v>0.920765027322404</v>
      </c>
      <c r="O736" s="135">
        <v>0.9</v>
      </c>
      <c r="P736" s="133">
        <v>0.955142231947484</v>
      </c>
      <c r="Q736" s="133">
        <v>0.955102040816327</v>
      </c>
      <c r="R736" s="133">
        <v>0.960508701472557</v>
      </c>
      <c r="S736" s="133">
        <v>0.951300070274069</v>
      </c>
      <c r="T736" s="135">
        <v>0.9</v>
      </c>
      <c r="U736" s="133">
        <v>0.933260393873085</v>
      </c>
      <c r="V736" s="133">
        <v>0.92108843537415</v>
      </c>
      <c r="W736" s="133">
        <v>0.953815261044177</v>
      </c>
      <c r="X736" s="133">
        <v>0.923612087139845</v>
      </c>
      <c r="Y736" s="135">
        <v>0.92</v>
      </c>
      <c r="Z736" s="135">
        <v>0.972536348949919</v>
      </c>
      <c r="AA736" s="135">
        <v>0.900966183574879</v>
      </c>
      <c r="AB736" s="135">
        <v>0.927480916030534</v>
      </c>
      <c r="AC736" s="135">
        <v>0.952724208949635</v>
      </c>
      <c r="AD736" s="135">
        <v>0.92</v>
      </c>
      <c r="AE736" s="133">
        <v>0.999396863691194</v>
      </c>
      <c r="AF736" s="133">
        <v>0.999022482893451</v>
      </c>
      <c r="AG736" s="133">
        <v>0.998026315789474</v>
      </c>
      <c r="AH736" s="133">
        <v>0.999044330723226</v>
      </c>
      <c r="AI736" s="135">
        <v>0.92</v>
      </c>
      <c r="AJ736" s="133">
        <v>0.970645792563601</v>
      </c>
      <c r="AK736" s="133">
        <v>0.94695652173913</v>
      </c>
      <c r="AL736" s="133">
        <v>0.975512528473804</v>
      </c>
      <c r="AM736" s="133">
        <v>0.97338441890166</v>
      </c>
      <c r="AN736" s="132">
        <v>0.99</v>
      </c>
      <c r="AO736" s="137">
        <v>1</v>
      </c>
      <c r="AP736" s="137">
        <v>1</v>
      </c>
      <c r="AQ736" s="137">
        <v>1</v>
      </c>
      <c r="AR736" s="137">
        <v>1</v>
      </c>
      <c r="AS736" s="158">
        <v>0.0810595228934205</v>
      </c>
      <c r="AT736" s="141">
        <v>0</v>
      </c>
      <c r="AU736" s="141">
        <v>0.166666666666667</v>
      </c>
      <c r="AV736" s="141">
        <v>0</v>
      </c>
      <c r="AW736" s="141">
        <v>0.0882352941176471</v>
      </c>
      <c r="AX736" s="95"/>
      <c r="AY736" s="93"/>
    </row>
    <row r="737" ht="15" spans="1:51">
      <c r="A737" s="91"/>
      <c r="B737" s="95"/>
      <c r="C737" s="152" t="s">
        <v>668</v>
      </c>
      <c r="D737" s="153" t="s">
        <v>25</v>
      </c>
      <c r="E737" s="130" t="s">
        <v>669</v>
      </c>
      <c r="F737" s="179" t="s">
        <v>764</v>
      </c>
      <c r="G737" s="179" t="s">
        <v>764</v>
      </c>
      <c r="H737" s="179" t="s">
        <v>764</v>
      </c>
      <c r="I737" s="179" t="s">
        <v>764</v>
      </c>
      <c r="J737" s="132">
        <v>0.9</v>
      </c>
      <c r="K737" s="133">
        <v>1</v>
      </c>
      <c r="L737" s="133">
        <v>0.9375</v>
      </c>
      <c r="M737" s="134">
        <v>0.894736842105263</v>
      </c>
      <c r="N737" s="133">
        <v>0.954423592493298</v>
      </c>
      <c r="O737" s="135">
        <v>0.9</v>
      </c>
      <c r="P737" s="133">
        <v>0.98210922787194</v>
      </c>
      <c r="Q737" s="133">
        <v>0.982917214191853</v>
      </c>
      <c r="R737" s="133">
        <v>0.946782178217822</v>
      </c>
      <c r="S737" s="133">
        <v>0.980706062442198</v>
      </c>
      <c r="T737" s="135">
        <v>0.9</v>
      </c>
      <c r="U737" s="133">
        <v>0.937853107344633</v>
      </c>
      <c r="V737" s="133">
        <v>0.940867279894875</v>
      </c>
      <c r="W737" s="133">
        <v>0.942450495049505</v>
      </c>
      <c r="X737" s="133">
        <v>0.950505469273209</v>
      </c>
      <c r="Y737" s="135">
        <v>0.92</v>
      </c>
      <c r="Z737" s="135">
        <v>0.825471698113208</v>
      </c>
      <c r="AA737" s="135">
        <v>0.941908713692946</v>
      </c>
      <c r="AB737" s="135">
        <v>0.920454545454545</v>
      </c>
      <c r="AC737" s="135">
        <v>0.934943513829373</v>
      </c>
      <c r="AD737" s="135">
        <v>0.92</v>
      </c>
      <c r="AE737" s="133">
        <v>0.991304347826087</v>
      </c>
      <c r="AF737" s="133">
        <v>0.976595744680851</v>
      </c>
      <c r="AG737" s="133">
        <v>0.997894736842105</v>
      </c>
      <c r="AH737" s="133">
        <v>0.989667765208871</v>
      </c>
      <c r="AI737" s="135">
        <v>0.92</v>
      </c>
      <c r="AJ737" s="133">
        <v>0.923956931359354</v>
      </c>
      <c r="AK737" s="133">
        <v>0.962189054726368</v>
      </c>
      <c r="AL737" s="133">
        <v>0.96207473508087</v>
      </c>
      <c r="AM737" s="133">
        <v>0.968744400358377</v>
      </c>
      <c r="AN737" s="132">
        <v>0.99</v>
      </c>
      <c r="AO737" s="137">
        <v>1</v>
      </c>
      <c r="AP737" s="137">
        <v>1</v>
      </c>
      <c r="AQ737" s="137">
        <v>1</v>
      </c>
      <c r="AR737" s="137">
        <v>1</v>
      </c>
      <c r="AS737" s="158">
        <v>0.0810595228934205</v>
      </c>
      <c r="AT737" s="141">
        <v>0</v>
      </c>
      <c r="AU737" s="141">
        <v>0</v>
      </c>
      <c r="AV737" s="141">
        <v>0</v>
      </c>
      <c r="AW737" s="141">
        <v>0.037593984962406</v>
      </c>
      <c r="AX737" s="95"/>
      <c r="AY737" s="93"/>
    </row>
    <row r="738" ht="15" spans="1:51">
      <c r="A738" s="91"/>
      <c r="B738" s="95"/>
      <c r="C738" s="152" t="s">
        <v>668</v>
      </c>
      <c r="D738" s="153" t="s">
        <v>25</v>
      </c>
      <c r="E738" s="130" t="s">
        <v>669</v>
      </c>
      <c r="F738" s="179" t="s">
        <v>765</v>
      </c>
      <c r="G738" s="179" t="s">
        <v>765</v>
      </c>
      <c r="H738" s="179" t="s">
        <v>765</v>
      </c>
      <c r="I738" s="179" t="s">
        <v>765</v>
      </c>
      <c r="J738" s="132">
        <v>0.9</v>
      </c>
      <c r="K738" s="133">
        <v>0.974358974358974</v>
      </c>
      <c r="L738" s="133">
        <v>0.966666666666667</v>
      </c>
      <c r="M738" s="134">
        <v>0.916666666666667</v>
      </c>
      <c r="N738" s="133">
        <v>0.968703427719821</v>
      </c>
      <c r="O738" s="135">
        <v>0.9</v>
      </c>
      <c r="P738" s="133">
        <v>0.97334089619966</v>
      </c>
      <c r="Q738" s="133">
        <v>0.958575581395349</v>
      </c>
      <c r="R738" s="133">
        <v>0.966488413547237</v>
      </c>
      <c r="S738" s="133">
        <v>0.95078754187157</v>
      </c>
      <c r="T738" s="135">
        <v>0.9</v>
      </c>
      <c r="U738" s="133">
        <v>0.936471922858763</v>
      </c>
      <c r="V738" s="133">
        <v>0.916424418604651</v>
      </c>
      <c r="W738" s="133">
        <v>0.934046345811052</v>
      </c>
      <c r="X738" s="133">
        <v>0.927321644929086</v>
      </c>
      <c r="Y738" s="135">
        <v>0.92</v>
      </c>
      <c r="Z738" s="135">
        <v>0.901351351351351</v>
      </c>
      <c r="AA738" s="135">
        <v>0.828978622327791</v>
      </c>
      <c r="AB738" s="135">
        <v>0.80718954248366</v>
      </c>
      <c r="AC738" s="135">
        <v>0.898948822220517</v>
      </c>
      <c r="AD738" s="135">
        <v>0.92</v>
      </c>
      <c r="AE738" s="133">
        <v>0.954198473282443</v>
      </c>
      <c r="AF738" s="133">
        <v>0.960674157303371</v>
      </c>
      <c r="AG738" s="133">
        <v>1</v>
      </c>
      <c r="AH738" s="133">
        <v>0.982532751091703</v>
      </c>
      <c r="AI738" s="135">
        <v>0.92</v>
      </c>
      <c r="AJ738" s="133">
        <v>0.936076707950459</v>
      </c>
      <c r="AK738" s="133">
        <v>0.918196994991653</v>
      </c>
      <c r="AL738" s="133">
        <v>0.942462230793957</v>
      </c>
      <c r="AM738" s="133">
        <v>0.95215857502241</v>
      </c>
      <c r="AN738" s="132">
        <v>0.99</v>
      </c>
      <c r="AO738" s="137">
        <v>1</v>
      </c>
      <c r="AP738" s="137">
        <v>1</v>
      </c>
      <c r="AQ738" s="137">
        <v>1</v>
      </c>
      <c r="AR738" s="137">
        <v>1</v>
      </c>
      <c r="AS738" s="158">
        <v>0.0810595228934205</v>
      </c>
      <c r="AT738" s="141">
        <v>0</v>
      </c>
      <c r="AU738" s="141">
        <v>0</v>
      </c>
      <c r="AV738" s="141">
        <v>0</v>
      </c>
      <c r="AW738" s="141">
        <v>0.0434782608695652</v>
      </c>
      <c r="AX738" s="95"/>
      <c r="AY738" s="93"/>
    </row>
    <row r="739" ht="15" spans="1:51">
      <c r="A739" s="91"/>
      <c r="B739" s="95"/>
      <c r="C739" s="152" t="s">
        <v>668</v>
      </c>
      <c r="D739" s="153" t="s">
        <v>25</v>
      </c>
      <c r="E739" s="130" t="s">
        <v>669</v>
      </c>
      <c r="F739" s="179" t="s">
        <v>766</v>
      </c>
      <c r="G739" s="179" t="s">
        <v>766</v>
      </c>
      <c r="H739" s="179" t="s">
        <v>766</v>
      </c>
      <c r="I739" s="179" t="s">
        <v>766</v>
      </c>
      <c r="J739" s="132">
        <v>0.9</v>
      </c>
      <c r="K739" s="133">
        <v>0.984126984126984</v>
      </c>
      <c r="L739" s="133">
        <v>0.927272727272727</v>
      </c>
      <c r="M739" s="134">
        <v>0.949152542372881</v>
      </c>
      <c r="N739" s="133">
        <v>0.949868073878628</v>
      </c>
      <c r="O739" s="135">
        <v>0.9</v>
      </c>
      <c r="P739" s="133">
        <v>0.960098004900245</v>
      </c>
      <c r="Q739" s="133">
        <v>0.965417867435158</v>
      </c>
      <c r="R739" s="133">
        <v>0.96496953872933</v>
      </c>
      <c r="S739" s="133">
        <v>0.963516718597405</v>
      </c>
      <c r="T739" s="135">
        <v>0.9</v>
      </c>
      <c r="U739" s="133">
        <v>0.913195659782989</v>
      </c>
      <c r="V739" s="133">
        <v>0.920749279538905</v>
      </c>
      <c r="W739" s="133">
        <v>0.933855526544822</v>
      </c>
      <c r="X739" s="133">
        <v>0.928265823373483</v>
      </c>
      <c r="Y739" s="135">
        <v>0.92</v>
      </c>
      <c r="Z739" s="135">
        <v>0.918233851185609</v>
      </c>
      <c r="AA739" s="135">
        <v>0.904887714663144</v>
      </c>
      <c r="AB739" s="135">
        <v>0.855769230769231</v>
      </c>
      <c r="AC739" s="135">
        <v>0.91364807701658</v>
      </c>
      <c r="AD739" s="135">
        <v>0.92</v>
      </c>
      <c r="AE739" s="133">
        <v>1</v>
      </c>
      <c r="AF739" s="133">
        <v>1</v>
      </c>
      <c r="AG739" s="133">
        <v>0.978494623655914</v>
      </c>
      <c r="AH739" s="133">
        <v>0.992217898832685</v>
      </c>
      <c r="AI739" s="135">
        <v>0.92</v>
      </c>
      <c r="AJ739" s="133">
        <v>0.95</v>
      </c>
      <c r="AK739" s="133">
        <v>0.948221204649525</v>
      </c>
      <c r="AL739" s="133">
        <v>0.957396912253273</v>
      </c>
      <c r="AM739" s="133">
        <v>0.962270168855535</v>
      </c>
      <c r="AN739" s="132">
        <v>0.99</v>
      </c>
      <c r="AO739" s="137">
        <v>1</v>
      </c>
      <c r="AP739" s="137">
        <v>1</v>
      </c>
      <c r="AQ739" s="137">
        <v>1</v>
      </c>
      <c r="AR739" s="137">
        <v>1</v>
      </c>
      <c r="AS739" s="158">
        <v>0.0810595228934205</v>
      </c>
      <c r="AT739" s="141">
        <v>0</v>
      </c>
      <c r="AU739" s="141">
        <v>0</v>
      </c>
      <c r="AV739" s="141">
        <v>0.142857142857143</v>
      </c>
      <c r="AW739" s="141">
        <v>0.0921052631578947</v>
      </c>
      <c r="AX739" s="95"/>
      <c r="AY739" s="93"/>
    </row>
    <row r="740" ht="15" spans="1:51">
      <c r="A740" s="91"/>
      <c r="B740" s="95"/>
      <c r="C740" s="152" t="s">
        <v>668</v>
      </c>
      <c r="D740" s="153" t="s">
        <v>25</v>
      </c>
      <c r="E740" s="130" t="s">
        <v>669</v>
      </c>
      <c r="F740" s="179" t="s">
        <v>767</v>
      </c>
      <c r="G740" s="179" t="s">
        <v>767</v>
      </c>
      <c r="H740" s="179" t="s">
        <v>767</v>
      </c>
      <c r="I740" s="179" t="s">
        <v>767</v>
      </c>
      <c r="J740" s="132">
        <v>0.9</v>
      </c>
      <c r="K740" s="133">
        <v>1</v>
      </c>
      <c r="L740" s="133">
        <v>0.92</v>
      </c>
      <c r="M740" s="134">
        <v>0.931034482758621</v>
      </c>
      <c r="N740" s="133">
        <v>0.987387387387387</v>
      </c>
      <c r="O740" s="135">
        <v>0.9</v>
      </c>
      <c r="P740" s="133">
        <v>0.984848484848485</v>
      </c>
      <c r="Q740" s="133">
        <v>0.980582524271845</v>
      </c>
      <c r="R740" s="133">
        <v>0.979057591623037</v>
      </c>
      <c r="S740" s="133">
        <v>0.97417057246362</v>
      </c>
      <c r="T740" s="135">
        <v>0.9</v>
      </c>
      <c r="U740" s="133">
        <v>0.941724941724942</v>
      </c>
      <c r="V740" s="133">
        <v>0.929798356982823</v>
      </c>
      <c r="W740" s="133">
        <v>0.951671365283931</v>
      </c>
      <c r="X740" s="133">
        <v>0.943490452117317</v>
      </c>
      <c r="Y740" s="135">
        <v>0.92</v>
      </c>
      <c r="Z740" s="135">
        <v>0.938692098092643</v>
      </c>
      <c r="AA740" s="135">
        <v>0.948412698412698</v>
      </c>
      <c r="AB740" s="135">
        <v>0.929411764705882</v>
      </c>
      <c r="AC740" s="135">
        <v>0.951463597698274</v>
      </c>
      <c r="AD740" s="135">
        <v>0.92</v>
      </c>
      <c r="AE740" s="133">
        <v>0.996859236699343</v>
      </c>
      <c r="AF740" s="133">
        <v>0.977830188679245</v>
      </c>
      <c r="AG740" s="133">
        <v>0.99697656840514</v>
      </c>
      <c r="AH740" s="133">
        <v>0.992737058363957</v>
      </c>
      <c r="AI740" s="135">
        <v>0.92</v>
      </c>
      <c r="AJ740" s="133">
        <v>0.96530612244898</v>
      </c>
      <c r="AK740" s="133">
        <v>0.970173535791757</v>
      </c>
      <c r="AL740" s="133">
        <v>0.974140984767977</v>
      </c>
      <c r="AM740" s="133">
        <v>0.97602773487562</v>
      </c>
      <c r="AN740" s="132">
        <v>0.99</v>
      </c>
      <c r="AO740" s="137">
        <v>1</v>
      </c>
      <c r="AP740" s="137">
        <v>1</v>
      </c>
      <c r="AQ740" s="137">
        <v>1</v>
      </c>
      <c r="AR740" s="137">
        <v>1</v>
      </c>
      <c r="AS740" s="158">
        <v>0.0810595228934205</v>
      </c>
      <c r="AT740" s="141">
        <v>0</v>
      </c>
      <c r="AU740" s="141">
        <v>0.166666666666667</v>
      </c>
      <c r="AV740" s="141">
        <v>0</v>
      </c>
      <c r="AW740" s="141">
        <v>0.0533333333333333</v>
      </c>
      <c r="AX740" s="95"/>
      <c r="AY740" s="93"/>
    </row>
    <row r="741" ht="15" spans="1:51">
      <c r="A741" s="91"/>
      <c r="B741" s="95"/>
      <c r="C741" s="152" t="s">
        <v>668</v>
      </c>
      <c r="D741" s="153" t="s">
        <v>25</v>
      </c>
      <c r="E741" s="130" t="s">
        <v>669</v>
      </c>
      <c r="F741" s="179" t="s">
        <v>768</v>
      </c>
      <c r="G741" s="179" t="s">
        <v>768</v>
      </c>
      <c r="H741" s="179" t="s">
        <v>768</v>
      </c>
      <c r="I741" s="179" t="s">
        <v>768</v>
      </c>
      <c r="J741" s="132">
        <v>0.9</v>
      </c>
      <c r="K741" s="133">
        <v>0.967213114754098</v>
      </c>
      <c r="L741" s="133">
        <v>0.983050847457627</v>
      </c>
      <c r="M741" s="134">
        <v>0.963636363636364</v>
      </c>
      <c r="N741" s="133">
        <v>0.95979020979021</v>
      </c>
      <c r="O741" s="135">
        <v>0.9</v>
      </c>
      <c r="P741" s="133">
        <v>0.982475764354959</v>
      </c>
      <c r="Q741" s="133">
        <v>0.970149253731343</v>
      </c>
      <c r="R741" s="133">
        <v>0.96409379579873</v>
      </c>
      <c r="S741" s="133">
        <v>0.974885613893172</v>
      </c>
      <c r="T741" s="135">
        <v>0.9</v>
      </c>
      <c r="U741" s="133">
        <v>0.958985831469053</v>
      </c>
      <c r="V741" s="133">
        <v>0.951106536284097</v>
      </c>
      <c r="W741" s="133">
        <v>0.93380556912555</v>
      </c>
      <c r="X741" s="133">
        <v>0.957569706008746</v>
      </c>
      <c r="Y741" s="135">
        <v>0.92</v>
      </c>
      <c r="Z741" s="135">
        <v>0.904287138584247</v>
      </c>
      <c r="AA741" s="135">
        <v>0.938775510204082</v>
      </c>
      <c r="AB741" s="135">
        <v>0.808278867102396</v>
      </c>
      <c r="AC741" s="135">
        <v>0.918286243127007</v>
      </c>
      <c r="AD741" s="135">
        <v>0.92</v>
      </c>
      <c r="AE741" s="133">
        <v>0.934426229508197</v>
      </c>
      <c r="AF741" s="133">
        <v>0.984042553191489</v>
      </c>
      <c r="AG741" s="133">
        <v>0.949044585987261</v>
      </c>
      <c r="AH741" s="133">
        <v>0.963553113553114</v>
      </c>
      <c r="AI741" s="135">
        <v>0.92</v>
      </c>
      <c r="AJ741" s="133">
        <v>0.953324287652646</v>
      </c>
      <c r="AK741" s="133">
        <v>0.96234309623431</v>
      </c>
      <c r="AL741" s="133">
        <v>0.943139407244786</v>
      </c>
      <c r="AM741" s="133">
        <v>0.964353836372213</v>
      </c>
      <c r="AN741" s="132">
        <v>0.99</v>
      </c>
      <c r="AO741" s="137">
        <v>1</v>
      </c>
      <c r="AP741" s="137">
        <v>1</v>
      </c>
      <c r="AQ741" s="137">
        <v>1</v>
      </c>
      <c r="AR741" s="137">
        <v>1</v>
      </c>
      <c r="AS741" s="158">
        <v>0.0810595228934205</v>
      </c>
      <c r="AT741" s="141">
        <v>0</v>
      </c>
      <c r="AU741" s="141">
        <v>0.0625</v>
      </c>
      <c r="AV741" s="141">
        <v>0.1875</v>
      </c>
      <c r="AW741" s="141">
        <v>0.0722222222222222</v>
      </c>
      <c r="AX741" s="95"/>
      <c r="AY741" s="93"/>
    </row>
    <row r="742" ht="15" spans="1:51">
      <c r="A742" s="91"/>
      <c r="B742" s="95"/>
      <c r="C742" s="152" t="s">
        <v>668</v>
      </c>
      <c r="D742" s="153" t="s">
        <v>25</v>
      </c>
      <c r="E742" s="130" t="s">
        <v>669</v>
      </c>
      <c r="F742" s="179" t="s">
        <v>769</v>
      </c>
      <c r="G742" s="179" t="s">
        <v>769</v>
      </c>
      <c r="H742" s="179" t="s">
        <v>769</v>
      </c>
      <c r="I742" s="179" t="s">
        <v>769</v>
      </c>
      <c r="J742" s="132">
        <v>0.9</v>
      </c>
      <c r="K742" s="133">
        <v>0.951219512195122</v>
      </c>
      <c r="L742" s="133">
        <v>0.95</v>
      </c>
      <c r="M742" s="134">
        <v>0.825</v>
      </c>
      <c r="N742" s="133">
        <v>0.940460081190798</v>
      </c>
      <c r="O742" s="135">
        <v>0.9</v>
      </c>
      <c r="P742" s="133">
        <v>0.993482309124767</v>
      </c>
      <c r="Q742" s="133">
        <v>0.990892531876138</v>
      </c>
      <c r="R742" s="133">
        <v>0.989532221131829</v>
      </c>
      <c r="S742" s="133">
        <v>0.985829740546722</v>
      </c>
      <c r="T742" s="135">
        <v>0.9</v>
      </c>
      <c r="U742" s="133">
        <v>0.953445065176909</v>
      </c>
      <c r="V742" s="133">
        <v>0.942319368548877</v>
      </c>
      <c r="W742" s="133">
        <v>0.956820412168793</v>
      </c>
      <c r="X742" s="133">
        <v>0.942561772750452</v>
      </c>
      <c r="Y742" s="135">
        <v>0.92</v>
      </c>
      <c r="Z742" s="135">
        <v>0.908163265306122</v>
      </c>
      <c r="AA742" s="135">
        <v>0.936395759717314</v>
      </c>
      <c r="AB742" s="135">
        <v>0.947963800904977</v>
      </c>
      <c r="AC742" s="135">
        <v>0.930515063168124</v>
      </c>
      <c r="AD742" s="135">
        <v>0.92</v>
      </c>
      <c r="AE742" s="133">
        <v>0.998861209964413</v>
      </c>
      <c r="AF742" s="133">
        <v>0.998168917372396</v>
      </c>
      <c r="AG742" s="133">
        <v>0.998267648332612</v>
      </c>
      <c r="AH742" s="133">
        <v>0.99707104690283</v>
      </c>
      <c r="AI742" s="135">
        <v>0.92</v>
      </c>
      <c r="AJ742" s="133">
        <v>0.954140547674035</v>
      </c>
      <c r="AK742" s="133">
        <v>0.955324909747292</v>
      </c>
      <c r="AL742" s="133">
        <v>0.975421549014004</v>
      </c>
      <c r="AM742" s="133">
        <v>0.968808875863513</v>
      </c>
      <c r="AN742" s="132">
        <v>0.99</v>
      </c>
      <c r="AO742" s="137">
        <v>1</v>
      </c>
      <c r="AP742" s="137">
        <v>1</v>
      </c>
      <c r="AQ742" s="137">
        <v>1</v>
      </c>
      <c r="AR742" s="137">
        <v>1</v>
      </c>
      <c r="AS742" s="158">
        <v>0.0810595228934205</v>
      </c>
      <c r="AT742" s="141">
        <v>0.214285714285714</v>
      </c>
      <c r="AU742" s="141">
        <v>0.181818181818182</v>
      </c>
      <c r="AV742" s="141">
        <v>0</v>
      </c>
      <c r="AW742" s="141">
        <v>0.0817843866171004</v>
      </c>
      <c r="AX742" s="95"/>
      <c r="AY742" s="93"/>
    </row>
    <row r="743" ht="15" spans="1:51">
      <c r="A743" s="91"/>
      <c r="B743" s="95"/>
      <c r="C743" s="152" t="s">
        <v>668</v>
      </c>
      <c r="D743" s="153" t="s">
        <v>25</v>
      </c>
      <c r="E743" s="130" t="s">
        <v>669</v>
      </c>
      <c r="F743" s="179" t="s">
        <v>770</v>
      </c>
      <c r="G743" s="179" t="s">
        <v>770</v>
      </c>
      <c r="H743" s="179" t="s">
        <v>770</v>
      </c>
      <c r="I743" s="179" t="s">
        <v>770</v>
      </c>
      <c r="J743" s="132">
        <v>0.9</v>
      </c>
      <c r="K743" s="133">
        <v>0.916666666666667</v>
      </c>
      <c r="L743" s="133">
        <v>0.862068965517241</v>
      </c>
      <c r="M743" s="134">
        <v>0.870967741935484</v>
      </c>
      <c r="N743" s="133">
        <v>0.90726429675425</v>
      </c>
      <c r="O743" s="135">
        <v>0.9</v>
      </c>
      <c r="P743" s="133">
        <v>0.991192014092777</v>
      </c>
      <c r="Q743" s="133">
        <v>0.986872586872587</v>
      </c>
      <c r="R743" s="133">
        <v>0.98481308411215</v>
      </c>
      <c r="S743" s="133">
        <v>0.977057823454125</v>
      </c>
      <c r="T743" s="135">
        <v>0.9</v>
      </c>
      <c r="U743" s="133">
        <v>0.923076923076923</v>
      </c>
      <c r="V743" s="133">
        <v>0.903474903474903</v>
      </c>
      <c r="W743" s="133">
        <v>0.904205607476635</v>
      </c>
      <c r="X743" s="133">
        <v>0.918393856616172</v>
      </c>
      <c r="Y743" s="135">
        <v>0.92</v>
      </c>
      <c r="Z743" s="135">
        <v>0.936288088642659</v>
      </c>
      <c r="AA743" s="135">
        <v>0.926724137931034</v>
      </c>
      <c r="AB743" s="135">
        <v>0.899328859060403</v>
      </c>
      <c r="AC743" s="135">
        <v>0.93332809800534</v>
      </c>
      <c r="AD743" s="135">
        <v>0.92</v>
      </c>
      <c r="AE743" s="133">
        <v>0.999028654686741</v>
      </c>
      <c r="AF743" s="133">
        <v>1</v>
      </c>
      <c r="AG743" s="133">
        <v>0.975609756097561</v>
      </c>
      <c r="AH743" s="133">
        <v>0.997542337083829</v>
      </c>
      <c r="AI743" s="135">
        <v>0.92</v>
      </c>
      <c r="AJ743" s="133">
        <v>0.957938144329897</v>
      </c>
      <c r="AK743" s="133">
        <v>0.943781942078365</v>
      </c>
      <c r="AL743" s="133">
        <v>0.95605162190443</v>
      </c>
      <c r="AM743" s="133">
        <v>0.963109718638653</v>
      </c>
      <c r="AN743" s="132">
        <v>0.99</v>
      </c>
      <c r="AO743" s="137">
        <v>1</v>
      </c>
      <c r="AP743" s="137">
        <v>1</v>
      </c>
      <c r="AQ743" s="137">
        <v>1</v>
      </c>
      <c r="AR743" s="137">
        <v>1</v>
      </c>
      <c r="AS743" s="158">
        <v>0.0810595228934205</v>
      </c>
      <c r="AT743" s="141">
        <v>0.0625</v>
      </c>
      <c r="AU743" s="141">
        <v>0.166666666666667</v>
      </c>
      <c r="AV743" s="141">
        <v>0</v>
      </c>
      <c r="AW743" s="141">
        <v>0.0765957446808511</v>
      </c>
      <c r="AX743" s="95"/>
      <c r="AY743" s="93"/>
    </row>
    <row r="744" ht="15" spans="1:51">
      <c r="A744" s="91"/>
      <c r="B744" s="95"/>
      <c r="C744" s="152" t="s">
        <v>668</v>
      </c>
      <c r="D744" s="153" t="s">
        <v>25</v>
      </c>
      <c r="E744" s="130" t="s">
        <v>669</v>
      </c>
      <c r="F744" s="179" t="s">
        <v>771</v>
      </c>
      <c r="G744" s="179" t="s">
        <v>771</v>
      </c>
      <c r="H744" s="179" t="s">
        <v>771</v>
      </c>
      <c r="I744" s="179" t="s">
        <v>771</v>
      </c>
      <c r="J744" s="132">
        <v>0.9</v>
      </c>
      <c r="K744" s="133">
        <v>0.952380952380952</v>
      </c>
      <c r="L744" s="133">
        <v>0.921052631578947</v>
      </c>
      <c r="M744" s="134">
        <v>0.952380952380952</v>
      </c>
      <c r="N744" s="133">
        <v>0.930989583333333</v>
      </c>
      <c r="O744" s="135">
        <v>0.9</v>
      </c>
      <c r="P744" s="133">
        <v>0.972118959107807</v>
      </c>
      <c r="Q744" s="133">
        <v>0.958359621451104</v>
      </c>
      <c r="R744" s="133">
        <v>0.928786057692308</v>
      </c>
      <c r="S744" s="133">
        <v>0.947431454896763</v>
      </c>
      <c r="T744" s="135">
        <v>0.9</v>
      </c>
      <c r="U744" s="133">
        <v>0.927973977695167</v>
      </c>
      <c r="V744" s="133">
        <v>0.935646687697161</v>
      </c>
      <c r="W744" s="133">
        <v>0.921574519230769</v>
      </c>
      <c r="X744" s="133">
        <v>0.918432524791211</v>
      </c>
      <c r="Y744" s="135">
        <v>0.92</v>
      </c>
      <c r="Z744" s="135">
        <v>0.895881006864989</v>
      </c>
      <c r="AA744" s="135">
        <v>0.847942754919499</v>
      </c>
      <c r="AB744" s="135">
        <v>0.767386091127098</v>
      </c>
      <c r="AC744" s="135">
        <v>0.83573264781491</v>
      </c>
      <c r="AD744" s="135">
        <v>0.92</v>
      </c>
      <c r="AE744" s="133">
        <v>0.9925</v>
      </c>
      <c r="AF744" s="133">
        <v>0.989711934156379</v>
      </c>
      <c r="AG744" s="133">
        <v>0.994897959183674</v>
      </c>
      <c r="AH744" s="133">
        <v>0.987297517771822</v>
      </c>
      <c r="AI744" s="135">
        <v>0.92</v>
      </c>
      <c r="AJ744" s="133">
        <v>0.940185062789161</v>
      </c>
      <c r="AK744" s="133">
        <v>0.938461538461538</v>
      </c>
      <c r="AL744" s="133">
        <v>0.94392523364486</v>
      </c>
      <c r="AM744" s="133">
        <v>0.940253462409044</v>
      </c>
      <c r="AN744" s="132">
        <v>0.99</v>
      </c>
      <c r="AO744" s="137">
        <v>1</v>
      </c>
      <c r="AP744" s="137">
        <v>1</v>
      </c>
      <c r="AQ744" s="137">
        <v>1</v>
      </c>
      <c r="AR744" s="137">
        <v>1</v>
      </c>
      <c r="AS744" s="158">
        <v>0.0810595228934205</v>
      </c>
      <c r="AT744" s="141">
        <v>0.0526315789473684</v>
      </c>
      <c r="AU744" s="141">
        <v>0.0833333333333333</v>
      </c>
      <c r="AV744" s="141">
        <v>0.0714285714285714</v>
      </c>
      <c r="AW744" s="141">
        <v>0.0381679389312977</v>
      </c>
      <c r="AX744" s="95"/>
      <c r="AY744" s="93"/>
    </row>
    <row r="745" ht="15" spans="1:51">
      <c r="A745" s="91"/>
      <c r="B745" s="95"/>
      <c r="C745" s="152" t="s">
        <v>668</v>
      </c>
      <c r="D745" s="153" t="s">
        <v>25</v>
      </c>
      <c r="E745" s="130" t="s">
        <v>669</v>
      </c>
      <c r="F745" s="179" t="s">
        <v>772</v>
      </c>
      <c r="G745" s="179" t="s">
        <v>772</v>
      </c>
      <c r="H745" s="179" t="s">
        <v>772</v>
      </c>
      <c r="I745" s="179" t="s">
        <v>772</v>
      </c>
      <c r="J745" s="132">
        <v>0.9</v>
      </c>
      <c r="K745" s="133">
        <v>0.967741935483871</v>
      </c>
      <c r="L745" s="133">
        <v>0.92</v>
      </c>
      <c r="M745" s="134">
        <v>0.96875</v>
      </c>
      <c r="N745" s="133">
        <v>0.957482993197279</v>
      </c>
      <c r="O745" s="135">
        <v>0.9</v>
      </c>
      <c r="P745" s="133">
        <v>0.977338756536897</v>
      </c>
      <c r="Q745" s="133">
        <v>0.966051660516605</v>
      </c>
      <c r="R745" s="133">
        <v>0.976724854530341</v>
      </c>
      <c r="S745" s="133">
        <v>0.967983684701951</v>
      </c>
      <c r="T745" s="135">
        <v>0.9</v>
      </c>
      <c r="U745" s="133">
        <v>0.923300406740267</v>
      </c>
      <c r="V745" s="133">
        <v>0.923985239852399</v>
      </c>
      <c r="W745" s="133">
        <v>0.922277639235245</v>
      </c>
      <c r="X745" s="133">
        <v>0.926630301243304</v>
      </c>
      <c r="Y745" s="135">
        <v>0.92</v>
      </c>
      <c r="Z745" s="135">
        <v>0.940460081190798</v>
      </c>
      <c r="AA745" s="135">
        <v>0.953383458646617</v>
      </c>
      <c r="AB745" s="135">
        <v>0.94559585492228</v>
      </c>
      <c r="AC745" s="135">
        <v>0.933817521561507</v>
      </c>
      <c r="AD745" s="135">
        <v>0.92</v>
      </c>
      <c r="AE745" s="133">
        <v>0.998635247020289</v>
      </c>
      <c r="AF745" s="133">
        <v>0.927921067443631</v>
      </c>
      <c r="AG745" s="133">
        <v>0.978007301219838</v>
      </c>
      <c r="AH745" s="133">
        <v>0.93860075972006</v>
      </c>
      <c r="AI745" s="135">
        <v>0.92</v>
      </c>
      <c r="AJ745" s="133">
        <v>0.95530272247054</v>
      </c>
      <c r="AK745" s="133">
        <v>0.962432031636184</v>
      </c>
      <c r="AL745" s="133">
        <v>0.964554242749731</v>
      </c>
      <c r="AM745" s="133">
        <v>0.963507741075053</v>
      </c>
      <c r="AN745" s="132">
        <v>0.99</v>
      </c>
      <c r="AO745" s="137">
        <v>1</v>
      </c>
      <c r="AP745" s="137">
        <v>1</v>
      </c>
      <c r="AQ745" s="137">
        <v>1</v>
      </c>
      <c r="AR745" s="137">
        <v>1</v>
      </c>
      <c r="AS745" s="158">
        <v>0.0810595228934205</v>
      </c>
      <c r="AT745" s="141">
        <v>0</v>
      </c>
      <c r="AU745" s="141">
        <v>0</v>
      </c>
      <c r="AV745" s="141">
        <v>0</v>
      </c>
      <c r="AW745" s="141">
        <v>0.0493827160493827</v>
      </c>
      <c r="AX745" s="95"/>
      <c r="AY745" s="93"/>
    </row>
    <row r="746" ht="15" spans="1:51">
      <c r="A746" s="91"/>
      <c r="B746" s="95"/>
      <c r="C746" s="152" t="s">
        <v>668</v>
      </c>
      <c r="D746" s="153" t="s">
        <v>25</v>
      </c>
      <c r="E746" s="130" t="s">
        <v>669</v>
      </c>
      <c r="F746" s="179" t="s">
        <v>773</v>
      </c>
      <c r="G746" s="179" t="s">
        <v>773</v>
      </c>
      <c r="H746" s="179" t="s">
        <v>773</v>
      </c>
      <c r="I746" s="179" t="s">
        <v>773</v>
      </c>
      <c r="J746" s="132">
        <v>0.9</v>
      </c>
      <c r="K746" s="133">
        <v>1</v>
      </c>
      <c r="L746" s="133">
        <v>1</v>
      </c>
      <c r="M746" s="134">
        <v>1</v>
      </c>
      <c r="N746" s="133">
        <v>0.992727272727273</v>
      </c>
      <c r="O746" s="135">
        <v>0.9</v>
      </c>
      <c r="P746" s="133">
        <v>0.97244094488189</v>
      </c>
      <c r="Q746" s="133">
        <v>0.970813064628214</v>
      </c>
      <c r="R746" s="133">
        <v>0.981590285938112</v>
      </c>
      <c r="S746" s="133">
        <v>0.972703917790623</v>
      </c>
      <c r="T746" s="135">
        <v>0.9</v>
      </c>
      <c r="U746" s="133">
        <v>0.945444319460067</v>
      </c>
      <c r="V746" s="133">
        <v>0.950660180681029</v>
      </c>
      <c r="W746" s="133">
        <v>0.946729338033686</v>
      </c>
      <c r="X746" s="133">
        <v>0.94393063583815</v>
      </c>
      <c r="Y746" s="135">
        <v>0.92</v>
      </c>
      <c r="Z746" s="135">
        <v>0.967391304347826</v>
      </c>
      <c r="AA746" s="135">
        <v>0.954612005856515</v>
      </c>
      <c r="AB746" s="135">
        <v>0.957683741648107</v>
      </c>
      <c r="AC746" s="135">
        <v>0.955162144275314</v>
      </c>
      <c r="AD746" s="135">
        <v>0.92</v>
      </c>
      <c r="AE746" s="133">
        <v>0.994865071561237</v>
      </c>
      <c r="AF746" s="133">
        <v>0.860668338862367</v>
      </c>
      <c r="AG746" s="133">
        <v>0.979187403854855</v>
      </c>
      <c r="AH746" s="133">
        <v>0.948440065681445</v>
      </c>
      <c r="AI746" s="135">
        <v>0.92</v>
      </c>
      <c r="AJ746" s="133">
        <v>0.973788721207307</v>
      </c>
      <c r="AK746" s="133">
        <v>0.970325011775789</v>
      </c>
      <c r="AL746" s="133">
        <v>0.971371504660453</v>
      </c>
      <c r="AM746" s="133">
        <v>0.97180585296217</v>
      </c>
      <c r="AN746" s="132">
        <v>0.99</v>
      </c>
      <c r="AO746" s="137">
        <v>1</v>
      </c>
      <c r="AP746" s="137">
        <v>1</v>
      </c>
      <c r="AQ746" s="137">
        <v>1</v>
      </c>
      <c r="AR746" s="137">
        <v>1</v>
      </c>
      <c r="AS746" s="158">
        <v>0.0810595228934205</v>
      </c>
      <c r="AT746" s="141">
        <v>0.0909090909090909</v>
      </c>
      <c r="AU746" s="141">
        <v>0.125</v>
      </c>
      <c r="AV746" s="141">
        <v>0.0714285714285714</v>
      </c>
      <c r="AW746" s="141">
        <v>0.0497737556561086</v>
      </c>
      <c r="AX746" s="95"/>
      <c r="AY746" s="93"/>
    </row>
    <row r="747" ht="15" spans="1:51">
      <c r="A747" s="91"/>
      <c r="B747" s="95"/>
      <c r="C747" s="152" t="s">
        <v>668</v>
      </c>
      <c r="D747" s="153" t="s">
        <v>25</v>
      </c>
      <c r="E747" s="130" t="s">
        <v>669</v>
      </c>
      <c r="F747" s="179" t="s">
        <v>774</v>
      </c>
      <c r="G747" s="179" t="s">
        <v>774</v>
      </c>
      <c r="H747" s="179" t="s">
        <v>774</v>
      </c>
      <c r="I747" s="179" t="s">
        <v>774</v>
      </c>
      <c r="J747" s="132">
        <v>0.9</v>
      </c>
      <c r="K747" s="133">
        <v>0.955555555555556</v>
      </c>
      <c r="L747" s="133">
        <v>0.970588235294118</v>
      </c>
      <c r="M747" s="134">
        <v>0.947368421052632</v>
      </c>
      <c r="N747" s="133">
        <v>0.95855614973262</v>
      </c>
      <c r="O747" s="135">
        <v>0.9</v>
      </c>
      <c r="P747" s="133">
        <v>0.988679245283019</v>
      </c>
      <c r="Q747" s="133">
        <v>0.981717011128776</v>
      </c>
      <c r="R747" s="133">
        <v>0.991366366366366</v>
      </c>
      <c r="S747" s="133">
        <v>0.985503120997092</v>
      </c>
      <c r="T747" s="135">
        <v>0.9</v>
      </c>
      <c r="U747" s="133">
        <v>0.966666666666667</v>
      </c>
      <c r="V747" s="133">
        <v>0.960254372019078</v>
      </c>
      <c r="W747" s="133">
        <v>0.962837837837838</v>
      </c>
      <c r="X747" s="133">
        <v>0.959843848484232</v>
      </c>
      <c r="Y747" s="135">
        <v>0.92</v>
      </c>
      <c r="Z747" s="135">
        <v>0.995260663507109</v>
      </c>
      <c r="AA747" s="135">
        <v>0.993135011441648</v>
      </c>
      <c r="AB747" s="135">
        <v>1</v>
      </c>
      <c r="AC747" s="135">
        <v>0.988941684665227</v>
      </c>
      <c r="AD747" s="135">
        <v>0.92</v>
      </c>
      <c r="AE747" s="133">
        <v>0.996959459459459</v>
      </c>
      <c r="AF747" s="133">
        <v>0.99624765478424</v>
      </c>
      <c r="AG747" s="133">
        <v>0.996101364522417</v>
      </c>
      <c r="AH747" s="133">
        <v>0.995425919787869</v>
      </c>
      <c r="AI747" s="135">
        <v>0.92</v>
      </c>
      <c r="AJ747" s="133">
        <v>0.991902834008097</v>
      </c>
      <c r="AK747" s="133">
        <v>0.992920353982301</v>
      </c>
      <c r="AL747" s="133">
        <v>0.995284607611991</v>
      </c>
      <c r="AM747" s="133">
        <v>0.993220562100968</v>
      </c>
      <c r="AN747" s="132">
        <v>0.99</v>
      </c>
      <c r="AO747" s="137">
        <v>1</v>
      </c>
      <c r="AP747" s="137">
        <v>1</v>
      </c>
      <c r="AQ747" s="137">
        <v>1</v>
      </c>
      <c r="AR747" s="137">
        <v>1</v>
      </c>
      <c r="AS747" s="158">
        <v>0.0810595228934205</v>
      </c>
      <c r="AT747" s="141">
        <v>0.3</v>
      </c>
      <c r="AU747" s="141">
        <v>0.142857142857143</v>
      </c>
      <c r="AV747" s="141">
        <v>0.2</v>
      </c>
      <c r="AW747" s="141">
        <v>0.0560344827586207</v>
      </c>
      <c r="AX747" s="95"/>
      <c r="AY747" s="93"/>
    </row>
    <row r="748" ht="15" spans="1:51">
      <c r="A748" s="91"/>
      <c r="B748" s="95"/>
      <c r="C748" s="152" t="s">
        <v>668</v>
      </c>
      <c r="D748" s="153" t="s">
        <v>25</v>
      </c>
      <c r="E748" s="130" t="s">
        <v>669</v>
      </c>
      <c r="F748" s="179" t="s">
        <v>775</v>
      </c>
      <c r="G748" s="179" t="s">
        <v>775</v>
      </c>
      <c r="H748" s="179" t="s">
        <v>775</v>
      </c>
      <c r="I748" s="179" t="s">
        <v>775</v>
      </c>
      <c r="J748" s="132">
        <v>0.9</v>
      </c>
      <c r="K748" s="133">
        <v>1</v>
      </c>
      <c r="L748" s="133">
        <v>1</v>
      </c>
      <c r="M748" s="134">
        <v>1</v>
      </c>
      <c r="N748" s="133">
        <v>0.98997995991984</v>
      </c>
      <c r="O748" s="135">
        <v>0.9</v>
      </c>
      <c r="P748" s="133">
        <v>0.9832953682612</v>
      </c>
      <c r="Q748" s="133">
        <v>0.981688708036623</v>
      </c>
      <c r="R748" s="133">
        <v>0.979156568104702</v>
      </c>
      <c r="S748" s="133">
        <v>0.978390521783317</v>
      </c>
      <c r="T748" s="135">
        <v>0.9</v>
      </c>
      <c r="U748" s="133">
        <v>0.937737281700835</v>
      </c>
      <c r="V748" s="133">
        <v>0.957273652085453</v>
      </c>
      <c r="W748" s="133">
        <v>0.952981095492002</v>
      </c>
      <c r="X748" s="133">
        <v>0.949774009788452</v>
      </c>
      <c r="Y748" s="135">
        <v>0.92</v>
      </c>
      <c r="Z748" s="135">
        <v>0.917253521126761</v>
      </c>
      <c r="AA748" s="135">
        <v>0.909090909090909</v>
      </c>
      <c r="AB748" s="135">
        <v>0.845814977973568</v>
      </c>
      <c r="AC748" s="135">
        <v>0.89968152866242</v>
      </c>
      <c r="AD748" s="135">
        <v>0.92</v>
      </c>
      <c r="AE748" s="133">
        <v>0.996852413149918</v>
      </c>
      <c r="AF748" s="133">
        <v>0.99864406779661</v>
      </c>
      <c r="AG748" s="133">
        <v>0.99559686888454</v>
      </c>
      <c r="AH748" s="133">
        <v>0.991157758527731</v>
      </c>
      <c r="AI748" s="135">
        <v>0.92</v>
      </c>
      <c r="AJ748" s="133">
        <v>0.961293743372216</v>
      </c>
      <c r="AK748" s="133">
        <v>0.957215373459028</v>
      </c>
      <c r="AL748" s="133">
        <v>0.962025316455696</v>
      </c>
      <c r="AM748" s="133">
        <v>0.964420715429792</v>
      </c>
      <c r="AN748" s="132">
        <v>0.99</v>
      </c>
      <c r="AO748" s="137">
        <v>1</v>
      </c>
      <c r="AP748" s="137">
        <v>1</v>
      </c>
      <c r="AQ748" s="137">
        <v>1</v>
      </c>
      <c r="AR748" s="137">
        <v>1</v>
      </c>
      <c r="AS748" s="158">
        <v>0.0810595228934205</v>
      </c>
      <c r="AT748" s="141">
        <v>0</v>
      </c>
      <c r="AU748" s="141">
        <v>0</v>
      </c>
      <c r="AV748" s="141">
        <v>0.125</v>
      </c>
      <c r="AW748" s="141">
        <v>0.0408163265306122</v>
      </c>
      <c r="AX748" s="95"/>
      <c r="AY748" s="93"/>
    </row>
    <row r="749" ht="15" spans="1:51">
      <c r="A749" s="91"/>
      <c r="B749" s="95"/>
      <c r="C749" s="152" t="s">
        <v>668</v>
      </c>
      <c r="D749" s="153" t="s">
        <v>25</v>
      </c>
      <c r="E749" s="130" t="s">
        <v>669</v>
      </c>
      <c r="F749" s="179" t="s">
        <v>776</v>
      </c>
      <c r="G749" s="179" t="s">
        <v>776</v>
      </c>
      <c r="H749" s="179" t="s">
        <v>776</v>
      </c>
      <c r="I749" s="179" t="s">
        <v>776</v>
      </c>
      <c r="J749" s="132">
        <v>0.9</v>
      </c>
      <c r="K749" s="133">
        <v>1</v>
      </c>
      <c r="L749" s="133">
        <v>1</v>
      </c>
      <c r="M749" s="134">
        <v>0.972972972972973</v>
      </c>
      <c r="N749" s="133">
        <v>0.986631016042781</v>
      </c>
      <c r="O749" s="135">
        <v>0.9</v>
      </c>
      <c r="P749" s="133">
        <v>0.971733333333333</v>
      </c>
      <c r="Q749" s="133">
        <v>0.959887403237157</v>
      </c>
      <c r="R749" s="133">
        <v>0.962975543478261</v>
      </c>
      <c r="S749" s="133">
        <v>0.960385478353625</v>
      </c>
      <c r="T749" s="135">
        <v>0.9</v>
      </c>
      <c r="U749" s="133">
        <v>0.9264</v>
      </c>
      <c r="V749" s="133">
        <v>0.930330752990852</v>
      </c>
      <c r="W749" s="133">
        <v>0.9453125</v>
      </c>
      <c r="X749" s="133">
        <v>0.94409092581013</v>
      </c>
      <c r="Y749" s="135">
        <v>0.92</v>
      </c>
      <c r="Z749" s="135">
        <v>0.853875476493011</v>
      </c>
      <c r="AA749" s="135">
        <v>0.877300613496933</v>
      </c>
      <c r="AB749" s="135">
        <v>0.901492537313433</v>
      </c>
      <c r="AC749" s="135">
        <v>0.91783230145991</v>
      </c>
      <c r="AD749" s="135">
        <v>0.92</v>
      </c>
      <c r="AE749" s="133">
        <v>0.99</v>
      </c>
      <c r="AF749" s="133">
        <v>1</v>
      </c>
      <c r="AG749" s="133">
        <v>0.982857142857143</v>
      </c>
      <c r="AH749" s="133">
        <v>0.992181947405828</v>
      </c>
      <c r="AI749" s="135">
        <v>0.92</v>
      </c>
      <c r="AJ749" s="133">
        <v>0.937640871525169</v>
      </c>
      <c r="AK749" s="133">
        <v>0.94869109947644</v>
      </c>
      <c r="AL749" s="133">
        <v>0.971027752363525</v>
      </c>
      <c r="AM749" s="133">
        <v>0.971226967491365</v>
      </c>
      <c r="AN749" s="132">
        <v>0.99</v>
      </c>
      <c r="AO749" s="137">
        <v>1</v>
      </c>
      <c r="AP749" s="137">
        <v>1</v>
      </c>
      <c r="AQ749" s="137">
        <v>1</v>
      </c>
      <c r="AR749" s="137">
        <v>1</v>
      </c>
      <c r="AS749" s="158">
        <v>0.0810595228934205</v>
      </c>
      <c r="AT749" s="141">
        <v>0.166666666666667</v>
      </c>
      <c r="AU749" s="141">
        <v>0</v>
      </c>
      <c r="AV749" s="141">
        <v>0</v>
      </c>
      <c r="AW749" s="141">
        <v>0.0393013100436681</v>
      </c>
      <c r="AX749" s="95"/>
      <c r="AY749" s="93"/>
    </row>
    <row r="750" ht="15" spans="1:51">
      <c r="A750" s="91"/>
      <c r="B750" s="95"/>
      <c r="C750" s="152" t="s">
        <v>668</v>
      </c>
      <c r="D750" s="153" t="s">
        <v>25</v>
      </c>
      <c r="E750" s="130" t="s">
        <v>669</v>
      </c>
      <c r="F750" s="179" t="s">
        <v>777</v>
      </c>
      <c r="G750" s="179" t="s">
        <v>777</v>
      </c>
      <c r="H750" s="179" t="s">
        <v>777</v>
      </c>
      <c r="I750" s="179" t="s">
        <v>777</v>
      </c>
      <c r="J750" s="132">
        <v>0.9</v>
      </c>
      <c r="K750" s="133">
        <v>1</v>
      </c>
      <c r="L750" s="133">
        <v>1</v>
      </c>
      <c r="M750" s="134">
        <v>0.970588235294118</v>
      </c>
      <c r="N750" s="133">
        <v>0.992389649923896</v>
      </c>
      <c r="O750" s="135">
        <v>0.9</v>
      </c>
      <c r="P750" s="133">
        <v>0.938801261829653</v>
      </c>
      <c r="Q750" s="133">
        <v>0.98334595003785</v>
      </c>
      <c r="R750" s="133">
        <v>0.980015987210232</v>
      </c>
      <c r="S750" s="133">
        <v>0.971889854122275</v>
      </c>
      <c r="T750" s="135">
        <v>0.9</v>
      </c>
      <c r="U750" s="133">
        <v>0.959621451104101</v>
      </c>
      <c r="V750" s="133">
        <v>0.962149886449659</v>
      </c>
      <c r="W750" s="133">
        <v>0.964828137490008</v>
      </c>
      <c r="X750" s="133">
        <v>0.960600721193247</v>
      </c>
      <c r="Y750" s="135">
        <v>0.92</v>
      </c>
      <c r="Z750" s="135">
        <v>0.913978494623656</v>
      </c>
      <c r="AA750" s="135">
        <v>0.89010989010989</v>
      </c>
      <c r="AB750" s="135">
        <v>0.869426751592357</v>
      </c>
      <c r="AC750" s="135">
        <v>0.892325129533679</v>
      </c>
      <c r="AD750" s="135">
        <v>0.92</v>
      </c>
      <c r="AE750" s="133">
        <v>0.998428908091123</v>
      </c>
      <c r="AF750" s="133">
        <v>0.997721663185874</v>
      </c>
      <c r="AG750" s="133">
        <v>0.999339207048458</v>
      </c>
      <c r="AH750" s="133">
        <v>0.99922641509434</v>
      </c>
      <c r="AI750" s="135">
        <v>0.92</v>
      </c>
      <c r="AJ750" s="133">
        <v>0.959749552772809</v>
      </c>
      <c r="AK750" s="133">
        <v>0.960022522522523</v>
      </c>
      <c r="AL750" s="133">
        <v>0.970170454545455</v>
      </c>
      <c r="AM750" s="133">
        <v>0.968526723672809</v>
      </c>
      <c r="AN750" s="132">
        <v>0.99</v>
      </c>
      <c r="AO750" s="137">
        <v>1</v>
      </c>
      <c r="AP750" s="137">
        <v>1</v>
      </c>
      <c r="AQ750" s="137">
        <v>1</v>
      </c>
      <c r="AR750" s="137">
        <v>1</v>
      </c>
      <c r="AS750" s="158">
        <v>0.0810595228934205</v>
      </c>
      <c r="AT750" s="141">
        <v>0.0714285714285714</v>
      </c>
      <c r="AU750" s="141">
        <v>0.166666666666667</v>
      </c>
      <c r="AV750" s="141">
        <v>0</v>
      </c>
      <c r="AW750" s="141">
        <v>0.0920245398773006</v>
      </c>
      <c r="AX750" s="95"/>
      <c r="AY750" s="93"/>
    </row>
    <row r="751" ht="15" spans="1:51">
      <c r="A751" s="91"/>
      <c r="B751" s="95"/>
      <c r="C751" s="152" t="s">
        <v>668</v>
      </c>
      <c r="D751" s="153" t="s">
        <v>25</v>
      </c>
      <c r="E751" s="130" t="s">
        <v>669</v>
      </c>
      <c r="F751" s="179" t="s">
        <v>778</v>
      </c>
      <c r="G751" s="179" t="s">
        <v>778</v>
      </c>
      <c r="H751" s="179" t="s">
        <v>778</v>
      </c>
      <c r="I751" s="179" t="s">
        <v>778</v>
      </c>
      <c r="J751" s="132">
        <v>0.9</v>
      </c>
      <c r="K751" s="133">
        <v>1</v>
      </c>
      <c r="L751" s="133">
        <v>1</v>
      </c>
      <c r="M751" s="134">
        <v>1</v>
      </c>
      <c r="N751" s="133">
        <v>0.994565217391304</v>
      </c>
      <c r="O751" s="135">
        <v>0.9</v>
      </c>
      <c r="P751" s="133">
        <v>0.979946524064171</v>
      </c>
      <c r="Q751" s="133">
        <v>0.952684258416743</v>
      </c>
      <c r="R751" s="133">
        <v>0.963559322033898</v>
      </c>
      <c r="S751" s="133">
        <v>0.964694864311539</v>
      </c>
      <c r="T751" s="135">
        <v>0.9</v>
      </c>
      <c r="U751" s="133">
        <v>0.967914438502674</v>
      </c>
      <c r="V751" s="133">
        <v>0.928116469517743</v>
      </c>
      <c r="W751" s="133">
        <v>0.952542372881356</v>
      </c>
      <c r="X751" s="133">
        <v>0.9504072831816</v>
      </c>
      <c r="Y751" s="135">
        <v>0.92</v>
      </c>
      <c r="Z751" s="135">
        <v>0.950715421303657</v>
      </c>
      <c r="AA751" s="135">
        <v>0.902564102564103</v>
      </c>
      <c r="AB751" s="135">
        <v>0.916666666666667</v>
      </c>
      <c r="AC751" s="135">
        <v>0.947210042128794</v>
      </c>
      <c r="AD751" s="135">
        <v>0.92</v>
      </c>
      <c r="AE751" s="133">
        <v>1</v>
      </c>
      <c r="AF751" s="133">
        <v>0.995594713656388</v>
      </c>
      <c r="AG751" s="133">
        <v>0.989761092150171</v>
      </c>
      <c r="AH751" s="133">
        <v>0.995773565573771</v>
      </c>
      <c r="AI751" s="135">
        <v>0.92</v>
      </c>
      <c r="AJ751" s="133">
        <v>0.975058823529412</v>
      </c>
      <c r="AK751" s="133">
        <v>0.956346541302888</v>
      </c>
      <c r="AL751" s="133">
        <v>0.979623221837755</v>
      </c>
      <c r="AM751" s="133">
        <v>0.979634392159588</v>
      </c>
      <c r="AN751" s="132">
        <v>0.99</v>
      </c>
      <c r="AO751" s="137">
        <v>1</v>
      </c>
      <c r="AP751" s="137">
        <v>1</v>
      </c>
      <c r="AQ751" s="137">
        <v>1</v>
      </c>
      <c r="AR751" s="137">
        <v>1</v>
      </c>
      <c r="AS751" s="158">
        <v>0.0810595228934205</v>
      </c>
      <c r="AT751" s="141">
        <v>0</v>
      </c>
      <c r="AU751" s="141">
        <v>0</v>
      </c>
      <c r="AV751" s="141">
        <v>0.111111111111111</v>
      </c>
      <c r="AW751" s="141">
        <v>0.0561797752808989</v>
      </c>
      <c r="AX751" s="95"/>
      <c r="AY751" s="93"/>
    </row>
    <row r="752" ht="15" spans="1:51">
      <c r="A752" s="91"/>
      <c r="B752" s="95"/>
      <c r="C752" s="152" t="s">
        <v>668</v>
      </c>
      <c r="D752" s="153" t="s">
        <v>25</v>
      </c>
      <c r="E752" s="130" t="s">
        <v>669</v>
      </c>
      <c r="F752" s="179" t="s">
        <v>779</v>
      </c>
      <c r="G752" s="179" t="s">
        <v>779</v>
      </c>
      <c r="H752" s="179" t="s">
        <v>779</v>
      </c>
      <c r="I752" s="179" t="s">
        <v>779</v>
      </c>
      <c r="J752" s="132">
        <v>0.9</v>
      </c>
      <c r="K752" s="133">
        <v>1</v>
      </c>
      <c r="L752" s="133">
        <v>0.947368421052632</v>
      </c>
      <c r="M752" s="134">
        <v>0.954545454545455</v>
      </c>
      <c r="N752" s="133">
        <v>0.958785249457701</v>
      </c>
      <c r="O752" s="135">
        <v>0.9</v>
      </c>
      <c r="P752" s="133">
        <v>0.973487423521414</v>
      </c>
      <c r="Q752" s="133">
        <v>0.948509485094851</v>
      </c>
      <c r="R752" s="133">
        <v>0.947879858657244</v>
      </c>
      <c r="S752" s="133">
        <v>0.952466055471742</v>
      </c>
      <c r="T752" s="135">
        <v>0.9</v>
      </c>
      <c r="U752" s="133">
        <v>0.957171991842284</v>
      </c>
      <c r="V752" s="133">
        <v>0.947606142728094</v>
      </c>
      <c r="W752" s="133">
        <v>0.935512367491166</v>
      </c>
      <c r="X752" s="133">
        <v>0.938911454102356</v>
      </c>
      <c r="Y752" s="135">
        <v>0.92</v>
      </c>
      <c r="Z752" s="135">
        <v>0.949260042283298</v>
      </c>
      <c r="AA752" s="135">
        <v>0.892183288409704</v>
      </c>
      <c r="AB752" s="135">
        <v>0.907563025210084</v>
      </c>
      <c r="AC752" s="135">
        <v>0.946359774770325</v>
      </c>
      <c r="AD752" s="135">
        <v>0.92</v>
      </c>
      <c r="AE752" s="133">
        <v>0.996551724137931</v>
      </c>
      <c r="AF752" s="133">
        <v>0.987012987012987</v>
      </c>
      <c r="AG752" s="133">
        <v>0.942857142857143</v>
      </c>
      <c r="AH752" s="133">
        <v>0.989536381197682</v>
      </c>
      <c r="AI752" s="135">
        <v>0.92</v>
      </c>
      <c r="AJ752" s="133">
        <v>0.962448559670782</v>
      </c>
      <c r="AK752" s="133">
        <v>0.946549391069012</v>
      </c>
      <c r="AL752" s="133">
        <v>0.966426858513189</v>
      </c>
      <c r="AM752" s="133">
        <v>0.974053546265852</v>
      </c>
      <c r="AN752" s="132">
        <v>0.99</v>
      </c>
      <c r="AO752" s="137">
        <v>1</v>
      </c>
      <c r="AP752" s="137">
        <v>1</v>
      </c>
      <c r="AQ752" s="137">
        <v>1</v>
      </c>
      <c r="AR752" s="137">
        <v>1</v>
      </c>
      <c r="AS752" s="158">
        <v>0.0810595228934205</v>
      </c>
      <c r="AT752" s="141">
        <v>0</v>
      </c>
      <c r="AU752" s="141">
        <v>0.166666666666667</v>
      </c>
      <c r="AV752" s="141">
        <v>0</v>
      </c>
      <c r="AW752" s="141">
        <v>0.0887573964497041</v>
      </c>
      <c r="AX752" s="95"/>
      <c r="AY752" s="93"/>
    </row>
    <row r="753" ht="15" spans="1:51">
      <c r="A753" s="91"/>
      <c r="B753" s="95"/>
      <c r="C753" s="152" t="s">
        <v>668</v>
      </c>
      <c r="D753" s="153" t="s">
        <v>25</v>
      </c>
      <c r="E753" s="130" t="s">
        <v>669</v>
      </c>
      <c r="F753" s="179" t="s">
        <v>780</v>
      </c>
      <c r="G753" s="179" t="s">
        <v>780</v>
      </c>
      <c r="H753" s="179" t="s">
        <v>780</v>
      </c>
      <c r="I753" s="179" t="s">
        <v>780</v>
      </c>
      <c r="J753" s="132">
        <v>0.9</v>
      </c>
      <c r="K753" s="133">
        <v>1</v>
      </c>
      <c r="L753" s="133">
        <v>1</v>
      </c>
      <c r="M753" s="134">
        <v>0.96551724137931</v>
      </c>
      <c r="N753" s="133">
        <v>0.987410071942446</v>
      </c>
      <c r="O753" s="135">
        <v>0.9</v>
      </c>
      <c r="P753" s="133">
        <v>0.967532467532468</v>
      </c>
      <c r="Q753" s="133">
        <v>0.979539641943734</v>
      </c>
      <c r="R753" s="133">
        <v>0.965167548500882</v>
      </c>
      <c r="S753" s="133">
        <v>0.964240255529672</v>
      </c>
      <c r="T753" s="135">
        <v>0.9</v>
      </c>
      <c r="U753" s="133">
        <v>0.901875901875902</v>
      </c>
      <c r="V753" s="133">
        <v>0.911338448422847</v>
      </c>
      <c r="W753" s="133">
        <v>0.907848324514991</v>
      </c>
      <c r="X753" s="133">
        <v>0.910084295972526</v>
      </c>
      <c r="Y753" s="135">
        <v>0.92</v>
      </c>
      <c r="Z753" s="135">
        <v>0.888278388278388</v>
      </c>
      <c r="AA753" s="135">
        <v>0.923076923076923</v>
      </c>
      <c r="AB753" s="135">
        <v>0.906614785992218</v>
      </c>
      <c r="AC753" s="135">
        <v>0.919645554324841</v>
      </c>
      <c r="AD753" s="135">
        <v>0.92</v>
      </c>
      <c r="AE753" s="133">
        <v>1</v>
      </c>
      <c r="AF753" s="133">
        <v>1</v>
      </c>
      <c r="AG753" s="133">
        <v>0.995975378787879</v>
      </c>
      <c r="AH753" s="133">
        <v>0.998824666622729</v>
      </c>
      <c r="AI753" s="135">
        <v>0.92</v>
      </c>
      <c r="AJ753" s="133">
        <v>0.944616977225673</v>
      </c>
      <c r="AK753" s="133">
        <v>0.953934740882918</v>
      </c>
      <c r="AL753" s="133">
        <v>0.96</v>
      </c>
      <c r="AM753" s="133">
        <v>0.963738607717665</v>
      </c>
      <c r="AN753" s="132">
        <v>0.99</v>
      </c>
      <c r="AO753" s="137">
        <v>1</v>
      </c>
      <c r="AP753" s="137">
        <v>1</v>
      </c>
      <c r="AQ753" s="137">
        <v>1</v>
      </c>
      <c r="AR753" s="137">
        <v>1</v>
      </c>
      <c r="AS753" s="158">
        <v>0.0810595228934205</v>
      </c>
      <c r="AT753" s="141">
        <v>0</v>
      </c>
      <c r="AU753" s="141">
        <v>0.666666666666667</v>
      </c>
      <c r="AV753" s="141">
        <v>0</v>
      </c>
      <c r="AW753" s="141">
        <v>0.0697674418604651</v>
      </c>
      <c r="AX753" s="95"/>
      <c r="AY753" s="93"/>
    </row>
    <row r="754" ht="15" spans="1:51">
      <c r="A754" s="91"/>
      <c r="B754" s="95"/>
      <c r="C754" s="152" t="s">
        <v>668</v>
      </c>
      <c r="D754" s="153" t="s">
        <v>25</v>
      </c>
      <c r="E754" s="130" t="s">
        <v>669</v>
      </c>
      <c r="F754" s="179" t="s">
        <v>781</v>
      </c>
      <c r="G754" s="179" t="s">
        <v>781</v>
      </c>
      <c r="H754" s="179" t="s">
        <v>781</v>
      </c>
      <c r="I754" s="179" t="s">
        <v>781</v>
      </c>
      <c r="J754" s="132">
        <v>0.9</v>
      </c>
      <c r="K754" s="133">
        <v>0.972972972972973</v>
      </c>
      <c r="L754" s="133">
        <v>1</v>
      </c>
      <c r="M754" s="134">
        <v>0.942857142857143</v>
      </c>
      <c r="N754" s="133">
        <v>0.952305246422893</v>
      </c>
      <c r="O754" s="135">
        <v>0.9</v>
      </c>
      <c r="P754" s="133">
        <v>0.970486111111111</v>
      </c>
      <c r="Q754" s="133">
        <v>0.951815642458101</v>
      </c>
      <c r="R754" s="133">
        <v>0.965230536659108</v>
      </c>
      <c r="S754" s="133">
        <v>0.963957597173145</v>
      </c>
      <c r="T754" s="135">
        <v>0.9</v>
      </c>
      <c r="U754" s="133">
        <v>0.921296296296296</v>
      </c>
      <c r="V754" s="133">
        <v>0.900139664804469</v>
      </c>
      <c r="W754" s="133">
        <v>0.909297052154195</v>
      </c>
      <c r="X754" s="133">
        <v>0.91557799091368</v>
      </c>
      <c r="Y754" s="135">
        <v>0.92</v>
      </c>
      <c r="Z754" s="135">
        <v>0.936507936507937</v>
      </c>
      <c r="AA754" s="135">
        <v>0.938411669367909</v>
      </c>
      <c r="AB754" s="135">
        <v>0.928388746803069</v>
      </c>
      <c r="AC754" s="135">
        <v>0.936756418284283</v>
      </c>
      <c r="AD754" s="135">
        <v>0.92</v>
      </c>
      <c r="AE754" s="133">
        <v>0.999198477106502</v>
      </c>
      <c r="AF754" s="133">
        <v>0.999575851830906</v>
      </c>
      <c r="AG754" s="133">
        <v>0.99943961894088</v>
      </c>
      <c r="AH754" s="133">
        <v>0.997381514729574</v>
      </c>
      <c r="AI754" s="135">
        <v>0.92</v>
      </c>
      <c r="AJ754" s="133">
        <v>0.956629491945477</v>
      </c>
      <c r="AK754" s="133">
        <v>0.959044368600683</v>
      </c>
      <c r="AL754" s="133">
        <v>0.961475139940731</v>
      </c>
      <c r="AM754" s="133">
        <v>0.967292569411009</v>
      </c>
      <c r="AN754" s="132">
        <v>0.99</v>
      </c>
      <c r="AO754" s="137">
        <v>1</v>
      </c>
      <c r="AP754" s="137">
        <v>1</v>
      </c>
      <c r="AQ754" s="137">
        <v>1</v>
      </c>
      <c r="AR754" s="137">
        <v>1</v>
      </c>
      <c r="AS754" s="158">
        <v>0.0810595228934205</v>
      </c>
      <c r="AT754" s="141">
        <v>0</v>
      </c>
      <c r="AU754" s="141">
        <v>0</v>
      </c>
      <c r="AV754" s="141">
        <v>0.0714285714285714</v>
      </c>
      <c r="AW754" s="141">
        <v>0.047244094488189</v>
      </c>
      <c r="AX754" s="95"/>
      <c r="AY754" s="93"/>
    </row>
    <row r="755" ht="15" spans="1:51">
      <c r="A755" s="91"/>
      <c r="B755" s="95"/>
      <c r="C755" s="152" t="s">
        <v>668</v>
      </c>
      <c r="D755" s="153" t="s">
        <v>25</v>
      </c>
      <c r="E755" s="130" t="s">
        <v>669</v>
      </c>
      <c r="F755" s="179" t="s">
        <v>782</v>
      </c>
      <c r="G755" s="179" t="s">
        <v>782</v>
      </c>
      <c r="H755" s="179" t="s">
        <v>782</v>
      </c>
      <c r="I755" s="179" t="s">
        <v>782</v>
      </c>
      <c r="J755" s="132">
        <v>0.9</v>
      </c>
      <c r="K755" s="133">
        <v>0.971428571428571</v>
      </c>
      <c r="L755" s="133">
        <v>0.928571428571429</v>
      </c>
      <c r="M755" s="134">
        <v>0.903225806451613</v>
      </c>
      <c r="N755" s="133">
        <v>0.953255425709516</v>
      </c>
      <c r="O755" s="135">
        <v>0.9</v>
      </c>
      <c r="P755" s="133">
        <v>0.973286290322581</v>
      </c>
      <c r="Q755" s="133">
        <v>0.972259810554804</v>
      </c>
      <c r="R755" s="133">
        <v>0.966687817258883</v>
      </c>
      <c r="S755" s="133">
        <v>0.972338701152261</v>
      </c>
      <c r="T755" s="135">
        <v>0.9</v>
      </c>
      <c r="U755" s="133">
        <v>0.941532258064516</v>
      </c>
      <c r="V755" s="133">
        <v>0.956698240866035</v>
      </c>
      <c r="W755" s="133">
        <v>0.936230964467005</v>
      </c>
      <c r="X755" s="133">
        <v>0.94478311427464</v>
      </c>
      <c r="Y755" s="135">
        <v>0.92</v>
      </c>
      <c r="Z755" s="135">
        <v>0.908974358974359</v>
      </c>
      <c r="AA755" s="135">
        <v>0.892452830188679</v>
      </c>
      <c r="AB755" s="135">
        <v>0.892128279883382</v>
      </c>
      <c r="AC755" s="135">
        <v>0.926530023094688</v>
      </c>
      <c r="AD755" s="135">
        <v>0.92</v>
      </c>
      <c r="AE755" s="133">
        <v>1</v>
      </c>
      <c r="AF755" s="133">
        <v>0.999184339314845</v>
      </c>
      <c r="AG755" s="133">
        <v>1</v>
      </c>
      <c r="AH755" s="133">
        <v>0.998974133509196</v>
      </c>
      <c r="AI755" s="135">
        <v>0.92</v>
      </c>
      <c r="AJ755" s="133">
        <v>0.958393632416787</v>
      </c>
      <c r="AK755" s="133">
        <v>0.951693227091634</v>
      </c>
      <c r="AL755" s="133">
        <v>0.971967963386728</v>
      </c>
      <c r="AM755" s="133">
        <v>0.973405837121373</v>
      </c>
      <c r="AN755" s="132">
        <v>0.99</v>
      </c>
      <c r="AO755" s="137">
        <v>1</v>
      </c>
      <c r="AP755" s="137">
        <v>1</v>
      </c>
      <c r="AQ755" s="137">
        <v>1</v>
      </c>
      <c r="AR755" s="137">
        <v>1</v>
      </c>
      <c r="AS755" s="158">
        <v>0.0810595228934205</v>
      </c>
      <c r="AT755" s="141">
        <v>0.05</v>
      </c>
      <c r="AU755" s="141">
        <v>0</v>
      </c>
      <c r="AV755" s="141">
        <v>0</v>
      </c>
      <c r="AW755" s="141">
        <v>0.0534979423868313</v>
      </c>
      <c r="AX755" s="95"/>
      <c r="AY755" s="93"/>
    </row>
    <row r="756" ht="15" spans="1:51">
      <c r="A756" s="91"/>
      <c r="B756" s="95"/>
      <c r="C756" s="152" t="s">
        <v>668</v>
      </c>
      <c r="D756" s="153" t="s">
        <v>25</v>
      </c>
      <c r="E756" s="130" t="s">
        <v>669</v>
      </c>
      <c r="F756" s="179" t="s">
        <v>783</v>
      </c>
      <c r="G756" s="179" t="s">
        <v>783</v>
      </c>
      <c r="H756" s="179" t="s">
        <v>783</v>
      </c>
      <c r="I756" s="179" t="s">
        <v>783</v>
      </c>
      <c r="J756" s="132">
        <v>0.9</v>
      </c>
      <c r="K756" s="133">
        <v>1</v>
      </c>
      <c r="L756" s="133">
        <v>0.961538461538462</v>
      </c>
      <c r="M756" s="134">
        <v>0.96875</v>
      </c>
      <c r="N756" s="133">
        <v>0.968954248366013</v>
      </c>
      <c r="O756" s="135">
        <v>0.9</v>
      </c>
      <c r="P756" s="133">
        <v>0.963003264417845</v>
      </c>
      <c r="Q756" s="133">
        <v>0.935371785962474</v>
      </c>
      <c r="R756" s="133">
        <v>0.947700947700948</v>
      </c>
      <c r="S756" s="133">
        <v>0.950228084444287</v>
      </c>
      <c r="T756" s="135">
        <v>0.9</v>
      </c>
      <c r="U756" s="133">
        <v>0.942328618063112</v>
      </c>
      <c r="V756" s="133">
        <v>0.924252953439889</v>
      </c>
      <c r="W756" s="133">
        <v>0.943839943839944</v>
      </c>
      <c r="X756" s="133">
        <v>0.936065631740868</v>
      </c>
      <c r="Y756" s="135">
        <v>0.92</v>
      </c>
      <c r="Z756" s="135">
        <v>0.905292479108635</v>
      </c>
      <c r="AA756" s="135">
        <v>0.841163310961969</v>
      </c>
      <c r="AB756" s="135">
        <v>0.858024691358025</v>
      </c>
      <c r="AC756" s="135">
        <v>0.882953137526419</v>
      </c>
      <c r="AD756" s="135">
        <v>0.92</v>
      </c>
      <c r="AE756" s="133">
        <v>1</v>
      </c>
      <c r="AF756" s="133">
        <v>0.998355263157895</v>
      </c>
      <c r="AG756" s="133">
        <v>1</v>
      </c>
      <c r="AH756" s="133">
        <v>0.998311024785711</v>
      </c>
      <c r="AI756" s="135">
        <v>0.92</v>
      </c>
      <c r="AJ756" s="133">
        <v>0.950312989045383</v>
      </c>
      <c r="AK756" s="133">
        <v>0.934782608695652</v>
      </c>
      <c r="AL756" s="133">
        <v>0.962811219665931</v>
      </c>
      <c r="AM756" s="133">
        <v>0.961128027090863</v>
      </c>
      <c r="AN756" s="132">
        <v>0.99</v>
      </c>
      <c r="AO756" s="137">
        <v>1</v>
      </c>
      <c r="AP756" s="137">
        <v>1</v>
      </c>
      <c r="AQ756" s="137">
        <v>1</v>
      </c>
      <c r="AR756" s="137">
        <v>1</v>
      </c>
      <c r="AS756" s="158">
        <v>0.0810595228934205</v>
      </c>
      <c r="AT756" s="141">
        <v>0.125</v>
      </c>
      <c r="AU756" s="141">
        <v>0.166666666666667</v>
      </c>
      <c r="AV756" s="141">
        <v>0</v>
      </c>
      <c r="AW756" s="141">
        <v>0.032520325203252</v>
      </c>
      <c r="AX756" s="95"/>
      <c r="AY756" s="93"/>
    </row>
    <row r="757" ht="15" spans="1:51">
      <c r="A757" s="91"/>
      <c r="B757" s="95"/>
      <c r="C757" s="152" t="s">
        <v>668</v>
      </c>
      <c r="D757" s="153" t="s">
        <v>25</v>
      </c>
      <c r="E757" s="130" t="s">
        <v>669</v>
      </c>
      <c r="F757" s="179" t="s">
        <v>784</v>
      </c>
      <c r="G757" s="179" t="s">
        <v>784</v>
      </c>
      <c r="H757" s="179" t="s">
        <v>784</v>
      </c>
      <c r="I757" s="179" t="s">
        <v>784</v>
      </c>
      <c r="J757" s="132">
        <v>0.9</v>
      </c>
      <c r="K757" s="133">
        <v>1</v>
      </c>
      <c r="L757" s="133">
        <v>1</v>
      </c>
      <c r="M757" s="134">
        <v>1</v>
      </c>
      <c r="N757" s="133">
        <v>0.986263736263736</v>
      </c>
      <c r="O757" s="135">
        <v>0.9</v>
      </c>
      <c r="P757" s="133">
        <v>0.914447134786118</v>
      </c>
      <c r="Q757" s="133">
        <v>0.950704225352113</v>
      </c>
      <c r="R757" s="133">
        <v>0.938469234617309</v>
      </c>
      <c r="S757" s="133">
        <v>0.950614441534521</v>
      </c>
      <c r="T757" s="135">
        <v>0.9</v>
      </c>
      <c r="U757" s="133">
        <v>0.901533494753834</v>
      </c>
      <c r="V757" s="133">
        <v>0.914486921529175</v>
      </c>
      <c r="W757" s="133">
        <v>0.95647823911956</v>
      </c>
      <c r="X757" s="133">
        <v>0.939102656344433</v>
      </c>
      <c r="Y757" s="135">
        <v>0.92</v>
      </c>
      <c r="Z757" s="135">
        <v>0.936254980079681</v>
      </c>
      <c r="AA757" s="135">
        <v>0.884615384615385</v>
      </c>
      <c r="AB757" s="135">
        <v>0.882352941176471</v>
      </c>
      <c r="AC757" s="135">
        <v>0.922349844460397</v>
      </c>
      <c r="AD757" s="135">
        <v>0.92</v>
      </c>
      <c r="AE757" s="133">
        <v>0.997830802603037</v>
      </c>
      <c r="AF757" s="133">
        <v>1</v>
      </c>
      <c r="AG757" s="133">
        <v>0.996376811594203</v>
      </c>
      <c r="AH757" s="133">
        <v>0.997352024922118</v>
      </c>
      <c r="AI757" s="135">
        <v>0.92</v>
      </c>
      <c r="AJ757" s="133">
        <v>0.933946008041356</v>
      </c>
      <c r="AK757" s="133">
        <v>0.94609375</v>
      </c>
      <c r="AL757" s="133">
        <v>0.972731336611533</v>
      </c>
      <c r="AM757" s="133">
        <v>0.969846681975274</v>
      </c>
      <c r="AN757" s="132">
        <v>0.99</v>
      </c>
      <c r="AO757" s="137">
        <v>1</v>
      </c>
      <c r="AP757" s="137">
        <v>1</v>
      </c>
      <c r="AQ757" s="137">
        <v>1</v>
      </c>
      <c r="AR757" s="137">
        <v>1</v>
      </c>
      <c r="AS757" s="158">
        <v>0.0810595228934205</v>
      </c>
      <c r="AT757" s="141">
        <v>0.25</v>
      </c>
      <c r="AU757" s="141">
        <v>0.166666666666667</v>
      </c>
      <c r="AV757" s="141">
        <v>0</v>
      </c>
      <c r="AW757" s="141">
        <v>0.0894308943089431</v>
      </c>
      <c r="AX757" s="95"/>
      <c r="AY757" s="93"/>
    </row>
    <row r="758" ht="15" spans="1:51">
      <c r="A758" s="91"/>
      <c r="B758" s="95"/>
      <c r="C758" s="152" t="s">
        <v>668</v>
      </c>
      <c r="D758" s="153" t="s">
        <v>25</v>
      </c>
      <c r="E758" s="130" t="s">
        <v>669</v>
      </c>
      <c r="F758" s="179" t="s">
        <v>785</v>
      </c>
      <c r="G758" s="179" t="s">
        <v>785</v>
      </c>
      <c r="H758" s="179" t="s">
        <v>785</v>
      </c>
      <c r="I758" s="179" t="s">
        <v>785</v>
      </c>
      <c r="J758" s="132">
        <v>0.9</v>
      </c>
      <c r="K758" s="133">
        <v>0.916666666666667</v>
      </c>
      <c r="L758" s="133">
        <v>0.888888888888889</v>
      </c>
      <c r="M758" s="134">
        <v>1</v>
      </c>
      <c r="N758" s="133">
        <v>0.879227053140097</v>
      </c>
      <c r="O758" s="135">
        <v>0.9</v>
      </c>
      <c r="P758" s="133">
        <v>0.980332829046899</v>
      </c>
      <c r="Q758" s="133">
        <v>0.952290076335878</v>
      </c>
      <c r="R758" s="133">
        <v>0.986013986013986</v>
      </c>
      <c r="S758" s="133">
        <v>0.961810690893725</v>
      </c>
      <c r="T758" s="135">
        <v>0.9</v>
      </c>
      <c r="U758" s="133">
        <v>0.972768532526475</v>
      </c>
      <c r="V758" s="133">
        <v>0.965648854961832</v>
      </c>
      <c r="W758" s="133">
        <v>0.951048951048951</v>
      </c>
      <c r="X758" s="133">
        <v>0.954891189520389</v>
      </c>
      <c r="Y758" s="135">
        <v>0.92</v>
      </c>
      <c r="Z758" s="135">
        <v>0.925373134328358</v>
      </c>
      <c r="AA758" s="135">
        <v>0.89171974522293</v>
      </c>
      <c r="AB758" s="135">
        <v>0.913793103448276</v>
      </c>
      <c r="AC758" s="135">
        <v>0.929150661545028</v>
      </c>
      <c r="AD758" s="135">
        <v>0.92</v>
      </c>
      <c r="AE758" s="133">
        <v>1</v>
      </c>
      <c r="AF758" s="133">
        <v>0.988888888888889</v>
      </c>
      <c r="AG758" s="133">
        <v>1</v>
      </c>
      <c r="AH758" s="133">
        <v>0.987854251012146</v>
      </c>
      <c r="AI758" s="135">
        <v>0.92</v>
      </c>
      <c r="AJ758" s="133">
        <v>0.965554359526372</v>
      </c>
      <c r="AK758" s="133">
        <v>0.961820851688693</v>
      </c>
      <c r="AL758" s="133">
        <v>0.974932855863921</v>
      </c>
      <c r="AM758" s="133">
        <v>0.976246930307393</v>
      </c>
      <c r="AN758" s="132">
        <v>0.99</v>
      </c>
      <c r="AO758" s="137">
        <v>1</v>
      </c>
      <c r="AP758" s="137">
        <v>1</v>
      </c>
      <c r="AQ758" s="137">
        <v>1</v>
      </c>
      <c r="AR758" s="137">
        <v>1</v>
      </c>
      <c r="AS758" s="158">
        <v>0.0810595228934205</v>
      </c>
      <c r="AT758" s="141">
        <v>0</v>
      </c>
      <c r="AU758" s="141">
        <v>0</v>
      </c>
      <c r="AV758" s="141">
        <v>0</v>
      </c>
      <c r="AW758" s="141">
        <v>0.0277777777777778</v>
      </c>
      <c r="AX758" s="95"/>
      <c r="AY758" s="93"/>
    </row>
    <row r="759" ht="15" spans="1:51">
      <c r="A759" s="91"/>
      <c r="B759" s="95"/>
      <c r="C759" s="152" t="s">
        <v>668</v>
      </c>
      <c r="D759" s="153" t="s">
        <v>25</v>
      </c>
      <c r="E759" s="130" t="s">
        <v>669</v>
      </c>
      <c r="F759" s="179" t="s">
        <v>786</v>
      </c>
      <c r="G759" s="179" t="s">
        <v>786</v>
      </c>
      <c r="H759" s="179" t="s">
        <v>786</v>
      </c>
      <c r="I759" s="179" t="s">
        <v>786</v>
      </c>
      <c r="J759" s="132">
        <v>0.9</v>
      </c>
      <c r="K759" s="133">
        <v>1</v>
      </c>
      <c r="L759" s="133">
        <v>1</v>
      </c>
      <c r="M759" s="134">
        <v>0.9375</v>
      </c>
      <c r="N759" s="133">
        <v>0.993355481727575</v>
      </c>
      <c r="O759" s="135">
        <v>0.9</v>
      </c>
      <c r="P759" s="133">
        <v>0.970666666666667</v>
      </c>
      <c r="Q759" s="133">
        <v>0.981617647058823</v>
      </c>
      <c r="R759" s="133">
        <v>0.998361998361998</v>
      </c>
      <c r="S759" s="133">
        <v>0.989239183600871</v>
      </c>
      <c r="T759" s="135">
        <v>0.9</v>
      </c>
      <c r="U759" s="133">
        <v>0.948</v>
      </c>
      <c r="V759" s="133">
        <v>0.943014705882353</v>
      </c>
      <c r="W759" s="133">
        <v>0.968877968877969</v>
      </c>
      <c r="X759" s="133">
        <v>0.959268975943795</v>
      </c>
      <c r="Y759" s="135">
        <v>0.92</v>
      </c>
      <c r="Z759" s="135">
        <v>0.960843373493976</v>
      </c>
      <c r="AA759" s="135">
        <v>0.918604651162791</v>
      </c>
      <c r="AB759" s="135">
        <v>0.944444444444444</v>
      </c>
      <c r="AC759" s="135">
        <v>0.954959985110739</v>
      </c>
      <c r="AD759" s="135">
        <v>0.92</v>
      </c>
      <c r="AE759" s="133">
        <v>1</v>
      </c>
      <c r="AF759" s="133">
        <v>0.997706422018349</v>
      </c>
      <c r="AG759" s="133">
        <v>0.996197718631179</v>
      </c>
      <c r="AH759" s="133">
        <v>0.999019287348807</v>
      </c>
      <c r="AI759" s="135">
        <v>0.92</v>
      </c>
      <c r="AJ759" s="133">
        <v>0.976894639556377</v>
      </c>
      <c r="AK759" s="133">
        <v>0.967877094972067</v>
      </c>
      <c r="AL759" s="133">
        <v>0.987545787545788</v>
      </c>
      <c r="AM759" s="133">
        <v>0.983240022968705</v>
      </c>
      <c r="AN759" s="132">
        <v>0.99</v>
      </c>
      <c r="AO759" s="137">
        <v>1</v>
      </c>
      <c r="AP759" s="137">
        <v>1</v>
      </c>
      <c r="AQ759" s="137">
        <v>1</v>
      </c>
      <c r="AR759" s="137">
        <v>1</v>
      </c>
      <c r="AS759" s="158">
        <v>0.0810595228934205</v>
      </c>
      <c r="AT759" s="141">
        <v>0</v>
      </c>
      <c r="AU759" s="141">
        <v>0</v>
      </c>
      <c r="AV759" s="141">
        <v>0.333333333333333</v>
      </c>
      <c r="AW759" s="141">
        <v>0.0470588235294118</v>
      </c>
      <c r="AX759" s="95"/>
      <c r="AY759" s="93"/>
    </row>
    <row r="760" ht="15" spans="1:51">
      <c r="A760" s="91"/>
      <c r="B760" s="95"/>
      <c r="C760" s="152" t="s">
        <v>668</v>
      </c>
      <c r="D760" s="153" t="s">
        <v>25</v>
      </c>
      <c r="E760" s="130" t="s">
        <v>669</v>
      </c>
      <c r="F760" s="179" t="s">
        <v>787</v>
      </c>
      <c r="G760" s="179" t="s">
        <v>787</v>
      </c>
      <c r="H760" s="179" t="s">
        <v>787</v>
      </c>
      <c r="I760" s="179" t="s">
        <v>787</v>
      </c>
      <c r="J760" s="132">
        <v>0.9</v>
      </c>
      <c r="K760" s="133">
        <v>0.885714285714286</v>
      </c>
      <c r="L760" s="133">
        <v>0.928571428571429</v>
      </c>
      <c r="M760" s="134">
        <v>0.821428571428571</v>
      </c>
      <c r="N760" s="133">
        <v>0.833333333333333</v>
      </c>
      <c r="O760" s="135">
        <v>0.9</v>
      </c>
      <c r="P760" s="133">
        <v>0.962223806129722</v>
      </c>
      <c r="Q760" s="133">
        <v>0.939393939393939</v>
      </c>
      <c r="R760" s="133">
        <v>0.71615925058548</v>
      </c>
      <c r="S760" s="133">
        <v>0.889283913262733</v>
      </c>
      <c r="T760" s="135">
        <v>0.9</v>
      </c>
      <c r="U760" s="133">
        <v>0.883107626514611</v>
      </c>
      <c r="V760" s="133">
        <v>0.888591800356506</v>
      </c>
      <c r="W760" s="133">
        <v>0.753161592505855</v>
      </c>
      <c r="X760" s="133">
        <v>0.885703479576399</v>
      </c>
      <c r="Y760" s="135">
        <v>0.92</v>
      </c>
      <c r="Z760" s="135">
        <v>0.880478087649402</v>
      </c>
      <c r="AA760" s="135">
        <v>0.927350427350427</v>
      </c>
      <c r="AB760" s="135">
        <v>0.75</v>
      </c>
      <c r="AC760" s="135">
        <v>0.88538436865177</v>
      </c>
      <c r="AD760" s="135">
        <v>0.92</v>
      </c>
      <c r="AE760" s="133">
        <v>0.993484093522422</v>
      </c>
      <c r="AF760" s="133">
        <v>0.989803969169145</v>
      </c>
      <c r="AG760" s="133">
        <v>0.964791952446273</v>
      </c>
      <c r="AH760" s="133">
        <v>0.984277600775731</v>
      </c>
      <c r="AI760" s="135">
        <v>0.92</v>
      </c>
      <c r="AJ760" s="133">
        <v>0.920776495278069</v>
      </c>
      <c r="AK760" s="133">
        <v>0.93463230672533</v>
      </c>
      <c r="AL760" s="133">
        <v>0.794861337683524</v>
      </c>
      <c r="AM760" s="133">
        <v>0.931197618222231</v>
      </c>
      <c r="AN760" s="132">
        <v>0.99</v>
      </c>
      <c r="AO760" s="137">
        <v>1</v>
      </c>
      <c r="AP760" s="137">
        <v>1</v>
      </c>
      <c r="AQ760" s="137">
        <v>1</v>
      </c>
      <c r="AR760" s="137">
        <v>1</v>
      </c>
      <c r="AS760" s="158">
        <v>0.0810595228934205</v>
      </c>
      <c r="AT760" s="141">
        <v>0</v>
      </c>
      <c r="AU760" s="141">
        <v>0</v>
      </c>
      <c r="AV760" s="141">
        <v>0</v>
      </c>
      <c r="AW760" s="141">
        <v>0.0325814536340852</v>
      </c>
      <c r="AX760" s="95"/>
      <c r="AY760" s="93"/>
    </row>
    <row r="761" ht="15" spans="1:51">
      <c r="A761" s="91"/>
      <c r="B761" s="95"/>
      <c r="C761" s="152" t="s">
        <v>668</v>
      </c>
      <c r="D761" s="153" t="s">
        <v>25</v>
      </c>
      <c r="E761" s="130" t="s">
        <v>669</v>
      </c>
      <c r="F761" s="179" t="s">
        <v>788</v>
      </c>
      <c r="G761" s="179" t="s">
        <v>788</v>
      </c>
      <c r="H761" s="179" t="s">
        <v>788</v>
      </c>
      <c r="I761" s="179" t="s">
        <v>788</v>
      </c>
      <c r="J761" s="132">
        <v>0.9</v>
      </c>
      <c r="K761" s="133">
        <v>1</v>
      </c>
      <c r="L761" s="133">
        <v>1</v>
      </c>
      <c r="M761" s="134">
        <v>0.96551724137931</v>
      </c>
      <c r="N761" s="133">
        <v>0.968692449355433</v>
      </c>
      <c r="O761" s="135">
        <v>0.9</v>
      </c>
      <c r="P761" s="133">
        <v>0.985746436609152</v>
      </c>
      <c r="Q761" s="133">
        <v>0.97506678539626</v>
      </c>
      <c r="R761" s="133">
        <v>0.972815533980583</v>
      </c>
      <c r="S761" s="133">
        <v>0.965630387631389</v>
      </c>
      <c r="T761" s="135">
        <v>0.9</v>
      </c>
      <c r="U761" s="133">
        <v>0.952738184546137</v>
      </c>
      <c r="V761" s="133">
        <v>0.933214603739982</v>
      </c>
      <c r="W761" s="133">
        <v>0.926699029126214</v>
      </c>
      <c r="X761" s="133">
        <v>0.920221344752795</v>
      </c>
      <c r="Y761" s="135">
        <v>0.92</v>
      </c>
      <c r="Z761" s="135">
        <v>0.933202357563851</v>
      </c>
      <c r="AA761" s="135">
        <v>0.956878850102669</v>
      </c>
      <c r="AB761" s="135">
        <v>0.96398891966759</v>
      </c>
      <c r="AC761" s="135">
        <v>0.931457682065532</v>
      </c>
      <c r="AD761" s="135">
        <v>0.92</v>
      </c>
      <c r="AE761" s="133">
        <v>0.984554715741045</v>
      </c>
      <c r="AF761" s="133">
        <v>0.993852995030081</v>
      </c>
      <c r="AG761" s="133">
        <v>0.99685804055984</v>
      </c>
      <c r="AH761" s="133">
        <v>0.970955874054847</v>
      </c>
      <c r="AI761" s="135">
        <v>0.92</v>
      </c>
      <c r="AJ761" s="133">
        <v>0.960390667390125</v>
      </c>
      <c r="AK761" s="133">
        <v>0.959627329192547</v>
      </c>
      <c r="AL761" s="133">
        <v>0.97480380008261</v>
      </c>
      <c r="AM761" s="133">
        <v>0.964835608148995</v>
      </c>
      <c r="AN761" s="132">
        <v>0.99</v>
      </c>
      <c r="AO761" s="137">
        <v>1</v>
      </c>
      <c r="AP761" s="137">
        <v>1</v>
      </c>
      <c r="AQ761" s="137">
        <v>1</v>
      </c>
      <c r="AR761" s="137">
        <v>1</v>
      </c>
      <c r="AS761" s="158">
        <v>0.0810595228934205</v>
      </c>
      <c r="AT761" s="141">
        <v>0</v>
      </c>
      <c r="AU761" s="141">
        <v>0.25</v>
      </c>
      <c r="AV761" s="141">
        <v>0</v>
      </c>
      <c r="AW761" s="141">
        <v>0.0192307692307692</v>
      </c>
      <c r="AX761" s="95"/>
      <c r="AY761" s="93"/>
    </row>
    <row r="762" ht="15" spans="1:51">
      <c r="A762" s="91"/>
      <c r="B762" s="95"/>
      <c r="C762" s="152" t="s">
        <v>668</v>
      </c>
      <c r="D762" s="153" t="s">
        <v>25</v>
      </c>
      <c r="E762" s="130" t="s">
        <v>669</v>
      </c>
      <c r="F762" s="179" t="s">
        <v>789</v>
      </c>
      <c r="G762" s="179" t="s">
        <v>789</v>
      </c>
      <c r="H762" s="179" t="s">
        <v>789</v>
      </c>
      <c r="I762" s="179" t="s">
        <v>789</v>
      </c>
      <c r="J762" s="132">
        <v>0.9</v>
      </c>
      <c r="K762" s="133">
        <v>0.909090909090909</v>
      </c>
      <c r="L762" s="133">
        <v>0.967741935483871</v>
      </c>
      <c r="M762" s="134">
        <v>1</v>
      </c>
      <c r="N762" s="133">
        <v>0.96957671957672</v>
      </c>
      <c r="O762" s="135">
        <v>0.9</v>
      </c>
      <c r="P762" s="133">
        <v>0.945085803432137</v>
      </c>
      <c r="Q762" s="133">
        <v>0.957461645746165</v>
      </c>
      <c r="R762" s="133">
        <v>0.928372739916551</v>
      </c>
      <c r="S762" s="133">
        <v>0.932912717248699</v>
      </c>
      <c r="T762" s="135">
        <v>0.9</v>
      </c>
      <c r="U762" s="133">
        <v>0.978783151326053</v>
      </c>
      <c r="V762" s="133">
        <v>0.974198047419805</v>
      </c>
      <c r="W762" s="133">
        <v>0.971488178025035</v>
      </c>
      <c r="X762" s="133">
        <v>0.968571723395787</v>
      </c>
      <c r="Y762" s="135">
        <v>0.92</v>
      </c>
      <c r="Z762" s="135">
        <v>0.982985305491106</v>
      </c>
      <c r="AA762" s="135">
        <v>0.984646194926569</v>
      </c>
      <c r="AB762" s="135">
        <v>0.982642237222758</v>
      </c>
      <c r="AC762" s="135">
        <v>0.975033391554505</v>
      </c>
      <c r="AD762" s="135">
        <v>0.92</v>
      </c>
      <c r="AE762" s="133">
        <v>0.967738175035701</v>
      </c>
      <c r="AF762" s="133">
        <v>0.976584635955557</v>
      </c>
      <c r="AG762" s="133">
        <v>0.947498573330797</v>
      </c>
      <c r="AH762" s="133">
        <v>0.965008968081079</v>
      </c>
      <c r="AI762" s="135">
        <v>0.92</v>
      </c>
      <c r="AJ762" s="133">
        <v>0.988664147588353</v>
      </c>
      <c r="AK762" s="133">
        <v>0.986727688787185</v>
      </c>
      <c r="AL762" s="133">
        <v>0.982816585730295</v>
      </c>
      <c r="AM762" s="133">
        <v>0.985035836138399</v>
      </c>
      <c r="AN762" s="132">
        <v>0.99</v>
      </c>
      <c r="AO762" s="137">
        <v>1</v>
      </c>
      <c r="AP762" s="137">
        <v>1</v>
      </c>
      <c r="AQ762" s="137">
        <v>1</v>
      </c>
      <c r="AR762" s="137">
        <v>1</v>
      </c>
      <c r="AS762" s="158">
        <v>0.0810595228934205</v>
      </c>
      <c r="AT762" s="141">
        <v>0.0833333333333333</v>
      </c>
      <c r="AU762" s="141">
        <v>0</v>
      </c>
      <c r="AV762" s="141">
        <v>0</v>
      </c>
      <c r="AW762" s="141">
        <v>0.0197044334975369</v>
      </c>
      <c r="AX762" s="95"/>
      <c r="AY762" s="93"/>
    </row>
    <row r="763" ht="15" spans="1:51">
      <c r="A763" s="91"/>
      <c r="B763" s="95"/>
      <c r="C763" s="152" t="s">
        <v>668</v>
      </c>
      <c r="D763" s="153" t="s">
        <v>25</v>
      </c>
      <c r="E763" s="130" t="s">
        <v>669</v>
      </c>
      <c r="F763" s="179" t="s">
        <v>790</v>
      </c>
      <c r="G763" s="179" t="s">
        <v>790</v>
      </c>
      <c r="H763" s="179" t="s">
        <v>790</v>
      </c>
      <c r="I763" s="179" t="s">
        <v>790</v>
      </c>
      <c r="J763" s="132">
        <v>0.9</v>
      </c>
      <c r="K763" s="133">
        <v>0.947368421052632</v>
      </c>
      <c r="L763" s="133">
        <v>1</v>
      </c>
      <c r="M763" s="134">
        <v>1</v>
      </c>
      <c r="N763" s="133">
        <v>0.961414790996785</v>
      </c>
      <c r="O763" s="135">
        <v>0.9</v>
      </c>
      <c r="P763" s="133">
        <v>0.979982593559617</v>
      </c>
      <c r="Q763" s="133">
        <v>0.983067729083665</v>
      </c>
      <c r="R763" s="133">
        <v>0.971867007672634</v>
      </c>
      <c r="S763" s="133">
        <v>0.970763014024245</v>
      </c>
      <c r="T763" s="135">
        <v>0.9</v>
      </c>
      <c r="U763" s="133">
        <v>0.973890339425587</v>
      </c>
      <c r="V763" s="133">
        <v>0.971115537848606</v>
      </c>
      <c r="W763" s="133">
        <v>0.957161125319693</v>
      </c>
      <c r="X763" s="133">
        <v>0.962760478567467</v>
      </c>
      <c r="Y763" s="135">
        <v>0.92</v>
      </c>
      <c r="Z763" s="135">
        <v>0.990384615384615</v>
      </c>
      <c r="AA763" s="135">
        <v>0.982456140350877</v>
      </c>
      <c r="AB763" s="135">
        <v>0.951776649746193</v>
      </c>
      <c r="AC763" s="135">
        <v>0.971366828741221</v>
      </c>
      <c r="AD763" s="135">
        <v>0.92</v>
      </c>
      <c r="AE763" s="133">
        <v>0.99740428293316</v>
      </c>
      <c r="AF763" s="133">
        <v>0.995721493440969</v>
      </c>
      <c r="AG763" s="133">
        <v>0.99895788102475</v>
      </c>
      <c r="AH763" s="133">
        <v>0.996994610754888</v>
      </c>
      <c r="AI763" s="135">
        <v>0.92</v>
      </c>
      <c r="AJ763" s="133">
        <v>0.989215098861594</v>
      </c>
      <c r="AK763" s="133">
        <v>0.98284625158831</v>
      </c>
      <c r="AL763" s="133">
        <v>0.982635342185904</v>
      </c>
      <c r="AM763" s="133">
        <v>0.984048253268424</v>
      </c>
      <c r="AN763" s="132">
        <v>0.99</v>
      </c>
      <c r="AO763" s="137">
        <v>1</v>
      </c>
      <c r="AP763" s="137">
        <v>1</v>
      </c>
      <c r="AQ763" s="137">
        <v>1</v>
      </c>
      <c r="AR763" s="137">
        <v>1</v>
      </c>
      <c r="AS763" s="158">
        <v>0.0810595228934205</v>
      </c>
      <c r="AT763" s="141">
        <v>0</v>
      </c>
      <c r="AU763" s="141">
        <v>0</v>
      </c>
      <c r="AV763" s="141">
        <v>0</v>
      </c>
      <c r="AW763" s="141">
        <v>0.135593220338983</v>
      </c>
      <c r="AX763" s="95"/>
      <c r="AY763" s="93"/>
    </row>
    <row r="764" ht="15" spans="1:51">
      <c r="A764" s="91"/>
      <c r="B764" s="95"/>
      <c r="C764" s="152" t="s">
        <v>668</v>
      </c>
      <c r="D764" s="153" t="s">
        <v>25</v>
      </c>
      <c r="E764" s="130" t="s">
        <v>669</v>
      </c>
      <c r="F764" s="179" t="s">
        <v>791</v>
      </c>
      <c r="G764" s="179" t="s">
        <v>791</v>
      </c>
      <c r="H764" s="179" t="s">
        <v>791</v>
      </c>
      <c r="I764" s="179" t="s">
        <v>791</v>
      </c>
      <c r="J764" s="132">
        <v>0.9</v>
      </c>
      <c r="K764" s="133">
        <v>1</v>
      </c>
      <c r="L764" s="133">
        <v>1</v>
      </c>
      <c r="M764" s="134">
        <v>1</v>
      </c>
      <c r="N764" s="133">
        <v>0.988505747126437</v>
      </c>
      <c r="O764" s="135">
        <v>0.9</v>
      </c>
      <c r="P764" s="133">
        <v>0.980924431401321</v>
      </c>
      <c r="Q764" s="133">
        <v>0.978122151321787</v>
      </c>
      <c r="R764" s="133">
        <v>0.97318339100346</v>
      </c>
      <c r="S764" s="133">
        <v>0.971065977411373</v>
      </c>
      <c r="T764" s="135">
        <v>0.9</v>
      </c>
      <c r="U764" s="133">
        <v>0.933969185619956</v>
      </c>
      <c r="V764" s="133">
        <v>0.940747493163172</v>
      </c>
      <c r="W764" s="133">
        <v>0.907871972318339</v>
      </c>
      <c r="X764" s="133">
        <v>0.93002915451895</v>
      </c>
      <c r="Y764" s="135">
        <v>0.92</v>
      </c>
      <c r="Z764" s="135">
        <v>0.938735177865613</v>
      </c>
      <c r="AA764" s="135">
        <v>0.965738758029979</v>
      </c>
      <c r="AB764" s="135">
        <v>0.938566552901024</v>
      </c>
      <c r="AC764" s="135">
        <v>0.941640729212984</v>
      </c>
      <c r="AD764" s="135">
        <v>0.92</v>
      </c>
      <c r="AE764" s="133">
        <v>0.997494519260883</v>
      </c>
      <c r="AF764" s="133">
        <v>0.999492900608519</v>
      </c>
      <c r="AG764" s="133">
        <v>0.998786702256734</v>
      </c>
      <c r="AH764" s="133">
        <v>0.997746821241586</v>
      </c>
      <c r="AI764" s="135">
        <v>0.92</v>
      </c>
      <c r="AJ764" s="133">
        <v>0.963101604278075</v>
      </c>
      <c r="AK764" s="133">
        <v>0.978900255754476</v>
      </c>
      <c r="AL764" s="133">
        <v>0.972371450498849</v>
      </c>
      <c r="AM764" s="133">
        <v>0.973374265133731</v>
      </c>
      <c r="AN764" s="132">
        <v>0.99</v>
      </c>
      <c r="AO764" s="137">
        <v>1</v>
      </c>
      <c r="AP764" s="137">
        <v>1</v>
      </c>
      <c r="AQ764" s="137">
        <v>1</v>
      </c>
      <c r="AR764" s="137">
        <v>1</v>
      </c>
      <c r="AS764" s="158">
        <v>0.0810595228934205</v>
      </c>
      <c r="AT764" s="141">
        <v>0.5</v>
      </c>
      <c r="AU764" s="141">
        <v>0.166666666666667</v>
      </c>
      <c r="AV764" s="141">
        <v>0.166666666666667</v>
      </c>
      <c r="AW764" s="141">
        <v>0.0610328638497653</v>
      </c>
      <c r="AX764" s="95"/>
      <c r="AY764" s="93"/>
    </row>
    <row r="765" ht="15" spans="1:51">
      <c r="A765" s="91"/>
      <c r="B765" s="95"/>
      <c r="C765" s="152" t="s">
        <v>668</v>
      </c>
      <c r="D765" s="153" t="s">
        <v>25</v>
      </c>
      <c r="E765" s="130" t="s">
        <v>669</v>
      </c>
      <c r="F765" s="179" t="s">
        <v>792</v>
      </c>
      <c r="G765" s="179" t="s">
        <v>792</v>
      </c>
      <c r="H765" s="179" t="s">
        <v>792</v>
      </c>
      <c r="I765" s="179" t="s">
        <v>792</v>
      </c>
      <c r="J765" s="132">
        <v>0.9</v>
      </c>
      <c r="K765" s="133">
        <v>1</v>
      </c>
      <c r="L765" s="133">
        <v>1</v>
      </c>
      <c r="M765" s="134">
        <v>0.923076923076923</v>
      </c>
      <c r="N765" s="133">
        <v>0.954716981132075</v>
      </c>
      <c r="O765" s="135">
        <v>0.9</v>
      </c>
      <c r="P765" s="133">
        <v>0.962059620596206</v>
      </c>
      <c r="Q765" s="133">
        <v>0.965884861407249</v>
      </c>
      <c r="R765" s="133">
        <v>0.858501118568233</v>
      </c>
      <c r="S765" s="133">
        <v>0.908523844641101</v>
      </c>
      <c r="T765" s="135">
        <v>0.9</v>
      </c>
      <c r="U765" s="133">
        <v>0.915989159891599</v>
      </c>
      <c r="V765" s="133">
        <v>0.933901918976546</v>
      </c>
      <c r="W765" s="133">
        <v>0.886465324384787</v>
      </c>
      <c r="X765" s="133">
        <v>0.909445673549656</v>
      </c>
      <c r="Y765" s="135">
        <v>0.92</v>
      </c>
      <c r="Z765" s="135">
        <v>0.920424403183024</v>
      </c>
      <c r="AA765" s="135">
        <v>0.932551319648094</v>
      </c>
      <c r="AB765" s="135">
        <v>0.931914893617021</v>
      </c>
      <c r="AC765" s="135">
        <v>0.926792139496263</v>
      </c>
      <c r="AD765" s="135">
        <v>0.92</v>
      </c>
      <c r="AE765" s="133">
        <v>0.983362880130915</v>
      </c>
      <c r="AF765" s="133">
        <v>0.996251171508904</v>
      </c>
      <c r="AG765" s="133">
        <v>0.998440424204616</v>
      </c>
      <c r="AH765" s="133">
        <v>0.997292632279884</v>
      </c>
      <c r="AI765" s="135">
        <v>0.92</v>
      </c>
      <c r="AJ765" s="133">
        <v>0.942048517520216</v>
      </c>
      <c r="AK765" s="133">
        <v>0.961688819390149</v>
      </c>
      <c r="AL765" s="133">
        <v>0.949579831932773</v>
      </c>
      <c r="AM765" s="133">
        <v>0.959973852265299</v>
      </c>
      <c r="AN765" s="132">
        <v>0.99</v>
      </c>
      <c r="AO765" s="137">
        <v>1</v>
      </c>
      <c r="AP765" s="137">
        <v>1</v>
      </c>
      <c r="AQ765" s="137">
        <v>1</v>
      </c>
      <c r="AR765" s="137">
        <v>1</v>
      </c>
      <c r="AS765" s="158">
        <v>0.0810595228934205</v>
      </c>
      <c r="AT765" s="141">
        <v>0.1</v>
      </c>
      <c r="AU765" s="141">
        <v>0.125</v>
      </c>
      <c r="AV765" s="141">
        <v>0</v>
      </c>
      <c r="AW765" s="141">
        <v>0.0729166666666667</v>
      </c>
      <c r="AX765" s="95"/>
      <c r="AY765" s="93"/>
    </row>
    <row r="766" ht="15" spans="1:51">
      <c r="A766" s="91"/>
      <c r="B766" s="95"/>
      <c r="C766" s="152" t="s">
        <v>668</v>
      </c>
      <c r="D766" s="153" t="s">
        <v>25</v>
      </c>
      <c r="E766" s="130" t="s">
        <v>669</v>
      </c>
      <c r="F766" s="179" t="s">
        <v>793</v>
      </c>
      <c r="G766" s="179" t="s">
        <v>793</v>
      </c>
      <c r="H766" s="179" t="s">
        <v>793</v>
      </c>
      <c r="I766" s="179" t="s">
        <v>793</v>
      </c>
      <c r="J766" s="132">
        <v>0.9</v>
      </c>
      <c r="K766" s="133">
        <v>1</v>
      </c>
      <c r="L766" s="133">
        <v>0.9375</v>
      </c>
      <c r="M766" s="134">
        <v>0.95</v>
      </c>
      <c r="N766" s="133">
        <v>0.984507042253521</v>
      </c>
      <c r="O766" s="135">
        <v>0.9</v>
      </c>
      <c r="P766" s="133">
        <v>0.97945987067326</v>
      </c>
      <c r="Q766" s="133">
        <v>0.969760604787904</v>
      </c>
      <c r="R766" s="133">
        <v>0.96362663813854</v>
      </c>
      <c r="S766" s="133">
        <v>0.967991854786109</v>
      </c>
      <c r="T766" s="135">
        <v>0.9</v>
      </c>
      <c r="U766" s="133">
        <v>0.95625713198935</v>
      </c>
      <c r="V766" s="133">
        <v>0.966820663586728</v>
      </c>
      <c r="W766" s="133">
        <v>0.94543995720781</v>
      </c>
      <c r="X766" s="133">
        <v>0.949140139041347</v>
      </c>
      <c r="Y766" s="135">
        <v>0.92</v>
      </c>
      <c r="Z766" s="135">
        <v>0.971540726202159</v>
      </c>
      <c r="AA766" s="135">
        <v>0.981693363844394</v>
      </c>
      <c r="AB766" s="135">
        <v>0.974834437086093</v>
      </c>
      <c r="AC766" s="135">
        <v>0.971501852379595</v>
      </c>
      <c r="AD766" s="135">
        <v>0.92</v>
      </c>
      <c r="AE766" s="133">
        <v>0.936091435930457</v>
      </c>
      <c r="AF766" s="133">
        <v>0.989134467588912</v>
      </c>
      <c r="AG766" s="133">
        <v>0.9972715409862</v>
      </c>
      <c r="AH766" s="133">
        <v>0.986493650576311</v>
      </c>
      <c r="AI766" s="135">
        <v>0.92</v>
      </c>
      <c r="AJ766" s="133">
        <v>0.975342465753425</v>
      </c>
      <c r="AK766" s="133">
        <v>0.980784844384303</v>
      </c>
      <c r="AL766" s="133">
        <v>0.974416017797553</v>
      </c>
      <c r="AM766" s="133">
        <v>0.978119794127154</v>
      </c>
      <c r="AN766" s="132">
        <v>0.99</v>
      </c>
      <c r="AO766" s="137">
        <v>1</v>
      </c>
      <c r="AP766" s="137">
        <v>1</v>
      </c>
      <c r="AQ766" s="137">
        <v>1</v>
      </c>
      <c r="AR766" s="137">
        <v>1</v>
      </c>
      <c r="AS766" s="158">
        <v>0.0810595228934205</v>
      </c>
      <c r="AT766" s="141">
        <v>0.0666666666666667</v>
      </c>
      <c r="AU766" s="141">
        <v>0</v>
      </c>
      <c r="AV766" s="141">
        <v>0</v>
      </c>
      <c r="AW766" s="141">
        <v>0.0408921933085502</v>
      </c>
      <c r="AX766" s="95"/>
      <c r="AY766" s="93"/>
    </row>
    <row r="767" ht="15" spans="1:51">
      <c r="A767" s="91"/>
      <c r="B767" s="95"/>
      <c r="C767" s="152" t="s">
        <v>668</v>
      </c>
      <c r="D767" s="153" t="s">
        <v>25</v>
      </c>
      <c r="E767" s="130" t="s">
        <v>669</v>
      </c>
      <c r="F767" s="179" t="s">
        <v>794</v>
      </c>
      <c r="G767" s="179" t="s">
        <v>794</v>
      </c>
      <c r="H767" s="179" t="s">
        <v>794</v>
      </c>
      <c r="I767" s="179" t="s">
        <v>794</v>
      </c>
      <c r="J767" s="132">
        <v>0.9</v>
      </c>
      <c r="K767" s="133" t="s">
        <v>35</v>
      </c>
      <c r="L767" s="133" t="s">
        <v>35</v>
      </c>
      <c r="M767" s="134" t="s">
        <v>35</v>
      </c>
      <c r="N767" s="133" t="s">
        <v>35</v>
      </c>
      <c r="O767" s="135">
        <v>0.9</v>
      </c>
      <c r="P767" s="133" t="s">
        <v>35</v>
      </c>
      <c r="Q767" s="133" t="s">
        <v>35</v>
      </c>
      <c r="R767" s="133" t="s">
        <v>35</v>
      </c>
      <c r="S767" s="133" t="s">
        <v>35</v>
      </c>
      <c r="T767" s="135">
        <v>0.9</v>
      </c>
      <c r="U767" s="133" t="s">
        <v>35</v>
      </c>
      <c r="V767" s="133" t="s">
        <v>35</v>
      </c>
      <c r="W767" s="133" t="s">
        <v>35</v>
      </c>
      <c r="X767" s="133" t="s">
        <v>35</v>
      </c>
      <c r="Y767" s="135">
        <v>0.92</v>
      </c>
      <c r="Z767" s="135" t="s">
        <v>35</v>
      </c>
      <c r="AA767" s="135" t="s">
        <v>35</v>
      </c>
      <c r="AB767" s="135" t="s">
        <v>35</v>
      </c>
      <c r="AC767" s="135" t="s">
        <v>35</v>
      </c>
      <c r="AD767" s="135">
        <v>0.92</v>
      </c>
      <c r="AE767" s="133" t="s">
        <v>35</v>
      </c>
      <c r="AF767" s="133" t="s">
        <v>35</v>
      </c>
      <c r="AG767" s="133" t="s">
        <v>35</v>
      </c>
      <c r="AH767" s="133" t="s">
        <v>35</v>
      </c>
      <c r="AI767" s="135">
        <v>0.92</v>
      </c>
      <c r="AJ767" s="133" t="s">
        <v>35</v>
      </c>
      <c r="AK767" s="133" t="s">
        <v>35</v>
      </c>
      <c r="AL767" s="133" t="s">
        <v>35</v>
      </c>
      <c r="AM767" s="133" t="s">
        <v>35</v>
      </c>
      <c r="AN767" s="132">
        <v>0.99</v>
      </c>
      <c r="AO767" s="137" t="s">
        <v>35</v>
      </c>
      <c r="AP767" s="137" t="s">
        <v>35</v>
      </c>
      <c r="AQ767" s="137" t="s">
        <v>35</v>
      </c>
      <c r="AR767" s="137" t="s">
        <v>35</v>
      </c>
      <c r="AS767" s="158">
        <v>0.0810595228934205</v>
      </c>
      <c r="AT767" s="141" t="s">
        <v>35</v>
      </c>
      <c r="AU767" s="141" t="s">
        <v>35</v>
      </c>
      <c r="AV767" s="141" t="s">
        <v>35</v>
      </c>
      <c r="AW767" s="141" t="s">
        <v>35</v>
      </c>
      <c r="AX767" s="95"/>
      <c r="AY767" s="93"/>
    </row>
    <row r="768" ht="15" spans="1:51">
      <c r="A768" s="91"/>
      <c r="B768" s="95"/>
      <c r="C768" s="152" t="s">
        <v>668</v>
      </c>
      <c r="D768" s="153" t="s">
        <v>25</v>
      </c>
      <c r="E768" s="130" t="s">
        <v>669</v>
      </c>
      <c r="F768" s="179" t="s">
        <v>795</v>
      </c>
      <c r="G768" s="179" t="s">
        <v>795</v>
      </c>
      <c r="H768" s="179" t="s">
        <v>795</v>
      </c>
      <c r="I768" s="179" t="s">
        <v>795</v>
      </c>
      <c r="J768" s="132">
        <v>0.9</v>
      </c>
      <c r="K768" s="133">
        <v>0.894736842105263</v>
      </c>
      <c r="L768" s="133">
        <v>1</v>
      </c>
      <c r="M768" s="134">
        <v>1</v>
      </c>
      <c r="N768" s="133">
        <v>0.935574229691877</v>
      </c>
      <c r="O768" s="135">
        <v>0.9</v>
      </c>
      <c r="P768" s="133">
        <v>0.958448753462604</v>
      </c>
      <c r="Q768" s="133">
        <v>0.956521739130435</v>
      </c>
      <c r="R768" s="133">
        <v>0.965432098765432</v>
      </c>
      <c r="S768" s="133">
        <v>0.968472184034461</v>
      </c>
      <c r="T768" s="135">
        <v>0.9</v>
      </c>
      <c r="U768" s="133">
        <v>0.922437673130194</v>
      </c>
      <c r="V768" s="133">
        <v>0.921404682274248</v>
      </c>
      <c r="W768" s="133">
        <v>0.958847736625514</v>
      </c>
      <c r="X768" s="133">
        <v>0.949958757217487</v>
      </c>
      <c r="Y768" s="135">
        <v>0.92</v>
      </c>
      <c r="Z768" s="135">
        <v>0.940350877192982</v>
      </c>
      <c r="AA768" s="135">
        <v>0.953389830508475</v>
      </c>
      <c r="AB768" s="135">
        <v>0.981707317073171</v>
      </c>
      <c r="AC768" s="135">
        <v>0.958511287370348</v>
      </c>
      <c r="AD768" s="135">
        <v>0.92</v>
      </c>
      <c r="AE768" s="133">
        <v>0.979857819905213</v>
      </c>
      <c r="AF768" s="133">
        <v>0.998952879581152</v>
      </c>
      <c r="AG768" s="133">
        <v>1</v>
      </c>
      <c r="AH768" s="133">
        <v>0.997234309782678</v>
      </c>
      <c r="AI768" s="135">
        <v>0.92</v>
      </c>
      <c r="AJ768" s="133">
        <v>0.969215491559086</v>
      </c>
      <c r="AK768" s="133">
        <v>0.980815347721823</v>
      </c>
      <c r="AL768" s="133">
        <v>0.97897026831037</v>
      </c>
      <c r="AM768" s="133">
        <v>0.980832461515469</v>
      </c>
      <c r="AN768" s="132">
        <v>0.99</v>
      </c>
      <c r="AO768" s="137">
        <v>1</v>
      </c>
      <c r="AP768" s="137">
        <v>1</v>
      </c>
      <c r="AQ768" s="137">
        <v>1</v>
      </c>
      <c r="AR768" s="137">
        <v>1</v>
      </c>
      <c r="AS768" s="158">
        <v>0.0810595228934205</v>
      </c>
      <c r="AT768" s="141">
        <v>0</v>
      </c>
      <c r="AU768" s="141">
        <v>0</v>
      </c>
      <c r="AV768" s="141">
        <v>0</v>
      </c>
      <c r="AW768" s="141">
        <v>0</v>
      </c>
      <c r="AX768" s="95"/>
      <c r="AY768" s="93"/>
    </row>
    <row r="769" ht="15" spans="1:51">
      <c r="A769" s="91"/>
      <c r="B769" s="95"/>
      <c r="C769" s="152" t="s">
        <v>668</v>
      </c>
      <c r="D769" s="153" t="s">
        <v>25</v>
      </c>
      <c r="E769" s="130" t="s">
        <v>669</v>
      </c>
      <c r="F769" s="179" t="s">
        <v>796</v>
      </c>
      <c r="G769" s="179" t="s">
        <v>796</v>
      </c>
      <c r="H769" s="179" t="s">
        <v>796</v>
      </c>
      <c r="I769" s="179" t="s">
        <v>796</v>
      </c>
      <c r="J769" s="132">
        <v>0.9</v>
      </c>
      <c r="K769" s="133">
        <v>0.5</v>
      </c>
      <c r="L769" s="133">
        <v>0.578947368421053</v>
      </c>
      <c r="M769" s="134">
        <v>0.555555555555556</v>
      </c>
      <c r="N769" s="133">
        <v>0.491279069767442</v>
      </c>
      <c r="O769" s="135">
        <v>0.9</v>
      </c>
      <c r="P769" s="133">
        <v>0.957775489186406</v>
      </c>
      <c r="Q769" s="133">
        <v>0.95697074010327</v>
      </c>
      <c r="R769" s="133">
        <v>0.934328358208955</v>
      </c>
      <c r="S769" s="133">
        <v>0.946288073537431</v>
      </c>
      <c r="T769" s="135">
        <v>0.9</v>
      </c>
      <c r="U769" s="133">
        <v>0.916580844490216</v>
      </c>
      <c r="V769" s="133">
        <v>0.886402753872633</v>
      </c>
      <c r="W769" s="133">
        <v>0.890547263681592</v>
      </c>
      <c r="X769" s="133">
        <v>0.913648048609488</v>
      </c>
      <c r="Y769" s="135">
        <v>0.92</v>
      </c>
      <c r="Z769" s="135">
        <v>0.908145580589255</v>
      </c>
      <c r="AA769" s="135">
        <v>0.898550724637681</v>
      </c>
      <c r="AB769" s="135">
        <v>0.887445887445887</v>
      </c>
      <c r="AC769" s="135">
        <v>0.904053500750648</v>
      </c>
      <c r="AD769" s="135">
        <v>0.92</v>
      </c>
      <c r="AE769" s="133">
        <v>0.997214484679666</v>
      </c>
      <c r="AF769" s="133">
        <v>0.991101223581758</v>
      </c>
      <c r="AG769" s="133">
        <v>0.99203187250996</v>
      </c>
      <c r="AH769" s="133">
        <v>0.995643294758339</v>
      </c>
      <c r="AI769" s="135">
        <v>0.92</v>
      </c>
      <c r="AJ769" s="133">
        <v>0.929677419354839</v>
      </c>
      <c r="AK769" s="133">
        <v>0.913700107874865</v>
      </c>
      <c r="AL769" s="133">
        <v>0.928802588996764</v>
      </c>
      <c r="AM769" s="133">
        <v>0.940494215977227</v>
      </c>
      <c r="AN769" s="132">
        <v>0.99</v>
      </c>
      <c r="AO769" s="137">
        <v>1</v>
      </c>
      <c r="AP769" s="137">
        <v>1</v>
      </c>
      <c r="AQ769" s="137">
        <v>1</v>
      </c>
      <c r="AR769" s="137">
        <v>1</v>
      </c>
      <c r="AS769" s="158">
        <v>0.0810595228934205</v>
      </c>
      <c r="AT769" s="141">
        <v>0</v>
      </c>
      <c r="AU769" s="141">
        <v>0</v>
      </c>
      <c r="AV769" s="141">
        <v>0</v>
      </c>
      <c r="AW769" s="141">
        <v>0.0377358490566038</v>
      </c>
      <c r="AX769" s="95"/>
      <c r="AY769" s="93"/>
    </row>
    <row r="770" ht="15" spans="1:51">
      <c r="A770" s="91"/>
      <c r="B770" s="95"/>
      <c r="C770" s="152" t="s">
        <v>668</v>
      </c>
      <c r="D770" s="153" t="s">
        <v>25</v>
      </c>
      <c r="E770" s="130" t="s">
        <v>669</v>
      </c>
      <c r="F770" s="179" t="s">
        <v>797</v>
      </c>
      <c r="G770" s="179" t="s">
        <v>797</v>
      </c>
      <c r="H770" s="179" t="s">
        <v>797</v>
      </c>
      <c r="I770" s="179" t="s">
        <v>797</v>
      </c>
      <c r="J770" s="132">
        <v>0.9</v>
      </c>
      <c r="K770" s="133">
        <v>0.846153846153846</v>
      </c>
      <c r="L770" s="133">
        <v>0.846153846153846</v>
      </c>
      <c r="M770" s="134">
        <v>0.785714285714286</v>
      </c>
      <c r="N770" s="133">
        <v>0.848708487084871</v>
      </c>
      <c r="O770" s="135">
        <v>0.9</v>
      </c>
      <c r="P770" s="133">
        <v>0.907944514501892</v>
      </c>
      <c r="Q770" s="133">
        <v>0.879049676025918</v>
      </c>
      <c r="R770" s="133">
        <v>0.934100418410042</v>
      </c>
      <c r="S770" s="133">
        <v>0.874777400032378</v>
      </c>
      <c r="T770" s="135">
        <v>0.9</v>
      </c>
      <c r="U770" s="133">
        <v>0.858764186633039</v>
      </c>
      <c r="V770" s="133">
        <v>0.725701943844492</v>
      </c>
      <c r="W770" s="133">
        <v>0.687238493723849</v>
      </c>
      <c r="X770" s="133">
        <v>0.785737412983649</v>
      </c>
      <c r="Y770" s="135">
        <v>0.92</v>
      </c>
      <c r="Z770" s="135">
        <v>0.842892768079801</v>
      </c>
      <c r="AA770" s="135">
        <v>0.805555555555556</v>
      </c>
      <c r="AB770" s="135">
        <v>0.734463276836158</v>
      </c>
      <c r="AC770" s="135">
        <v>0.833690221270521</v>
      </c>
      <c r="AD770" s="135">
        <v>0.92</v>
      </c>
      <c r="AE770" s="133">
        <v>1</v>
      </c>
      <c r="AF770" s="133">
        <v>0.998351195383347</v>
      </c>
      <c r="AG770" s="133">
        <v>1</v>
      </c>
      <c r="AH770" s="133">
        <v>0.966357531180045</v>
      </c>
      <c r="AI770" s="135">
        <v>0.92</v>
      </c>
      <c r="AJ770" s="133">
        <v>0.891959798994975</v>
      </c>
      <c r="AK770" s="133">
        <v>0.841958041958042</v>
      </c>
      <c r="AL770" s="133">
        <v>0.813768755516328</v>
      </c>
      <c r="AM770" s="133">
        <v>0.894870526142174</v>
      </c>
      <c r="AN770" s="132">
        <v>0.99</v>
      </c>
      <c r="AO770" s="137">
        <v>1</v>
      </c>
      <c r="AP770" s="137">
        <v>1</v>
      </c>
      <c r="AQ770" s="137">
        <v>1</v>
      </c>
      <c r="AR770" s="137">
        <v>1</v>
      </c>
      <c r="AS770" s="158">
        <v>0.0810595228934205</v>
      </c>
      <c r="AT770" s="141">
        <v>0</v>
      </c>
      <c r="AU770" s="141">
        <v>0.166666666666667</v>
      </c>
      <c r="AV770" s="141">
        <v>0</v>
      </c>
      <c r="AW770" s="141">
        <v>0.0517241379310345</v>
      </c>
      <c r="AX770" s="95"/>
      <c r="AY770" s="93"/>
    </row>
    <row r="771" ht="15" spans="1:51">
      <c r="A771" s="91"/>
      <c r="B771" s="95"/>
      <c r="C771" s="152" t="s">
        <v>668</v>
      </c>
      <c r="D771" s="153" t="s">
        <v>25</v>
      </c>
      <c r="E771" s="130" t="s">
        <v>669</v>
      </c>
      <c r="F771" s="179" t="s">
        <v>798</v>
      </c>
      <c r="G771" s="179" t="s">
        <v>798</v>
      </c>
      <c r="H771" s="179" t="s">
        <v>798</v>
      </c>
      <c r="I771" s="179" t="s">
        <v>798</v>
      </c>
      <c r="J771" s="132">
        <v>0.9</v>
      </c>
      <c r="K771" s="133">
        <v>0.878048780487805</v>
      </c>
      <c r="L771" s="133">
        <v>0.935483870967742</v>
      </c>
      <c r="M771" s="134">
        <v>0.774193548387097</v>
      </c>
      <c r="N771" s="133">
        <v>0.779202279202279</v>
      </c>
      <c r="O771" s="135">
        <v>0.9</v>
      </c>
      <c r="P771" s="133">
        <v>0.931747025673137</v>
      </c>
      <c r="Q771" s="133">
        <v>0.865384615384615</v>
      </c>
      <c r="R771" s="133">
        <v>0.921458625525947</v>
      </c>
      <c r="S771" s="133">
        <v>0.942411859735817</v>
      </c>
      <c r="T771" s="135">
        <v>0.9</v>
      </c>
      <c r="U771" s="133">
        <v>0.918597370068879</v>
      </c>
      <c r="V771" s="133">
        <v>0.902930402930403</v>
      </c>
      <c r="W771" s="133">
        <v>0.856007480130902</v>
      </c>
      <c r="X771" s="133">
        <v>0.909873610187209</v>
      </c>
      <c r="Y771" s="135">
        <v>0.92</v>
      </c>
      <c r="Z771" s="135">
        <v>0.91875</v>
      </c>
      <c r="AA771" s="135">
        <v>0.856127886323268</v>
      </c>
      <c r="AB771" s="135">
        <v>0.852040816326531</v>
      </c>
      <c r="AC771" s="135">
        <v>0.896307575180815</v>
      </c>
      <c r="AD771" s="135">
        <v>0.92</v>
      </c>
      <c r="AE771" s="133">
        <v>0.998726114649682</v>
      </c>
      <c r="AF771" s="133">
        <v>0.978064516129032</v>
      </c>
      <c r="AG771" s="133">
        <v>0.992964824120603</v>
      </c>
      <c r="AH771" s="133">
        <v>0.991768520828137</v>
      </c>
      <c r="AI771" s="135">
        <v>0.92</v>
      </c>
      <c r="AJ771" s="133">
        <v>0.937426671881111</v>
      </c>
      <c r="AK771" s="133">
        <v>0.914199395770393</v>
      </c>
      <c r="AL771" s="133">
        <v>0.893717898064006</v>
      </c>
      <c r="AM771" s="133">
        <v>0.941860818784598</v>
      </c>
      <c r="AN771" s="132">
        <v>0.99</v>
      </c>
      <c r="AO771" s="137">
        <v>1</v>
      </c>
      <c r="AP771" s="137">
        <v>1</v>
      </c>
      <c r="AQ771" s="137">
        <v>1</v>
      </c>
      <c r="AR771" s="137">
        <v>1</v>
      </c>
      <c r="AS771" s="158">
        <v>0.0810595228934205</v>
      </c>
      <c r="AT771" s="141">
        <v>0.0625</v>
      </c>
      <c r="AU771" s="141">
        <v>0</v>
      </c>
      <c r="AV771" s="141">
        <v>0.117647058823529</v>
      </c>
      <c r="AW771" s="141">
        <v>0.0313390313390313</v>
      </c>
      <c r="AX771" s="95"/>
      <c r="AY771" s="93"/>
    </row>
    <row r="772" ht="15" spans="1:51">
      <c r="A772" s="91"/>
      <c r="B772" s="95"/>
      <c r="C772" s="152" t="s">
        <v>668</v>
      </c>
      <c r="D772" s="153" t="s">
        <v>25</v>
      </c>
      <c r="E772" s="130" t="s">
        <v>669</v>
      </c>
      <c r="F772" s="179" t="s">
        <v>799</v>
      </c>
      <c r="G772" s="179" t="s">
        <v>799</v>
      </c>
      <c r="H772" s="179" t="s">
        <v>799</v>
      </c>
      <c r="I772" s="179" t="s">
        <v>799</v>
      </c>
      <c r="J772" s="132">
        <v>0.9</v>
      </c>
      <c r="K772" s="133">
        <v>0.848484848484849</v>
      </c>
      <c r="L772" s="133">
        <v>0.888888888888889</v>
      </c>
      <c r="M772" s="134">
        <v>0.758620689655172</v>
      </c>
      <c r="N772" s="133">
        <v>0.825657894736842</v>
      </c>
      <c r="O772" s="135">
        <v>0.9</v>
      </c>
      <c r="P772" s="133">
        <v>0.960893854748603</v>
      </c>
      <c r="Q772" s="133">
        <v>0.942080378250591</v>
      </c>
      <c r="R772" s="133">
        <v>0.95273631840796</v>
      </c>
      <c r="S772" s="133">
        <v>0.954772799829733</v>
      </c>
      <c r="T772" s="135">
        <v>0.9</v>
      </c>
      <c r="U772" s="133">
        <v>0.90023942537909</v>
      </c>
      <c r="V772" s="133">
        <v>0.894799054373522</v>
      </c>
      <c r="W772" s="133">
        <v>0.899875621890547</v>
      </c>
      <c r="X772" s="133">
        <v>0.915159093327658</v>
      </c>
      <c r="Y772" s="135">
        <v>0.92</v>
      </c>
      <c r="Z772" s="135">
        <v>0.877370417193426</v>
      </c>
      <c r="AA772" s="135">
        <v>0.874493927125506</v>
      </c>
      <c r="AB772" s="135">
        <v>0.929260450160772</v>
      </c>
      <c r="AC772" s="135">
        <v>0.888163417591643</v>
      </c>
      <c r="AD772" s="135">
        <v>0.92</v>
      </c>
      <c r="AE772" s="133">
        <v>0.999636627906977</v>
      </c>
      <c r="AF772" s="133">
        <v>0.998093681917211</v>
      </c>
      <c r="AG772" s="133">
        <v>0.999338624338624</v>
      </c>
      <c r="AH772" s="133">
        <v>0.997074597757192</v>
      </c>
      <c r="AI772" s="135">
        <v>0.92</v>
      </c>
      <c r="AJ772" s="133">
        <v>0.916340508806262</v>
      </c>
      <c r="AK772" s="133">
        <v>0.909023117076808</v>
      </c>
      <c r="AL772" s="133">
        <v>0.937988535695675</v>
      </c>
      <c r="AM772" s="133">
        <v>0.939428429526313</v>
      </c>
      <c r="AN772" s="132">
        <v>0.99</v>
      </c>
      <c r="AO772" s="137">
        <v>1</v>
      </c>
      <c r="AP772" s="137">
        <v>1</v>
      </c>
      <c r="AQ772" s="137">
        <v>1</v>
      </c>
      <c r="AR772" s="137">
        <v>1</v>
      </c>
      <c r="AS772" s="158">
        <v>0.0810595228934205</v>
      </c>
      <c r="AT772" s="141">
        <v>0.0625</v>
      </c>
      <c r="AU772" s="141">
        <v>0</v>
      </c>
      <c r="AV772" s="141">
        <v>0</v>
      </c>
      <c r="AW772" s="141">
        <v>0.0395480225988701</v>
      </c>
      <c r="AX772" s="95"/>
      <c r="AY772" s="93"/>
    </row>
    <row r="773" ht="15" spans="1:51">
      <c r="A773" s="91"/>
      <c r="B773" s="95"/>
      <c r="C773" s="152" t="s">
        <v>668</v>
      </c>
      <c r="D773" s="153" t="s">
        <v>25</v>
      </c>
      <c r="E773" s="130" t="s">
        <v>669</v>
      </c>
      <c r="F773" s="179" t="s">
        <v>800</v>
      </c>
      <c r="G773" s="179" t="s">
        <v>800</v>
      </c>
      <c r="H773" s="179" t="s">
        <v>800</v>
      </c>
      <c r="I773" s="179" t="s">
        <v>800</v>
      </c>
      <c r="J773" s="132">
        <v>0.9</v>
      </c>
      <c r="K773" s="133">
        <v>0.806451612903226</v>
      </c>
      <c r="L773" s="133">
        <v>0.827586206896552</v>
      </c>
      <c r="M773" s="134">
        <v>0.833333333333333</v>
      </c>
      <c r="N773" s="133">
        <v>0.799319727891156</v>
      </c>
      <c r="O773" s="135">
        <v>0.9</v>
      </c>
      <c r="P773" s="133">
        <v>0.878153846153846</v>
      </c>
      <c r="Q773" s="133">
        <v>0.918624161073825</v>
      </c>
      <c r="R773" s="133">
        <v>0.863052781740371</v>
      </c>
      <c r="S773" s="133">
        <v>0.924099909101688</v>
      </c>
      <c r="T773" s="135">
        <v>0.9</v>
      </c>
      <c r="U773" s="133">
        <v>0.896615384615385</v>
      </c>
      <c r="V773" s="133">
        <v>0.848993288590604</v>
      </c>
      <c r="W773" s="133">
        <v>0.845934379457917</v>
      </c>
      <c r="X773" s="133">
        <v>0.854009405999289</v>
      </c>
      <c r="Y773" s="135">
        <v>0.92</v>
      </c>
      <c r="Z773" s="135">
        <v>0.867796610169491</v>
      </c>
      <c r="AA773" s="135">
        <v>0.879924953095685</v>
      </c>
      <c r="AB773" s="135">
        <v>0.821951219512195</v>
      </c>
      <c r="AC773" s="135">
        <v>0.842248413417951</v>
      </c>
      <c r="AD773" s="135">
        <v>0.92</v>
      </c>
      <c r="AE773" s="133">
        <v>0.99609756097561</v>
      </c>
      <c r="AF773" s="133">
        <v>0.99791013584117</v>
      </c>
      <c r="AG773" s="133">
        <v>0.948132780082988</v>
      </c>
      <c r="AH773" s="133">
        <v>0.994322344322344</v>
      </c>
      <c r="AI773" s="135">
        <v>0.92</v>
      </c>
      <c r="AJ773" s="133">
        <v>0.926294820717131</v>
      </c>
      <c r="AK773" s="133">
        <v>0.90851187029531</v>
      </c>
      <c r="AL773" s="133">
        <v>0.883008356545961</v>
      </c>
      <c r="AM773" s="133">
        <v>0.913642699409563</v>
      </c>
      <c r="AN773" s="132">
        <v>0.99</v>
      </c>
      <c r="AO773" s="137">
        <v>1</v>
      </c>
      <c r="AP773" s="137">
        <v>1</v>
      </c>
      <c r="AQ773" s="137">
        <v>1</v>
      </c>
      <c r="AR773" s="137">
        <v>1</v>
      </c>
      <c r="AS773" s="158">
        <v>0.0810595228934205</v>
      </c>
      <c r="AT773" s="141">
        <v>0.125</v>
      </c>
      <c r="AU773" s="141">
        <v>0</v>
      </c>
      <c r="AV773" s="141">
        <v>0.0555555555555556</v>
      </c>
      <c r="AW773" s="141">
        <v>0.0556792873051225</v>
      </c>
      <c r="AX773" s="95"/>
      <c r="AY773" s="93"/>
    </row>
    <row r="774" ht="15" spans="1:51">
      <c r="A774" s="91"/>
      <c r="B774" s="95"/>
      <c r="C774" s="152" t="s">
        <v>668</v>
      </c>
      <c r="D774" s="153" t="s">
        <v>25</v>
      </c>
      <c r="E774" s="130" t="s">
        <v>669</v>
      </c>
      <c r="F774" s="179" t="s">
        <v>801</v>
      </c>
      <c r="G774" s="179" t="s">
        <v>801</v>
      </c>
      <c r="H774" s="179" t="s">
        <v>801</v>
      </c>
      <c r="I774" s="179" t="s">
        <v>801</v>
      </c>
      <c r="J774" s="132">
        <v>0.9</v>
      </c>
      <c r="K774" s="133">
        <v>0.655172413793103</v>
      </c>
      <c r="L774" s="133">
        <v>0.740740740740741</v>
      </c>
      <c r="M774" s="134">
        <v>0.62962962962963</v>
      </c>
      <c r="N774" s="133">
        <v>0.692592592592593</v>
      </c>
      <c r="O774" s="135">
        <v>0.9</v>
      </c>
      <c r="P774" s="133">
        <v>0.930925221799746</v>
      </c>
      <c r="Q774" s="133">
        <v>0.923298178331735</v>
      </c>
      <c r="R774" s="133">
        <v>0.911259541984733</v>
      </c>
      <c r="S774" s="133">
        <v>0.919481062983888</v>
      </c>
      <c r="T774" s="135">
        <v>0.9</v>
      </c>
      <c r="U774" s="133">
        <v>0.865652724968314</v>
      </c>
      <c r="V774" s="133">
        <v>0.86673058485139</v>
      </c>
      <c r="W774" s="133">
        <v>0.877385496183206</v>
      </c>
      <c r="X774" s="133">
        <v>0.874639045825486</v>
      </c>
      <c r="Y774" s="135">
        <v>0.92</v>
      </c>
      <c r="Z774" s="135">
        <v>0.85614849187935</v>
      </c>
      <c r="AA774" s="135">
        <v>0.862254025044723</v>
      </c>
      <c r="AB774" s="135">
        <v>0.792838874680307</v>
      </c>
      <c r="AC774" s="135">
        <v>0.847531112003212</v>
      </c>
      <c r="AD774" s="135">
        <v>0.92</v>
      </c>
      <c r="AE774" s="133">
        <v>0.996728462377317</v>
      </c>
      <c r="AF774" s="133">
        <v>0.997275204359673</v>
      </c>
      <c r="AG774" s="133">
        <v>0.998618784530387</v>
      </c>
      <c r="AH774" s="133">
        <v>0.997085419624841</v>
      </c>
      <c r="AI774" s="135">
        <v>0.92</v>
      </c>
      <c r="AJ774" s="133">
        <v>0.909016393442623</v>
      </c>
      <c r="AK774" s="133">
        <v>0.900749063670412</v>
      </c>
      <c r="AL774" s="133">
        <v>0.893848009650181</v>
      </c>
      <c r="AM774" s="133">
        <v>0.92544594706712</v>
      </c>
      <c r="AN774" s="132">
        <v>0.99</v>
      </c>
      <c r="AO774" s="137">
        <v>1</v>
      </c>
      <c r="AP774" s="137">
        <v>1</v>
      </c>
      <c r="AQ774" s="137">
        <v>1</v>
      </c>
      <c r="AR774" s="137">
        <v>1</v>
      </c>
      <c r="AS774" s="158">
        <v>0.0810595228934205</v>
      </c>
      <c r="AT774" s="141">
        <v>0</v>
      </c>
      <c r="AU774" s="141">
        <v>0</v>
      </c>
      <c r="AV774" s="141">
        <v>0.133333333333333</v>
      </c>
      <c r="AW774" s="141">
        <v>0.0384615384615385</v>
      </c>
      <c r="AX774" s="95"/>
      <c r="AY774" s="93"/>
    </row>
    <row r="775" ht="15" spans="1:51">
      <c r="A775" s="91"/>
      <c r="B775" s="95"/>
      <c r="C775" s="152" t="s">
        <v>668</v>
      </c>
      <c r="D775" s="153" t="s">
        <v>25</v>
      </c>
      <c r="E775" s="130" t="s">
        <v>669</v>
      </c>
      <c r="F775" s="179" t="s">
        <v>802</v>
      </c>
      <c r="G775" s="179" t="s">
        <v>802</v>
      </c>
      <c r="H775" s="179" t="s">
        <v>802</v>
      </c>
      <c r="I775" s="179" t="s">
        <v>802</v>
      </c>
      <c r="J775" s="132">
        <v>0.9</v>
      </c>
      <c r="K775" s="133">
        <v>1</v>
      </c>
      <c r="L775" s="133">
        <v>1</v>
      </c>
      <c r="M775" s="134">
        <v>1</v>
      </c>
      <c r="N775" s="133">
        <v>0.953091684434968</v>
      </c>
      <c r="O775" s="135">
        <v>0.9</v>
      </c>
      <c r="P775" s="133">
        <v>0.986123156981787</v>
      </c>
      <c r="Q775" s="133">
        <v>0.985842985842986</v>
      </c>
      <c r="R775" s="133">
        <v>0.980564263322884</v>
      </c>
      <c r="S775" s="133">
        <v>0.979626655961461</v>
      </c>
      <c r="T775" s="135">
        <v>0.9</v>
      </c>
      <c r="U775" s="133">
        <v>0.966175195143105</v>
      </c>
      <c r="V775" s="133">
        <v>0.967824967824968</v>
      </c>
      <c r="W775" s="133">
        <v>0.884012539184953</v>
      </c>
      <c r="X775" s="133">
        <v>0.947787033319952</v>
      </c>
      <c r="Y775" s="135">
        <v>0.92</v>
      </c>
      <c r="Z775" s="135">
        <v>0.9578125</v>
      </c>
      <c r="AA775" s="135">
        <v>0.963917525773196</v>
      </c>
      <c r="AB775" s="135">
        <v>0.919463087248322</v>
      </c>
      <c r="AC775" s="135">
        <v>0.943535825545171</v>
      </c>
      <c r="AD775" s="135">
        <v>0.92</v>
      </c>
      <c r="AE775" s="133">
        <v>0.996875</v>
      </c>
      <c r="AF775" s="133">
        <v>0.996297439062018</v>
      </c>
      <c r="AG775" s="133">
        <v>0.99832655988525</v>
      </c>
      <c r="AH775" s="133">
        <v>0.996341280050788</v>
      </c>
      <c r="AI775" s="135">
        <v>0.92</v>
      </c>
      <c r="AJ775" s="133">
        <v>0.967688022284123</v>
      </c>
      <c r="AK775" s="133">
        <v>0.975234842015371</v>
      </c>
      <c r="AL775" s="133">
        <v>0.909473684210526</v>
      </c>
      <c r="AM775" s="133">
        <v>0.96681019016864</v>
      </c>
      <c r="AN775" s="132">
        <v>0.99</v>
      </c>
      <c r="AO775" s="137">
        <v>1</v>
      </c>
      <c r="AP775" s="137">
        <v>1</v>
      </c>
      <c r="AQ775" s="137">
        <v>1</v>
      </c>
      <c r="AR775" s="137">
        <v>1</v>
      </c>
      <c r="AS775" s="158">
        <v>0.0810595228934205</v>
      </c>
      <c r="AT775" s="141">
        <v>0.222222222222222</v>
      </c>
      <c r="AU775" s="141">
        <v>0.0769230769230769</v>
      </c>
      <c r="AV775" s="141">
        <v>0.0526315789473684</v>
      </c>
      <c r="AW775" s="141">
        <v>0.0472103004291846</v>
      </c>
      <c r="AX775" s="95"/>
      <c r="AY775" s="93"/>
    </row>
    <row r="776" ht="15" spans="1:51">
      <c r="A776" s="91"/>
      <c r="B776" s="95"/>
      <c r="C776" s="152" t="s">
        <v>668</v>
      </c>
      <c r="D776" s="153" t="s">
        <v>25</v>
      </c>
      <c r="E776" s="130" t="s">
        <v>669</v>
      </c>
      <c r="F776" s="179" t="s">
        <v>803</v>
      </c>
      <c r="G776" s="179" t="s">
        <v>803</v>
      </c>
      <c r="H776" s="179" t="s">
        <v>803</v>
      </c>
      <c r="I776" s="179" t="s">
        <v>803</v>
      </c>
      <c r="J776" s="132">
        <v>0.9</v>
      </c>
      <c r="K776" s="133">
        <v>0.96969696969697</v>
      </c>
      <c r="L776" s="133">
        <v>1</v>
      </c>
      <c r="M776" s="134">
        <v>0.9</v>
      </c>
      <c r="N776" s="133">
        <v>0.967013888888889</v>
      </c>
      <c r="O776" s="135">
        <v>0.9</v>
      </c>
      <c r="P776" s="133">
        <v>0.985284280936455</v>
      </c>
      <c r="Q776" s="133">
        <v>0.975369458128079</v>
      </c>
      <c r="R776" s="133">
        <v>0.967661691542289</v>
      </c>
      <c r="S776" s="133">
        <v>0.977597943141346</v>
      </c>
      <c r="T776" s="135">
        <v>0.9</v>
      </c>
      <c r="U776" s="133">
        <v>0.947826086956522</v>
      </c>
      <c r="V776" s="133">
        <v>0.934975369458128</v>
      </c>
      <c r="W776" s="133">
        <v>0.936318407960199</v>
      </c>
      <c r="X776" s="133">
        <v>0.94881035173126</v>
      </c>
      <c r="Y776" s="135">
        <v>0.92</v>
      </c>
      <c r="Z776" s="135">
        <v>0.951033732317737</v>
      </c>
      <c r="AA776" s="135">
        <v>0.943289224952741</v>
      </c>
      <c r="AB776" s="135">
        <v>0.929292929292929</v>
      </c>
      <c r="AC776" s="135">
        <v>0.956398104265403</v>
      </c>
      <c r="AD776" s="135">
        <v>0.92</v>
      </c>
      <c r="AE776" s="133">
        <v>0.998287671232877</v>
      </c>
      <c r="AF776" s="133">
        <v>0.998096446700508</v>
      </c>
      <c r="AG776" s="133">
        <v>0.997435897435897</v>
      </c>
      <c r="AH776" s="133">
        <v>0.997574110911649</v>
      </c>
      <c r="AI776" s="135">
        <v>0.92</v>
      </c>
      <c r="AJ776" s="133">
        <v>0.965202982601491</v>
      </c>
      <c r="AK776" s="133">
        <v>0.963730569948187</v>
      </c>
      <c r="AL776" s="133">
        <v>0.961362692147902</v>
      </c>
      <c r="AM776" s="133">
        <v>0.973969162189584</v>
      </c>
      <c r="AN776" s="132">
        <v>0.99</v>
      </c>
      <c r="AO776" s="137">
        <v>1</v>
      </c>
      <c r="AP776" s="137">
        <v>1</v>
      </c>
      <c r="AQ776" s="137">
        <v>1</v>
      </c>
      <c r="AR776" s="137">
        <v>1</v>
      </c>
      <c r="AS776" s="158">
        <v>0.0810595228934205</v>
      </c>
      <c r="AT776" s="141">
        <v>0</v>
      </c>
      <c r="AU776" s="141">
        <v>0.136363636363636</v>
      </c>
      <c r="AV776" s="141">
        <v>0.0769230769230769</v>
      </c>
      <c r="AW776" s="141">
        <v>0.0335051546391753</v>
      </c>
      <c r="AX776" s="95"/>
      <c r="AY776" s="93"/>
    </row>
    <row r="777" ht="15" spans="1:51">
      <c r="A777" s="91"/>
      <c r="B777" s="95"/>
      <c r="C777" s="152" t="s">
        <v>668</v>
      </c>
      <c r="D777" s="153" t="s">
        <v>25</v>
      </c>
      <c r="E777" s="130" t="s">
        <v>669</v>
      </c>
      <c r="F777" s="179" t="s">
        <v>804</v>
      </c>
      <c r="G777" s="179" t="s">
        <v>804</v>
      </c>
      <c r="H777" s="179" t="s">
        <v>804</v>
      </c>
      <c r="I777" s="179" t="s">
        <v>804</v>
      </c>
      <c r="J777" s="132">
        <v>0.9</v>
      </c>
      <c r="K777" s="133">
        <v>0.409090909090909</v>
      </c>
      <c r="L777" s="133">
        <v>0.523809523809524</v>
      </c>
      <c r="M777" s="134">
        <v>0.578947368421053</v>
      </c>
      <c r="N777" s="133">
        <v>0.46031746031746</v>
      </c>
      <c r="O777" s="135">
        <v>0.9</v>
      </c>
      <c r="P777" s="133">
        <v>0.827552031714569</v>
      </c>
      <c r="Q777" s="133">
        <v>0.777611940298507</v>
      </c>
      <c r="R777" s="133">
        <v>0.738823529411765</v>
      </c>
      <c r="S777" s="133">
        <v>0.83093465121715</v>
      </c>
      <c r="T777" s="135">
        <v>0.9</v>
      </c>
      <c r="U777" s="133">
        <v>0.782953419226957</v>
      </c>
      <c r="V777" s="133">
        <v>0.740298507462687</v>
      </c>
      <c r="W777" s="133">
        <v>0.68078431372549</v>
      </c>
      <c r="X777" s="133">
        <v>0.727084515978228</v>
      </c>
      <c r="Y777" s="135">
        <v>0.92</v>
      </c>
      <c r="Z777" s="135">
        <v>0.8886925795053</v>
      </c>
      <c r="AA777" s="135">
        <v>0.884735202492212</v>
      </c>
      <c r="AB777" s="135">
        <v>0.720524017467249</v>
      </c>
      <c r="AC777" s="135">
        <v>0.82985305491106</v>
      </c>
      <c r="AD777" s="135">
        <v>0.92</v>
      </c>
      <c r="AE777" s="133">
        <v>0.998476190476191</v>
      </c>
      <c r="AF777" s="133">
        <v>0.99645390070922</v>
      </c>
      <c r="AG777" s="133">
        <v>0.983783783783784</v>
      </c>
      <c r="AH777" s="133">
        <v>0.981313254481161</v>
      </c>
      <c r="AI777" s="135">
        <v>0.92</v>
      </c>
      <c r="AJ777" s="133">
        <v>0.899047619047619</v>
      </c>
      <c r="AK777" s="133">
        <v>0.900201612903226</v>
      </c>
      <c r="AL777" s="133">
        <v>0.778590425531915</v>
      </c>
      <c r="AM777" s="133">
        <v>0.881267400238632</v>
      </c>
      <c r="AN777" s="132">
        <v>0.99</v>
      </c>
      <c r="AO777" s="137">
        <v>1</v>
      </c>
      <c r="AP777" s="137">
        <v>1</v>
      </c>
      <c r="AQ777" s="137">
        <v>1</v>
      </c>
      <c r="AR777" s="137">
        <v>1</v>
      </c>
      <c r="AS777" s="158">
        <v>0.0810595228934205</v>
      </c>
      <c r="AT777" s="141">
        <v>0</v>
      </c>
      <c r="AU777" s="141">
        <v>0</v>
      </c>
      <c r="AV777" s="141">
        <v>0.117647058823529</v>
      </c>
      <c r="AW777" s="141">
        <v>0.0283687943262411</v>
      </c>
      <c r="AX777" s="95"/>
      <c r="AY777" s="93"/>
    </row>
    <row r="778" ht="15" spans="1:51">
      <c r="A778" s="91"/>
      <c r="B778" s="95"/>
      <c r="C778" s="152" t="s">
        <v>668</v>
      </c>
      <c r="D778" s="153" t="s">
        <v>25</v>
      </c>
      <c r="E778" s="130" t="s">
        <v>669</v>
      </c>
      <c r="F778" s="179" t="s">
        <v>805</v>
      </c>
      <c r="G778" s="179" t="s">
        <v>805</v>
      </c>
      <c r="H778" s="179" t="s">
        <v>805</v>
      </c>
      <c r="I778" s="179" t="s">
        <v>805</v>
      </c>
      <c r="J778" s="132">
        <v>0.9</v>
      </c>
      <c r="K778" s="133">
        <v>0.896551724137931</v>
      </c>
      <c r="L778" s="133">
        <v>0.733333333333333</v>
      </c>
      <c r="M778" s="134">
        <v>0.8</v>
      </c>
      <c r="N778" s="133">
        <v>0.873263888888889</v>
      </c>
      <c r="O778" s="135">
        <v>0.9</v>
      </c>
      <c r="P778" s="133">
        <v>0.983009708737864</v>
      </c>
      <c r="Q778" s="133">
        <v>0.980812641083521</v>
      </c>
      <c r="R778" s="133">
        <v>0.964957819597664</v>
      </c>
      <c r="S778" s="133">
        <v>0.955591441259588</v>
      </c>
      <c r="T778" s="135">
        <v>0.9</v>
      </c>
      <c r="U778" s="133">
        <v>0.941747572815534</v>
      </c>
      <c r="V778" s="133">
        <v>0.934537246049661</v>
      </c>
      <c r="W778" s="133">
        <v>0.90785204412719</v>
      </c>
      <c r="X778" s="133">
        <v>0.928138877674606</v>
      </c>
      <c r="Y778" s="135">
        <v>0.92</v>
      </c>
      <c r="Z778" s="135">
        <v>0.921996879875195</v>
      </c>
      <c r="AA778" s="135">
        <v>0.895</v>
      </c>
      <c r="AB778" s="135">
        <v>0.814159292035398</v>
      </c>
      <c r="AC778" s="135">
        <v>0.90953230281411</v>
      </c>
      <c r="AD778" s="135">
        <v>0.92</v>
      </c>
      <c r="AE778" s="133">
        <v>0.998991935483871</v>
      </c>
      <c r="AF778" s="133">
        <v>0.997338656021291</v>
      </c>
      <c r="AG778" s="133">
        <v>0.990049751243781</v>
      </c>
      <c r="AH778" s="133">
        <v>0.992529040343182</v>
      </c>
      <c r="AI778" s="135">
        <v>0.92</v>
      </c>
      <c r="AJ778" s="133">
        <v>0.941395844432605</v>
      </c>
      <c r="AK778" s="133">
        <v>0.93701399688958</v>
      </c>
      <c r="AL778" s="133">
        <v>0.914893617021277</v>
      </c>
      <c r="AM778" s="133">
        <v>0.949526433268314</v>
      </c>
      <c r="AN778" s="132">
        <v>0.99</v>
      </c>
      <c r="AO778" s="137">
        <v>1</v>
      </c>
      <c r="AP778" s="137">
        <v>1</v>
      </c>
      <c r="AQ778" s="137">
        <v>1</v>
      </c>
      <c r="AR778" s="137">
        <v>1</v>
      </c>
      <c r="AS778" s="158">
        <v>0.0810595228934205</v>
      </c>
      <c r="AT778" s="141">
        <v>0.0454545454545455</v>
      </c>
      <c r="AU778" s="141">
        <v>0.117647058823529</v>
      </c>
      <c r="AV778" s="141">
        <v>0</v>
      </c>
      <c r="AW778" s="141">
        <v>0.0377019748653501</v>
      </c>
      <c r="AX778" s="95"/>
      <c r="AY778" s="93"/>
    </row>
    <row r="779" ht="15" spans="1:51">
      <c r="A779" s="91"/>
      <c r="B779" s="95"/>
      <c r="C779" s="152" t="s">
        <v>668</v>
      </c>
      <c r="D779" s="153" t="s">
        <v>25</v>
      </c>
      <c r="E779" s="130" t="s">
        <v>669</v>
      </c>
      <c r="F779" s="179" t="s">
        <v>806</v>
      </c>
      <c r="G779" s="179" t="s">
        <v>806</v>
      </c>
      <c r="H779" s="179" t="s">
        <v>806</v>
      </c>
      <c r="I779" s="179" t="s">
        <v>806</v>
      </c>
      <c r="J779" s="132">
        <v>0.9</v>
      </c>
      <c r="K779" s="133">
        <v>0.708333333333333</v>
      </c>
      <c r="L779" s="133">
        <v>0.541666666666667</v>
      </c>
      <c r="M779" s="134">
        <v>0.545454545454545</v>
      </c>
      <c r="N779" s="133">
        <v>0.577011494252874</v>
      </c>
      <c r="O779" s="135">
        <v>0.9</v>
      </c>
      <c r="P779" s="133">
        <v>0.918454935622318</v>
      </c>
      <c r="Q779" s="133">
        <v>0.804444444444444</v>
      </c>
      <c r="R779" s="133">
        <v>0.959580838323353</v>
      </c>
      <c r="S779" s="133">
        <v>0.923823690597354</v>
      </c>
      <c r="T779" s="135">
        <v>0.9</v>
      </c>
      <c r="U779" s="133">
        <v>0.892703862660944</v>
      </c>
      <c r="V779" s="133">
        <v>0.804444444444444</v>
      </c>
      <c r="W779" s="133">
        <v>0.850299401197605</v>
      </c>
      <c r="X779" s="133">
        <v>0.877006184921318</v>
      </c>
      <c r="Y779" s="135">
        <v>0.92</v>
      </c>
      <c r="Z779" s="135">
        <v>0.935390549662488</v>
      </c>
      <c r="AA779" s="135">
        <v>0.89391979301423</v>
      </c>
      <c r="AB779" s="135">
        <v>0.936298076923077</v>
      </c>
      <c r="AC779" s="135">
        <v>0.937277458230622</v>
      </c>
      <c r="AD779" s="135">
        <v>0.92</v>
      </c>
      <c r="AE779" s="133">
        <v>0.994791666666667</v>
      </c>
      <c r="AF779" s="133">
        <v>0.99479618386817</v>
      </c>
      <c r="AG779" s="133">
        <v>0.804034582132565</v>
      </c>
      <c r="AH779" s="133">
        <v>0.977062318640321</v>
      </c>
      <c r="AI779" s="135">
        <v>0.92</v>
      </c>
      <c r="AJ779" s="133">
        <v>0.93812375249501</v>
      </c>
      <c r="AK779" s="133">
        <v>0.884884884884885</v>
      </c>
      <c r="AL779" s="133">
        <v>0.934</v>
      </c>
      <c r="AM779" s="133">
        <v>0.939381292712192</v>
      </c>
      <c r="AN779" s="132">
        <v>0.99</v>
      </c>
      <c r="AO779" s="137">
        <v>1</v>
      </c>
      <c r="AP779" s="137">
        <v>1</v>
      </c>
      <c r="AQ779" s="137">
        <v>1</v>
      </c>
      <c r="AR779" s="137">
        <v>1</v>
      </c>
      <c r="AS779" s="158">
        <v>0.0810595228934205</v>
      </c>
      <c r="AT779" s="141">
        <v>0.0476190476190476</v>
      </c>
      <c r="AU779" s="141">
        <v>0</v>
      </c>
      <c r="AV779" s="141">
        <v>0.117647058823529</v>
      </c>
      <c r="AW779" s="141">
        <v>0.0537974683544304</v>
      </c>
      <c r="AX779" s="95"/>
      <c r="AY779" s="93"/>
    </row>
    <row r="780" ht="15" spans="1:51">
      <c r="A780" s="91"/>
      <c r="B780" s="95"/>
      <c r="C780" s="152" t="s">
        <v>668</v>
      </c>
      <c r="D780" s="153" t="s">
        <v>25</v>
      </c>
      <c r="E780" s="130" t="s">
        <v>669</v>
      </c>
      <c r="F780" s="179" t="s">
        <v>807</v>
      </c>
      <c r="G780" s="179" t="s">
        <v>807</v>
      </c>
      <c r="H780" s="179" t="s">
        <v>807</v>
      </c>
      <c r="I780" s="179" t="s">
        <v>807</v>
      </c>
      <c r="J780" s="132">
        <v>0.9</v>
      </c>
      <c r="K780" s="133">
        <v>1</v>
      </c>
      <c r="L780" s="133">
        <v>1</v>
      </c>
      <c r="M780" s="134">
        <v>1</v>
      </c>
      <c r="N780" s="133">
        <v>0.762931034482759</v>
      </c>
      <c r="O780" s="135">
        <v>0.9</v>
      </c>
      <c r="P780" s="133">
        <v>0.923896499238965</v>
      </c>
      <c r="Q780" s="133">
        <v>0.936708860759494</v>
      </c>
      <c r="R780" s="133">
        <v>0.973684210526316</v>
      </c>
      <c r="S780" s="133">
        <v>0.946827886269351</v>
      </c>
      <c r="T780" s="135">
        <v>0.9</v>
      </c>
      <c r="U780" s="133">
        <v>0.796042617960426</v>
      </c>
      <c r="V780" s="133">
        <v>0.79957805907173</v>
      </c>
      <c r="W780" s="133">
        <v>0.810249307479224</v>
      </c>
      <c r="X780" s="133">
        <v>0.822321157543256</v>
      </c>
      <c r="Y780" s="135">
        <v>0.92</v>
      </c>
      <c r="Z780" s="135">
        <v>0.91644204851752</v>
      </c>
      <c r="AA780" s="135">
        <v>0.831896551724138</v>
      </c>
      <c r="AB780" s="135">
        <v>0.865771812080537</v>
      </c>
      <c r="AC780" s="135">
        <v>0.900019376089905</v>
      </c>
      <c r="AD780" s="135">
        <v>0.92</v>
      </c>
      <c r="AE780" s="133">
        <v>1</v>
      </c>
      <c r="AF780" s="133">
        <v>1</v>
      </c>
      <c r="AG780" s="133">
        <v>1</v>
      </c>
      <c r="AH780" s="133">
        <v>0.99826435246996</v>
      </c>
      <c r="AI780" s="135">
        <v>0.92</v>
      </c>
      <c r="AJ780" s="133">
        <v>0.933852140077821</v>
      </c>
      <c r="AK780" s="133">
        <v>0.886685552407932</v>
      </c>
      <c r="AL780" s="133">
        <v>0.926521239954076</v>
      </c>
      <c r="AM780" s="133">
        <v>0.936462093862816</v>
      </c>
      <c r="AN780" s="132">
        <v>0.99</v>
      </c>
      <c r="AO780" s="137">
        <v>1</v>
      </c>
      <c r="AP780" s="137">
        <v>1</v>
      </c>
      <c r="AQ780" s="137">
        <v>1</v>
      </c>
      <c r="AR780" s="137">
        <v>1</v>
      </c>
      <c r="AS780" s="158">
        <v>0.0810595228934205</v>
      </c>
      <c r="AT780" s="141">
        <v>0</v>
      </c>
      <c r="AU780" s="141">
        <v>0</v>
      </c>
      <c r="AV780" s="141">
        <v>0.0588235294117647</v>
      </c>
      <c r="AW780" s="141">
        <v>0.0244897959183673</v>
      </c>
      <c r="AX780" s="95"/>
      <c r="AY780" s="93"/>
    </row>
    <row r="781" ht="15" spans="1:51">
      <c r="A781" s="91"/>
      <c r="B781" s="95"/>
      <c r="C781" s="152" t="s">
        <v>668</v>
      </c>
      <c r="D781" s="153" t="s">
        <v>25</v>
      </c>
      <c r="E781" s="130" t="s">
        <v>669</v>
      </c>
      <c r="F781" s="179" t="s">
        <v>808</v>
      </c>
      <c r="G781" s="179" t="s">
        <v>808</v>
      </c>
      <c r="H781" s="179" t="s">
        <v>808</v>
      </c>
      <c r="I781" s="179" t="s">
        <v>808</v>
      </c>
      <c r="J781" s="132">
        <v>0.9</v>
      </c>
      <c r="K781" s="133">
        <v>0.879310344827586</v>
      </c>
      <c r="L781" s="133">
        <v>0.934782608695652</v>
      </c>
      <c r="M781" s="134">
        <v>0.941176470588235</v>
      </c>
      <c r="N781" s="133">
        <v>0.901785714285714</v>
      </c>
      <c r="O781" s="135">
        <v>0.9</v>
      </c>
      <c r="P781" s="133">
        <v>0.943667025475422</v>
      </c>
      <c r="Q781" s="133">
        <v>0.933759707629054</v>
      </c>
      <c r="R781" s="133">
        <v>0.948866162738995</v>
      </c>
      <c r="S781" s="133">
        <v>0.94997480826289</v>
      </c>
      <c r="T781" s="135">
        <v>0.9</v>
      </c>
      <c r="U781" s="133">
        <v>0.929314675278077</v>
      </c>
      <c r="V781" s="133">
        <v>0.916857012334399</v>
      </c>
      <c r="W781" s="133">
        <v>0.921076033792797</v>
      </c>
      <c r="X781" s="133">
        <v>0.915893187034653</v>
      </c>
      <c r="Y781" s="135">
        <v>0.92</v>
      </c>
      <c r="Z781" s="135">
        <v>0.93970893970894</v>
      </c>
      <c r="AA781" s="135">
        <v>0.918410041841004</v>
      </c>
      <c r="AB781" s="135">
        <v>0.941320293398533</v>
      </c>
      <c r="AC781" s="135">
        <v>0.922975232318519</v>
      </c>
      <c r="AD781" s="135">
        <v>0.92</v>
      </c>
      <c r="AE781" s="133">
        <v>0.998276852383688</v>
      </c>
      <c r="AF781" s="133">
        <v>0.995604395604396</v>
      </c>
      <c r="AG781" s="133">
        <v>0.936799184505607</v>
      </c>
      <c r="AH781" s="133">
        <v>0.990718604978203</v>
      </c>
      <c r="AI781" s="135">
        <v>0.92</v>
      </c>
      <c r="AJ781" s="133">
        <v>0.957911561001598</v>
      </c>
      <c r="AK781" s="133">
        <v>0.939008894536214</v>
      </c>
      <c r="AL781" s="133">
        <v>0.957142857142857</v>
      </c>
      <c r="AM781" s="133">
        <v>0.950968044541341</v>
      </c>
      <c r="AN781" s="132">
        <v>0.99</v>
      </c>
      <c r="AO781" s="137">
        <v>1</v>
      </c>
      <c r="AP781" s="137">
        <v>1</v>
      </c>
      <c r="AQ781" s="137">
        <v>1</v>
      </c>
      <c r="AR781" s="137">
        <v>1</v>
      </c>
      <c r="AS781" s="158">
        <v>0.0810595228934205</v>
      </c>
      <c r="AT781" s="141">
        <v>0.0588235294117647</v>
      </c>
      <c r="AU781" s="141">
        <v>0.0476190476190476</v>
      </c>
      <c r="AV781" s="141">
        <v>0.032258064516129</v>
      </c>
      <c r="AW781" s="141">
        <v>0.0473684210526316</v>
      </c>
      <c r="AX781" s="95"/>
      <c r="AY781" s="93"/>
    </row>
    <row r="782" ht="15" spans="1:51">
      <c r="A782" s="91"/>
      <c r="B782" s="95"/>
      <c r="C782" s="152" t="s">
        <v>668</v>
      </c>
      <c r="D782" s="153" t="s">
        <v>25</v>
      </c>
      <c r="E782" s="130" t="s">
        <v>669</v>
      </c>
      <c r="F782" s="179" t="s">
        <v>809</v>
      </c>
      <c r="G782" s="179" t="s">
        <v>809</v>
      </c>
      <c r="H782" s="179" t="s">
        <v>809</v>
      </c>
      <c r="I782" s="179" t="s">
        <v>809</v>
      </c>
      <c r="J782" s="132">
        <v>0.9</v>
      </c>
      <c r="K782" s="133">
        <v>0.885714285714286</v>
      </c>
      <c r="L782" s="133">
        <v>0.916666666666667</v>
      </c>
      <c r="M782" s="134">
        <v>0.9</v>
      </c>
      <c r="N782" s="133">
        <v>0.862917398945518</v>
      </c>
      <c r="O782" s="135">
        <v>0.9</v>
      </c>
      <c r="P782" s="133">
        <v>0.962441314553991</v>
      </c>
      <c r="Q782" s="133">
        <v>0.952184666117065</v>
      </c>
      <c r="R782" s="133">
        <v>0.920257752718486</v>
      </c>
      <c r="S782" s="133">
        <v>0.95140412461606</v>
      </c>
      <c r="T782" s="135">
        <v>0.9</v>
      </c>
      <c r="U782" s="133">
        <v>0.924211938296445</v>
      </c>
      <c r="V782" s="133">
        <v>0.924154987633965</v>
      </c>
      <c r="W782" s="133">
        <v>0.898912605718888</v>
      </c>
      <c r="X782" s="133">
        <v>0.926897762176393</v>
      </c>
      <c r="Y782" s="135">
        <v>0.92</v>
      </c>
      <c r="Z782" s="135">
        <v>0.91635687732342</v>
      </c>
      <c r="AA782" s="135">
        <v>0.9182156133829</v>
      </c>
      <c r="AB782" s="135">
        <v>0.936170212765957</v>
      </c>
      <c r="AC782" s="135">
        <v>0.924329353388122</v>
      </c>
      <c r="AD782" s="135">
        <v>0.92</v>
      </c>
      <c r="AE782" s="133">
        <v>0.994242424242424</v>
      </c>
      <c r="AF782" s="133">
        <v>0.991176470588235</v>
      </c>
      <c r="AG782" s="133">
        <v>0.994984326018809</v>
      </c>
      <c r="AH782" s="133">
        <v>0.993347165958568</v>
      </c>
      <c r="AI782" s="135">
        <v>0.92</v>
      </c>
      <c r="AJ782" s="133">
        <v>0.943349753694581</v>
      </c>
      <c r="AK782" s="133">
        <v>0.945205479452055</v>
      </c>
      <c r="AL782" s="133">
        <v>0.95767016593295</v>
      </c>
      <c r="AM782" s="133">
        <v>0.950981396142687</v>
      </c>
      <c r="AN782" s="132">
        <v>0.99</v>
      </c>
      <c r="AO782" s="137">
        <v>1</v>
      </c>
      <c r="AP782" s="137">
        <v>1</v>
      </c>
      <c r="AQ782" s="137">
        <v>1</v>
      </c>
      <c r="AR782" s="137">
        <v>1</v>
      </c>
      <c r="AS782" s="158">
        <v>0.0810595228934205</v>
      </c>
      <c r="AT782" s="141">
        <v>0</v>
      </c>
      <c r="AU782" s="141">
        <v>0.222222222222222</v>
      </c>
      <c r="AV782" s="141">
        <v>0</v>
      </c>
      <c r="AW782" s="141">
        <v>0.0408921933085502</v>
      </c>
      <c r="AX782" s="95"/>
      <c r="AY782" s="93"/>
    </row>
    <row r="783" ht="15" spans="1:51">
      <c r="A783" s="91"/>
      <c r="B783" s="95"/>
      <c r="C783" s="152" t="s">
        <v>668</v>
      </c>
      <c r="D783" s="153" t="s">
        <v>25</v>
      </c>
      <c r="E783" s="130" t="s">
        <v>669</v>
      </c>
      <c r="F783" s="179" t="s">
        <v>810</v>
      </c>
      <c r="G783" s="179" t="s">
        <v>810</v>
      </c>
      <c r="H783" s="179" t="s">
        <v>810</v>
      </c>
      <c r="I783" s="179" t="s">
        <v>810</v>
      </c>
      <c r="J783" s="132">
        <v>0.9</v>
      </c>
      <c r="K783" s="133">
        <v>0.826086956521739</v>
      </c>
      <c r="L783" s="133">
        <v>0.882352941176471</v>
      </c>
      <c r="M783" s="134">
        <v>0.958333333333333</v>
      </c>
      <c r="N783" s="133">
        <v>0.791962174940898</v>
      </c>
      <c r="O783" s="135">
        <v>0.9</v>
      </c>
      <c r="P783" s="133">
        <v>0.906893464637422</v>
      </c>
      <c r="Q783" s="133">
        <v>0.888425443169969</v>
      </c>
      <c r="R783" s="133">
        <v>0.911642411642412</v>
      </c>
      <c r="S783" s="133">
        <v>0.912524227568122</v>
      </c>
      <c r="T783" s="135">
        <v>0.9</v>
      </c>
      <c r="U783" s="133">
        <v>0.951656222023277</v>
      </c>
      <c r="V783" s="133">
        <v>0.912408759124088</v>
      </c>
      <c r="W783" s="133">
        <v>0.94022869022869</v>
      </c>
      <c r="X783" s="133">
        <v>0.926946756356174</v>
      </c>
      <c r="Y783" s="135">
        <v>0.92</v>
      </c>
      <c r="Z783" s="135">
        <v>0.949748743718593</v>
      </c>
      <c r="AA783" s="135">
        <v>0.960199004975124</v>
      </c>
      <c r="AB783" s="135">
        <v>0.939209726443769</v>
      </c>
      <c r="AC783" s="135">
        <v>0.946244981885832</v>
      </c>
      <c r="AD783" s="135">
        <v>0.92</v>
      </c>
      <c r="AE783" s="133">
        <v>0.99431125558716</v>
      </c>
      <c r="AF783" s="133">
        <v>0.993095044679123</v>
      </c>
      <c r="AG783" s="133">
        <v>0.996007984031936</v>
      </c>
      <c r="AH783" s="133">
        <v>0.978273146084114</v>
      </c>
      <c r="AI783" s="135">
        <v>0.92</v>
      </c>
      <c r="AJ783" s="133">
        <v>0.963720316622691</v>
      </c>
      <c r="AK783" s="133">
        <v>0.964023494860499</v>
      </c>
      <c r="AL783" s="133">
        <v>0.974734042553192</v>
      </c>
      <c r="AM783" s="133">
        <v>0.968395050836991</v>
      </c>
      <c r="AN783" s="132">
        <v>0.99</v>
      </c>
      <c r="AO783" s="137">
        <v>1</v>
      </c>
      <c r="AP783" s="137">
        <v>1</v>
      </c>
      <c r="AQ783" s="137">
        <v>1</v>
      </c>
      <c r="AR783" s="137">
        <v>1</v>
      </c>
      <c r="AS783" s="158">
        <v>0.0810595228934205</v>
      </c>
      <c r="AT783" s="141">
        <v>0</v>
      </c>
      <c r="AU783" s="141">
        <v>0.2</v>
      </c>
      <c r="AV783" s="141">
        <v>0</v>
      </c>
      <c r="AW783" s="141">
        <v>0.0915032679738562</v>
      </c>
      <c r="AX783" s="95"/>
      <c r="AY783" s="93"/>
    </row>
    <row r="784" ht="15" spans="1:51">
      <c r="A784" s="91"/>
      <c r="B784" s="95"/>
      <c r="C784" s="152" t="s">
        <v>668</v>
      </c>
      <c r="D784" s="153" t="s">
        <v>25</v>
      </c>
      <c r="E784" s="130" t="s">
        <v>669</v>
      </c>
      <c r="F784" s="179" t="s">
        <v>811</v>
      </c>
      <c r="G784" s="179" t="s">
        <v>811</v>
      </c>
      <c r="H784" s="179" t="s">
        <v>811</v>
      </c>
      <c r="I784" s="179" t="s">
        <v>811</v>
      </c>
      <c r="J784" s="132">
        <v>0.9</v>
      </c>
      <c r="K784" s="133">
        <v>0.875</v>
      </c>
      <c r="L784" s="133">
        <v>0.878787878787879</v>
      </c>
      <c r="M784" s="134">
        <v>0.813953488372093</v>
      </c>
      <c r="N784" s="133">
        <v>0.854114713216958</v>
      </c>
      <c r="O784" s="135">
        <v>0.9</v>
      </c>
      <c r="P784" s="133">
        <v>0.927769643728648</v>
      </c>
      <c r="Q784" s="133">
        <v>0.952615384615385</v>
      </c>
      <c r="R784" s="133">
        <v>0.951404228463238</v>
      </c>
      <c r="S784" s="133">
        <v>0.93916954904922</v>
      </c>
      <c r="T784" s="135">
        <v>0.9</v>
      </c>
      <c r="U784" s="133">
        <v>0.914592484138604</v>
      </c>
      <c r="V784" s="133">
        <v>0.929846153846154</v>
      </c>
      <c r="W784" s="133">
        <v>0.943515304512464</v>
      </c>
      <c r="X784" s="133">
        <v>0.921988925155486</v>
      </c>
      <c r="Y784" s="135">
        <v>0.92</v>
      </c>
      <c r="Z784" s="135">
        <v>0.914698162729659</v>
      </c>
      <c r="AA784" s="135">
        <v>0.919454770755886</v>
      </c>
      <c r="AB784" s="135">
        <v>0.938610662358643</v>
      </c>
      <c r="AC784" s="135">
        <v>0.928197293758184</v>
      </c>
      <c r="AD784" s="135">
        <v>0.92</v>
      </c>
      <c r="AE784" s="133">
        <v>1</v>
      </c>
      <c r="AF784" s="133">
        <v>1</v>
      </c>
      <c r="AG784" s="133">
        <v>1</v>
      </c>
      <c r="AH784" s="133">
        <v>0.998663788673039</v>
      </c>
      <c r="AI784" s="135">
        <v>0.92</v>
      </c>
      <c r="AJ784" s="133">
        <v>0.946657183499289</v>
      </c>
      <c r="AK784" s="133">
        <v>0.953947368421053</v>
      </c>
      <c r="AL784" s="133">
        <v>0.970176827659013</v>
      </c>
      <c r="AM784" s="133">
        <v>0.96290506147054</v>
      </c>
      <c r="AN784" s="132">
        <v>0.99</v>
      </c>
      <c r="AO784" s="137">
        <v>1</v>
      </c>
      <c r="AP784" s="137">
        <v>1</v>
      </c>
      <c r="AQ784" s="137">
        <v>1</v>
      </c>
      <c r="AR784" s="137">
        <v>1</v>
      </c>
      <c r="AS784" s="158">
        <v>0.0810595228934205</v>
      </c>
      <c r="AT784" s="141">
        <v>0</v>
      </c>
      <c r="AU784" s="141">
        <v>0.125</v>
      </c>
      <c r="AV784" s="141">
        <v>0.0666666666666667</v>
      </c>
      <c r="AW784" s="141">
        <v>0.0355987055016181</v>
      </c>
      <c r="AX784" s="95"/>
      <c r="AY784" s="93"/>
    </row>
    <row r="785" ht="15" spans="1:51">
      <c r="A785" s="91"/>
      <c r="B785" s="95"/>
      <c r="C785" s="152" t="s">
        <v>668</v>
      </c>
      <c r="D785" s="153" t="s">
        <v>25</v>
      </c>
      <c r="E785" s="130" t="s">
        <v>669</v>
      </c>
      <c r="F785" s="179" t="s">
        <v>812</v>
      </c>
      <c r="G785" s="179" t="s">
        <v>812</v>
      </c>
      <c r="H785" s="179" t="s">
        <v>812</v>
      </c>
      <c r="I785" s="179" t="s">
        <v>812</v>
      </c>
      <c r="J785" s="132">
        <v>0.9</v>
      </c>
      <c r="K785" s="133">
        <v>0.75</v>
      </c>
      <c r="L785" s="133">
        <v>0.91304347826087</v>
      </c>
      <c r="M785" s="134">
        <v>0.708333333333333</v>
      </c>
      <c r="N785" s="133">
        <v>0.763919821826281</v>
      </c>
      <c r="O785" s="135">
        <v>0.9</v>
      </c>
      <c r="P785" s="133">
        <v>0.95986895986896</v>
      </c>
      <c r="Q785" s="133">
        <v>0.908301158301158</v>
      </c>
      <c r="R785" s="133">
        <v>0.942036290322581</v>
      </c>
      <c r="S785" s="133">
        <v>0.950277240490007</v>
      </c>
      <c r="T785" s="135">
        <v>0.9</v>
      </c>
      <c r="U785" s="133">
        <v>0.941031941031941</v>
      </c>
      <c r="V785" s="133">
        <v>0.896718146718147</v>
      </c>
      <c r="W785" s="133">
        <v>0.918346774193548</v>
      </c>
      <c r="X785" s="133">
        <v>0.912701482914249</v>
      </c>
      <c r="Y785" s="135">
        <v>0.92</v>
      </c>
      <c r="Z785" s="135">
        <v>0.941176470588235</v>
      </c>
      <c r="AA785" s="135">
        <v>0.85838779956427</v>
      </c>
      <c r="AB785" s="135">
        <v>0.906976744186046</v>
      </c>
      <c r="AC785" s="135">
        <v>0.905259460883308</v>
      </c>
      <c r="AD785" s="135">
        <v>0.92</v>
      </c>
      <c r="AE785" s="133">
        <v>0.998205741626794</v>
      </c>
      <c r="AF785" s="133">
        <v>0.99616122840691</v>
      </c>
      <c r="AG785" s="133">
        <v>0.99496475327291</v>
      </c>
      <c r="AH785" s="133">
        <v>0.988115313579057</v>
      </c>
      <c r="AI785" s="135">
        <v>0.92</v>
      </c>
      <c r="AJ785" s="133">
        <v>0.956730769230769</v>
      </c>
      <c r="AK785" s="133">
        <v>0.928475935828877</v>
      </c>
      <c r="AL785" s="133">
        <v>0.953606073386757</v>
      </c>
      <c r="AM785" s="133">
        <v>0.95184034416826</v>
      </c>
      <c r="AN785" s="132">
        <v>0.99</v>
      </c>
      <c r="AO785" s="137">
        <v>1</v>
      </c>
      <c r="AP785" s="137">
        <v>1</v>
      </c>
      <c r="AQ785" s="137">
        <v>1</v>
      </c>
      <c r="AR785" s="137">
        <v>1</v>
      </c>
      <c r="AS785" s="158">
        <v>0.0810595228934205</v>
      </c>
      <c r="AT785" s="141">
        <v>0</v>
      </c>
      <c r="AU785" s="141">
        <v>0</v>
      </c>
      <c r="AV785" s="141">
        <v>0</v>
      </c>
      <c r="AW785" s="141">
        <v>0.0346320346320346</v>
      </c>
      <c r="AX785" s="95"/>
      <c r="AY785" s="93"/>
    </row>
    <row r="786" ht="15" spans="1:51">
      <c r="A786" s="91"/>
      <c r="B786" s="95"/>
      <c r="C786" s="152" t="s">
        <v>668</v>
      </c>
      <c r="D786" s="153" t="s">
        <v>25</v>
      </c>
      <c r="E786" s="130" t="s">
        <v>669</v>
      </c>
      <c r="F786" s="179" t="s">
        <v>813</v>
      </c>
      <c r="G786" s="179" t="s">
        <v>813</v>
      </c>
      <c r="H786" s="179" t="s">
        <v>813</v>
      </c>
      <c r="I786" s="179" t="s">
        <v>813</v>
      </c>
      <c r="J786" s="132">
        <v>0.9</v>
      </c>
      <c r="K786" s="133">
        <v>0.914285714285714</v>
      </c>
      <c r="L786" s="133">
        <v>0.925925925925926</v>
      </c>
      <c r="M786" s="134">
        <v>0.875</v>
      </c>
      <c r="N786" s="133">
        <v>0.915951972555746</v>
      </c>
      <c r="O786" s="135">
        <v>0.9</v>
      </c>
      <c r="P786" s="133">
        <v>0.910778443113772</v>
      </c>
      <c r="Q786" s="133">
        <v>0.938303341902314</v>
      </c>
      <c r="R786" s="133">
        <v>0.947819604919866</v>
      </c>
      <c r="S786" s="133">
        <v>0.9450447190198</v>
      </c>
      <c r="T786" s="135">
        <v>0.9</v>
      </c>
      <c r="U786" s="133">
        <v>0.936526946107784</v>
      </c>
      <c r="V786" s="133">
        <v>0.911311053984576</v>
      </c>
      <c r="W786" s="133">
        <v>0.927320163995527</v>
      </c>
      <c r="X786" s="133">
        <v>0.925089179548157</v>
      </c>
      <c r="Y786" s="135">
        <v>0.92</v>
      </c>
      <c r="Z786" s="135">
        <v>0.917785234899329</v>
      </c>
      <c r="AA786" s="135">
        <v>0.912979351032448</v>
      </c>
      <c r="AB786" s="135">
        <v>0.90891472868217</v>
      </c>
      <c r="AC786" s="135">
        <v>0.92471851269966</v>
      </c>
      <c r="AD786" s="135">
        <v>0.92</v>
      </c>
      <c r="AE786" s="133">
        <v>0.997229916897507</v>
      </c>
      <c r="AF786" s="133">
        <v>0.989459815546772</v>
      </c>
      <c r="AG786" s="133">
        <v>0.987261146496815</v>
      </c>
      <c r="AH786" s="133">
        <v>0.993047683820751</v>
      </c>
      <c r="AI786" s="135">
        <v>0.92</v>
      </c>
      <c r="AJ786" s="133">
        <v>0.958958517210944</v>
      </c>
      <c r="AK786" s="133">
        <v>0.929168499780026</v>
      </c>
      <c r="AL786" s="133">
        <v>0.95873710534542</v>
      </c>
      <c r="AM786" s="133">
        <v>0.961196916455558</v>
      </c>
      <c r="AN786" s="132">
        <v>0.99</v>
      </c>
      <c r="AO786" s="137">
        <v>1</v>
      </c>
      <c r="AP786" s="137">
        <v>1</v>
      </c>
      <c r="AQ786" s="137">
        <v>1</v>
      </c>
      <c r="AR786" s="137">
        <v>1</v>
      </c>
      <c r="AS786" s="158">
        <v>0.0810595228934205</v>
      </c>
      <c r="AT786" s="141">
        <v>0</v>
      </c>
      <c r="AU786" s="141">
        <v>0.166666666666667</v>
      </c>
      <c r="AV786" s="141">
        <v>0</v>
      </c>
      <c r="AW786" s="141">
        <v>0.0603448275862069</v>
      </c>
      <c r="AX786" s="95"/>
      <c r="AY786" s="93"/>
    </row>
    <row r="787" ht="15" spans="1:51">
      <c r="A787" s="91"/>
      <c r="B787" s="95"/>
      <c r="C787" s="152" t="s">
        <v>668</v>
      </c>
      <c r="D787" s="153" t="s">
        <v>25</v>
      </c>
      <c r="E787" s="130" t="s">
        <v>669</v>
      </c>
      <c r="F787" s="179" t="s">
        <v>814</v>
      </c>
      <c r="G787" s="179" t="s">
        <v>814</v>
      </c>
      <c r="H787" s="179" t="s">
        <v>814</v>
      </c>
      <c r="I787" s="179" t="s">
        <v>814</v>
      </c>
      <c r="J787" s="132">
        <v>0.9</v>
      </c>
      <c r="K787" s="133">
        <v>0.84375</v>
      </c>
      <c r="L787" s="133">
        <v>0.821428571428571</v>
      </c>
      <c r="M787" s="134">
        <v>0.862068965517241</v>
      </c>
      <c r="N787" s="133">
        <v>0.810526315789474</v>
      </c>
      <c r="O787" s="135">
        <v>0.9</v>
      </c>
      <c r="P787" s="133">
        <v>0.957589285714286</v>
      </c>
      <c r="Q787" s="133">
        <v>0.943675889328063</v>
      </c>
      <c r="R787" s="133">
        <v>0.94273127753304</v>
      </c>
      <c r="S787" s="133">
        <v>0.947686615985021</v>
      </c>
      <c r="T787" s="135">
        <v>0.9</v>
      </c>
      <c r="U787" s="133">
        <v>0.930059523809524</v>
      </c>
      <c r="V787" s="133">
        <v>0.930830039525692</v>
      </c>
      <c r="W787" s="133">
        <v>0.92863436123348</v>
      </c>
      <c r="X787" s="133">
        <v>0.935256829614925</v>
      </c>
      <c r="Y787" s="135">
        <v>0.92</v>
      </c>
      <c r="Z787" s="135">
        <v>0.945344129554656</v>
      </c>
      <c r="AA787" s="135">
        <v>0.944897959183673</v>
      </c>
      <c r="AB787" s="135">
        <v>0.954653937947494</v>
      </c>
      <c r="AC787" s="135">
        <v>0.944174388576637</v>
      </c>
      <c r="AD787" s="135">
        <v>0.92</v>
      </c>
      <c r="AE787" s="133">
        <v>0.998630136986301</v>
      </c>
      <c r="AF787" s="133">
        <v>0.996715927750411</v>
      </c>
      <c r="AG787" s="133">
        <v>0.975155279503106</v>
      </c>
      <c r="AH787" s="133">
        <v>0.991652397260274</v>
      </c>
      <c r="AI787" s="135">
        <v>0.92</v>
      </c>
      <c r="AJ787" s="133">
        <v>0.948940793047257</v>
      </c>
      <c r="AK787" s="133">
        <v>0.952761144377911</v>
      </c>
      <c r="AL787" s="133">
        <v>0.960609438870308</v>
      </c>
      <c r="AM787" s="133">
        <v>0.959542090817496</v>
      </c>
      <c r="AN787" s="132">
        <v>0.99</v>
      </c>
      <c r="AO787" s="137">
        <v>1</v>
      </c>
      <c r="AP787" s="137">
        <v>1</v>
      </c>
      <c r="AQ787" s="137">
        <v>1</v>
      </c>
      <c r="AR787" s="137">
        <v>1</v>
      </c>
      <c r="AS787" s="158">
        <v>0.0810595228934205</v>
      </c>
      <c r="AT787" s="141">
        <v>0.142857142857143</v>
      </c>
      <c r="AU787" s="141">
        <v>0.0769230769230769</v>
      </c>
      <c r="AV787" s="141">
        <v>0</v>
      </c>
      <c r="AW787" s="141">
        <v>0.0553505535055351</v>
      </c>
      <c r="AX787" s="95"/>
      <c r="AY787" s="93"/>
    </row>
    <row r="788" ht="15" spans="1:51">
      <c r="A788" s="91"/>
      <c r="B788" s="95"/>
      <c r="C788" s="152" t="s">
        <v>668</v>
      </c>
      <c r="D788" s="153" t="s">
        <v>25</v>
      </c>
      <c r="E788" s="130" t="s">
        <v>669</v>
      </c>
      <c r="F788" s="179" t="s">
        <v>815</v>
      </c>
      <c r="G788" s="179" t="s">
        <v>815</v>
      </c>
      <c r="H788" s="179" t="s">
        <v>815</v>
      </c>
      <c r="I788" s="179" t="s">
        <v>815</v>
      </c>
      <c r="J788" s="132">
        <v>0.9</v>
      </c>
      <c r="K788" s="133">
        <v>0.96969696969697</v>
      </c>
      <c r="L788" s="133">
        <v>0.903225806451613</v>
      </c>
      <c r="M788" s="134">
        <v>0.96875</v>
      </c>
      <c r="N788" s="133">
        <v>0.930313588850174</v>
      </c>
      <c r="O788" s="135">
        <v>0.9</v>
      </c>
      <c r="P788" s="133">
        <v>0.955440414507772</v>
      </c>
      <c r="Q788" s="133">
        <v>0.919512195121951</v>
      </c>
      <c r="R788" s="133">
        <v>0.943486020226056</v>
      </c>
      <c r="S788" s="133">
        <v>0.933005136986301</v>
      </c>
      <c r="T788" s="135">
        <v>0.9</v>
      </c>
      <c r="U788" s="133">
        <v>0.926424870466321</v>
      </c>
      <c r="V788" s="133">
        <v>0.917073170731707</v>
      </c>
      <c r="W788" s="133">
        <v>0.926829268292683</v>
      </c>
      <c r="X788" s="133">
        <v>0.887414383561644</v>
      </c>
      <c r="Y788" s="135">
        <v>0.92</v>
      </c>
      <c r="Z788" s="135">
        <v>0.910326086956522</v>
      </c>
      <c r="AA788" s="135">
        <v>0.881159420289855</v>
      </c>
      <c r="AB788" s="135">
        <v>0.959119496855346</v>
      </c>
      <c r="AC788" s="135">
        <v>0.92171581769437</v>
      </c>
      <c r="AD788" s="135">
        <v>0.92</v>
      </c>
      <c r="AE788" s="133">
        <v>0.991452991452991</v>
      </c>
      <c r="AF788" s="133">
        <v>0.98828125</v>
      </c>
      <c r="AG788" s="133">
        <v>0.988118811881188</v>
      </c>
      <c r="AH788" s="133">
        <v>0.994068582020389</v>
      </c>
      <c r="AI788" s="135">
        <v>0.92</v>
      </c>
      <c r="AJ788" s="133">
        <v>0.949177877428999</v>
      </c>
      <c r="AK788" s="133">
        <v>0.938197424892704</v>
      </c>
      <c r="AL788" s="133">
        <v>0.9695</v>
      </c>
      <c r="AM788" s="133">
        <v>0.958739132500356</v>
      </c>
      <c r="AN788" s="132">
        <v>0.99</v>
      </c>
      <c r="AO788" s="137">
        <v>1</v>
      </c>
      <c r="AP788" s="137">
        <v>1</v>
      </c>
      <c r="AQ788" s="137">
        <v>1</v>
      </c>
      <c r="AR788" s="137">
        <v>1</v>
      </c>
      <c r="AS788" s="158">
        <v>0.0810595228934205</v>
      </c>
      <c r="AT788" s="141">
        <v>0</v>
      </c>
      <c r="AU788" s="141">
        <v>0</v>
      </c>
      <c r="AV788" s="141">
        <v>0</v>
      </c>
      <c r="AW788" s="141">
        <v>0.0489130434782609</v>
      </c>
      <c r="AX788" s="95"/>
      <c r="AY788" s="93"/>
    </row>
    <row r="789" ht="15" spans="1:51">
      <c r="A789" s="91"/>
      <c r="B789" s="95"/>
      <c r="C789" s="152" t="s">
        <v>668</v>
      </c>
      <c r="D789" s="153" t="s">
        <v>25</v>
      </c>
      <c r="E789" s="130" t="s">
        <v>669</v>
      </c>
      <c r="F789" s="179" t="s">
        <v>816</v>
      </c>
      <c r="G789" s="179" t="s">
        <v>816</v>
      </c>
      <c r="H789" s="179" t="s">
        <v>816</v>
      </c>
      <c r="I789" s="179" t="s">
        <v>816</v>
      </c>
      <c r="J789" s="132">
        <v>0.9</v>
      </c>
      <c r="K789" s="133">
        <v>0.944444444444444</v>
      </c>
      <c r="L789" s="133">
        <v>0.925925925925926</v>
      </c>
      <c r="M789" s="134">
        <v>0.806451612903226</v>
      </c>
      <c r="N789" s="133">
        <v>0.889064976228209</v>
      </c>
      <c r="O789" s="135">
        <v>0.9</v>
      </c>
      <c r="P789" s="133">
        <v>0.956604673342871</v>
      </c>
      <c r="Q789" s="133">
        <v>0.952429149797571</v>
      </c>
      <c r="R789" s="133">
        <v>0.960202360876897</v>
      </c>
      <c r="S789" s="133">
        <v>0.951993750665767</v>
      </c>
      <c r="T789" s="135">
        <v>0.9</v>
      </c>
      <c r="U789" s="133">
        <v>0.952789699570815</v>
      </c>
      <c r="V789" s="133">
        <v>0.941801619433198</v>
      </c>
      <c r="W789" s="133">
        <v>0.953456998313659</v>
      </c>
      <c r="X789" s="133">
        <v>0.94091538543479</v>
      </c>
      <c r="Y789" s="135">
        <v>0.92</v>
      </c>
      <c r="Z789" s="135">
        <v>0.93322203672788</v>
      </c>
      <c r="AA789" s="135">
        <v>0.937869822485207</v>
      </c>
      <c r="AB789" s="135">
        <v>0.943548387096774</v>
      </c>
      <c r="AC789" s="135">
        <v>0.936441535658862</v>
      </c>
      <c r="AD789" s="135">
        <v>0.92</v>
      </c>
      <c r="AE789" s="133">
        <v>0.990666666666667</v>
      </c>
      <c r="AF789" s="133">
        <v>0.99375</v>
      </c>
      <c r="AG789" s="133">
        <v>0.992766726943942</v>
      </c>
      <c r="AH789" s="133">
        <v>0.99532425289693</v>
      </c>
      <c r="AI789" s="135">
        <v>0.92</v>
      </c>
      <c r="AJ789" s="133">
        <v>0.972942920681987</v>
      </c>
      <c r="AK789" s="133">
        <v>0.969103240391861</v>
      </c>
      <c r="AL789" s="133">
        <v>0.98008658008658</v>
      </c>
      <c r="AM789" s="133">
        <v>0.972185151366159</v>
      </c>
      <c r="AN789" s="132">
        <v>0.99</v>
      </c>
      <c r="AO789" s="137">
        <v>1</v>
      </c>
      <c r="AP789" s="137">
        <v>1</v>
      </c>
      <c r="AQ789" s="137">
        <v>1</v>
      </c>
      <c r="AR789" s="137">
        <v>1</v>
      </c>
      <c r="AS789" s="158">
        <v>0.0810595228934205</v>
      </c>
      <c r="AT789" s="141">
        <v>0</v>
      </c>
      <c r="AU789" s="141">
        <v>0</v>
      </c>
      <c r="AV789" s="141">
        <v>0</v>
      </c>
      <c r="AW789" s="141">
        <v>0.0206185567010309</v>
      </c>
      <c r="AX789" s="95"/>
      <c r="AY789" s="93"/>
    </row>
    <row r="790" ht="15" spans="1:51">
      <c r="A790" s="91"/>
      <c r="B790" s="95"/>
      <c r="C790" s="152" t="s">
        <v>668</v>
      </c>
      <c r="D790" s="153" t="s">
        <v>25</v>
      </c>
      <c r="E790" s="130" t="s">
        <v>669</v>
      </c>
      <c r="F790" s="179" t="s">
        <v>817</v>
      </c>
      <c r="G790" s="179" t="s">
        <v>817</v>
      </c>
      <c r="H790" s="179" t="s">
        <v>817</v>
      </c>
      <c r="I790" s="179" t="s">
        <v>817</v>
      </c>
      <c r="J790" s="132">
        <v>0.9</v>
      </c>
      <c r="K790" s="133">
        <v>0.666666666666667</v>
      </c>
      <c r="L790" s="133">
        <v>0.884615384615385</v>
      </c>
      <c r="M790" s="134">
        <v>0.67741935483871</v>
      </c>
      <c r="N790" s="133">
        <v>0.729508196721312</v>
      </c>
      <c r="O790" s="135">
        <v>0.9</v>
      </c>
      <c r="P790" s="133">
        <v>0.962772785622593</v>
      </c>
      <c r="Q790" s="133">
        <v>0.938473520249221</v>
      </c>
      <c r="R790" s="133">
        <v>0.951064624579753</v>
      </c>
      <c r="S790" s="133">
        <v>0.939268553123332</v>
      </c>
      <c r="T790" s="135">
        <v>0.9</v>
      </c>
      <c r="U790" s="133">
        <v>0.910141206675225</v>
      </c>
      <c r="V790" s="133">
        <v>0.894080996884735</v>
      </c>
      <c r="W790" s="133">
        <v>0.913335823683228</v>
      </c>
      <c r="X790" s="133">
        <v>0.898825413774693</v>
      </c>
      <c r="Y790" s="135">
        <v>0.92</v>
      </c>
      <c r="Z790" s="135">
        <v>0.883606557377049</v>
      </c>
      <c r="AA790" s="135">
        <v>0.901830282861897</v>
      </c>
      <c r="AB790" s="135">
        <v>0.922465208747515</v>
      </c>
      <c r="AC790" s="135">
        <v>0.907563025210084</v>
      </c>
      <c r="AD790" s="135">
        <v>0.92</v>
      </c>
      <c r="AE790" s="133">
        <v>0.994123408423115</v>
      </c>
      <c r="AF790" s="133">
        <v>0.990990990990991</v>
      </c>
      <c r="AG790" s="133">
        <v>0.993726474278545</v>
      </c>
      <c r="AH790" s="133">
        <v>0.981117783909539</v>
      </c>
      <c r="AI790" s="135">
        <v>0.92</v>
      </c>
      <c r="AJ790" s="133">
        <v>0.928999538958045</v>
      </c>
      <c r="AK790" s="133">
        <v>0.926338102808691</v>
      </c>
      <c r="AL790" s="133">
        <v>0.964476579691921</v>
      </c>
      <c r="AM790" s="133">
        <v>0.949052272192136</v>
      </c>
      <c r="AN790" s="132">
        <v>0.99</v>
      </c>
      <c r="AO790" s="137">
        <v>1</v>
      </c>
      <c r="AP790" s="137">
        <v>1</v>
      </c>
      <c r="AQ790" s="137">
        <v>1</v>
      </c>
      <c r="AR790" s="137">
        <v>1</v>
      </c>
      <c r="AS790" s="158">
        <v>0.0810595228934205</v>
      </c>
      <c r="AT790" s="141">
        <v>0</v>
      </c>
      <c r="AU790" s="141">
        <v>0.0588235294117647</v>
      </c>
      <c r="AV790" s="141">
        <v>0.111111111111111</v>
      </c>
      <c r="AW790" s="141">
        <v>0.0412371134020619</v>
      </c>
      <c r="AX790" s="95"/>
      <c r="AY790" s="93"/>
    </row>
    <row r="791" ht="15" spans="1:51">
      <c r="A791" s="91"/>
      <c r="B791" s="95"/>
      <c r="C791" s="152" t="s">
        <v>668</v>
      </c>
      <c r="D791" s="153" t="s">
        <v>25</v>
      </c>
      <c r="E791" s="130" t="s">
        <v>669</v>
      </c>
      <c r="F791" s="179" t="s">
        <v>818</v>
      </c>
      <c r="G791" s="179" t="s">
        <v>818</v>
      </c>
      <c r="H791" s="179" t="s">
        <v>818</v>
      </c>
      <c r="I791" s="179" t="s">
        <v>818</v>
      </c>
      <c r="J791" s="132">
        <v>0.9</v>
      </c>
      <c r="K791" s="133">
        <v>0.761904761904762</v>
      </c>
      <c r="L791" s="133">
        <v>0.736842105263158</v>
      </c>
      <c r="M791" s="134">
        <v>0.65</v>
      </c>
      <c r="N791" s="133">
        <v>0.727506426735218</v>
      </c>
      <c r="O791" s="135">
        <v>0.9</v>
      </c>
      <c r="P791" s="133">
        <v>0.921217547000895</v>
      </c>
      <c r="Q791" s="133">
        <v>0.92</v>
      </c>
      <c r="R791" s="133">
        <v>0.9252536038441</v>
      </c>
      <c r="S791" s="133">
        <v>0.936572055322223</v>
      </c>
      <c r="T791" s="135">
        <v>0.9</v>
      </c>
      <c r="U791" s="133">
        <v>0.940913160250671</v>
      </c>
      <c r="V791" s="133">
        <v>0.923243243243243</v>
      </c>
      <c r="W791" s="133">
        <v>0.93806727175654</v>
      </c>
      <c r="X791" s="133">
        <v>0.931034482758621</v>
      </c>
      <c r="Y791" s="135">
        <v>0.92</v>
      </c>
      <c r="Z791" s="135">
        <v>0.934010152284264</v>
      </c>
      <c r="AA791" s="135">
        <v>0.924242424242424</v>
      </c>
      <c r="AB791" s="135">
        <v>0.934328358208955</v>
      </c>
      <c r="AC791" s="135">
        <v>0.932461035212623</v>
      </c>
      <c r="AD791" s="135">
        <v>0.92</v>
      </c>
      <c r="AE791" s="133">
        <v>0.996596324029952</v>
      </c>
      <c r="AF791" s="133">
        <v>0.996439697374277</v>
      </c>
      <c r="AG791" s="133">
        <v>0.988950276243094</v>
      </c>
      <c r="AH791" s="133">
        <v>0.997742299629092</v>
      </c>
      <c r="AI791" s="135">
        <v>0.92</v>
      </c>
      <c r="AJ791" s="133">
        <v>0.958967571144937</v>
      </c>
      <c r="AK791" s="133">
        <v>0.945363048166787</v>
      </c>
      <c r="AL791" s="133">
        <v>0.976007243096424</v>
      </c>
      <c r="AM791" s="133">
        <v>0.96626838812279</v>
      </c>
      <c r="AN791" s="132">
        <v>0.99</v>
      </c>
      <c r="AO791" s="137">
        <v>1</v>
      </c>
      <c r="AP791" s="137">
        <v>1</v>
      </c>
      <c r="AQ791" s="137">
        <v>1</v>
      </c>
      <c r="AR791" s="137">
        <v>1</v>
      </c>
      <c r="AS791" s="158">
        <v>0.0810595228934205</v>
      </c>
      <c r="AT791" s="141">
        <v>0</v>
      </c>
      <c r="AU791" s="141">
        <v>0</v>
      </c>
      <c r="AV791" s="141">
        <v>0.166666666666667</v>
      </c>
      <c r="AW791" s="141">
        <v>0.0245901639344262</v>
      </c>
      <c r="AX791" s="95"/>
      <c r="AY791" s="93"/>
    </row>
    <row r="792" ht="15" spans="1:51">
      <c r="A792" s="91"/>
      <c r="B792" s="95"/>
      <c r="C792" s="152" t="s">
        <v>668</v>
      </c>
      <c r="D792" s="153" t="s">
        <v>25</v>
      </c>
      <c r="E792" s="130" t="s">
        <v>669</v>
      </c>
      <c r="F792" s="179" t="s">
        <v>819</v>
      </c>
      <c r="G792" s="179" t="s">
        <v>819</v>
      </c>
      <c r="H792" s="179" t="s">
        <v>819</v>
      </c>
      <c r="I792" s="179" t="s">
        <v>819</v>
      </c>
      <c r="J792" s="132">
        <v>0.9</v>
      </c>
      <c r="K792" s="133">
        <v>0.857142857142857</v>
      </c>
      <c r="L792" s="133">
        <v>0.944444444444444</v>
      </c>
      <c r="M792" s="134">
        <v>0.8</v>
      </c>
      <c r="N792" s="133">
        <v>0.874015748031496</v>
      </c>
      <c r="O792" s="135">
        <v>0.9</v>
      </c>
      <c r="P792" s="133">
        <v>0.912380952380952</v>
      </c>
      <c r="Q792" s="133">
        <v>0.954913294797688</v>
      </c>
      <c r="R792" s="133">
        <v>0.923820352472996</v>
      </c>
      <c r="S792" s="133">
        <v>0.946442448167604</v>
      </c>
      <c r="T792" s="135">
        <v>0.9</v>
      </c>
      <c r="U792" s="133">
        <v>0.945714285714286</v>
      </c>
      <c r="V792" s="133">
        <v>0.942196531791908</v>
      </c>
      <c r="W792" s="133">
        <v>0.945992040932348</v>
      </c>
      <c r="X792" s="133">
        <v>0.941002766466694</v>
      </c>
      <c r="Y792" s="135">
        <v>0.92</v>
      </c>
      <c r="Z792" s="135">
        <v>0.920792079207921</v>
      </c>
      <c r="AA792" s="135">
        <v>0.933842239185751</v>
      </c>
      <c r="AB792" s="135">
        <v>0.904624277456647</v>
      </c>
      <c r="AC792" s="135">
        <v>0.908911508101371</v>
      </c>
      <c r="AD792" s="135">
        <v>0.92</v>
      </c>
      <c r="AE792" s="133">
        <v>0.998709677419355</v>
      </c>
      <c r="AF792" s="133">
        <v>1</v>
      </c>
      <c r="AG792" s="133">
        <v>0.997942386831276</v>
      </c>
      <c r="AH792" s="133">
        <v>0.996826878208119</v>
      </c>
      <c r="AI792" s="135">
        <v>0.92</v>
      </c>
      <c r="AJ792" s="133">
        <v>0.956701030927835</v>
      </c>
      <c r="AK792" s="133">
        <v>0.958003169572108</v>
      </c>
      <c r="AL792" s="133">
        <v>0.965320665083135</v>
      </c>
      <c r="AM792" s="133">
        <v>0.956811822942822</v>
      </c>
      <c r="AN792" s="132">
        <v>0.99</v>
      </c>
      <c r="AO792" s="137">
        <v>1</v>
      </c>
      <c r="AP792" s="137">
        <v>1</v>
      </c>
      <c r="AQ792" s="137">
        <v>1</v>
      </c>
      <c r="AR792" s="137">
        <v>1</v>
      </c>
      <c r="AS792" s="158">
        <v>0.0810595228934205</v>
      </c>
      <c r="AT792" s="141">
        <v>0.166666666666667</v>
      </c>
      <c r="AU792" s="141">
        <v>0</v>
      </c>
      <c r="AV792" s="141">
        <v>0</v>
      </c>
      <c r="AW792" s="141">
        <v>0.0346820809248555</v>
      </c>
      <c r="AX792" s="95"/>
      <c r="AY792" s="93"/>
    </row>
    <row r="793" ht="15" spans="1:51">
      <c r="A793" s="91"/>
      <c r="B793" s="95"/>
      <c r="C793" s="152" t="s">
        <v>668</v>
      </c>
      <c r="D793" s="153" t="s">
        <v>25</v>
      </c>
      <c r="E793" s="130" t="s">
        <v>669</v>
      </c>
      <c r="F793" s="179" t="s">
        <v>820</v>
      </c>
      <c r="G793" s="179" t="s">
        <v>820</v>
      </c>
      <c r="H793" s="179" t="s">
        <v>820</v>
      </c>
      <c r="I793" s="179" t="s">
        <v>820</v>
      </c>
      <c r="J793" s="132">
        <v>0.9</v>
      </c>
      <c r="K793" s="133">
        <v>0.791666666666667</v>
      </c>
      <c r="L793" s="133">
        <v>0.833333333333333</v>
      </c>
      <c r="M793" s="134">
        <v>0.909090909090909</v>
      </c>
      <c r="N793" s="133">
        <v>0.898148148148148</v>
      </c>
      <c r="O793" s="135">
        <v>0.9</v>
      </c>
      <c r="P793" s="133">
        <v>0.907867494824017</v>
      </c>
      <c r="Q793" s="133">
        <v>0.942372881355932</v>
      </c>
      <c r="R793" s="133">
        <v>0.948669201520912</v>
      </c>
      <c r="S793" s="133">
        <v>0.934518355628856</v>
      </c>
      <c r="T793" s="135">
        <v>0.9</v>
      </c>
      <c r="U793" s="133">
        <v>0.905797101449275</v>
      </c>
      <c r="V793" s="133">
        <v>0.919774011299435</v>
      </c>
      <c r="W793" s="133">
        <v>0.925855513307985</v>
      </c>
      <c r="X793" s="133">
        <v>0.920224787734408</v>
      </c>
      <c r="Y793" s="135">
        <v>0.92</v>
      </c>
      <c r="Z793" s="135">
        <v>0.816793893129771</v>
      </c>
      <c r="AA793" s="135">
        <v>0.913612565445026</v>
      </c>
      <c r="AB793" s="135">
        <v>0.938080495356037</v>
      </c>
      <c r="AC793" s="135">
        <v>0.914018691588785</v>
      </c>
      <c r="AD793" s="135">
        <v>0.92</v>
      </c>
      <c r="AE793" s="133">
        <v>0.995748299319728</v>
      </c>
      <c r="AF793" s="133">
        <v>0.996072270227808</v>
      </c>
      <c r="AG793" s="133">
        <v>0.996527777777778</v>
      </c>
      <c r="AH793" s="133">
        <v>0.99401283647859</v>
      </c>
      <c r="AI793" s="135">
        <v>0.92</v>
      </c>
      <c r="AJ793" s="133">
        <v>0.90014684287812</v>
      </c>
      <c r="AK793" s="133">
        <v>0.936320754716981</v>
      </c>
      <c r="AL793" s="133">
        <v>0.947451392538098</v>
      </c>
      <c r="AM793" s="133">
        <v>0.945987981618947</v>
      </c>
      <c r="AN793" s="132">
        <v>0.99</v>
      </c>
      <c r="AO793" s="137">
        <v>1</v>
      </c>
      <c r="AP793" s="137">
        <v>1</v>
      </c>
      <c r="AQ793" s="137">
        <v>1</v>
      </c>
      <c r="AR793" s="137">
        <v>1</v>
      </c>
      <c r="AS793" s="158">
        <v>0.0810595228934205</v>
      </c>
      <c r="AT793" s="141">
        <v>0</v>
      </c>
      <c r="AU793" s="141">
        <v>0.05</v>
      </c>
      <c r="AV793" s="141">
        <v>0</v>
      </c>
      <c r="AW793" s="141">
        <v>0.0272479564032698</v>
      </c>
      <c r="AX793" s="95"/>
      <c r="AY793" s="93"/>
    </row>
    <row r="794" ht="15" spans="1:51">
      <c r="A794" s="91"/>
      <c r="B794" s="95"/>
      <c r="C794" s="152" t="s">
        <v>668</v>
      </c>
      <c r="D794" s="153" t="s">
        <v>25</v>
      </c>
      <c r="E794" s="130" t="s">
        <v>669</v>
      </c>
      <c r="F794" s="179" t="s">
        <v>821</v>
      </c>
      <c r="G794" s="179" t="s">
        <v>821</v>
      </c>
      <c r="H794" s="179" t="s">
        <v>821</v>
      </c>
      <c r="I794" s="179" t="s">
        <v>821</v>
      </c>
      <c r="J794" s="132">
        <v>0.9</v>
      </c>
      <c r="K794" s="133">
        <v>0.838709677419355</v>
      </c>
      <c r="L794" s="133">
        <v>0.863636363636364</v>
      </c>
      <c r="M794" s="134">
        <v>0.896551724137931</v>
      </c>
      <c r="N794" s="133">
        <v>0.810810810810811</v>
      </c>
      <c r="O794" s="135">
        <v>0.9</v>
      </c>
      <c r="P794" s="133">
        <v>0.955357142857143</v>
      </c>
      <c r="Q794" s="133">
        <v>0.917771883289125</v>
      </c>
      <c r="R794" s="133">
        <v>0.943933823529412</v>
      </c>
      <c r="S794" s="133">
        <v>0.952188200474418</v>
      </c>
      <c r="T794" s="135">
        <v>0.9</v>
      </c>
      <c r="U794" s="133">
        <v>0.910714285714286</v>
      </c>
      <c r="V794" s="133">
        <v>0.922192749778957</v>
      </c>
      <c r="W794" s="133">
        <v>0.920036764705882</v>
      </c>
      <c r="X794" s="133">
        <v>0.920219364105243</v>
      </c>
      <c r="Y794" s="135">
        <v>0.92</v>
      </c>
      <c r="Z794" s="135">
        <v>0.872958257713249</v>
      </c>
      <c r="AA794" s="135">
        <v>0.911504424778761</v>
      </c>
      <c r="AB794" s="135">
        <v>0.908496732026144</v>
      </c>
      <c r="AC794" s="135">
        <v>0.901116661769027</v>
      </c>
      <c r="AD794" s="135">
        <v>0.92</v>
      </c>
      <c r="AE794" s="133">
        <v>0.99873417721519</v>
      </c>
      <c r="AF794" s="133">
        <v>0.991228070175439</v>
      </c>
      <c r="AG794" s="133">
        <v>0.993311036789298</v>
      </c>
      <c r="AH794" s="133">
        <v>0.994914413296949</v>
      </c>
      <c r="AI794" s="135">
        <v>0.92</v>
      </c>
      <c r="AJ794" s="133">
        <v>0.93971101145989</v>
      </c>
      <c r="AK794" s="133">
        <v>0.955241460541814</v>
      </c>
      <c r="AL794" s="133">
        <v>0.963201820940819</v>
      </c>
      <c r="AM794" s="133">
        <v>0.959489167463794</v>
      </c>
      <c r="AN794" s="132">
        <v>0.99</v>
      </c>
      <c r="AO794" s="137">
        <v>1</v>
      </c>
      <c r="AP794" s="137">
        <v>1</v>
      </c>
      <c r="AQ794" s="137">
        <v>1</v>
      </c>
      <c r="AR794" s="137">
        <v>1</v>
      </c>
      <c r="AS794" s="158">
        <v>0.0810595228934205</v>
      </c>
      <c r="AT794" s="141">
        <v>0</v>
      </c>
      <c r="AU794" s="141">
        <v>0.125</v>
      </c>
      <c r="AV794" s="141">
        <v>0</v>
      </c>
      <c r="AW794" s="141">
        <v>0.0778210116731518</v>
      </c>
      <c r="AX794" s="95"/>
      <c r="AY794" s="93"/>
    </row>
    <row r="795" ht="15" spans="1:51">
      <c r="A795" s="91"/>
      <c r="B795" s="95"/>
      <c r="C795" s="152" t="s">
        <v>668</v>
      </c>
      <c r="D795" s="153" t="s">
        <v>25</v>
      </c>
      <c r="E795" s="130" t="s">
        <v>669</v>
      </c>
      <c r="F795" s="179" t="s">
        <v>822</v>
      </c>
      <c r="G795" s="179" t="s">
        <v>822</v>
      </c>
      <c r="H795" s="179" t="s">
        <v>822</v>
      </c>
      <c r="I795" s="179" t="s">
        <v>822</v>
      </c>
      <c r="J795" s="132">
        <v>0.9</v>
      </c>
      <c r="K795" s="133">
        <v>0.863636363636364</v>
      </c>
      <c r="L795" s="133">
        <v>0.888888888888889</v>
      </c>
      <c r="M795" s="134">
        <v>0.91304347826087</v>
      </c>
      <c r="N795" s="133">
        <v>0.880668257756563</v>
      </c>
      <c r="O795" s="135">
        <v>0.9</v>
      </c>
      <c r="P795" s="133">
        <v>0.952519379844961</v>
      </c>
      <c r="Q795" s="133">
        <v>0.918136020151133</v>
      </c>
      <c r="R795" s="133">
        <v>0.933752141633352</v>
      </c>
      <c r="S795" s="133">
        <v>0.917531701116727</v>
      </c>
      <c r="T795" s="135">
        <v>0.9</v>
      </c>
      <c r="U795" s="133">
        <v>0.929263565891473</v>
      </c>
      <c r="V795" s="133">
        <v>0.914357682619647</v>
      </c>
      <c r="W795" s="133">
        <v>0.936607652769846</v>
      </c>
      <c r="X795" s="133">
        <v>0.909511848197803</v>
      </c>
      <c r="Y795" s="135">
        <v>0.92</v>
      </c>
      <c r="Z795" s="135">
        <v>0.873684210526316</v>
      </c>
      <c r="AA795" s="135">
        <v>0.872549019607843</v>
      </c>
      <c r="AB795" s="135">
        <v>0.902439024390244</v>
      </c>
      <c r="AC795" s="135">
        <v>0.894720750101916</v>
      </c>
      <c r="AD795" s="135">
        <v>0.92</v>
      </c>
      <c r="AE795" s="133">
        <v>1</v>
      </c>
      <c r="AF795" s="133">
        <v>0.998422712933754</v>
      </c>
      <c r="AG795" s="133">
        <v>0.99406528189911</v>
      </c>
      <c r="AH795" s="133">
        <v>0.99538162372387</v>
      </c>
      <c r="AI795" s="135">
        <v>0.92</v>
      </c>
      <c r="AJ795" s="133">
        <v>0.93342776203966</v>
      </c>
      <c r="AK795" s="133">
        <v>0.929284525790349</v>
      </c>
      <c r="AL795" s="133">
        <v>0.963443963443963</v>
      </c>
      <c r="AM795" s="133">
        <v>0.950743971267317</v>
      </c>
      <c r="AN795" s="132">
        <v>0.99</v>
      </c>
      <c r="AO795" s="137">
        <v>1</v>
      </c>
      <c r="AP795" s="137">
        <v>1</v>
      </c>
      <c r="AQ795" s="137">
        <v>1</v>
      </c>
      <c r="AR795" s="137">
        <v>1</v>
      </c>
      <c r="AS795" s="158">
        <v>0.0810595228934205</v>
      </c>
      <c r="AT795" s="141">
        <v>0.1</v>
      </c>
      <c r="AU795" s="141">
        <v>0</v>
      </c>
      <c r="AV795" s="141">
        <v>0</v>
      </c>
      <c r="AW795" s="141">
        <v>0.042654028436019</v>
      </c>
      <c r="AX795" s="95"/>
      <c r="AY795" s="93"/>
    </row>
    <row r="796" ht="15" spans="1:51">
      <c r="A796" s="91"/>
      <c r="B796" s="95"/>
      <c r="C796" s="152" t="s">
        <v>668</v>
      </c>
      <c r="D796" s="153" t="s">
        <v>25</v>
      </c>
      <c r="E796" s="130" t="s">
        <v>669</v>
      </c>
      <c r="F796" s="179" t="s">
        <v>823</v>
      </c>
      <c r="G796" s="179" t="s">
        <v>823</v>
      </c>
      <c r="H796" s="179" t="s">
        <v>823</v>
      </c>
      <c r="I796" s="179" t="s">
        <v>823</v>
      </c>
      <c r="J796" s="132">
        <v>0.9</v>
      </c>
      <c r="K796" s="133">
        <v>0.761904761904762</v>
      </c>
      <c r="L796" s="133">
        <v>0.888888888888889</v>
      </c>
      <c r="M796" s="134">
        <v>0.80952380952381</v>
      </c>
      <c r="N796" s="133">
        <v>0.762886597938144</v>
      </c>
      <c r="O796" s="135">
        <v>0.9</v>
      </c>
      <c r="P796" s="133">
        <v>0.919962335216573</v>
      </c>
      <c r="Q796" s="133">
        <v>0.907366071428571</v>
      </c>
      <c r="R796" s="133">
        <v>0.938348416289593</v>
      </c>
      <c r="S796" s="133">
        <v>0.927874251497006</v>
      </c>
      <c r="T796" s="135">
        <v>0.9</v>
      </c>
      <c r="U796" s="133">
        <v>0.907721280602637</v>
      </c>
      <c r="V796" s="133">
        <v>0.921875</v>
      </c>
      <c r="W796" s="133">
        <v>0.932126696832579</v>
      </c>
      <c r="X796" s="133">
        <v>0.924520958083832</v>
      </c>
      <c r="Y796" s="135">
        <v>0.92</v>
      </c>
      <c r="Z796" s="135">
        <v>0.897243107769424</v>
      </c>
      <c r="AA796" s="135">
        <v>0.91647855530474</v>
      </c>
      <c r="AB796" s="135">
        <v>0.931506849315068</v>
      </c>
      <c r="AC796" s="135">
        <v>0.92225451525846</v>
      </c>
      <c r="AD796" s="135">
        <v>0.92</v>
      </c>
      <c r="AE796" s="133">
        <v>0.993990384615385</v>
      </c>
      <c r="AF796" s="133">
        <v>0.996943453897096</v>
      </c>
      <c r="AG796" s="133">
        <v>0.996655518394649</v>
      </c>
      <c r="AH796" s="133">
        <v>0.995049045394065</v>
      </c>
      <c r="AI796" s="135">
        <v>0.92</v>
      </c>
      <c r="AJ796" s="133">
        <v>0.926812585499316</v>
      </c>
      <c r="AK796" s="133">
        <v>0.951492537313433</v>
      </c>
      <c r="AL796" s="133">
        <v>0.968446601941748</v>
      </c>
      <c r="AM796" s="133">
        <v>0.961633145989131</v>
      </c>
      <c r="AN796" s="132">
        <v>0.99</v>
      </c>
      <c r="AO796" s="137">
        <v>1</v>
      </c>
      <c r="AP796" s="137">
        <v>1</v>
      </c>
      <c r="AQ796" s="137">
        <v>1</v>
      </c>
      <c r="AR796" s="137">
        <v>1</v>
      </c>
      <c r="AS796" s="158">
        <v>0.0810595228934205</v>
      </c>
      <c r="AT796" s="141">
        <v>0</v>
      </c>
      <c r="AU796" s="141">
        <v>0</v>
      </c>
      <c r="AV796" s="141">
        <v>0</v>
      </c>
      <c r="AW796" s="141">
        <v>0.0298507462686567</v>
      </c>
      <c r="AX796" s="95"/>
      <c r="AY796" s="93"/>
    </row>
    <row r="797" ht="15" spans="1:51">
      <c r="A797" s="91"/>
      <c r="B797" s="95"/>
      <c r="C797" s="152" t="s">
        <v>668</v>
      </c>
      <c r="D797" s="153" t="s">
        <v>25</v>
      </c>
      <c r="E797" s="130" t="s">
        <v>669</v>
      </c>
      <c r="F797" s="179" t="s">
        <v>824</v>
      </c>
      <c r="G797" s="179" t="s">
        <v>824</v>
      </c>
      <c r="H797" s="179" t="s">
        <v>824</v>
      </c>
      <c r="I797" s="179" t="s">
        <v>824</v>
      </c>
      <c r="J797" s="132">
        <v>0.9</v>
      </c>
      <c r="K797" s="133">
        <v>0.8</v>
      </c>
      <c r="L797" s="133">
        <v>0.818181818181818</v>
      </c>
      <c r="M797" s="134">
        <v>0.846153846153846</v>
      </c>
      <c r="N797" s="133">
        <v>0.857142857142857</v>
      </c>
      <c r="O797" s="135">
        <v>0.9</v>
      </c>
      <c r="P797" s="133">
        <v>0.946452476572959</v>
      </c>
      <c r="Q797" s="133">
        <v>0.826825127334465</v>
      </c>
      <c r="R797" s="133">
        <v>0.955294117647059</v>
      </c>
      <c r="S797" s="133">
        <v>0.94033381521882</v>
      </c>
      <c r="T797" s="135">
        <v>0.9</v>
      </c>
      <c r="U797" s="133">
        <v>0.926372155287818</v>
      </c>
      <c r="V797" s="133">
        <v>0.906621392190153</v>
      </c>
      <c r="W797" s="133">
        <v>0.934117647058823</v>
      </c>
      <c r="X797" s="133">
        <v>0.926096289481754</v>
      </c>
      <c r="Y797" s="135">
        <v>0.92</v>
      </c>
      <c r="Z797" s="135">
        <v>0.880597014925373</v>
      </c>
      <c r="AA797" s="135">
        <v>0.906451612903226</v>
      </c>
      <c r="AB797" s="135">
        <v>0.934707903780069</v>
      </c>
      <c r="AC797" s="135">
        <v>0.921819787985866</v>
      </c>
      <c r="AD797" s="135">
        <v>0.92</v>
      </c>
      <c r="AE797" s="133">
        <v>1</v>
      </c>
      <c r="AF797" s="133">
        <v>1</v>
      </c>
      <c r="AG797" s="133">
        <v>1</v>
      </c>
      <c r="AH797" s="133">
        <v>0.997890699904123</v>
      </c>
      <c r="AI797" s="135">
        <v>0.92</v>
      </c>
      <c r="AJ797" s="133">
        <v>0.938976377952756</v>
      </c>
      <c r="AK797" s="133">
        <v>0.933259176863181</v>
      </c>
      <c r="AL797" s="133">
        <v>0.964878671775223</v>
      </c>
      <c r="AM797" s="133">
        <v>0.957987446851589</v>
      </c>
      <c r="AN797" s="132">
        <v>0.99</v>
      </c>
      <c r="AO797" s="137">
        <v>1</v>
      </c>
      <c r="AP797" s="137">
        <v>1</v>
      </c>
      <c r="AQ797" s="137">
        <v>1</v>
      </c>
      <c r="AR797" s="137">
        <v>1</v>
      </c>
      <c r="AS797" s="158">
        <v>0.0810595228934205</v>
      </c>
      <c r="AT797" s="141">
        <v>0</v>
      </c>
      <c r="AU797" s="141">
        <v>0</v>
      </c>
      <c r="AV797" s="141">
        <v>0.166666666666667</v>
      </c>
      <c r="AW797" s="141">
        <v>0.087378640776699</v>
      </c>
      <c r="AX797" s="95"/>
      <c r="AY797" s="93"/>
    </row>
    <row r="798" ht="15" spans="1:51">
      <c r="A798" s="91"/>
      <c r="B798" s="95"/>
      <c r="C798" s="152" t="s">
        <v>668</v>
      </c>
      <c r="D798" s="153" t="s">
        <v>25</v>
      </c>
      <c r="E798" s="130" t="s">
        <v>669</v>
      </c>
      <c r="F798" s="179" t="s">
        <v>825</v>
      </c>
      <c r="G798" s="179" t="s">
        <v>825</v>
      </c>
      <c r="H798" s="179" t="s">
        <v>825</v>
      </c>
      <c r="I798" s="179" t="s">
        <v>825</v>
      </c>
      <c r="J798" s="132">
        <v>0.9</v>
      </c>
      <c r="K798" s="133">
        <v>0.95</v>
      </c>
      <c r="L798" s="133">
        <v>1</v>
      </c>
      <c r="M798" s="134">
        <v>0.833333333333333</v>
      </c>
      <c r="N798" s="133">
        <v>0.887905604719764</v>
      </c>
      <c r="O798" s="135">
        <v>0.9</v>
      </c>
      <c r="P798" s="133">
        <v>0.969770253929867</v>
      </c>
      <c r="Q798" s="133">
        <v>0.955840455840456</v>
      </c>
      <c r="R798" s="133">
        <v>0.973802395209581</v>
      </c>
      <c r="S798" s="133">
        <v>0.958128898128898</v>
      </c>
      <c r="T798" s="135">
        <v>0.9</v>
      </c>
      <c r="U798" s="133">
        <v>0.956469165659008</v>
      </c>
      <c r="V798" s="133">
        <v>0.957264957264957</v>
      </c>
      <c r="W798" s="133">
        <v>0.962574850299401</v>
      </c>
      <c r="X798" s="133">
        <v>0.94964656964657</v>
      </c>
      <c r="Y798" s="135">
        <v>0.92</v>
      </c>
      <c r="Z798" s="135">
        <v>0.935943060498221</v>
      </c>
      <c r="AA798" s="135">
        <v>0.945392491467577</v>
      </c>
      <c r="AB798" s="135">
        <v>0.965779467680608</v>
      </c>
      <c r="AC798" s="135">
        <v>0.950204439252336</v>
      </c>
      <c r="AD798" s="135">
        <v>0.92</v>
      </c>
      <c r="AE798" s="133">
        <v>0.997713414634146</v>
      </c>
      <c r="AF798" s="133">
        <v>0.999010227647641</v>
      </c>
      <c r="AG798" s="133">
        <v>0.998468606431853</v>
      </c>
      <c r="AH798" s="133">
        <v>0.996115869738537</v>
      </c>
      <c r="AI798" s="135">
        <v>0.92</v>
      </c>
      <c r="AJ798" s="133">
        <v>0.961191335740072</v>
      </c>
      <c r="AK798" s="133">
        <v>0.971859296482412</v>
      </c>
      <c r="AL798" s="133">
        <v>0.983114446529081</v>
      </c>
      <c r="AM798" s="133">
        <v>0.970242908432254</v>
      </c>
      <c r="AN798" s="132">
        <v>0.99</v>
      </c>
      <c r="AO798" s="137">
        <v>1</v>
      </c>
      <c r="AP798" s="137">
        <v>1</v>
      </c>
      <c r="AQ798" s="137">
        <v>1</v>
      </c>
      <c r="AR798" s="137">
        <v>1</v>
      </c>
      <c r="AS798" s="158">
        <v>0.0810595228934205</v>
      </c>
      <c r="AT798" s="141">
        <v>0</v>
      </c>
      <c r="AU798" s="141">
        <v>1</v>
      </c>
      <c r="AV798" s="141">
        <v>0</v>
      </c>
      <c r="AW798" s="141">
        <v>0.0384615384615385</v>
      </c>
      <c r="AX798" s="95"/>
      <c r="AY798" s="93"/>
    </row>
    <row r="799" ht="15" spans="1:51">
      <c r="A799" s="91"/>
      <c r="B799" s="95"/>
      <c r="C799" s="152" t="s">
        <v>668</v>
      </c>
      <c r="D799" s="153" t="s">
        <v>25</v>
      </c>
      <c r="E799" s="130" t="s">
        <v>669</v>
      </c>
      <c r="F799" s="179" t="s">
        <v>826</v>
      </c>
      <c r="G799" s="179" t="s">
        <v>826</v>
      </c>
      <c r="H799" s="179" t="s">
        <v>826</v>
      </c>
      <c r="I799" s="179" t="s">
        <v>826</v>
      </c>
      <c r="J799" s="132">
        <v>0.9</v>
      </c>
      <c r="K799" s="133">
        <v>0.914285714285714</v>
      </c>
      <c r="L799" s="133">
        <v>0.82</v>
      </c>
      <c r="M799" s="134">
        <v>0.841269841269841</v>
      </c>
      <c r="N799" s="133">
        <v>0.843965517241379</v>
      </c>
      <c r="O799" s="135">
        <v>0.9</v>
      </c>
      <c r="P799" s="133">
        <v>0.944641799881587</v>
      </c>
      <c r="Q799" s="133">
        <v>0.950657894736842</v>
      </c>
      <c r="R799" s="133">
        <v>0.9</v>
      </c>
      <c r="S799" s="133">
        <v>0.921683666084473</v>
      </c>
      <c r="T799" s="135">
        <v>0.9</v>
      </c>
      <c r="U799" s="133">
        <v>0.917998815867377</v>
      </c>
      <c r="V799" s="133">
        <v>0.909950657894737</v>
      </c>
      <c r="W799" s="133">
        <v>0.939664804469274</v>
      </c>
      <c r="X799" s="133">
        <v>0.917167642886781</v>
      </c>
      <c r="Y799" s="135">
        <v>0.92</v>
      </c>
      <c r="Z799" s="135">
        <v>0.930086410054988</v>
      </c>
      <c r="AA799" s="135">
        <v>0.921828908554572</v>
      </c>
      <c r="AB799" s="135">
        <v>0.924947145877378</v>
      </c>
      <c r="AC799" s="135">
        <v>0.934109378431803</v>
      </c>
      <c r="AD799" s="135">
        <v>0.92</v>
      </c>
      <c r="AE799" s="133">
        <v>1</v>
      </c>
      <c r="AF799" s="133">
        <v>0.965447154471545</v>
      </c>
      <c r="AG799" s="133">
        <v>0.981327800829875</v>
      </c>
      <c r="AH799" s="133">
        <v>0.977979944174506</v>
      </c>
      <c r="AI799" s="135">
        <v>0.92</v>
      </c>
      <c r="AJ799" s="133">
        <v>0.943895098882201</v>
      </c>
      <c r="AK799" s="133">
        <v>0.946145723336853</v>
      </c>
      <c r="AL799" s="133">
        <v>0.959309689677011</v>
      </c>
      <c r="AM799" s="133">
        <v>0.959546018064821</v>
      </c>
      <c r="AN799" s="132">
        <v>0.99</v>
      </c>
      <c r="AO799" s="137">
        <v>1</v>
      </c>
      <c r="AP799" s="137">
        <v>1</v>
      </c>
      <c r="AQ799" s="137">
        <v>1</v>
      </c>
      <c r="AR799" s="137">
        <v>1</v>
      </c>
      <c r="AS799" s="158">
        <v>0.0810595228934205</v>
      </c>
      <c r="AT799" s="141">
        <v>0.0909090909090909</v>
      </c>
      <c r="AU799" s="141">
        <v>0.133333333333333</v>
      </c>
      <c r="AV799" s="141">
        <v>0.0232558139534884</v>
      </c>
      <c r="AW799" s="141">
        <v>0.0336</v>
      </c>
      <c r="AX799" s="95"/>
      <c r="AY799" s="93"/>
    </row>
    <row r="800" ht="15" spans="1:51">
      <c r="A800" s="91"/>
      <c r="B800" s="95"/>
      <c r="C800" s="152" t="s">
        <v>668</v>
      </c>
      <c r="D800" s="153" t="s">
        <v>25</v>
      </c>
      <c r="E800" s="130" t="s">
        <v>669</v>
      </c>
      <c r="F800" s="179" t="s">
        <v>827</v>
      </c>
      <c r="G800" s="179" t="s">
        <v>827</v>
      </c>
      <c r="H800" s="179" t="s">
        <v>827</v>
      </c>
      <c r="I800" s="179" t="s">
        <v>827</v>
      </c>
      <c r="J800" s="132">
        <v>0.9</v>
      </c>
      <c r="K800" s="133">
        <v>0.833333333333333</v>
      </c>
      <c r="L800" s="133">
        <v>0.882352941176471</v>
      </c>
      <c r="M800" s="134">
        <v>0.736842105263158</v>
      </c>
      <c r="N800" s="133">
        <v>0.871657754010695</v>
      </c>
      <c r="O800" s="135">
        <v>0.9</v>
      </c>
      <c r="P800" s="133">
        <v>0.95046439628483</v>
      </c>
      <c r="Q800" s="133">
        <v>0.961640211640212</v>
      </c>
      <c r="R800" s="133">
        <v>0.945945945945946</v>
      </c>
      <c r="S800" s="133">
        <v>0.927631166551746</v>
      </c>
      <c r="T800" s="135">
        <v>0.9</v>
      </c>
      <c r="U800" s="133">
        <v>0.951496388028896</v>
      </c>
      <c r="V800" s="133">
        <v>0.907407407407407</v>
      </c>
      <c r="W800" s="133">
        <v>0.935735735735736</v>
      </c>
      <c r="X800" s="133">
        <v>0.916159969911615</v>
      </c>
      <c r="Y800" s="135">
        <v>0.92</v>
      </c>
      <c r="Z800" s="135">
        <v>0.931880108991826</v>
      </c>
      <c r="AA800" s="135">
        <v>0.926289926289926</v>
      </c>
      <c r="AB800" s="135">
        <v>0.928825622775801</v>
      </c>
      <c r="AC800" s="135">
        <v>0.93074168797954</v>
      </c>
      <c r="AD800" s="135">
        <v>0.92</v>
      </c>
      <c r="AE800" s="133">
        <v>1</v>
      </c>
      <c r="AF800" s="133">
        <v>1</v>
      </c>
      <c r="AG800" s="133">
        <v>0.974619289340102</v>
      </c>
      <c r="AH800" s="133">
        <v>0.993520518358531</v>
      </c>
      <c r="AI800" s="135">
        <v>0.92</v>
      </c>
      <c r="AJ800" s="133">
        <v>0.965568862275449</v>
      </c>
      <c r="AK800" s="133">
        <v>0.945829750644884</v>
      </c>
      <c r="AL800" s="133">
        <v>0.971736896197328</v>
      </c>
      <c r="AM800" s="133">
        <v>0.960249490224301</v>
      </c>
      <c r="AN800" s="132">
        <v>0.99</v>
      </c>
      <c r="AO800" s="137">
        <v>1</v>
      </c>
      <c r="AP800" s="137">
        <v>1</v>
      </c>
      <c r="AQ800" s="137">
        <v>1</v>
      </c>
      <c r="AR800" s="137">
        <v>1</v>
      </c>
      <c r="AS800" s="158">
        <v>0.0810595228934205</v>
      </c>
      <c r="AT800" s="141">
        <v>0</v>
      </c>
      <c r="AU800" s="141">
        <v>0</v>
      </c>
      <c r="AV800" s="141">
        <v>0</v>
      </c>
      <c r="AW800" s="141">
        <v>0.0217391304347826</v>
      </c>
      <c r="AX800" s="95"/>
      <c r="AY800" s="93"/>
    </row>
    <row r="801" ht="15" spans="1:51">
      <c r="A801" s="91"/>
      <c r="B801" s="95"/>
      <c r="C801" s="152" t="s">
        <v>668</v>
      </c>
      <c r="D801" s="153" t="s">
        <v>25</v>
      </c>
      <c r="E801" s="130" t="s">
        <v>669</v>
      </c>
      <c r="F801" s="179" t="s">
        <v>828</v>
      </c>
      <c r="G801" s="179" t="s">
        <v>828</v>
      </c>
      <c r="H801" s="179" t="s">
        <v>828</v>
      </c>
      <c r="I801" s="179" t="s">
        <v>828</v>
      </c>
      <c r="J801" s="132">
        <v>0.9</v>
      </c>
      <c r="K801" s="133">
        <v>1</v>
      </c>
      <c r="L801" s="133">
        <v>0.857142857142857</v>
      </c>
      <c r="M801" s="134">
        <v>0.941176470588235</v>
      </c>
      <c r="N801" s="133">
        <v>0.945288753799392</v>
      </c>
      <c r="O801" s="135">
        <v>0.9</v>
      </c>
      <c r="P801" s="133">
        <v>0.921052631578947</v>
      </c>
      <c r="Q801" s="133">
        <v>0.823754789272031</v>
      </c>
      <c r="R801" s="133">
        <v>0.924162257495591</v>
      </c>
      <c r="S801" s="133">
        <v>0.920357641221769</v>
      </c>
      <c r="T801" s="135">
        <v>0.9</v>
      </c>
      <c r="U801" s="133">
        <v>0.924812030075188</v>
      </c>
      <c r="V801" s="133">
        <v>0.878352490421456</v>
      </c>
      <c r="W801" s="133">
        <v>0.911375661375661</v>
      </c>
      <c r="X801" s="133">
        <v>0.916352266266991</v>
      </c>
      <c r="Y801" s="135">
        <v>0.92</v>
      </c>
      <c r="Z801" s="135">
        <v>0.895074946466809</v>
      </c>
      <c r="AA801" s="135">
        <v>0.865831842576029</v>
      </c>
      <c r="AB801" s="135">
        <v>0.906818181818182</v>
      </c>
      <c r="AC801" s="135">
        <v>0.898825814425709</v>
      </c>
      <c r="AD801" s="135">
        <v>0.92</v>
      </c>
      <c r="AE801" s="133">
        <v>0.999134948096886</v>
      </c>
      <c r="AF801" s="133">
        <v>0.987827968623208</v>
      </c>
      <c r="AG801" s="133">
        <v>0.993578517221249</v>
      </c>
      <c r="AH801" s="133">
        <v>0.966809391074456</v>
      </c>
      <c r="AI801" s="135">
        <v>0.92</v>
      </c>
      <c r="AJ801" s="133">
        <v>0.945464663327768</v>
      </c>
      <c r="AK801" s="133">
        <v>0.906425452276981</v>
      </c>
      <c r="AL801" s="133">
        <v>0.943870014771049</v>
      </c>
      <c r="AM801" s="133">
        <v>0.945550491724634</v>
      </c>
      <c r="AN801" s="132">
        <v>0.99</v>
      </c>
      <c r="AO801" s="137">
        <v>1</v>
      </c>
      <c r="AP801" s="137">
        <v>1</v>
      </c>
      <c r="AQ801" s="137">
        <v>1</v>
      </c>
      <c r="AR801" s="137">
        <v>1</v>
      </c>
      <c r="AS801" s="158">
        <v>0.0810595228934205</v>
      </c>
      <c r="AT801" s="141">
        <v>0</v>
      </c>
      <c r="AU801" s="141">
        <v>0</v>
      </c>
      <c r="AV801" s="141">
        <v>0</v>
      </c>
      <c r="AW801" s="141">
        <v>0.0359281437125748</v>
      </c>
      <c r="AX801" s="95"/>
      <c r="AY801" s="93"/>
    </row>
    <row r="802" ht="15" spans="1:51">
      <c r="A802" s="91"/>
      <c r="B802" s="95"/>
      <c r="C802" s="152" t="s">
        <v>668</v>
      </c>
      <c r="D802" s="153" t="s">
        <v>25</v>
      </c>
      <c r="E802" s="130" t="s">
        <v>669</v>
      </c>
      <c r="F802" s="179" t="s">
        <v>829</v>
      </c>
      <c r="G802" s="179" t="s">
        <v>829</v>
      </c>
      <c r="H802" s="179" t="s">
        <v>829</v>
      </c>
      <c r="I802" s="179" t="s">
        <v>829</v>
      </c>
      <c r="J802" s="132">
        <v>0.9</v>
      </c>
      <c r="K802" s="133">
        <v>0.92</v>
      </c>
      <c r="L802" s="133">
        <v>0.875</v>
      </c>
      <c r="M802" s="134">
        <v>0.863636363636364</v>
      </c>
      <c r="N802" s="133">
        <v>0.862790697674419</v>
      </c>
      <c r="O802" s="135">
        <v>0.9</v>
      </c>
      <c r="P802" s="133">
        <v>0.953386744355426</v>
      </c>
      <c r="Q802" s="133">
        <v>0.821903787103378</v>
      </c>
      <c r="R802" s="133">
        <v>0.861390667886551</v>
      </c>
      <c r="S802" s="133">
        <v>0.900823731554477</v>
      </c>
      <c r="T802" s="135">
        <v>0.9</v>
      </c>
      <c r="U802" s="133">
        <v>0.879825200291333</v>
      </c>
      <c r="V802" s="133">
        <v>0.825997952917093</v>
      </c>
      <c r="W802" s="133">
        <v>0.865050320219579</v>
      </c>
      <c r="X802" s="133">
        <v>0.872826965837882</v>
      </c>
      <c r="Y802" s="135">
        <v>0.92</v>
      </c>
      <c r="Z802" s="135">
        <v>0.893203883495146</v>
      </c>
      <c r="AA802" s="135">
        <v>0.856649395509499</v>
      </c>
      <c r="AB802" s="135">
        <v>0.906873614190687</v>
      </c>
      <c r="AC802" s="135">
        <v>0.908381906247435</v>
      </c>
      <c r="AD802" s="135">
        <v>0.92</v>
      </c>
      <c r="AE802" s="133">
        <v>0.99344262295082</v>
      </c>
      <c r="AF802" s="133">
        <v>0.987046632124352</v>
      </c>
      <c r="AG802" s="133">
        <v>1</v>
      </c>
      <c r="AH802" s="133">
        <v>0.981072137657181</v>
      </c>
      <c r="AI802" s="135">
        <v>0.92</v>
      </c>
      <c r="AJ802" s="133">
        <v>0.920021186440678</v>
      </c>
      <c r="AK802" s="133">
        <v>0.87853470437018</v>
      </c>
      <c r="AL802" s="133">
        <v>0.927948426241942</v>
      </c>
      <c r="AM802" s="133">
        <v>0.931766387268724</v>
      </c>
      <c r="AN802" s="132">
        <v>0.99</v>
      </c>
      <c r="AO802" s="137">
        <v>1</v>
      </c>
      <c r="AP802" s="137">
        <v>1</v>
      </c>
      <c r="AQ802" s="137">
        <v>1</v>
      </c>
      <c r="AR802" s="137">
        <v>1</v>
      </c>
      <c r="AS802" s="158">
        <v>0.0810595228934205</v>
      </c>
      <c r="AT802" s="141">
        <v>0</v>
      </c>
      <c r="AU802" s="141">
        <v>0.2</v>
      </c>
      <c r="AV802" s="141">
        <v>0</v>
      </c>
      <c r="AW802" s="141">
        <v>0.0372340425531915</v>
      </c>
      <c r="AX802" s="95"/>
      <c r="AY802" s="93"/>
    </row>
    <row r="803" ht="15" spans="1:51">
      <c r="A803" s="91"/>
      <c r="B803" s="95"/>
      <c r="C803" s="152" t="s">
        <v>668</v>
      </c>
      <c r="D803" s="153" t="s">
        <v>25</v>
      </c>
      <c r="E803" s="130" t="s">
        <v>669</v>
      </c>
      <c r="F803" s="179" t="s">
        <v>830</v>
      </c>
      <c r="G803" s="179" t="s">
        <v>830</v>
      </c>
      <c r="H803" s="179" t="s">
        <v>830</v>
      </c>
      <c r="I803" s="179" t="s">
        <v>830</v>
      </c>
      <c r="J803" s="132">
        <v>0.9</v>
      </c>
      <c r="K803" s="133">
        <v>0.928571428571429</v>
      </c>
      <c r="L803" s="133">
        <v>1</v>
      </c>
      <c r="M803" s="134">
        <v>0.846153846153846</v>
      </c>
      <c r="N803" s="133">
        <v>0.940082644628099</v>
      </c>
      <c r="O803" s="135">
        <v>0.9</v>
      </c>
      <c r="P803" s="133">
        <v>0.947716346153846</v>
      </c>
      <c r="Q803" s="133">
        <v>0.949429037520392</v>
      </c>
      <c r="R803" s="133">
        <v>0.95337560611712</v>
      </c>
      <c r="S803" s="133">
        <v>0.946749861105175</v>
      </c>
      <c r="T803" s="135">
        <v>0.9</v>
      </c>
      <c r="U803" s="133">
        <v>0.927283653846154</v>
      </c>
      <c r="V803" s="133">
        <v>0.929037520391517</v>
      </c>
      <c r="W803" s="133">
        <v>0.94591570309586</v>
      </c>
      <c r="X803" s="133">
        <v>0.936322065045515</v>
      </c>
      <c r="Y803" s="135">
        <v>0.92</v>
      </c>
      <c r="Z803" s="135">
        <v>0.913669064748201</v>
      </c>
      <c r="AA803" s="135">
        <v>0.884955752212389</v>
      </c>
      <c r="AB803" s="135">
        <v>0.929577464788732</v>
      </c>
      <c r="AC803" s="135">
        <v>0.919299985829673</v>
      </c>
      <c r="AD803" s="135">
        <v>0.92</v>
      </c>
      <c r="AE803" s="133">
        <v>1</v>
      </c>
      <c r="AF803" s="133">
        <v>0.991001124859393</v>
      </c>
      <c r="AG803" s="133">
        <v>0.965619223659889</v>
      </c>
      <c r="AH803" s="133">
        <v>0.98873435837217</v>
      </c>
      <c r="AI803" s="135">
        <v>0.92</v>
      </c>
      <c r="AJ803" s="133">
        <v>0.955855855855856</v>
      </c>
      <c r="AK803" s="133">
        <v>0.941762854144806</v>
      </c>
      <c r="AL803" s="133">
        <v>0.969477658904972</v>
      </c>
      <c r="AM803" s="133">
        <v>0.963515509601182</v>
      </c>
      <c r="AN803" s="132">
        <v>0.99</v>
      </c>
      <c r="AO803" s="137">
        <v>1</v>
      </c>
      <c r="AP803" s="137">
        <v>1</v>
      </c>
      <c r="AQ803" s="137">
        <v>1</v>
      </c>
      <c r="AR803" s="137">
        <v>1</v>
      </c>
      <c r="AS803" s="158">
        <v>0.0810595228934205</v>
      </c>
      <c r="AT803" s="141">
        <v>0</v>
      </c>
      <c r="AU803" s="141">
        <v>0</v>
      </c>
      <c r="AV803" s="141">
        <v>0</v>
      </c>
      <c r="AW803" s="141">
        <v>0.0353535353535354</v>
      </c>
      <c r="AX803" s="95"/>
      <c r="AY803" s="93"/>
    </row>
    <row r="804" ht="15" spans="1:51">
      <c r="A804" s="91"/>
      <c r="B804" s="95"/>
      <c r="C804" s="152" t="s">
        <v>668</v>
      </c>
      <c r="D804" s="153" t="s">
        <v>25</v>
      </c>
      <c r="E804" s="130" t="s">
        <v>669</v>
      </c>
      <c r="F804" s="179" t="s">
        <v>831</v>
      </c>
      <c r="G804" s="179" t="s">
        <v>831</v>
      </c>
      <c r="H804" s="179" t="s">
        <v>831</v>
      </c>
      <c r="I804" s="179" t="s">
        <v>831</v>
      </c>
      <c r="J804" s="132">
        <v>0.9</v>
      </c>
      <c r="K804" s="133">
        <v>0.826086956521739</v>
      </c>
      <c r="L804" s="133">
        <v>0.882352941176471</v>
      </c>
      <c r="M804" s="134">
        <v>0.684210526315789</v>
      </c>
      <c r="N804" s="133">
        <v>0.712435233160622</v>
      </c>
      <c r="O804" s="135">
        <v>0.9</v>
      </c>
      <c r="P804" s="133">
        <v>0.938369781312127</v>
      </c>
      <c r="Q804" s="133">
        <v>0.877059569074778</v>
      </c>
      <c r="R804" s="133">
        <v>0.890350877192982</v>
      </c>
      <c r="S804" s="133">
        <v>0.88898916967509</v>
      </c>
      <c r="T804" s="135">
        <v>0.9</v>
      </c>
      <c r="U804" s="133">
        <v>0.893638170974155</v>
      </c>
      <c r="V804" s="133">
        <v>0.906210392902408</v>
      </c>
      <c r="W804" s="133">
        <v>0.904135338345865</v>
      </c>
      <c r="X804" s="133">
        <v>0.896692882929345</v>
      </c>
      <c r="Y804" s="135">
        <v>0.92</v>
      </c>
      <c r="Z804" s="135">
        <v>0.9</v>
      </c>
      <c r="AA804" s="135">
        <v>0.831168831168831</v>
      </c>
      <c r="AB804" s="135">
        <v>0.795918367346939</v>
      </c>
      <c r="AC804" s="135">
        <v>0.871253476156144</v>
      </c>
      <c r="AD804" s="135">
        <v>0.92</v>
      </c>
      <c r="AE804" s="133">
        <v>0.975</v>
      </c>
      <c r="AF804" s="133">
        <v>1</v>
      </c>
      <c r="AG804" s="133">
        <v>1</v>
      </c>
      <c r="AH804" s="133">
        <v>0.976861167002012</v>
      </c>
      <c r="AI804" s="135">
        <v>0.92</v>
      </c>
      <c r="AJ804" s="133">
        <v>0.926031294452347</v>
      </c>
      <c r="AK804" s="133">
        <v>0.910471622701839</v>
      </c>
      <c r="AL804" s="133">
        <v>0.917483238782878</v>
      </c>
      <c r="AM804" s="133">
        <v>0.926113211252393</v>
      </c>
      <c r="AN804" s="132">
        <v>0.99</v>
      </c>
      <c r="AO804" s="137">
        <v>1</v>
      </c>
      <c r="AP804" s="137">
        <v>1</v>
      </c>
      <c r="AQ804" s="137">
        <v>1</v>
      </c>
      <c r="AR804" s="137">
        <v>1</v>
      </c>
      <c r="AS804" s="158">
        <v>0.0810595228934205</v>
      </c>
      <c r="AT804" s="141">
        <v>0</v>
      </c>
      <c r="AU804" s="141">
        <v>0.1</v>
      </c>
      <c r="AV804" s="141">
        <v>0.333333333333333</v>
      </c>
      <c r="AW804" s="141">
        <v>0.0793650793650794</v>
      </c>
      <c r="AX804" s="95"/>
      <c r="AY804" s="93"/>
    </row>
    <row r="805" ht="15" spans="1:51">
      <c r="A805" s="91"/>
      <c r="B805" s="95"/>
      <c r="C805" s="152" t="s">
        <v>668</v>
      </c>
      <c r="D805" s="153" t="s">
        <v>25</v>
      </c>
      <c r="E805" s="130" t="s">
        <v>669</v>
      </c>
      <c r="F805" s="179" t="s">
        <v>832</v>
      </c>
      <c r="G805" s="179" t="s">
        <v>832</v>
      </c>
      <c r="H805" s="179" t="s">
        <v>832</v>
      </c>
      <c r="I805" s="179" t="s">
        <v>832</v>
      </c>
      <c r="J805" s="132">
        <v>0.9</v>
      </c>
      <c r="K805" s="133">
        <v>0.8</v>
      </c>
      <c r="L805" s="133">
        <v>0.777777777777778</v>
      </c>
      <c r="M805" s="134">
        <v>0.777777777777778</v>
      </c>
      <c r="N805" s="133">
        <v>0.832369942196532</v>
      </c>
      <c r="O805" s="135">
        <v>0.9</v>
      </c>
      <c r="P805" s="133">
        <v>0.967465753424658</v>
      </c>
      <c r="Q805" s="133">
        <v>0.963592233009709</v>
      </c>
      <c r="R805" s="133">
        <v>0.967525195968645</v>
      </c>
      <c r="S805" s="133">
        <v>0.965628815628816</v>
      </c>
      <c r="T805" s="135">
        <v>0.9</v>
      </c>
      <c r="U805" s="133">
        <v>0.919520547945205</v>
      </c>
      <c r="V805" s="133">
        <v>0.956310679611651</v>
      </c>
      <c r="W805" s="133">
        <v>0.931690929451288</v>
      </c>
      <c r="X805" s="133">
        <v>0.926495726495727</v>
      </c>
      <c r="Y805" s="135">
        <v>0.92</v>
      </c>
      <c r="Z805" s="135">
        <v>0.932960893854749</v>
      </c>
      <c r="AA805" s="135">
        <v>0.943181818181818</v>
      </c>
      <c r="AB805" s="135">
        <v>0.921052631578947</v>
      </c>
      <c r="AC805" s="135">
        <v>0.941105527638191</v>
      </c>
      <c r="AD805" s="135">
        <v>0.92</v>
      </c>
      <c r="AE805" s="133">
        <v>1</v>
      </c>
      <c r="AF805" s="133">
        <v>0.994520547945206</v>
      </c>
      <c r="AG805" s="133">
        <v>0.996</v>
      </c>
      <c r="AH805" s="133">
        <v>0.981060606060606</v>
      </c>
      <c r="AI805" s="135">
        <v>0.92</v>
      </c>
      <c r="AJ805" s="133">
        <v>0.950196592398427</v>
      </c>
      <c r="AK805" s="133">
        <v>0.967503692762186</v>
      </c>
      <c r="AL805" s="133">
        <v>0.960840496657116</v>
      </c>
      <c r="AM805" s="133">
        <v>0.967421831117768</v>
      </c>
      <c r="AN805" s="132">
        <v>0.99</v>
      </c>
      <c r="AO805" s="137">
        <v>1</v>
      </c>
      <c r="AP805" s="137">
        <v>1</v>
      </c>
      <c r="AQ805" s="137">
        <v>1</v>
      </c>
      <c r="AR805" s="137">
        <v>1</v>
      </c>
      <c r="AS805" s="158">
        <v>0.0810595228934205</v>
      </c>
      <c r="AT805" s="141">
        <v>0</v>
      </c>
      <c r="AU805" s="141">
        <v>0</v>
      </c>
      <c r="AV805" s="141">
        <v>0</v>
      </c>
      <c r="AW805" s="141">
        <v>0.0208333333333333</v>
      </c>
      <c r="AX805" s="95"/>
      <c r="AY805" s="93"/>
    </row>
    <row r="806" ht="15" spans="1:51">
      <c r="A806" s="91"/>
      <c r="B806" s="95"/>
      <c r="C806" s="152" t="s">
        <v>668</v>
      </c>
      <c r="D806" s="153" t="s">
        <v>25</v>
      </c>
      <c r="E806" s="130" t="s">
        <v>669</v>
      </c>
      <c r="F806" s="179" t="s">
        <v>833</v>
      </c>
      <c r="G806" s="179" t="s">
        <v>833</v>
      </c>
      <c r="H806" s="179" t="s">
        <v>833</v>
      </c>
      <c r="I806" s="179" t="s">
        <v>833</v>
      </c>
      <c r="J806" s="132">
        <v>0.9</v>
      </c>
      <c r="K806" s="133">
        <v>0.863636363636364</v>
      </c>
      <c r="L806" s="133">
        <v>0.8125</v>
      </c>
      <c r="M806" s="134">
        <v>0.85</v>
      </c>
      <c r="N806" s="133">
        <v>0.805699481865285</v>
      </c>
      <c r="O806" s="135">
        <v>0.9</v>
      </c>
      <c r="P806" s="133">
        <v>0.965486725663717</v>
      </c>
      <c r="Q806" s="133">
        <v>0.922979797979798</v>
      </c>
      <c r="R806" s="133">
        <v>0.962362780972295</v>
      </c>
      <c r="S806" s="133">
        <v>0.953204341044107</v>
      </c>
      <c r="T806" s="135">
        <v>0.9</v>
      </c>
      <c r="U806" s="133">
        <v>0.898230088495575</v>
      </c>
      <c r="V806" s="133">
        <v>0.863636363636364</v>
      </c>
      <c r="W806" s="133">
        <v>0.922634605331939</v>
      </c>
      <c r="X806" s="133">
        <v>0.918555640370383</v>
      </c>
      <c r="Y806" s="135">
        <v>0.92</v>
      </c>
      <c r="Z806" s="135">
        <v>0.91183879093199</v>
      </c>
      <c r="AA806" s="135">
        <v>0.830396475770925</v>
      </c>
      <c r="AB806" s="135">
        <v>0.907859078590786</v>
      </c>
      <c r="AC806" s="135">
        <v>0.903333333333333</v>
      </c>
      <c r="AD806" s="135">
        <v>0.92</v>
      </c>
      <c r="AE806" s="133">
        <v>1</v>
      </c>
      <c r="AF806" s="133">
        <v>0.980392156862745</v>
      </c>
      <c r="AG806" s="133">
        <v>1</v>
      </c>
      <c r="AH806" s="133">
        <v>0.980338363054412</v>
      </c>
      <c r="AI806" s="135">
        <v>0.92</v>
      </c>
      <c r="AJ806" s="133">
        <v>0.935821872953504</v>
      </c>
      <c r="AK806" s="133">
        <v>0.885416666666667</v>
      </c>
      <c r="AL806" s="133">
        <v>0.949167397020158</v>
      </c>
      <c r="AM806" s="133">
        <v>0.94541767017366</v>
      </c>
      <c r="AN806" s="132">
        <v>0.99</v>
      </c>
      <c r="AO806" s="137">
        <v>1</v>
      </c>
      <c r="AP806" s="137">
        <v>1</v>
      </c>
      <c r="AQ806" s="137">
        <v>1</v>
      </c>
      <c r="AR806" s="137">
        <v>1</v>
      </c>
      <c r="AS806" s="158">
        <v>0.0810595228934205</v>
      </c>
      <c r="AT806" s="141">
        <v>0.1</v>
      </c>
      <c r="AU806" s="141">
        <v>0</v>
      </c>
      <c r="AV806" s="141">
        <v>0</v>
      </c>
      <c r="AW806" s="141">
        <v>0.0306748466257669</v>
      </c>
      <c r="AX806" s="95"/>
      <c r="AY806" s="93"/>
    </row>
    <row r="807" ht="15" spans="1:51">
      <c r="A807" s="91"/>
      <c r="B807" s="95"/>
      <c r="C807" s="152" t="s">
        <v>668</v>
      </c>
      <c r="D807" s="153" t="s">
        <v>25</v>
      </c>
      <c r="E807" s="130" t="s">
        <v>669</v>
      </c>
      <c r="F807" s="179" t="s">
        <v>834</v>
      </c>
      <c r="G807" s="179" t="s">
        <v>834</v>
      </c>
      <c r="H807" s="179" t="s">
        <v>834</v>
      </c>
      <c r="I807" s="179" t="s">
        <v>834</v>
      </c>
      <c r="J807" s="132">
        <v>0.9</v>
      </c>
      <c r="K807" s="133">
        <v>1</v>
      </c>
      <c r="L807" s="133">
        <v>1</v>
      </c>
      <c r="M807" s="134">
        <v>1</v>
      </c>
      <c r="N807" s="133">
        <v>0.982954545454545</v>
      </c>
      <c r="O807" s="135">
        <v>0.9</v>
      </c>
      <c r="P807" s="133">
        <v>0.761499148211244</v>
      </c>
      <c r="Q807" s="133">
        <v>0.929906542056075</v>
      </c>
      <c r="R807" s="133">
        <v>0.964730290456432</v>
      </c>
      <c r="S807" s="133">
        <v>0.940028901734104</v>
      </c>
      <c r="T807" s="135">
        <v>0.9</v>
      </c>
      <c r="U807" s="133">
        <v>0.923339011925043</v>
      </c>
      <c r="V807" s="133">
        <v>0.957943925233645</v>
      </c>
      <c r="W807" s="133">
        <v>0.963692946058091</v>
      </c>
      <c r="X807" s="133">
        <v>0.951089373054691</v>
      </c>
      <c r="Y807" s="135">
        <v>0.92</v>
      </c>
      <c r="Z807" s="135">
        <v>0.96875</v>
      </c>
      <c r="AA807" s="135">
        <v>0.951807228915663</v>
      </c>
      <c r="AB807" s="135">
        <v>0.990147783251232</v>
      </c>
      <c r="AC807" s="135">
        <v>0.972836841158482</v>
      </c>
      <c r="AD807" s="135">
        <v>0.92</v>
      </c>
      <c r="AE807" s="133">
        <v>1</v>
      </c>
      <c r="AF807" s="133">
        <v>1</v>
      </c>
      <c r="AG807" s="133">
        <v>1</v>
      </c>
      <c r="AH807" s="133">
        <v>0.96375</v>
      </c>
      <c r="AI807" s="135">
        <v>0.92</v>
      </c>
      <c r="AJ807" s="133">
        <v>0.948402948402948</v>
      </c>
      <c r="AK807" s="133">
        <v>0.97341211225997</v>
      </c>
      <c r="AL807" s="133">
        <v>0.984575835475578</v>
      </c>
      <c r="AM807" s="133">
        <v>0.977592938380581</v>
      </c>
      <c r="AN807" s="132">
        <v>0.99</v>
      </c>
      <c r="AO807" s="137">
        <v>1</v>
      </c>
      <c r="AP807" s="137">
        <v>1</v>
      </c>
      <c r="AQ807" s="137" t="s">
        <v>35</v>
      </c>
      <c r="AR807" s="137">
        <v>1</v>
      </c>
      <c r="AS807" s="158">
        <v>0.0810595228934205</v>
      </c>
      <c r="AT807" s="141">
        <v>0</v>
      </c>
      <c r="AU807" s="141" t="s">
        <v>35</v>
      </c>
      <c r="AV807" s="141">
        <v>0</v>
      </c>
      <c r="AW807" s="141">
        <v>0.0123456790123457</v>
      </c>
      <c r="AX807" s="95"/>
      <c r="AY807" s="93"/>
    </row>
    <row r="808" ht="15" spans="1:51">
      <c r="A808" s="91"/>
      <c r="B808" s="95"/>
      <c r="C808" s="152" t="s">
        <v>668</v>
      </c>
      <c r="D808" s="153" t="s">
        <v>25</v>
      </c>
      <c r="E808" s="130" t="s">
        <v>669</v>
      </c>
      <c r="F808" s="179" t="s">
        <v>835</v>
      </c>
      <c r="G808" s="179" t="s">
        <v>835</v>
      </c>
      <c r="H808" s="179" t="s">
        <v>835</v>
      </c>
      <c r="I808" s="179" t="s">
        <v>835</v>
      </c>
      <c r="J808" s="132">
        <v>0.9</v>
      </c>
      <c r="K808" s="133">
        <v>0.968253968253968</v>
      </c>
      <c r="L808" s="133">
        <v>0.91304347826087</v>
      </c>
      <c r="M808" s="134">
        <v>0.92</v>
      </c>
      <c r="N808" s="133">
        <v>0.954844778927563</v>
      </c>
      <c r="O808" s="135">
        <v>0.9</v>
      </c>
      <c r="P808" s="133">
        <v>0.970125786163522</v>
      </c>
      <c r="Q808" s="133">
        <v>0.977435332966428</v>
      </c>
      <c r="R808" s="133">
        <v>0.965123652504756</v>
      </c>
      <c r="S808" s="133">
        <v>0.969211884362944</v>
      </c>
      <c r="T808" s="135">
        <v>0.9</v>
      </c>
      <c r="U808" s="133">
        <v>0.951650943396226</v>
      </c>
      <c r="V808" s="133">
        <v>0.958723170060539</v>
      </c>
      <c r="W808" s="133">
        <v>0.950538998097654</v>
      </c>
      <c r="X808" s="133">
        <v>0.95375519815622</v>
      </c>
      <c r="Y808" s="135">
        <v>0.92</v>
      </c>
      <c r="Z808" s="135">
        <v>0.943469785575049</v>
      </c>
      <c r="AA808" s="135">
        <v>0.924259055982437</v>
      </c>
      <c r="AB808" s="135">
        <v>0.936532507739938</v>
      </c>
      <c r="AC808" s="135">
        <v>0.951194980602519</v>
      </c>
      <c r="AD808" s="135">
        <v>0.92</v>
      </c>
      <c r="AE808" s="133">
        <v>1</v>
      </c>
      <c r="AF808" s="133">
        <v>0.999034127495171</v>
      </c>
      <c r="AG808" s="133">
        <v>0.993957703927492</v>
      </c>
      <c r="AH808" s="133">
        <v>0.999248785984493</v>
      </c>
      <c r="AI808" s="135">
        <v>0.92</v>
      </c>
      <c r="AJ808" s="133">
        <v>0.959098701934852</v>
      </c>
      <c r="AK808" s="133">
        <v>0.959692194943203</v>
      </c>
      <c r="AL808" s="133">
        <v>0.963421052631579</v>
      </c>
      <c r="AM808" s="133">
        <v>0.976221679474196</v>
      </c>
      <c r="AN808" s="132">
        <v>0.99</v>
      </c>
      <c r="AO808" s="137">
        <v>1</v>
      </c>
      <c r="AP808" s="137">
        <v>1</v>
      </c>
      <c r="AQ808" s="137">
        <v>1</v>
      </c>
      <c r="AR808" s="137">
        <v>1</v>
      </c>
      <c r="AS808" s="158">
        <v>0.0810595228934205</v>
      </c>
      <c r="AT808" s="141">
        <v>0.02</v>
      </c>
      <c r="AU808" s="141">
        <v>0.0217391304347826</v>
      </c>
      <c r="AV808" s="141">
        <v>0.128205128205128</v>
      </c>
      <c r="AW808" s="141">
        <v>0.0290806754221388</v>
      </c>
      <c r="AX808" s="95"/>
      <c r="AY808" s="93"/>
    </row>
    <row r="809" ht="15" spans="1:51">
      <c r="A809" s="91"/>
      <c r="B809" s="95"/>
      <c r="C809" s="152" t="s">
        <v>668</v>
      </c>
      <c r="D809" s="153" t="s">
        <v>25</v>
      </c>
      <c r="E809" s="130" t="s">
        <v>669</v>
      </c>
      <c r="F809" s="179" t="s">
        <v>836</v>
      </c>
      <c r="G809" s="179" t="s">
        <v>836</v>
      </c>
      <c r="H809" s="179" t="s">
        <v>836</v>
      </c>
      <c r="I809" s="179" t="s">
        <v>836</v>
      </c>
      <c r="J809" s="132">
        <v>0.9</v>
      </c>
      <c r="K809" s="133">
        <v>0.964285714285714</v>
      </c>
      <c r="L809" s="133">
        <v>0.956521739130435</v>
      </c>
      <c r="M809" s="134">
        <v>0.958333333333333</v>
      </c>
      <c r="N809" s="133">
        <v>0.963265306122449</v>
      </c>
      <c r="O809" s="135">
        <v>0.9</v>
      </c>
      <c r="P809" s="133">
        <v>0.983798379837984</v>
      </c>
      <c r="Q809" s="133">
        <v>0.977242302543507</v>
      </c>
      <c r="R809" s="133">
        <v>0.976895306859206</v>
      </c>
      <c r="S809" s="133">
        <v>0.979650229190389</v>
      </c>
      <c r="T809" s="135">
        <v>0.9</v>
      </c>
      <c r="U809" s="133">
        <v>0.941494149414941</v>
      </c>
      <c r="V809" s="133">
        <v>0.933065595716198</v>
      </c>
      <c r="W809" s="133">
        <v>0.87870036101083</v>
      </c>
      <c r="X809" s="133">
        <v>0.924790517065195</v>
      </c>
      <c r="Y809" s="135">
        <v>0.92</v>
      </c>
      <c r="Z809" s="135">
        <v>0.962797619047619</v>
      </c>
      <c r="AA809" s="135">
        <v>0.934554973821989</v>
      </c>
      <c r="AB809" s="135">
        <v>0.880701754385965</v>
      </c>
      <c r="AC809" s="135">
        <v>0.938921516284036</v>
      </c>
      <c r="AD809" s="135">
        <v>0.92</v>
      </c>
      <c r="AE809" s="133">
        <v>0.998871331828442</v>
      </c>
      <c r="AF809" s="133">
        <v>0.998154981549816</v>
      </c>
      <c r="AG809" s="133">
        <v>0.998027613412229</v>
      </c>
      <c r="AH809" s="133">
        <v>0.999082448551579</v>
      </c>
      <c r="AI809" s="135">
        <v>0.92</v>
      </c>
      <c r="AJ809" s="133">
        <v>0.961883408071749</v>
      </c>
      <c r="AK809" s="133">
        <v>0.952212389380531</v>
      </c>
      <c r="AL809" s="133">
        <v>0.917365269461078</v>
      </c>
      <c r="AM809" s="133">
        <v>0.9595195525604</v>
      </c>
      <c r="AN809" s="132">
        <v>0.99</v>
      </c>
      <c r="AO809" s="137">
        <v>1</v>
      </c>
      <c r="AP809" s="137">
        <v>1</v>
      </c>
      <c r="AQ809" s="137">
        <v>1</v>
      </c>
      <c r="AR809" s="137">
        <v>1</v>
      </c>
      <c r="AS809" s="158">
        <v>0.0810595228934205</v>
      </c>
      <c r="AT809" s="141">
        <v>0.04</v>
      </c>
      <c r="AU809" s="141">
        <v>0</v>
      </c>
      <c r="AV809" s="141">
        <v>0</v>
      </c>
      <c r="AW809" s="141">
        <v>0.0233463035019455</v>
      </c>
      <c r="AX809" s="95"/>
      <c r="AY809" s="93"/>
    </row>
    <row r="810" ht="15" spans="1:51">
      <c r="A810" s="91"/>
      <c r="B810" s="95"/>
      <c r="C810" s="152" t="s">
        <v>668</v>
      </c>
      <c r="D810" s="153" t="s">
        <v>25</v>
      </c>
      <c r="E810" s="130" t="s">
        <v>669</v>
      </c>
      <c r="F810" s="179" t="s">
        <v>837</v>
      </c>
      <c r="G810" s="179" t="s">
        <v>837</v>
      </c>
      <c r="H810" s="179" t="s">
        <v>837</v>
      </c>
      <c r="I810" s="179" t="s">
        <v>837</v>
      </c>
      <c r="J810" s="132">
        <v>0.9</v>
      </c>
      <c r="K810" s="133">
        <v>1</v>
      </c>
      <c r="L810" s="133">
        <v>1</v>
      </c>
      <c r="M810" s="134">
        <v>0.851851851851852</v>
      </c>
      <c r="N810" s="133">
        <v>0.965909090909091</v>
      </c>
      <c r="O810" s="135">
        <v>0.9</v>
      </c>
      <c r="P810" s="133">
        <v>0.984215413184773</v>
      </c>
      <c r="Q810" s="133">
        <v>0.954787234042553</v>
      </c>
      <c r="R810" s="133">
        <v>0.936519258202568</v>
      </c>
      <c r="S810" s="133">
        <v>0.959784915805858</v>
      </c>
      <c r="T810" s="135">
        <v>0.9</v>
      </c>
      <c r="U810" s="133">
        <v>0.949860724233983</v>
      </c>
      <c r="V810" s="133">
        <v>0.924202127659574</v>
      </c>
      <c r="W810" s="133">
        <v>0.924393723252496</v>
      </c>
      <c r="X810" s="133">
        <v>0.927748691099476</v>
      </c>
      <c r="Y810" s="135">
        <v>0.92</v>
      </c>
      <c r="Z810" s="135">
        <v>0.936378466557912</v>
      </c>
      <c r="AA810" s="135">
        <v>0.930051813471503</v>
      </c>
      <c r="AB810" s="135">
        <v>0.944649446494465</v>
      </c>
      <c r="AC810" s="135">
        <v>0.938889474238752</v>
      </c>
      <c r="AD810" s="135">
        <v>0.92</v>
      </c>
      <c r="AE810" s="133">
        <v>1</v>
      </c>
      <c r="AF810" s="133">
        <v>0.993485342019544</v>
      </c>
      <c r="AG810" s="133">
        <v>0.993055555555556</v>
      </c>
      <c r="AH810" s="133">
        <v>0.990892043932494</v>
      </c>
      <c r="AI810" s="135">
        <v>0.92</v>
      </c>
      <c r="AJ810" s="133">
        <v>0.956804733727811</v>
      </c>
      <c r="AK810" s="133">
        <v>0.938542581211589</v>
      </c>
      <c r="AL810" s="133">
        <v>0.962940824865511</v>
      </c>
      <c r="AM810" s="133">
        <v>0.965670310060228</v>
      </c>
      <c r="AN810" s="132">
        <v>0.99</v>
      </c>
      <c r="AO810" s="137">
        <v>1</v>
      </c>
      <c r="AP810" s="137">
        <v>1</v>
      </c>
      <c r="AQ810" s="137">
        <v>1</v>
      </c>
      <c r="AR810" s="137">
        <v>1</v>
      </c>
      <c r="AS810" s="158">
        <v>0.0810595228934205</v>
      </c>
      <c r="AT810" s="141">
        <v>0</v>
      </c>
      <c r="AU810" s="141">
        <v>0</v>
      </c>
      <c r="AV810" s="141">
        <v>0</v>
      </c>
      <c r="AW810" s="141">
        <v>0.0413793103448276</v>
      </c>
      <c r="AX810" s="95"/>
      <c r="AY810" s="93"/>
    </row>
    <row r="811" ht="15" spans="1:51">
      <c r="A811" s="91"/>
      <c r="B811" s="95"/>
      <c r="C811" s="152" t="s">
        <v>668</v>
      </c>
      <c r="D811" s="153" t="s">
        <v>25</v>
      </c>
      <c r="E811" s="130" t="s">
        <v>669</v>
      </c>
      <c r="F811" s="179" t="s">
        <v>838</v>
      </c>
      <c r="G811" s="179" t="s">
        <v>838</v>
      </c>
      <c r="H811" s="179" t="s">
        <v>838</v>
      </c>
      <c r="I811" s="179" t="s">
        <v>838</v>
      </c>
      <c r="J811" s="132">
        <v>0.9</v>
      </c>
      <c r="K811" s="133">
        <v>0.941176470588235</v>
      </c>
      <c r="L811" s="133">
        <v>0.976744186046512</v>
      </c>
      <c r="M811" s="134">
        <v>0.956521739130435</v>
      </c>
      <c r="N811" s="133">
        <v>0.974416017797553</v>
      </c>
      <c r="O811" s="135">
        <v>0.9</v>
      </c>
      <c r="P811" s="133">
        <v>0.970996732026144</v>
      </c>
      <c r="Q811" s="133">
        <v>0.961212121212121</v>
      </c>
      <c r="R811" s="133">
        <v>0.975674775074975</v>
      </c>
      <c r="S811" s="133">
        <v>0.971296350535997</v>
      </c>
      <c r="T811" s="135">
        <v>0.9</v>
      </c>
      <c r="U811" s="133">
        <v>0.953022875816993</v>
      </c>
      <c r="V811" s="133">
        <v>0.941818181818182</v>
      </c>
      <c r="W811" s="133">
        <v>0.958680439853382</v>
      </c>
      <c r="X811" s="133">
        <v>0.954410989397223</v>
      </c>
      <c r="Y811" s="135">
        <v>0.92</v>
      </c>
      <c r="Z811" s="135">
        <v>0.945736434108527</v>
      </c>
      <c r="AA811" s="135">
        <v>0.950282485875706</v>
      </c>
      <c r="AB811" s="135">
        <v>0.938741721854305</v>
      </c>
      <c r="AC811" s="135">
        <v>0.963033275325634</v>
      </c>
      <c r="AD811" s="135">
        <v>0.92</v>
      </c>
      <c r="AE811" s="133">
        <v>0.999581414817915</v>
      </c>
      <c r="AF811" s="133">
        <v>0.999715343011671</v>
      </c>
      <c r="AG811" s="133">
        <v>0.999275362318841</v>
      </c>
      <c r="AH811" s="133">
        <v>0.999067529512691</v>
      </c>
      <c r="AI811" s="135">
        <v>0.92</v>
      </c>
      <c r="AJ811" s="133">
        <v>0.965965965965966</v>
      </c>
      <c r="AK811" s="133">
        <v>0.964905362776025</v>
      </c>
      <c r="AL811" s="133">
        <v>0.975873544093178</v>
      </c>
      <c r="AM811" s="133">
        <v>0.980173737651562</v>
      </c>
      <c r="AN811" s="132">
        <v>0.99</v>
      </c>
      <c r="AO811" s="137">
        <v>1</v>
      </c>
      <c r="AP811" s="137">
        <v>1</v>
      </c>
      <c r="AQ811" s="137">
        <v>1</v>
      </c>
      <c r="AR811" s="137">
        <v>1</v>
      </c>
      <c r="AS811" s="158">
        <v>0.0810595228934205</v>
      </c>
      <c r="AT811" s="141">
        <v>0.0454545454545455</v>
      </c>
      <c r="AU811" s="141">
        <v>0.0555555555555556</v>
      </c>
      <c r="AV811" s="141">
        <v>0</v>
      </c>
      <c r="AW811" s="141">
        <v>0.0106571936056838</v>
      </c>
      <c r="AX811" s="95"/>
      <c r="AY811" s="93"/>
    </row>
    <row r="812" ht="15" spans="1:51">
      <c r="A812" s="91"/>
      <c r="B812" s="95"/>
      <c r="C812" s="152" t="s">
        <v>668</v>
      </c>
      <c r="D812" s="153" t="s">
        <v>25</v>
      </c>
      <c r="E812" s="130" t="s">
        <v>669</v>
      </c>
      <c r="F812" s="179" t="s">
        <v>839</v>
      </c>
      <c r="G812" s="179" t="s">
        <v>839</v>
      </c>
      <c r="H812" s="179" t="s">
        <v>839</v>
      </c>
      <c r="I812" s="179" t="s">
        <v>839</v>
      </c>
      <c r="J812" s="132">
        <v>0.9</v>
      </c>
      <c r="K812" s="133">
        <v>1</v>
      </c>
      <c r="L812" s="133">
        <v>1</v>
      </c>
      <c r="M812" s="134">
        <v>0.954545454545455</v>
      </c>
      <c r="N812" s="133">
        <v>0.993865030674847</v>
      </c>
      <c r="O812" s="135">
        <v>0.9</v>
      </c>
      <c r="P812" s="133">
        <v>0.991458206223307</v>
      </c>
      <c r="Q812" s="133">
        <v>0.97540288379983</v>
      </c>
      <c r="R812" s="133">
        <v>0.985485485485486</v>
      </c>
      <c r="S812" s="133">
        <v>0.98097831410269</v>
      </c>
      <c r="T812" s="135">
        <v>0.9</v>
      </c>
      <c r="U812" s="133">
        <v>0.939597315436242</v>
      </c>
      <c r="V812" s="133">
        <v>0.923664122137405</v>
      </c>
      <c r="W812" s="133">
        <v>0.936936936936937</v>
      </c>
      <c r="X812" s="133">
        <v>0.939702626990812</v>
      </c>
      <c r="Y812" s="135">
        <v>0.92</v>
      </c>
      <c r="Z812" s="135">
        <v>0.944444444444444</v>
      </c>
      <c r="AA812" s="135">
        <v>0.922077922077922</v>
      </c>
      <c r="AB812" s="135">
        <v>0.939759036144578</v>
      </c>
      <c r="AC812" s="135">
        <v>0.937024891936205</v>
      </c>
      <c r="AD812" s="135">
        <v>0.92</v>
      </c>
      <c r="AE812" s="133">
        <v>0.997134670487106</v>
      </c>
      <c r="AF812" s="133">
        <v>0.998489425981873</v>
      </c>
      <c r="AG812" s="133">
        <v>1</v>
      </c>
      <c r="AH812" s="133">
        <v>0.996724113374163</v>
      </c>
      <c r="AI812" s="135">
        <v>0.92</v>
      </c>
      <c r="AJ812" s="133">
        <v>0.954055133839393</v>
      </c>
      <c r="AK812" s="133">
        <v>0.942374854481956</v>
      </c>
      <c r="AL812" s="133">
        <v>0.956917978458989</v>
      </c>
      <c r="AM812" s="133">
        <v>0.962368592427203</v>
      </c>
      <c r="AN812" s="132">
        <v>0.99</v>
      </c>
      <c r="AO812" s="137">
        <v>1</v>
      </c>
      <c r="AP812" s="137">
        <v>1</v>
      </c>
      <c r="AQ812" s="137">
        <v>1</v>
      </c>
      <c r="AR812" s="137">
        <v>1</v>
      </c>
      <c r="AS812" s="158">
        <v>0.0810595228934205</v>
      </c>
      <c r="AT812" s="141">
        <v>0.0588235294117647</v>
      </c>
      <c r="AU812" s="141">
        <v>0</v>
      </c>
      <c r="AV812" s="141">
        <v>0</v>
      </c>
      <c r="AW812" s="141">
        <v>0.0314569536423841</v>
      </c>
      <c r="AX812" s="95"/>
      <c r="AY812" s="93"/>
    </row>
    <row r="813" ht="15" spans="1:51">
      <c r="A813" s="91"/>
      <c r="B813" s="95"/>
      <c r="C813" s="152" t="s">
        <v>668</v>
      </c>
      <c r="D813" s="153" t="s">
        <v>25</v>
      </c>
      <c r="E813" s="130" t="s">
        <v>669</v>
      </c>
      <c r="F813" s="179" t="s">
        <v>840</v>
      </c>
      <c r="G813" s="179" t="s">
        <v>840</v>
      </c>
      <c r="H813" s="179" t="s">
        <v>840</v>
      </c>
      <c r="I813" s="179" t="s">
        <v>840</v>
      </c>
      <c r="J813" s="132">
        <v>0.9</v>
      </c>
      <c r="K813" s="133">
        <v>0.945945945945946</v>
      </c>
      <c r="L813" s="133">
        <v>0.9</v>
      </c>
      <c r="M813" s="134">
        <v>0.774193548387097</v>
      </c>
      <c r="N813" s="133">
        <v>0.904615384615385</v>
      </c>
      <c r="O813" s="135">
        <v>0.9</v>
      </c>
      <c r="P813" s="133">
        <v>0.941666666666667</v>
      </c>
      <c r="Q813" s="133">
        <v>0.962628089210368</v>
      </c>
      <c r="R813" s="133">
        <v>0.943156974202011</v>
      </c>
      <c r="S813" s="133">
        <v>0.947607768829938</v>
      </c>
      <c r="T813" s="135">
        <v>0.9</v>
      </c>
      <c r="U813" s="133">
        <v>0.9359375</v>
      </c>
      <c r="V813" s="133">
        <v>0.937914406268837</v>
      </c>
      <c r="W813" s="133">
        <v>0.90030607783122</v>
      </c>
      <c r="X813" s="133">
        <v>0.915528185693984</v>
      </c>
      <c r="Y813" s="135">
        <v>0.92</v>
      </c>
      <c r="Z813" s="135">
        <v>0.943872778297474</v>
      </c>
      <c r="AA813" s="135">
        <v>0.926724137931034</v>
      </c>
      <c r="AB813" s="135">
        <v>0.829383886255924</v>
      </c>
      <c r="AC813" s="135">
        <v>0.935294117647059</v>
      </c>
      <c r="AD813" s="135">
        <v>0.92</v>
      </c>
      <c r="AE813" s="133">
        <v>0.996499416569428</v>
      </c>
      <c r="AF813" s="133">
        <v>0.994971009348006</v>
      </c>
      <c r="AG813" s="133">
        <v>0.999705492563687</v>
      </c>
      <c r="AH813" s="133">
        <v>0.991069580077268</v>
      </c>
      <c r="AI813" s="135">
        <v>0.92</v>
      </c>
      <c r="AJ813" s="133">
        <v>0.956594323873122</v>
      </c>
      <c r="AK813" s="133">
        <v>0.957167090754877</v>
      </c>
      <c r="AL813" s="133">
        <v>0.916728076639646</v>
      </c>
      <c r="AM813" s="133">
        <v>0.9559148453362</v>
      </c>
      <c r="AN813" s="132">
        <v>0.99</v>
      </c>
      <c r="AO813" s="137">
        <v>1</v>
      </c>
      <c r="AP813" s="137">
        <v>1</v>
      </c>
      <c r="AQ813" s="137">
        <v>1</v>
      </c>
      <c r="AR813" s="137">
        <v>1</v>
      </c>
      <c r="AS813" s="158">
        <v>0.0810595228934205</v>
      </c>
      <c r="AT813" s="141">
        <v>0.0714285714285714</v>
      </c>
      <c r="AU813" s="141">
        <v>0.0714285714285714</v>
      </c>
      <c r="AV813" s="141">
        <v>0.0740740740740741</v>
      </c>
      <c r="AW813" s="141">
        <v>0.0357751277683135</v>
      </c>
      <c r="AX813" s="95"/>
      <c r="AY813" s="93"/>
    </row>
    <row r="814" ht="15" spans="1:51">
      <c r="A814" s="91"/>
      <c r="B814" s="95"/>
      <c r="C814" s="152" t="s">
        <v>668</v>
      </c>
      <c r="D814" s="153" t="s">
        <v>25</v>
      </c>
      <c r="E814" s="130" t="s">
        <v>669</v>
      </c>
      <c r="F814" s="179" t="s">
        <v>841</v>
      </c>
      <c r="G814" s="179" t="s">
        <v>841</v>
      </c>
      <c r="H814" s="179" t="s">
        <v>841</v>
      </c>
      <c r="I814" s="179" t="s">
        <v>841</v>
      </c>
      <c r="J814" s="132">
        <v>0.9</v>
      </c>
      <c r="K814" s="133">
        <v>0.846153846153846</v>
      </c>
      <c r="L814" s="133">
        <v>0.956521739130435</v>
      </c>
      <c r="M814" s="134">
        <v>0.869565217391304</v>
      </c>
      <c r="N814" s="133">
        <v>0.902542372881356</v>
      </c>
      <c r="O814" s="135">
        <v>0.9</v>
      </c>
      <c r="P814" s="133">
        <v>0.984709480122324</v>
      </c>
      <c r="Q814" s="133">
        <v>0.951428571428571</v>
      </c>
      <c r="R814" s="133">
        <v>0.973866256725596</v>
      </c>
      <c r="S814" s="133">
        <v>0.975299906731419</v>
      </c>
      <c r="T814" s="135">
        <v>0.9</v>
      </c>
      <c r="U814" s="133">
        <v>0.938837920489297</v>
      </c>
      <c r="V814" s="133">
        <v>0.944285714285714</v>
      </c>
      <c r="W814" s="133">
        <v>0.933128362797848</v>
      </c>
      <c r="X814" s="133">
        <v>0.940790531630914</v>
      </c>
      <c r="Y814" s="135">
        <v>0.92</v>
      </c>
      <c r="Z814" s="135">
        <v>0.922535211267606</v>
      </c>
      <c r="AA814" s="135">
        <v>0.957055214723926</v>
      </c>
      <c r="AB814" s="135">
        <v>0.908745247148289</v>
      </c>
      <c r="AC814" s="135">
        <v>0.947625610825711</v>
      </c>
      <c r="AD814" s="135">
        <v>0.92</v>
      </c>
      <c r="AE814" s="133">
        <v>0.998260869565217</v>
      </c>
      <c r="AF814" s="133">
        <v>0.998628257887517</v>
      </c>
      <c r="AG814" s="133">
        <v>0.997229916897507</v>
      </c>
      <c r="AH814" s="133">
        <v>0.996610865769744</v>
      </c>
      <c r="AI814" s="135">
        <v>0.92</v>
      </c>
      <c r="AJ814" s="133">
        <v>0.946451612903226</v>
      </c>
      <c r="AK814" s="133">
        <v>0.970760233918129</v>
      </c>
      <c r="AL814" s="133">
        <v>0.948242811501597</v>
      </c>
      <c r="AM814" s="133">
        <v>0.96653190727189</v>
      </c>
      <c r="AN814" s="132">
        <v>0.99</v>
      </c>
      <c r="AO814" s="137">
        <v>1</v>
      </c>
      <c r="AP814" s="137">
        <v>1</v>
      </c>
      <c r="AQ814" s="137">
        <v>1</v>
      </c>
      <c r="AR814" s="137">
        <v>1</v>
      </c>
      <c r="AS814" s="158">
        <v>0.0810595228934205</v>
      </c>
      <c r="AT814" s="141">
        <v>0</v>
      </c>
      <c r="AU814" s="141">
        <v>0.0769230769230769</v>
      </c>
      <c r="AV814" s="141">
        <v>0.0526315789473684</v>
      </c>
      <c r="AW814" s="141">
        <v>0.029126213592233</v>
      </c>
      <c r="AX814" s="95"/>
      <c r="AY814" s="93"/>
    </row>
    <row r="815" ht="15" spans="1:51">
      <c r="A815" s="91"/>
      <c r="B815" s="95"/>
      <c r="C815" s="152" t="s">
        <v>668</v>
      </c>
      <c r="D815" s="153" t="s">
        <v>25</v>
      </c>
      <c r="E815" s="130" t="s">
        <v>669</v>
      </c>
      <c r="F815" s="179" t="s">
        <v>842</v>
      </c>
      <c r="G815" s="179" t="s">
        <v>842</v>
      </c>
      <c r="H815" s="179" t="s">
        <v>842</v>
      </c>
      <c r="I815" s="179" t="s">
        <v>842</v>
      </c>
      <c r="J815" s="132">
        <v>0.9</v>
      </c>
      <c r="K815" s="133">
        <v>1</v>
      </c>
      <c r="L815" s="133">
        <v>0.909090909090909</v>
      </c>
      <c r="M815" s="134">
        <v>1</v>
      </c>
      <c r="N815" s="133">
        <v>0.929824561403509</v>
      </c>
      <c r="O815" s="135">
        <v>0.9</v>
      </c>
      <c r="P815" s="133">
        <v>0.966613672496025</v>
      </c>
      <c r="Q815" s="133">
        <v>0.974770642201835</v>
      </c>
      <c r="R815" s="133">
        <v>0.964646464646465</v>
      </c>
      <c r="S815" s="133">
        <v>0.946689503827009</v>
      </c>
      <c r="T815" s="135">
        <v>0.9</v>
      </c>
      <c r="U815" s="133">
        <v>0.934817170111288</v>
      </c>
      <c r="V815" s="133">
        <v>0.910550458715596</v>
      </c>
      <c r="W815" s="133">
        <v>0.936868686868687</v>
      </c>
      <c r="X815" s="133">
        <v>0.930310977894342</v>
      </c>
      <c r="Y815" s="135">
        <v>0.92</v>
      </c>
      <c r="Z815" s="135">
        <v>0.95</v>
      </c>
      <c r="AA815" s="135">
        <v>0.885714285714286</v>
      </c>
      <c r="AB815" s="135">
        <v>0.883211678832117</v>
      </c>
      <c r="AC815" s="135">
        <v>0.930078874440418</v>
      </c>
      <c r="AD815" s="135">
        <v>0.92</v>
      </c>
      <c r="AE815" s="133">
        <v>0.998751560549313</v>
      </c>
      <c r="AF815" s="133">
        <v>1</v>
      </c>
      <c r="AG815" s="133">
        <v>0.52605459057072</v>
      </c>
      <c r="AH815" s="133">
        <v>0.971324188322879</v>
      </c>
      <c r="AI815" s="135">
        <v>0.92</v>
      </c>
      <c r="AJ815" s="133">
        <v>0.947312961011591</v>
      </c>
      <c r="AK815" s="133">
        <v>0.91499227202473</v>
      </c>
      <c r="AL815" s="133">
        <v>0.936490850376749</v>
      </c>
      <c r="AM815" s="133">
        <v>0.954446484224907</v>
      </c>
      <c r="AN815" s="132">
        <v>0.99</v>
      </c>
      <c r="AO815" s="137">
        <v>1</v>
      </c>
      <c r="AP815" s="137">
        <v>1</v>
      </c>
      <c r="AQ815" s="137">
        <v>1</v>
      </c>
      <c r="AR815" s="137">
        <v>1</v>
      </c>
      <c r="AS815" s="158">
        <v>0.0810595228934205</v>
      </c>
      <c r="AT815" s="141">
        <v>0.176470588235294</v>
      </c>
      <c r="AU815" s="141">
        <v>0.111111111111111</v>
      </c>
      <c r="AV815" s="141">
        <v>0</v>
      </c>
      <c r="AW815" s="141">
        <v>0.0495495495495496</v>
      </c>
      <c r="AX815" s="95"/>
      <c r="AY815" s="93"/>
    </row>
    <row r="816" ht="15" spans="1:51">
      <c r="A816" s="91"/>
      <c r="B816" s="95"/>
      <c r="C816" s="152" t="s">
        <v>668</v>
      </c>
      <c r="D816" s="153" t="s">
        <v>25</v>
      </c>
      <c r="E816" s="130" t="s">
        <v>669</v>
      </c>
      <c r="F816" s="179" t="s">
        <v>843</v>
      </c>
      <c r="G816" s="179" t="s">
        <v>843</v>
      </c>
      <c r="H816" s="179" t="s">
        <v>843</v>
      </c>
      <c r="I816" s="179" t="s">
        <v>843</v>
      </c>
      <c r="J816" s="132">
        <v>0.9</v>
      </c>
      <c r="K816" s="133">
        <v>0.982456140350877</v>
      </c>
      <c r="L816" s="133">
        <v>0.958333333333333</v>
      </c>
      <c r="M816" s="134">
        <v>1</v>
      </c>
      <c r="N816" s="133">
        <v>0.961577350859454</v>
      </c>
      <c r="O816" s="135">
        <v>0.9</v>
      </c>
      <c r="P816" s="133">
        <v>0.985408560311284</v>
      </c>
      <c r="Q816" s="133">
        <v>0.983181499649615</v>
      </c>
      <c r="R816" s="133">
        <v>0.970992366412214</v>
      </c>
      <c r="S816" s="133">
        <v>0.979390821543963</v>
      </c>
      <c r="T816" s="135">
        <v>0.9</v>
      </c>
      <c r="U816" s="133">
        <v>0.945038910505837</v>
      </c>
      <c r="V816" s="133">
        <v>0.955851436580238</v>
      </c>
      <c r="W816" s="133">
        <v>0.914885496183206</v>
      </c>
      <c r="X816" s="133">
        <v>0.935239499356943</v>
      </c>
      <c r="Y816" s="135">
        <v>0.92</v>
      </c>
      <c r="Z816" s="135">
        <v>0.953405017921147</v>
      </c>
      <c r="AA816" s="135">
        <v>0.947001394700139</v>
      </c>
      <c r="AB816" s="135">
        <v>0.88045540796964</v>
      </c>
      <c r="AC816" s="135">
        <v>0.942306576121655</v>
      </c>
      <c r="AD816" s="135">
        <v>0.92</v>
      </c>
      <c r="AE816" s="133">
        <v>0.999425947187141</v>
      </c>
      <c r="AF816" s="133">
        <v>0.998218738867118</v>
      </c>
      <c r="AG816" s="133">
        <v>1</v>
      </c>
      <c r="AH816" s="133">
        <v>0.998283669295939</v>
      </c>
      <c r="AI816" s="135">
        <v>0.92</v>
      </c>
      <c r="AJ816" s="133">
        <v>0.960605105578317</v>
      </c>
      <c r="AK816" s="133">
        <v>0.962686567164179</v>
      </c>
      <c r="AL816" s="133">
        <v>0.927301587301587</v>
      </c>
      <c r="AM816" s="133">
        <v>0.96555427978814</v>
      </c>
      <c r="AN816" s="132">
        <v>0.99</v>
      </c>
      <c r="AO816" s="137">
        <v>1</v>
      </c>
      <c r="AP816" s="137">
        <v>1</v>
      </c>
      <c r="AQ816" s="137">
        <v>1</v>
      </c>
      <c r="AR816" s="137">
        <v>1</v>
      </c>
      <c r="AS816" s="158">
        <v>0.0810595228934205</v>
      </c>
      <c r="AT816" s="141">
        <v>0.037037037037037</v>
      </c>
      <c r="AU816" s="141">
        <v>0.0869565217391304</v>
      </c>
      <c r="AV816" s="141">
        <v>0.03125</v>
      </c>
      <c r="AW816" s="141">
        <v>0.0469135802469136</v>
      </c>
      <c r="AX816" s="95"/>
      <c r="AY816" s="93"/>
    </row>
    <row r="817" ht="15" spans="1:51">
      <c r="A817" s="91"/>
      <c r="B817" s="95"/>
      <c r="C817" s="152" t="s">
        <v>668</v>
      </c>
      <c r="D817" s="153" t="s">
        <v>25</v>
      </c>
      <c r="E817" s="130" t="s">
        <v>669</v>
      </c>
      <c r="F817" s="179" t="s">
        <v>844</v>
      </c>
      <c r="G817" s="179" t="s">
        <v>844</v>
      </c>
      <c r="H817" s="179" t="s">
        <v>844</v>
      </c>
      <c r="I817" s="179" t="s">
        <v>844</v>
      </c>
      <c r="J817" s="132">
        <v>0.9</v>
      </c>
      <c r="K817" s="133">
        <v>0.970588235294118</v>
      </c>
      <c r="L817" s="133">
        <v>0.966666666666667</v>
      </c>
      <c r="M817" s="134">
        <v>0.915254237288136</v>
      </c>
      <c r="N817" s="133">
        <v>0.95542472666106</v>
      </c>
      <c r="O817" s="135">
        <v>0.9</v>
      </c>
      <c r="P817" s="133">
        <v>0.978012684989429</v>
      </c>
      <c r="Q817" s="133">
        <v>0.955974842767296</v>
      </c>
      <c r="R817" s="133">
        <v>0.96915633504687</v>
      </c>
      <c r="S817" s="133">
        <v>0.973232323232323</v>
      </c>
      <c r="T817" s="135">
        <v>0.9</v>
      </c>
      <c r="U817" s="133">
        <v>0.935729386892178</v>
      </c>
      <c r="V817" s="133">
        <v>0.927387078330475</v>
      </c>
      <c r="W817" s="133">
        <v>0.91412156032658</v>
      </c>
      <c r="X817" s="133">
        <v>0.939987373737374</v>
      </c>
      <c r="Y817" s="135">
        <v>0.92</v>
      </c>
      <c r="Z817" s="135">
        <v>0.917337234820775</v>
      </c>
      <c r="AA817" s="135">
        <v>0.904</v>
      </c>
      <c r="AB817" s="135">
        <v>0.849498327759197</v>
      </c>
      <c r="AC817" s="135">
        <v>0.906928645294726</v>
      </c>
      <c r="AD817" s="135">
        <v>0.92</v>
      </c>
      <c r="AE817" s="133">
        <v>1</v>
      </c>
      <c r="AF817" s="133">
        <v>0.998461538461539</v>
      </c>
      <c r="AG817" s="133">
        <v>0.998800959232614</v>
      </c>
      <c r="AH817" s="133">
        <v>0.997466398887687</v>
      </c>
      <c r="AI817" s="135">
        <v>0.92</v>
      </c>
      <c r="AJ817" s="133">
        <v>0.939726761317975</v>
      </c>
      <c r="AK817" s="133">
        <v>0.940594059405941</v>
      </c>
      <c r="AL817" s="133">
        <v>0.927016645326505</v>
      </c>
      <c r="AM817" s="133">
        <v>0.953729288707133</v>
      </c>
      <c r="AN817" s="132">
        <v>0.99</v>
      </c>
      <c r="AO817" s="137">
        <v>1</v>
      </c>
      <c r="AP817" s="137">
        <v>1</v>
      </c>
      <c r="AQ817" s="137">
        <v>1</v>
      </c>
      <c r="AR817" s="137">
        <v>1</v>
      </c>
      <c r="AS817" s="158">
        <v>0.0810595228934205</v>
      </c>
      <c r="AT817" s="141">
        <v>0.0333333333333333</v>
      </c>
      <c r="AU817" s="141">
        <v>0.105263157894737</v>
      </c>
      <c r="AV817" s="141">
        <v>0</v>
      </c>
      <c r="AW817" s="141">
        <v>0.0343137254901961</v>
      </c>
      <c r="AX817" s="95"/>
      <c r="AY817" s="93"/>
    </row>
    <row r="818" ht="15" spans="1:51">
      <c r="A818" s="91"/>
      <c r="B818" s="95"/>
      <c r="C818" s="152" t="s">
        <v>668</v>
      </c>
      <c r="D818" s="153" t="s">
        <v>25</v>
      </c>
      <c r="E818" s="130" t="s">
        <v>669</v>
      </c>
      <c r="F818" s="179" t="s">
        <v>845</v>
      </c>
      <c r="G818" s="179" t="s">
        <v>845</v>
      </c>
      <c r="H818" s="179" t="s">
        <v>845</v>
      </c>
      <c r="I818" s="179" t="s">
        <v>845</v>
      </c>
      <c r="J818" s="132">
        <v>0.9</v>
      </c>
      <c r="K818" s="133">
        <v>0.884615384615385</v>
      </c>
      <c r="L818" s="133">
        <v>0.833333333333333</v>
      </c>
      <c r="M818" s="134">
        <v>0.96</v>
      </c>
      <c r="N818" s="133">
        <v>0.912681912681913</v>
      </c>
      <c r="O818" s="135">
        <v>0.9</v>
      </c>
      <c r="P818" s="133">
        <v>0.993284493284493</v>
      </c>
      <c r="Q818" s="133">
        <v>0.991549295774648</v>
      </c>
      <c r="R818" s="133">
        <v>0.986740804106074</v>
      </c>
      <c r="S818" s="133">
        <v>0.990250817884406</v>
      </c>
      <c r="T818" s="135">
        <v>0.9</v>
      </c>
      <c r="U818" s="133">
        <v>0.951159951159951</v>
      </c>
      <c r="V818" s="133">
        <v>0.96056338028169</v>
      </c>
      <c r="W818" s="133">
        <v>0.96535500427716</v>
      </c>
      <c r="X818" s="133">
        <v>0.966194111232279</v>
      </c>
      <c r="Y818" s="135">
        <v>0.92</v>
      </c>
      <c r="Z818" s="135">
        <v>0.93002915451895</v>
      </c>
      <c r="AA818" s="135">
        <v>0.94912559618442</v>
      </c>
      <c r="AB818" s="135">
        <v>0.933884297520661</v>
      </c>
      <c r="AC818" s="135">
        <v>0.949220779220779</v>
      </c>
      <c r="AD818" s="135">
        <v>0.92</v>
      </c>
      <c r="AE818" s="133">
        <v>0.998593035525853</v>
      </c>
      <c r="AF818" s="133">
        <v>0.997308813635344</v>
      </c>
      <c r="AG818" s="133">
        <v>0.995118733509235</v>
      </c>
      <c r="AH818" s="133">
        <v>0.994971983189914</v>
      </c>
      <c r="AI818" s="135">
        <v>0.92</v>
      </c>
      <c r="AJ818" s="133">
        <v>0.959139784946237</v>
      </c>
      <c r="AK818" s="133">
        <v>0.971091445427729</v>
      </c>
      <c r="AL818" s="133">
        <v>0.971457696228338</v>
      </c>
      <c r="AM818" s="133">
        <v>0.97749232878501</v>
      </c>
      <c r="AN818" s="132">
        <v>0.99</v>
      </c>
      <c r="AO818" s="137">
        <v>1</v>
      </c>
      <c r="AP818" s="137">
        <v>1</v>
      </c>
      <c r="AQ818" s="137">
        <v>1</v>
      </c>
      <c r="AR818" s="137">
        <v>1</v>
      </c>
      <c r="AS818" s="158">
        <v>0.0810595228934205</v>
      </c>
      <c r="AT818" s="141">
        <v>0.1</v>
      </c>
      <c r="AU818" s="141">
        <v>0.666666666666667</v>
      </c>
      <c r="AV818" s="141">
        <v>0</v>
      </c>
      <c r="AW818" s="141">
        <v>0.0597014925373134</v>
      </c>
      <c r="AX818" s="95"/>
      <c r="AY818" s="93"/>
    </row>
    <row r="819" ht="15" spans="1:51">
      <c r="A819" s="91"/>
      <c r="B819" s="95"/>
      <c r="C819" s="152" t="s">
        <v>668</v>
      </c>
      <c r="D819" s="153" t="s">
        <v>25</v>
      </c>
      <c r="E819" s="130" t="s">
        <v>669</v>
      </c>
      <c r="F819" s="179" t="s">
        <v>846</v>
      </c>
      <c r="G819" s="179" t="s">
        <v>846</v>
      </c>
      <c r="H819" s="179" t="s">
        <v>846</v>
      </c>
      <c r="I819" s="179" t="s">
        <v>846</v>
      </c>
      <c r="J819" s="132">
        <v>0.9</v>
      </c>
      <c r="K819" s="133">
        <v>0.925925925925926</v>
      </c>
      <c r="L819" s="133">
        <v>0.923076923076923</v>
      </c>
      <c r="M819" s="134">
        <v>0.925925925925926</v>
      </c>
      <c r="N819" s="133">
        <v>0.954813359528487</v>
      </c>
      <c r="O819" s="135">
        <v>0.9</v>
      </c>
      <c r="P819" s="133">
        <v>0.951762523191095</v>
      </c>
      <c r="Q819" s="133">
        <v>0.946866485013624</v>
      </c>
      <c r="R819" s="133">
        <v>0.957882069795427</v>
      </c>
      <c r="S819" s="133">
        <v>0.964285714285714</v>
      </c>
      <c r="T819" s="135">
        <v>0.9</v>
      </c>
      <c r="U819" s="133">
        <v>0.939703153988868</v>
      </c>
      <c r="V819" s="133">
        <v>0.94141689373297</v>
      </c>
      <c r="W819" s="133">
        <v>0.950661853188929</v>
      </c>
      <c r="X819" s="133">
        <v>0.950541826351262</v>
      </c>
      <c r="Y819" s="135">
        <v>0.92</v>
      </c>
      <c r="Z819" s="135">
        <v>0.920997920997921</v>
      </c>
      <c r="AA819" s="135">
        <v>0.915300546448087</v>
      </c>
      <c r="AB819" s="135">
        <v>0.924528301886792</v>
      </c>
      <c r="AC819" s="135">
        <v>0.928721942281264</v>
      </c>
      <c r="AD819" s="135">
        <v>0.92</v>
      </c>
      <c r="AE819" s="133">
        <v>0.999008919722498</v>
      </c>
      <c r="AF819" s="133">
        <v>0.998142989786444</v>
      </c>
      <c r="AG819" s="133">
        <v>0.994277539341917</v>
      </c>
      <c r="AH819" s="133">
        <v>0.996021642266073</v>
      </c>
      <c r="AI819" s="135">
        <v>0.92</v>
      </c>
      <c r="AJ819" s="133">
        <v>0.960872354073124</v>
      </c>
      <c r="AK819" s="133">
        <v>0.957272727272727</v>
      </c>
      <c r="AL819" s="133">
        <v>0.962131837307153</v>
      </c>
      <c r="AM819" s="133">
        <v>0.963698613505573</v>
      </c>
      <c r="AN819" s="132">
        <v>0.99</v>
      </c>
      <c r="AO819" s="137">
        <v>1</v>
      </c>
      <c r="AP819" s="137">
        <v>1</v>
      </c>
      <c r="AQ819" s="137">
        <v>1</v>
      </c>
      <c r="AR819" s="137">
        <v>1</v>
      </c>
      <c r="AS819" s="158">
        <v>0.0810595228934205</v>
      </c>
      <c r="AT819" s="141">
        <v>0</v>
      </c>
      <c r="AU819" s="141">
        <v>0</v>
      </c>
      <c r="AV819" s="141">
        <v>0</v>
      </c>
      <c r="AW819" s="141">
        <v>0.0380434782608696</v>
      </c>
      <c r="AX819" s="95"/>
      <c r="AY819" s="93"/>
    </row>
    <row r="820" ht="15" spans="1:51">
      <c r="A820" s="91"/>
      <c r="B820" s="95"/>
      <c r="C820" s="152" t="s">
        <v>668</v>
      </c>
      <c r="D820" s="153" t="s">
        <v>25</v>
      </c>
      <c r="E820" s="130" t="s">
        <v>669</v>
      </c>
      <c r="F820" s="179" t="s">
        <v>847</v>
      </c>
      <c r="G820" s="179" t="s">
        <v>847</v>
      </c>
      <c r="H820" s="179" t="s">
        <v>847</v>
      </c>
      <c r="I820" s="179" t="s">
        <v>847</v>
      </c>
      <c r="J820" s="132">
        <v>0.9</v>
      </c>
      <c r="K820" s="133">
        <v>1</v>
      </c>
      <c r="L820" s="133">
        <v>0.903225806451613</v>
      </c>
      <c r="M820" s="134">
        <v>1</v>
      </c>
      <c r="N820" s="133">
        <v>0.98041958041958</v>
      </c>
      <c r="O820" s="135">
        <v>0.9</v>
      </c>
      <c r="P820" s="133">
        <v>0.973711340206186</v>
      </c>
      <c r="Q820" s="133">
        <v>0.939577039274924</v>
      </c>
      <c r="R820" s="133">
        <v>0.958734525447043</v>
      </c>
      <c r="S820" s="133">
        <v>0.959182545240113</v>
      </c>
      <c r="T820" s="135">
        <v>0.9</v>
      </c>
      <c r="U820" s="133">
        <v>0.944329896907216</v>
      </c>
      <c r="V820" s="133">
        <v>0.907099697885196</v>
      </c>
      <c r="W820" s="133">
        <v>0.921939477303989</v>
      </c>
      <c r="X820" s="133">
        <v>0.935484465411123</v>
      </c>
      <c r="Y820" s="135">
        <v>0.92</v>
      </c>
      <c r="Z820" s="135">
        <v>0.902644230769231</v>
      </c>
      <c r="AA820" s="135">
        <v>0.889945652173913</v>
      </c>
      <c r="AB820" s="135">
        <v>0.89572864321608</v>
      </c>
      <c r="AC820" s="135">
        <v>0.915242863779487</v>
      </c>
      <c r="AD820" s="135">
        <v>0.92</v>
      </c>
      <c r="AE820" s="133">
        <v>0.999061326658323</v>
      </c>
      <c r="AF820" s="133">
        <v>0.994463168030814</v>
      </c>
      <c r="AG820" s="133">
        <v>0.991626794258373</v>
      </c>
      <c r="AH820" s="133">
        <v>0.987047452464603</v>
      </c>
      <c r="AI820" s="135">
        <v>0.92</v>
      </c>
      <c r="AJ820" s="133">
        <v>0.950937950937951</v>
      </c>
      <c r="AK820" s="133">
        <v>0.930097087378641</v>
      </c>
      <c r="AL820" s="133">
        <v>0.953023758099352</v>
      </c>
      <c r="AM820" s="133">
        <v>0.961788628926035</v>
      </c>
      <c r="AN820" s="132">
        <v>0.99</v>
      </c>
      <c r="AO820" s="137">
        <v>1</v>
      </c>
      <c r="AP820" s="137">
        <v>1</v>
      </c>
      <c r="AQ820" s="137">
        <v>1</v>
      </c>
      <c r="AR820" s="137">
        <v>1</v>
      </c>
      <c r="AS820" s="158">
        <v>0.0810595228934205</v>
      </c>
      <c r="AT820" s="141">
        <v>0.444444444444444</v>
      </c>
      <c r="AU820" s="141">
        <v>0</v>
      </c>
      <c r="AV820" s="141">
        <v>0.0833333333333333</v>
      </c>
      <c r="AW820" s="141">
        <v>0.0809716599190283</v>
      </c>
      <c r="AX820" s="95"/>
      <c r="AY820" s="93"/>
    </row>
    <row r="821" ht="15" spans="1:51">
      <c r="A821" s="91"/>
      <c r="B821" s="95"/>
      <c r="C821" s="152" t="s">
        <v>668</v>
      </c>
      <c r="D821" s="153" t="s">
        <v>25</v>
      </c>
      <c r="E821" s="130" t="s">
        <v>669</v>
      </c>
      <c r="F821" s="179" t="s">
        <v>848</v>
      </c>
      <c r="G821" s="179" t="s">
        <v>848</v>
      </c>
      <c r="H821" s="179" t="s">
        <v>848</v>
      </c>
      <c r="I821" s="179" t="s">
        <v>848</v>
      </c>
      <c r="J821" s="132">
        <v>0.9</v>
      </c>
      <c r="K821" s="133">
        <v>1</v>
      </c>
      <c r="L821" s="133">
        <v>0.966666666666667</v>
      </c>
      <c r="M821" s="134">
        <v>1</v>
      </c>
      <c r="N821" s="133">
        <v>0.96969696969697</v>
      </c>
      <c r="O821" s="135">
        <v>0.9</v>
      </c>
      <c r="P821" s="133">
        <v>0.992700729927007</v>
      </c>
      <c r="Q821" s="133">
        <v>0.994435612082671</v>
      </c>
      <c r="R821" s="133">
        <v>0.994204998189062</v>
      </c>
      <c r="S821" s="133">
        <v>0.993830197187718</v>
      </c>
      <c r="T821" s="135">
        <v>0.9</v>
      </c>
      <c r="U821" s="133">
        <v>0.967434025828186</v>
      </c>
      <c r="V821" s="133">
        <v>0.968203497615262</v>
      </c>
      <c r="W821" s="133">
        <v>0.968851865266208</v>
      </c>
      <c r="X821" s="133">
        <v>0.968290083220596</v>
      </c>
      <c r="Y821" s="135">
        <v>0.92</v>
      </c>
      <c r="Z821" s="135">
        <v>0.931989924433249</v>
      </c>
      <c r="AA821" s="135">
        <v>0.948640483383686</v>
      </c>
      <c r="AB821" s="135">
        <v>0.942544459644323</v>
      </c>
      <c r="AC821" s="135">
        <v>0.944809537656295</v>
      </c>
      <c r="AD821" s="135">
        <v>0.92</v>
      </c>
      <c r="AE821" s="133">
        <v>0.998084008843036</v>
      </c>
      <c r="AF821" s="133">
        <v>0.996995643683341</v>
      </c>
      <c r="AG821" s="133">
        <v>0.971128608923885</v>
      </c>
      <c r="AH821" s="133">
        <v>0.994527186318901</v>
      </c>
      <c r="AI821" s="135">
        <v>0.92</v>
      </c>
      <c r="AJ821" s="133">
        <v>0.967391304347826</v>
      </c>
      <c r="AK821" s="133">
        <v>0.969270833333333</v>
      </c>
      <c r="AL821" s="133">
        <v>0.974226804123711</v>
      </c>
      <c r="AM821" s="133">
        <v>0.975633410110316</v>
      </c>
      <c r="AN821" s="132">
        <v>0.99</v>
      </c>
      <c r="AO821" s="137">
        <v>1</v>
      </c>
      <c r="AP821" s="137">
        <v>1</v>
      </c>
      <c r="AQ821" s="137">
        <v>1</v>
      </c>
      <c r="AR821" s="137">
        <v>1</v>
      </c>
      <c r="AS821" s="158">
        <v>0.0810595228934205</v>
      </c>
      <c r="AT821" s="141">
        <v>0.25</v>
      </c>
      <c r="AU821" s="141">
        <v>0</v>
      </c>
      <c r="AV821" s="141">
        <v>0</v>
      </c>
      <c r="AW821" s="141">
        <v>0.0434782608695652</v>
      </c>
      <c r="AX821" s="95"/>
      <c r="AY821" s="93"/>
    </row>
    <row r="822" ht="15" spans="1:51">
      <c r="A822" s="91"/>
      <c r="B822" s="95"/>
      <c r="C822" s="152" t="s">
        <v>668</v>
      </c>
      <c r="D822" s="153" t="s">
        <v>25</v>
      </c>
      <c r="E822" s="130" t="s">
        <v>669</v>
      </c>
      <c r="F822" s="179" t="s">
        <v>849</v>
      </c>
      <c r="G822" s="179" t="s">
        <v>849</v>
      </c>
      <c r="H822" s="179" t="s">
        <v>849</v>
      </c>
      <c r="I822" s="179" t="s">
        <v>849</v>
      </c>
      <c r="J822" s="132">
        <v>0.9</v>
      </c>
      <c r="K822" s="133">
        <v>1</v>
      </c>
      <c r="L822" s="133">
        <v>0.96875</v>
      </c>
      <c r="M822" s="134">
        <v>1</v>
      </c>
      <c r="N822" s="133">
        <v>0.998641304347826</v>
      </c>
      <c r="O822" s="135">
        <v>0.9</v>
      </c>
      <c r="P822" s="133">
        <v>0.994708994708995</v>
      </c>
      <c r="Q822" s="133">
        <v>0.992274678111588</v>
      </c>
      <c r="R822" s="133">
        <v>0.991424310216257</v>
      </c>
      <c r="S822" s="133">
        <v>0.993989422945573</v>
      </c>
      <c r="T822" s="135">
        <v>0.9</v>
      </c>
      <c r="U822" s="133">
        <v>0.976484420928865</v>
      </c>
      <c r="V822" s="133">
        <v>0.967381974248927</v>
      </c>
      <c r="W822" s="133">
        <v>0.97800149142431</v>
      </c>
      <c r="X822" s="133">
        <v>0.979314247799699</v>
      </c>
      <c r="Y822" s="135">
        <v>0.92</v>
      </c>
      <c r="Z822" s="135">
        <v>0.92987012987013</v>
      </c>
      <c r="AA822" s="135">
        <v>0.929770992366412</v>
      </c>
      <c r="AB822" s="135">
        <v>0.931168831168831</v>
      </c>
      <c r="AC822" s="135">
        <v>0.937704741958004</v>
      </c>
      <c r="AD822" s="135">
        <v>0.92</v>
      </c>
      <c r="AE822" s="133">
        <v>1</v>
      </c>
      <c r="AF822" s="133">
        <v>0.993728222996516</v>
      </c>
      <c r="AG822" s="133">
        <v>0.998422712933754</v>
      </c>
      <c r="AH822" s="133">
        <v>0.996707049353606</v>
      </c>
      <c r="AI822" s="135">
        <v>0.92</v>
      </c>
      <c r="AJ822" s="133">
        <v>0.969647915823553</v>
      </c>
      <c r="AK822" s="133">
        <v>0.964835164835165</v>
      </c>
      <c r="AL822" s="133">
        <v>0.980011587485516</v>
      </c>
      <c r="AM822" s="133">
        <v>0.979245985171614</v>
      </c>
      <c r="AN822" s="132">
        <v>0.99</v>
      </c>
      <c r="AO822" s="137">
        <v>1</v>
      </c>
      <c r="AP822" s="137">
        <v>1</v>
      </c>
      <c r="AQ822" s="137">
        <v>1</v>
      </c>
      <c r="AR822" s="137">
        <v>1</v>
      </c>
      <c r="AS822" s="158">
        <v>0.0810595228934205</v>
      </c>
      <c r="AT822" s="141">
        <v>0</v>
      </c>
      <c r="AU822" s="141">
        <v>0</v>
      </c>
      <c r="AV822" s="141">
        <v>0</v>
      </c>
      <c r="AW822" s="141">
        <v>0.0166666666666667</v>
      </c>
      <c r="AX822" s="95"/>
      <c r="AY822" s="93"/>
    </row>
    <row r="823" ht="15" spans="1:51">
      <c r="A823" s="91"/>
      <c r="B823" s="95"/>
      <c r="C823" s="152" t="s">
        <v>668</v>
      </c>
      <c r="D823" s="153" t="s">
        <v>25</v>
      </c>
      <c r="E823" s="130" t="s">
        <v>669</v>
      </c>
      <c r="F823" s="179" t="s">
        <v>850</v>
      </c>
      <c r="G823" s="179" t="s">
        <v>850</v>
      </c>
      <c r="H823" s="179" t="s">
        <v>850</v>
      </c>
      <c r="I823" s="179" t="s">
        <v>850</v>
      </c>
      <c r="J823" s="132">
        <v>0.9</v>
      </c>
      <c r="K823" s="133">
        <v>0.9</v>
      </c>
      <c r="L823" s="133">
        <v>0.96551724137931</v>
      </c>
      <c r="M823" s="134">
        <v>0.875</v>
      </c>
      <c r="N823" s="133">
        <v>0.921458625525947</v>
      </c>
      <c r="O823" s="135">
        <v>0.9</v>
      </c>
      <c r="P823" s="133">
        <v>0.979951100244499</v>
      </c>
      <c r="Q823" s="133">
        <v>0.978336827393431</v>
      </c>
      <c r="R823" s="133">
        <v>0.976182489097618</v>
      </c>
      <c r="S823" s="133">
        <v>0.978036635248088</v>
      </c>
      <c r="T823" s="135">
        <v>0.9</v>
      </c>
      <c r="U823" s="133">
        <v>0.92958435207824</v>
      </c>
      <c r="V823" s="133">
        <v>0.930118798043326</v>
      </c>
      <c r="W823" s="133">
        <v>0.936262998993626</v>
      </c>
      <c r="X823" s="133">
        <v>0.923297172327939</v>
      </c>
      <c r="Y823" s="135">
        <v>0.92</v>
      </c>
      <c r="Z823" s="135">
        <v>0.939467312348668</v>
      </c>
      <c r="AA823" s="135">
        <v>0.945406125166445</v>
      </c>
      <c r="AB823" s="135">
        <v>0.921492921492922</v>
      </c>
      <c r="AC823" s="135">
        <v>0.945476116785309</v>
      </c>
      <c r="AD823" s="135">
        <v>0.92</v>
      </c>
      <c r="AE823" s="133">
        <v>0.999287072243346</v>
      </c>
      <c r="AF823" s="133">
        <v>0.997960571040109</v>
      </c>
      <c r="AG823" s="133">
        <v>0.996671105193076</v>
      </c>
      <c r="AH823" s="133">
        <v>0.995344017061925</v>
      </c>
      <c r="AI823" s="135">
        <v>0.92</v>
      </c>
      <c r="AJ823" s="133">
        <v>0.960989202368513</v>
      </c>
      <c r="AK823" s="133">
        <v>0.961044912923923</v>
      </c>
      <c r="AL823" s="133">
        <v>0.95718085106383</v>
      </c>
      <c r="AM823" s="133">
        <v>0.966664022003597</v>
      </c>
      <c r="AN823" s="132">
        <v>0.99</v>
      </c>
      <c r="AO823" s="137">
        <v>1</v>
      </c>
      <c r="AP823" s="137">
        <v>1</v>
      </c>
      <c r="AQ823" s="137">
        <v>1</v>
      </c>
      <c r="AR823" s="137">
        <v>1</v>
      </c>
      <c r="AS823" s="158">
        <v>0.0810595228934205</v>
      </c>
      <c r="AT823" s="141">
        <v>0.111111111111111</v>
      </c>
      <c r="AU823" s="141">
        <v>0</v>
      </c>
      <c r="AV823" s="141">
        <v>0.0909090909090909</v>
      </c>
      <c r="AW823" s="141">
        <v>0.0396039603960396</v>
      </c>
      <c r="AX823" s="95"/>
      <c r="AY823" s="93"/>
    </row>
    <row r="824" ht="15" spans="1:51">
      <c r="A824" s="91"/>
      <c r="B824" s="95"/>
      <c r="C824" s="152" t="s">
        <v>668</v>
      </c>
      <c r="D824" s="153" t="s">
        <v>25</v>
      </c>
      <c r="E824" s="130" t="s">
        <v>669</v>
      </c>
      <c r="F824" s="179" t="s">
        <v>851</v>
      </c>
      <c r="G824" s="179" t="s">
        <v>851</v>
      </c>
      <c r="H824" s="179" t="s">
        <v>851</v>
      </c>
      <c r="I824" s="179" t="s">
        <v>851</v>
      </c>
      <c r="J824" s="132">
        <v>0.9</v>
      </c>
      <c r="K824" s="133">
        <v>1</v>
      </c>
      <c r="L824" s="133">
        <v>0.96551724137931</v>
      </c>
      <c r="M824" s="134">
        <v>1</v>
      </c>
      <c r="N824" s="133">
        <v>0.982698961937716</v>
      </c>
      <c r="O824" s="135">
        <v>0.9</v>
      </c>
      <c r="P824" s="133">
        <v>0.938117524700988</v>
      </c>
      <c r="Q824" s="133">
        <v>0.908713692946058</v>
      </c>
      <c r="R824" s="133">
        <v>0.956412103746398</v>
      </c>
      <c r="S824" s="133">
        <v>0.941374301008935</v>
      </c>
      <c r="T824" s="135">
        <v>0.9</v>
      </c>
      <c r="U824" s="133">
        <v>0.937077483099324</v>
      </c>
      <c r="V824" s="133">
        <v>0.938589211618257</v>
      </c>
      <c r="W824" s="133">
        <v>0.953170028818444</v>
      </c>
      <c r="X824" s="133">
        <v>0.939722592585222</v>
      </c>
      <c r="Y824" s="135">
        <v>0.92</v>
      </c>
      <c r="Z824" s="135">
        <v>0.922711058263971</v>
      </c>
      <c r="AA824" s="135">
        <v>0.873219373219373</v>
      </c>
      <c r="AB824" s="135">
        <v>0.849862258953168</v>
      </c>
      <c r="AC824" s="135">
        <v>0.876240121069447</v>
      </c>
      <c r="AD824" s="135">
        <v>0.92</v>
      </c>
      <c r="AE824" s="133">
        <v>0.998420221169036</v>
      </c>
      <c r="AF824" s="133">
        <v>0.996536796536796</v>
      </c>
      <c r="AG824" s="133">
        <v>0.970817120622568</v>
      </c>
      <c r="AH824" s="133">
        <v>0.990199943677837</v>
      </c>
      <c r="AI824" s="135">
        <v>0.92</v>
      </c>
      <c r="AJ824" s="133">
        <v>0.950452079566004</v>
      </c>
      <c r="AK824" s="133">
        <v>0.931305715783954</v>
      </c>
      <c r="AL824" s="133">
        <v>0.950314106225014</v>
      </c>
      <c r="AM824" s="133">
        <v>0.947954298469762</v>
      </c>
      <c r="AN824" s="132">
        <v>0.99</v>
      </c>
      <c r="AO824" s="137">
        <v>1</v>
      </c>
      <c r="AP824" s="137">
        <v>1</v>
      </c>
      <c r="AQ824" s="137">
        <v>1</v>
      </c>
      <c r="AR824" s="137">
        <v>1</v>
      </c>
      <c r="AS824" s="158">
        <v>0.0810595228934205</v>
      </c>
      <c r="AT824" s="141">
        <v>0</v>
      </c>
      <c r="AU824" s="141">
        <v>0</v>
      </c>
      <c r="AV824" s="141">
        <v>0</v>
      </c>
      <c r="AW824" s="141">
        <v>0.040133779264214</v>
      </c>
      <c r="AX824" s="95"/>
      <c r="AY824" s="93"/>
    </row>
    <row r="825" ht="15" spans="1:51">
      <c r="A825" s="91"/>
      <c r="B825" s="95"/>
      <c r="C825" s="152" t="s">
        <v>668</v>
      </c>
      <c r="D825" s="153" t="s">
        <v>25</v>
      </c>
      <c r="E825" s="130" t="s">
        <v>669</v>
      </c>
      <c r="F825" s="179" t="s">
        <v>852</v>
      </c>
      <c r="G825" s="179" t="s">
        <v>852</v>
      </c>
      <c r="H825" s="179" t="s">
        <v>852</v>
      </c>
      <c r="I825" s="179" t="s">
        <v>852</v>
      </c>
      <c r="J825" s="132">
        <v>0.9</v>
      </c>
      <c r="K825" s="133">
        <v>0.958333333333333</v>
      </c>
      <c r="L825" s="133">
        <v>0.823529411764706</v>
      </c>
      <c r="M825" s="134">
        <v>1</v>
      </c>
      <c r="N825" s="133">
        <v>0.880299251870324</v>
      </c>
      <c r="O825" s="135">
        <v>0.9</v>
      </c>
      <c r="P825" s="133">
        <v>0.970119521912351</v>
      </c>
      <c r="Q825" s="133">
        <v>0.975218658892128</v>
      </c>
      <c r="R825" s="133">
        <v>0.951799485861183</v>
      </c>
      <c r="S825" s="133">
        <v>0.944293141866799</v>
      </c>
      <c r="T825" s="135">
        <v>0.9</v>
      </c>
      <c r="U825" s="133">
        <v>0.920318725099602</v>
      </c>
      <c r="V825" s="133">
        <v>0.943148688046647</v>
      </c>
      <c r="W825" s="133">
        <v>0.937017994858612</v>
      </c>
      <c r="X825" s="133">
        <v>0.938492554734199</v>
      </c>
      <c r="Y825" s="135">
        <v>0.92</v>
      </c>
      <c r="Z825" s="135">
        <v>0.908315565031983</v>
      </c>
      <c r="AA825" s="135">
        <v>0.902887139107612</v>
      </c>
      <c r="AB825" s="135">
        <v>0.873417721518987</v>
      </c>
      <c r="AC825" s="135">
        <v>0.926031434184676</v>
      </c>
      <c r="AD825" s="135">
        <v>0.92</v>
      </c>
      <c r="AE825" s="133">
        <v>0.986111111111111</v>
      </c>
      <c r="AF825" s="133">
        <v>0.988235294117647</v>
      </c>
      <c r="AG825" s="133">
        <v>1</v>
      </c>
      <c r="AH825" s="133">
        <v>0.989358467619337</v>
      </c>
      <c r="AI825" s="135">
        <v>0.92</v>
      </c>
      <c r="AJ825" s="133">
        <v>0.947725729803123</v>
      </c>
      <c r="AK825" s="133">
        <v>0.951265229615745</v>
      </c>
      <c r="AL825" s="133">
        <v>0.952332137365454</v>
      </c>
      <c r="AM825" s="133">
        <v>0.963513900085819</v>
      </c>
      <c r="AN825" s="132">
        <v>0.99</v>
      </c>
      <c r="AO825" s="137">
        <v>1</v>
      </c>
      <c r="AP825" s="137">
        <v>1</v>
      </c>
      <c r="AQ825" s="137">
        <v>1</v>
      </c>
      <c r="AR825" s="137">
        <v>1</v>
      </c>
      <c r="AS825" s="158">
        <v>0.0810595228934205</v>
      </c>
      <c r="AT825" s="141">
        <v>0</v>
      </c>
      <c r="AU825" s="141">
        <v>0</v>
      </c>
      <c r="AV825" s="141">
        <v>0</v>
      </c>
      <c r="AW825" s="141">
        <v>0.0413793103448276</v>
      </c>
      <c r="AX825" s="95"/>
      <c r="AY825" s="93"/>
    </row>
    <row r="826" ht="15" spans="1:51">
      <c r="A826" s="91"/>
      <c r="B826" s="95"/>
      <c r="C826" s="152" t="s">
        <v>668</v>
      </c>
      <c r="D826" s="153" t="s">
        <v>25</v>
      </c>
      <c r="E826" s="130" t="s">
        <v>669</v>
      </c>
      <c r="F826" s="179" t="s">
        <v>853</v>
      </c>
      <c r="G826" s="179" t="s">
        <v>853</v>
      </c>
      <c r="H826" s="179" t="s">
        <v>853</v>
      </c>
      <c r="I826" s="179" t="s">
        <v>853</v>
      </c>
      <c r="J826" s="132">
        <v>0.9</v>
      </c>
      <c r="K826" s="133">
        <v>0.903225806451613</v>
      </c>
      <c r="L826" s="133">
        <v>0.923076923076923</v>
      </c>
      <c r="M826" s="134">
        <v>0.862068965517241</v>
      </c>
      <c r="N826" s="133">
        <v>0.918032786885246</v>
      </c>
      <c r="O826" s="135">
        <v>0.9</v>
      </c>
      <c r="P826" s="133">
        <v>0.944095477386935</v>
      </c>
      <c r="Q826" s="133">
        <v>0.935543278084715</v>
      </c>
      <c r="R826" s="133">
        <v>0.919878735383283</v>
      </c>
      <c r="S826" s="133">
        <v>0.910837988826816</v>
      </c>
      <c r="T826" s="135">
        <v>0.9</v>
      </c>
      <c r="U826" s="133">
        <v>0.923366834170854</v>
      </c>
      <c r="V826" s="133">
        <v>0.926335174953959</v>
      </c>
      <c r="W826" s="133">
        <v>0.927674317886531</v>
      </c>
      <c r="X826" s="133">
        <v>0.920720049658597</v>
      </c>
      <c r="Y826" s="135">
        <v>0.92</v>
      </c>
      <c r="Z826" s="135">
        <v>0.925531914893617</v>
      </c>
      <c r="AA826" s="135">
        <v>0.897654584221748</v>
      </c>
      <c r="AB826" s="135">
        <v>0.931686046511628</v>
      </c>
      <c r="AC826" s="135">
        <v>0.91579351582643</v>
      </c>
      <c r="AD826" s="135">
        <v>0.92</v>
      </c>
      <c r="AE826" s="133">
        <v>0.980323567993004</v>
      </c>
      <c r="AF826" s="133">
        <v>0.992957746478873</v>
      </c>
      <c r="AG826" s="133">
        <v>0.98088813940416</v>
      </c>
      <c r="AH826" s="133">
        <v>0.986275864140064</v>
      </c>
      <c r="AI826" s="135">
        <v>0.92</v>
      </c>
      <c r="AJ826" s="133">
        <v>0.940941385435169</v>
      </c>
      <c r="AK826" s="133">
        <v>0.951830443159923</v>
      </c>
      <c r="AL826" s="133">
        <v>0.963382157123835</v>
      </c>
      <c r="AM826" s="133">
        <v>0.957226735850345</v>
      </c>
      <c r="AN826" s="132">
        <v>0.99</v>
      </c>
      <c r="AO826" s="137">
        <v>1</v>
      </c>
      <c r="AP826" s="137">
        <v>1</v>
      </c>
      <c r="AQ826" s="137">
        <v>1</v>
      </c>
      <c r="AR826" s="137">
        <v>1</v>
      </c>
      <c r="AS826" s="158">
        <v>0.0810595228934205</v>
      </c>
      <c r="AT826" s="141">
        <v>0.0769230769230769</v>
      </c>
      <c r="AU826" s="141">
        <v>0.111111111111111</v>
      </c>
      <c r="AV826" s="141">
        <v>0.153846153846154</v>
      </c>
      <c r="AW826" s="141">
        <v>0.0495867768595041</v>
      </c>
      <c r="AX826" s="95"/>
      <c r="AY826" s="93"/>
    </row>
    <row r="827" ht="15" spans="1:51">
      <c r="A827" s="91"/>
      <c r="B827" s="95"/>
      <c r="C827" s="152" t="s">
        <v>668</v>
      </c>
      <c r="D827" s="153" t="s">
        <v>25</v>
      </c>
      <c r="E827" s="130" t="s">
        <v>669</v>
      </c>
      <c r="F827" s="179" t="s">
        <v>854</v>
      </c>
      <c r="G827" s="179" t="s">
        <v>854</v>
      </c>
      <c r="H827" s="179" t="s">
        <v>854</v>
      </c>
      <c r="I827" s="179" t="s">
        <v>854</v>
      </c>
      <c r="J827" s="132">
        <v>0.9</v>
      </c>
      <c r="K827" s="133">
        <v>0.84</v>
      </c>
      <c r="L827" s="133">
        <v>0.842105263157895</v>
      </c>
      <c r="M827" s="134">
        <v>0.769230769230769</v>
      </c>
      <c r="N827" s="133">
        <v>0.852320675105485</v>
      </c>
      <c r="O827" s="135">
        <v>0.9</v>
      </c>
      <c r="P827" s="133">
        <v>0.963249516441006</v>
      </c>
      <c r="Q827" s="133">
        <v>0.953360768175583</v>
      </c>
      <c r="R827" s="133">
        <v>0.936092513694461</v>
      </c>
      <c r="S827" s="133">
        <v>0.909497324697268</v>
      </c>
      <c r="T827" s="135">
        <v>0.9</v>
      </c>
      <c r="U827" s="133">
        <v>0.91779497098646</v>
      </c>
      <c r="V827" s="133">
        <v>0.919067215363512</v>
      </c>
      <c r="W827" s="133">
        <v>0.902008520998174</v>
      </c>
      <c r="X827" s="133">
        <v>0.91266544635314</v>
      </c>
      <c r="Y827" s="135">
        <v>0.92</v>
      </c>
      <c r="Z827" s="135">
        <v>0.820375335120643</v>
      </c>
      <c r="AA827" s="135">
        <v>0.856338028169014</v>
      </c>
      <c r="AB827" s="135">
        <v>0.846</v>
      </c>
      <c r="AC827" s="135">
        <v>0.897089967840615</v>
      </c>
      <c r="AD827" s="135">
        <v>0.92</v>
      </c>
      <c r="AE827" s="133">
        <v>0.982608695652174</v>
      </c>
      <c r="AF827" s="133">
        <v>0.985342019543974</v>
      </c>
      <c r="AG827" s="133">
        <v>0.983471074380165</v>
      </c>
      <c r="AH827" s="133">
        <v>0.983623214392445</v>
      </c>
      <c r="AI827" s="135">
        <v>0.92</v>
      </c>
      <c r="AJ827" s="133">
        <v>0.921108742004264</v>
      </c>
      <c r="AK827" s="133">
        <v>0.916129032258065</v>
      </c>
      <c r="AL827" s="133">
        <v>0.92910447761194</v>
      </c>
      <c r="AM827" s="133">
        <v>0.949298237093876</v>
      </c>
      <c r="AN827" s="132">
        <v>0.99</v>
      </c>
      <c r="AO827" s="137">
        <v>1</v>
      </c>
      <c r="AP827" s="137">
        <v>1</v>
      </c>
      <c r="AQ827" s="137">
        <v>1</v>
      </c>
      <c r="AR827" s="137">
        <v>1</v>
      </c>
      <c r="AS827" s="158">
        <v>0.0810595228934205</v>
      </c>
      <c r="AT827" s="141">
        <v>0.0666666666666667</v>
      </c>
      <c r="AU827" s="141">
        <v>0</v>
      </c>
      <c r="AV827" s="141">
        <v>0</v>
      </c>
      <c r="AW827" s="141">
        <v>0.0503875968992248</v>
      </c>
      <c r="AX827" s="95"/>
      <c r="AY827" s="93"/>
    </row>
    <row r="828" ht="15" spans="1:51">
      <c r="A828" s="91"/>
      <c r="B828" s="95"/>
      <c r="C828" s="152" t="s">
        <v>668</v>
      </c>
      <c r="D828" s="153" t="s">
        <v>25</v>
      </c>
      <c r="E828" s="130" t="s">
        <v>669</v>
      </c>
      <c r="F828" s="179" t="s">
        <v>855</v>
      </c>
      <c r="G828" s="179" t="s">
        <v>855</v>
      </c>
      <c r="H828" s="179" t="s">
        <v>855</v>
      </c>
      <c r="I828" s="179" t="s">
        <v>855</v>
      </c>
      <c r="J828" s="132">
        <v>0.9</v>
      </c>
      <c r="K828" s="133">
        <v>1</v>
      </c>
      <c r="L828" s="133">
        <v>1</v>
      </c>
      <c r="M828" s="134">
        <v>1</v>
      </c>
      <c r="N828" s="133">
        <v>0.971223021582734</v>
      </c>
      <c r="O828" s="135">
        <v>0.9</v>
      </c>
      <c r="P828" s="133">
        <v>0.949286846275753</v>
      </c>
      <c r="Q828" s="133">
        <v>0.936344969199179</v>
      </c>
      <c r="R828" s="133">
        <v>0.843971631205674</v>
      </c>
      <c r="S828" s="133">
        <v>0.925000782546092</v>
      </c>
      <c r="T828" s="135">
        <v>0.9</v>
      </c>
      <c r="U828" s="133">
        <v>0.900158478605388</v>
      </c>
      <c r="V828" s="133">
        <v>0.897330595482546</v>
      </c>
      <c r="W828" s="133">
        <v>0.905619203491544</v>
      </c>
      <c r="X828" s="133">
        <v>0.912260932168905</v>
      </c>
      <c r="Y828" s="135">
        <v>0.92</v>
      </c>
      <c r="Z828" s="135">
        <v>0.849137931034483</v>
      </c>
      <c r="AA828" s="135">
        <v>0.691489361702128</v>
      </c>
      <c r="AB828" s="135">
        <v>0.839527027027027</v>
      </c>
      <c r="AC828" s="135">
        <v>0.825760211537123</v>
      </c>
      <c r="AD828" s="135">
        <v>0.92</v>
      </c>
      <c r="AE828" s="133">
        <v>0.978208232445521</v>
      </c>
      <c r="AF828" s="133">
        <v>0.980645161290323</v>
      </c>
      <c r="AG828" s="133">
        <v>0.969899665551839</v>
      </c>
      <c r="AH828" s="133">
        <v>0.96628322094407</v>
      </c>
      <c r="AI828" s="135">
        <v>0.92</v>
      </c>
      <c r="AJ828" s="133">
        <v>0.923076923076923</v>
      </c>
      <c r="AK828" s="133">
        <v>0.873427091043671</v>
      </c>
      <c r="AL828" s="133">
        <v>0.931360460337032</v>
      </c>
      <c r="AM828" s="133">
        <v>0.91969906010175</v>
      </c>
      <c r="AN828" s="132">
        <v>0.99</v>
      </c>
      <c r="AO828" s="137">
        <v>1</v>
      </c>
      <c r="AP828" s="137">
        <v>1</v>
      </c>
      <c r="AQ828" s="137">
        <v>1</v>
      </c>
      <c r="AR828" s="137">
        <v>1</v>
      </c>
      <c r="AS828" s="158">
        <v>0.0810595228934205</v>
      </c>
      <c r="AT828" s="141">
        <v>0.125</v>
      </c>
      <c r="AU828" s="141">
        <v>0.2</v>
      </c>
      <c r="AV828" s="141">
        <v>0</v>
      </c>
      <c r="AW828" s="141">
        <v>0.0843373493975904</v>
      </c>
      <c r="AX828" s="95"/>
      <c r="AY828" s="93"/>
    </row>
    <row r="829" ht="15" spans="1:51">
      <c r="A829" s="91"/>
      <c r="B829" s="95"/>
      <c r="C829" s="152" t="s">
        <v>668</v>
      </c>
      <c r="D829" s="153" t="s">
        <v>25</v>
      </c>
      <c r="E829" s="130" t="s">
        <v>669</v>
      </c>
      <c r="F829" s="179" t="s">
        <v>856</v>
      </c>
      <c r="G829" s="179" t="s">
        <v>856</v>
      </c>
      <c r="H829" s="179" t="s">
        <v>856</v>
      </c>
      <c r="I829" s="179" t="s">
        <v>856</v>
      </c>
      <c r="J829" s="132">
        <v>0.9</v>
      </c>
      <c r="K829" s="133">
        <v>0.954545454545455</v>
      </c>
      <c r="L829" s="133">
        <v>0.861111111111111</v>
      </c>
      <c r="M829" s="134">
        <v>0.976190476190476</v>
      </c>
      <c r="N829" s="133">
        <v>0.927184466019418</v>
      </c>
      <c r="O829" s="135">
        <v>0.9</v>
      </c>
      <c r="P829" s="133">
        <v>0.941658137154555</v>
      </c>
      <c r="Q829" s="133">
        <v>0.910229645093946</v>
      </c>
      <c r="R829" s="133">
        <v>0.768765563856279</v>
      </c>
      <c r="S829" s="133">
        <v>0.847387889937294</v>
      </c>
      <c r="T829" s="135">
        <v>0.9</v>
      </c>
      <c r="U829" s="133">
        <v>0.894063459570113</v>
      </c>
      <c r="V829" s="133">
        <v>0.894919972164231</v>
      </c>
      <c r="W829" s="133">
        <v>0.865884027036642</v>
      </c>
      <c r="X829" s="133">
        <v>0.898324530690562</v>
      </c>
      <c r="Y829" s="135">
        <v>0.92</v>
      </c>
      <c r="Z829" s="135">
        <v>0.809806835066865</v>
      </c>
      <c r="AA829" s="135">
        <v>0.803921568627451</v>
      </c>
      <c r="AB829" s="135">
        <v>0.815098468271335</v>
      </c>
      <c r="AC829" s="135">
        <v>0.8385369803851</v>
      </c>
      <c r="AD829" s="135">
        <v>0.92</v>
      </c>
      <c r="AE829" s="133">
        <v>0.972493489583333</v>
      </c>
      <c r="AF829" s="133">
        <v>0.987423312883436</v>
      </c>
      <c r="AG829" s="133">
        <v>0.973801916932907</v>
      </c>
      <c r="AH829" s="133">
        <v>0.969360779085794</v>
      </c>
      <c r="AI829" s="135">
        <v>0.92</v>
      </c>
      <c r="AJ829" s="133">
        <v>0.902281368821293</v>
      </c>
      <c r="AK829" s="133">
        <v>0.899714828897338</v>
      </c>
      <c r="AL829" s="133">
        <v>0.904161073825503</v>
      </c>
      <c r="AM829" s="133">
        <v>0.91798778395443</v>
      </c>
      <c r="AN829" s="132">
        <v>0.99</v>
      </c>
      <c r="AO829" s="137">
        <v>1</v>
      </c>
      <c r="AP829" s="137">
        <v>1</v>
      </c>
      <c r="AQ829" s="137">
        <v>1</v>
      </c>
      <c r="AR829" s="137">
        <v>1</v>
      </c>
      <c r="AS829" s="158">
        <v>0.0810595228934205</v>
      </c>
      <c r="AT829" s="141">
        <v>0.130434782608696</v>
      </c>
      <c r="AU829" s="141">
        <v>0.0454545454545455</v>
      </c>
      <c r="AV829" s="141">
        <v>0</v>
      </c>
      <c r="AW829" s="141">
        <v>0.0754716981132075</v>
      </c>
      <c r="AX829" s="95"/>
      <c r="AY829" s="93"/>
    </row>
    <row r="830" ht="15" spans="1:51">
      <c r="A830" s="91"/>
      <c r="B830" s="95"/>
      <c r="C830" s="152" t="s">
        <v>668</v>
      </c>
      <c r="D830" s="153" t="s">
        <v>25</v>
      </c>
      <c r="E830" s="130" t="s">
        <v>669</v>
      </c>
      <c r="F830" s="179" t="s">
        <v>857</v>
      </c>
      <c r="G830" s="179" t="s">
        <v>857</v>
      </c>
      <c r="H830" s="179" t="s">
        <v>857</v>
      </c>
      <c r="I830" s="179" t="s">
        <v>857</v>
      </c>
      <c r="J830" s="132">
        <v>0.9</v>
      </c>
      <c r="K830" s="133">
        <v>1</v>
      </c>
      <c r="L830" s="133">
        <v>1</v>
      </c>
      <c r="M830" s="134">
        <v>0.962962962962963</v>
      </c>
      <c r="N830" s="133">
        <v>0.982791586998088</v>
      </c>
      <c r="O830" s="135">
        <v>0.9</v>
      </c>
      <c r="P830" s="133">
        <v>0.970326409495549</v>
      </c>
      <c r="Q830" s="133">
        <v>0.950802139037433</v>
      </c>
      <c r="R830" s="133">
        <v>0.940116845180136</v>
      </c>
      <c r="S830" s="133">
        <v>0.953472652509435</v>
      </c>
      <c r="T830" s="135">
        <v>0.9</v>
      </c>
      <c r="U830" s="133">
        <v>0.95326409495549</v>
      </c>
      <c r="V830" s="133">
        <v>0.93048128342246</v>
      </c>
      <c r="W830" s="133">
        <v>0.916747809152872</v>
      </c>
      <c r="X830" s="133">
        <v>0.93184250549203</v>
      </c>
      <c r="Y830" s="135">
        <v>0.92</v>
      </c>
      <c r="Z830" s="135">
        <v>0.913827655310621</v>
      </c>
      <c r="AA830" s="135">
        <v>0.872844827586207</v>
      </c>
      <c r="AB830" s="135">
        <v>0.872699386503067</v>
      </c>
      <c r="AC830" s="135">
        <v>0.892041871610544</v>
      </c>
      <c r="AD830" s="135">
        <v>0.92</v>
      </c>
      <c r="AE830" s="133">
        <v>0.967398536260812</v>
      </c>
      <c r="AF830" s="133">
        <v>0.956404736275565</v>
      </c>
      <c r="AG830" s="133">
        <v>0.981029810298103</v>
      </c>
      <c r="AH830" s="133">
        <v>0.954141957346495</v>
      </c>
      <c r="AI830" s="135">
        <v>0.92</v>
      </c>
      <c r="AJ830" s="133">
        <v>0.951839826839827</v>
      </c>
      <c r="AK830" s="133">
        <v>0.929386590584879</v>
      </c>
      <c r="AL830" s="133">
        <v>0.93687707641196</v>
      </c>
      <c r="AM830" s="133">
        <v>0.94634004082823</v>
      </c>
      <c r="AN830" s="132">
        <v>0.99</v>
      </c>
      <c r="AO830" s="137">
        <v>1</v>
      </c>
      <c r="AP830" s="137">
        <v>1</v>
      </c>
      <c r="AQ830" s="137">
        <v>1</v>
      </c>
      <c r="AR830" s="137">
        <v>1</v>
      </c>
      <c r="AS830" s="158">
        <v>0.0810595228934205</v>
      </c>
      <c r="AT830" s="141">
        <v>0</v>
      </c>
      <c r="AU830" s="141">
        <v>0</v>
      </c>
      <c r="AV830" s="141">
        <v>0.0588235294117647</v>
      </c>
      <c r="AW830" s="141">
        <v>0.0648464163822526</v>
      </c>
      <c r="AX830" s="95"/>
      <c r="AY830" s="93"/>
    </row>
    <row r="831" ht="15" spans="1:51">
      <c r="A831" s="91"/>
      <c r="B831" s="95"/>
      <c r="C831" s="152" t="s">
        <v>668</v>
      </c>
      <c r="D831" s="153" t="s">
        <v>25</v>
      </c>
      <c r="E831" s="130" t="s">
        <v>669</v>
      </c>
      <c r="F831" s="179" t="s">
        <v>858</v>
      </c>
      <c r="G831" s="179" t="s">
        <v>858</v>
      </c>
      <c r="H831" s="179" t="s">
        <v>858</v>
      </c>
      <c r="I831" s="179" t="s">
        <v>858</v>
      </c>
      <c r="J831" s="132">
        <v>0.9</v>
      </c>
      <c r="K831" s="133">
        <v>0.954545454545455</v>
      </c>
      <c r="L831" s="133">
        <v>0.921052631578947</v>
      </c>
      <c r="M831" s="134">
        <v>0.931818181818182</v>
      </c>
      <c r="N831" s="133">
        <v>0.945431472081218</v>
      </c>
      <c r="O831" s="135">
        <v>0.9</v>
      </c>
      <c r="P831" s="133">
        <v>0.99740932642487</v>
      </c>
      <c r="Q831" s="133">
        <v>0.959813084112149</v>
      </c>
      <c r="R831" s="133">
        <v>0.97318810222036</v>
      </c>
      <c r="S831" s="133">
        <v>0.934309437125121</v>
      </c>
      <c r="T831" s="135">
        <v>0.9</v>
      </c>
      <c r="U831" s="133">
        <v>0.941709844559586</v>
      </c>
      <c r="V831" s="133">
        <v>0.91588785046729</v>
      </c>
      <c r="W831" s="133">
        <v>0.931294511939673</v>
      </c>
      <c r="X831" s="133">
        <v>0.929385264150449</v>
      </c>
      <c r="Y831" s="135">
        <v>0.92</v>
      </c>
      <c r="Z831" s="135">
        <v>0.884678747940692</v>
      </c>
      <c r="AA831" s="135">
        <v>0.879518072289157</v>
      </c>
      <c r="AB831" s="135">
        <v>0.904411764705882</v>
      </c>
      <c r="AC831" s="135">
        <v>0.904331406992047</v>
      </c>
      <c r="AD831" s="135">
        <v>0.92</v>
      </c>
      <c r="AE831" s="133">
        <v>0.978517722878625</v>
      </c>
      <c r="AF831" s="133">
        <v>0.991031390134529</v>
      </c>
      <c r="AG831" s="133">
        <v>0.982570806100218</v>
      </c>
      <c r="AH831" s="133">
        <v>0.975411616490725</v>
      </c>
      <c r="AI831" s="135">
        <v>0.92</v>
      </c>
      <c r="AJ831" s="133">
        <v>0.936773593677359</v>
      </c>
      <c r="AK831" s="133">
        <v>0.929389312977099</v>
      </c>
      <c r="AL831" s="133">
        <v>0.952101661779081</v>
      </c>
      <c r="AM831" s="133">
        <v>0.950132883206436</v>
      </c>
      <c r="AN831" s="132">
        <v>0.99</v>
      </c>
      <c r="AO831" s="137">
        <v>1</v>
      </c>
      <c r="AP831" s="137">
        <v>1</v>
      </c>
      <c r="AQ831" s="137">
        <v>1</v>
      </c>
      <c r="AR831" s="137">
        <v>1</v>
      </c>
      <c r="AS831" s="158">
        <v>0.0810595228934205</v>
      </c>
      <c r="AT831" s="141">
        <v>0</v>
      </c>
      <c r="AU831" s="141">
        <v>0.3</v>
      </c>
      <c r="AV831" s="141">
        <v>0</v>
      </c>
      <c r="AW831" s="141">
        <v>0.0733590733590734</v>
      </c>
      <c r="AX831" s="95"/>
      <c r="AY831" s="93"/>
    </row>
    <row r="832" ht="15" spans="1:51">
      <c r="A832" s="91"/>
      <c r="B832" s="95"/>
      <c r="C832" s="152" t="s">
        <v>668</v>
      </c>
      <c r="D832" s="153" t="s">
        <v>25</v>
      </c>
      <c r="E832" s="130" t="s">
        <v>669</v>
      </c>
      <c r="F832" s="179" t="s">
        <v>859</v>
      </c>
      <c r="G832" s="179" t="s">
        <v>859</v>
      </c>
      <c r="H832" s="179" t="s">
        <v>859</v>
      </c>
      <c r="I832" s="179" t="s">
        <v>859</v>
      </c>
      <c r="J832" s="132">
        <v>0.9</v>
      </c>
      <c r="K832" s="133">
        <v>0.976744186046512</v>
      </c>
      <c r="L832" s="133">
        <v>0.947368421052632</v>
      </c>
      <c r="M832" s="134">
        <v>0.954545454545455</v>
      </c>
      <c r="N832" s="133">
        <v>0.92375</v>
      </c>
      <c r="O832" s="135">
        <v>0.9</v>
      </c>
      <c r="P832" s="133">
        <v>0.944159544159544</v>
      </c>
      <c r="Q832" s="133">
        <v>0.964342313787639</v>
      </c>
      <c r="R832" s="133">
        <v>0.926791874281334</v>
      </c>
      <c r="S832" s="133">
        <v>0.91662593394316</v>
      </c>
      <c r="T832" s="135">
        <v>0.9</v>
      </c>
      <c r="U832" s="133">
        <v>0.913390313390313</v>
      </c>
      <c r="V832" s="133">
        <v>0.913629160063391</v>
      </c>
      <c r="W832" s="133">
        <v>0.910310463779226</v>
      </c>
      <c r="X832" s="133">
        <v>0.909107836976003</v>
      </c>
      <c r="Y832" s="135">
        <v>0.92</v>
      </c>
      <c r="Z832" s="135">
        <v>0.877104377104377</v>
      </c>
      <c r="AA832" s="135">
        <v>0.868884540117417</v>
      </c>
      <c r="AB832" s="135">
        <v>0.903422982885086</v>
      </c>
      <c r="AC832" s="135">
        <v>0.884948453608247</v>
      </c>
      <c r="AD832" s="135">
        <v>0.92</v>
      </c>
      <c r="AE832" s="133">
        <v>0.983333333333333</v>
      </c>
      <c r="AF832" s="133">
        <v>0.986631016042781</v>
      </c>
      <c r="AG832" s="133">
        <v>0.971904266389178</v>
      </c>
      <c r="AH832" s="133">
        <v>0.977731258153575</v>
      </c>
      <c r="AI832" s="135">
        <v>0.92</v>
      </c>
      <c r="AJ832" s="133">
        <v>0.932737335036186</v>
      </c>
      <c r="AK832" s="133">
        <v>0.933558558558559</v>
      </c>
      <c r="AL832" s="133">
        <v>0.951589384660251</v>
      </c>
      <c r="AM832" s="133">
        <v>0.941532451730652</v>
      </c>
      <c r="AN832" s="132">
        <v>0.99</v>
      </c>
      <c r="AO832" s="137">
        <v>1</v>
      </c>
      <c r="AP832" s="137">
        <v>1</v>
      </c>
      <c r="AQ832" s="137">
        <v>1</v>
      </c>
      <c r="AR832" s="137">
        <v>1</v>
      </c>
      <c r="AS832" s="158">
        <v>0.0810595228934205</v>
      </c>
      <c r="AT832" s="141">
        <v>0</v>
      </c>
      <c r="AU832" s="141">
        <v>0</v>
      </c>
      <c r="AV832" s="141">
        <v>0.125</v>
      </c>
      <c r="AW832" s="141">
        <v>0.018018018018018</v>
      </c>
      <c r="AX832" s="95"/>
      <c r="AY832" s="93"/>
    </row>
    <row r="833" ht="15" spans="1:51">
      <c r="A833" s="91"/>
      <c r="B833" s="95"/>
      <c r="C833" s="152" t="s">
        <v>668</v>
      </c>
      <c r="D833" s="153" t="s">
        <v>25</v>
      </c>
      <c r="E833" s="130" t="s">
        <v>669</v>
      </c>
      <c r="F833" s="179" t="s">
        <v>860</v>
      </c>
      <c r="G833" s="179" t="s">
        <v>860</v>
      </c>
      <c r="H833" s="179" t="s">
        <v>860</v>
      </c>
      <c r="I833" s="179" t="s">
        <v>860</v>
      </c>
      <c r="J833" s="132">
        <v>0.9</v>
      </c>
      <c r="K833" s="133">
        <v>0.917525773195876</v>
      </c>
      <c r="L833" s="133">
        <v>0.971428571428571</v>
      </c>
      <c r="M833" s="134">
        <v>0.928571428571429</v>
      </c>
      <c r="N833" s="133">
        <v>0.942227516378797</v>
      </c>
      <c r="O833" s="135">
        <v>0.9</v>
      </c>
      <c r="P833" s="133">
        <v>0.955982797875032</v>
      </c>
      <c r="Q833" s="133">
        <v>0.95626102292769</v>
      </c>
      <c r="R833" s="133">
        <v>0.953395953757225</v>
      </c>
      <c r="S833" s="133">
        <v>0.930582898970538</v>
      </c>
      <c r="T833" s="135">
        <v>0.9</v>
      </c>
      <c r="U833" s="133">
        <v>0.920313685808247</v>
      </c>
      <c r="V833" s="133">
        <v>0.928042328042328</v>
      </c>
      <c r="W833" s="133">
        <v>0.930635838150289</v>
      </c>
      <c r="X833" s="133">
        <v>0.921138218433172</v>
      </c>
      <c r="Y833" s="135">
        <v>0.92</v>
      </c>
      <c r="Z833" s="135">
        <v>0.91978021978022</v>
      </c>
      <c r="AA833" s="135">
        <v>0.922549019607843</v>
      </c>
      <c r="AB833" s="135">
        <v>0.88755980861244</v>
      </c>
      <c r="AC833" s="135">
        <v>0.92392964477509</v>
      </c>
      <c r="AD833" s="135">
        <v>0.92</v>
      </c>
      <c r="AE833" s="133">
        <v>0.989117608496132</v>
      </c>
      <c r="AF833" s="133">
        <v>0.99039780521262</v>
      </c>
      <c r="AG833" s="133">
        <v>0.990022805017104</v>
      </c>
      <c r="AH833" s="133">
        <v>0.98932122014587</v>
      </c>
      <c r="AI833" s="135">
        <v>0.92</v>
      </c>
      <c r="AJ833" s="133">
        <v>0.947151963808349</v>
      </c>
      <c r="AK833" s="133">
        <v>0.953838174273859</v>
      </c>
      <c r="AL833" s="133">
        <v>0.956057752667922</v>
      </c>
      <c r="AM833" s="133">
        <v>0.966368027135641</v>
      </c>
      <c r="AN833" s="132">
        <v>0.99</v>
      </c>
      <c r="AO833" s="137">
        <v>1</v>
      </c>
      <c r="AP833" s="137">
        <v>1</v>
      </c>
      <c r="AQ833" s="137">
        <v>1</v>
      </c>
      <c r="AR833" s="137">
        <v>1</v>
      </c>
      <c r="AS833" s="158">
        <v>0.0810595228934205</v>
      </c>
      <c r="AT833" s="141">
        <v>0.037037037037037</v>
      </c>
      <c r="AU833" s="141">
        <v>0.0833333333333333</v>
      </c>
      <c r="AV833" s="141">
        <v>0.08</v>
      </c>
      <c r="AW833" s="141">
        <v>0.0584192439862543</v>
      </c>
      <c r="AX833" s="95"/>
      <c r="AY833" s="93"/>
    </row>
    <row r="834" ht="15" spans="1:51">
      <c r="A834" s="91"/>
      <c r="B834" s="95"/>
      <c r="C834" s="152" t="s">
        <v>668</v>
      </c>
      <c r="D834" s="153" t="s">
        <v>25</v>
      </c>
      <c r="E834" s="130" t="s">
        <v>669</v>
      </c>
      <c r="F834" s="179" t="s">
        <v>861</v>
      </c>
      <c r="G834" s="179" t="s">
        <v>861</v>
      </c>
      <c r="H834" s="179" t="s">
        <v>861</v>
      </c>
      <c r="I834" s="179" t="s">
        <v>861</v>
      </c>
      <c r="J834" s="132">
        <v>0.9</v>
      </c>
      <c r="K834" s="133">
        <v>0.981132075471698</v>
      </c>
      <c r="L834" s="133">
        <v>0.973684210526316</v>
      </c>
      <c r="M834" s="134">
        <v>0.958333333333333</v>
      </c>
      <c r="N834" s="133">
        <v>0.969795037756203</v>
      </c>
      <c r="O834" s="135">
        <v>0.9</v>
      </c>
      <c r="P834" s="133">
        <v>0.938716654650324</v>
      </c>
      <c r="Q834" s="133">
        <v>0.903662819869543</v>
      </c>
      <c r="R834" s="133">
        <v>0.918152720621856</v>
      </c>
      <c r="S834" s="133">
        <v>0.915269961036551</v>
      </c>
      <c r="T834" s="135">
        <v>0.9</v>
      </c>
      <c r="U834" s="133">
        <v>0.925378514780101</v>
      </c>
      <c r="V834" s="133">
        <v>0.88509784244857</v>
      </c>
      <c r="W834" s="133">
        <v>0.89437585733882</v>
      </c>
      <c r="X834" s="133">
        <v>0.878656688725339</v>
      </c>
      <c r="Y834" s="135">
        <v>0.92</v>
      </c>
      <c r="Z834" s="135">
        <v>0.892982456140351</v>
      </c>
      <c r="AA834" s="135">
        <v>0.894645941278066</v>
      </c>
      <c r="AB834" s="135">
        <v>0.884615384615385</v>
      </c>
      <c r="AC834" s="135">
        <v>0.920082877016427</v>
      </c>
      <c r="AD834" s="135">
        <v>0.92</v>
      </c>
      <c r="AE834" s="133">
        <v>0.995271867612293</v>
      </c>
      <c r="AF834" s="133">
        <v>0.981566820276498</v>
      </c>
      <c r="AG834" s="133">
        <v>0.989051094890511</v>
      </c>
      <c r="AH834" s="133">
        <v>0.992666967509025</v>
      </c>
      <c r="AI834" s="135">
        <v>0.92</v>
      </c>
      <c r="AJ834" s="133">
        <v>0.948863636363636</v>
      </c>
      <c r="AK834" s="133">
        <v>0.946734059097978</v>
      </c>
      <c r="AL834" s="133">
        <v>0.961584875301689</v>
      </c>
      <c r="AM834" s="133">
        <v>0.967529302049554</v>
      </c>
      <c r="AN834" s="132">
        <v>0.99</v>
      </c>
      <c r="AO834" s="137">
        <v>1</v>
      </c>
      <c r="AP834" s="137">
        <v>1</v>
      </c>
      <c r="AQ834" s="137">
        <v>1</v>
      </c>
      <c r="AR834" s="137">
        <v>1</v>
      </c>
      <c r="AS834" s="158">
        <v>0.0810595228934205</v>
      </c>
      <c r="AT834" s="141">
        <v>0.133333333333333</v>
      </c>
      <c r="AU834" s="141">
        <v>0.214285714285714</v>
      </c>
      <c r="AV834" s="141">
        <v>0</v>
      </c>
      <c r="AW834" s="141">
        <v>0.0893371757925072</v>
      </c>
      <c r="AX834" s="95"/>
      <c r="AY834" s="93"/>
    </row>
    <row r="835" ht="15" spans="1:51">
      <c r="A835" s="91"/>
      <c r="B835" s="95"/>
      <c r="C835" s="152" t="s">
        <v>668</v>
      </c>
      <c r="D835" s="153" t="s">
        <v>25</v>
      </c>
      <c r="E835" s="130" t="s">
        <v>669</v>
      </c>
      <c r="F835" s="179" t="s">
        <v>862</v>
      </c>
      <c r="G835" s="179" t="s">
        <v>862</v>
      </c>
      <c r="H835" s="179" t="s">
        <v>862</v>
      </c>
      <c r="I835" s="179" t="s">
        <v>862</v>
      </c>
      <c r="J835" s="132">
        <v>0.9</v>
      </c>
      <c r="K835" s="133">
        <v>0.92</v>
      </c>
      <c r="L835" s="133">
        <v>0.888888888888889</v>
      </c>
      <c r="M835" s="134">
        <v>0.958333333333333</v>
      </c>
      <c r="N835" s="133">
        <v>0.948717948717949</v>
      </c>
      <c r="O835" s="135">
        <v>0.9</v>
      </c>
      <c r="P835" s="133">
        <v>0.995667244367418</v>
      </c>
      <c r="Q835" s="133">
        <v>0.9975</v>
      </c>
      <c r="R835" s="133">
        <v>0.989887640449438</v>
      </c>
      <c r="S835" s="133">
        <v>0.992209034145244</v>
      </c>
      <c r="T835" s="135">
        <v>0.9</v>
      </c>
      <c r="U835" s="133">
        <v>0.95840554592721</v>
      </c>
      <c r="V835" s="133">
        <v>0.96875</v>
      </c>
      <c r="W835" s="133">
        <v>0.958988764044944</v>
      </c>
      <c r="X835" s="133">
        <v>0.957670023063509</v>
      </c>
      <c r="Y835" s="135">
        <v>0.92</v>
      </c>
      <c r="Z835" s="135">
        <v>0.916666666666667</v>
      </c>
      <c r="AA835" s="135">
        <v>0.951923076923077</v>
      </c>
      <c r="AB835" s="135">
        <v>0.946502057613169</v>
      </c>
      <c r="AC835" s="135">
        <v>0.955954038997215</v>
      </c>
      <c r="AD835" s="135">
        <v>0.92</v>
      </c>
      <c r="AE835" s="133">
        <v>0.996212121212121</v>
      </c>
      <c r="AF835" s="133">
        <v>0.951219512195122</v>
      </c>
      <c r="AG835" s="133">
        <v>0.951612903225806</v>
      </c>
      <c r="AH835" s="133">
        <v>0.988136241867585</v>
      </c>
      <c r="AI835" s="135">
        <v>0.92</v>
      </c>
      <c r="AJ835" s="133">
        <v>0.961979913916786</v>
      </c>
      <c r="AK835" s="133">
        <v>0.979166666666667</v>
      </c>
      <c r="AL835" s="133">
        <v>0.980227385071676</v>
      </c>
      <c r="AM835" s="133">
        <v>0.983389026102959</v>
      </c>
      <c r="AN835" s="132">
        <v>0.99</v>
      </c>
      <c r="AO835" s="137">
        <v>1</v>
      </c>
      <c r="AP835" s="137">
        <v>1</v>
      </c>
      <c r="AQ835" s="137">
        <v>1</v>
      </c>
      <c r="AR835" s="137">
        <v>1</v>
      </c>
      <c r="AS835" s="158">
        <v>0.0810595228934205</v>
      </c>
      <c r="AT835" s="141">
        <v>0</v>
      </c>
      <c r="AU835" s="141">
        <v>0</v>
      </c>
      <c r="AV835" s="141">
        <v>0</v>
      </c>
      <c r="AW835" s="141">
        <v>0.0467289719626168</v>
      </c>
      <c r="AX835" s="95"/>
      <c r="AY835" s="93"/>
    </row>
    <row r="836" ht="15" spans="1:51">
      <c r="A836" s="91"/>
      <c r="B836" s="95"/>
      <c r="C836" s="152" t="s">
        <v>668</v>
      </c>
      <c r="D836" s="153" t="s">
        <v>25</v>
      </c>
      <c r="E836" s="130" t="s">
        <v>669</v>
      </c>
      <c r="F836" s="179" t="s">
        <v>863</v>
      </c>
      <c r="G836" s="179" t="s">
        <v>863</v>
      </c>
      <c r="H836" s="179" t="s">
        <v>863</v>
      </c>
      <c r="I836" s="179" t="s">
        <v>863</v>
      </c>
      <c r="J836" s="132">
        <v>0.9</v>
      </c>
      <c r="K836" s="133">
        <v>1</v>
      </c>
      <c r="L836" s="133">
        <v>1</v>
      </c>
      <c r="M836" s="134">
        <v>0.977272727272727</v>
      </c>
      <c r="N836" s="133">
        <v>0.954225352112676</v>
      </c>
      <c r="O836" s="135">
        <v>0.9</v>
      </c>
      <c r="P836" s="133">
        <v>0.981906443071492</v>
      </c>
      <c r="Q836" s="133">
        <v>0.979605263157895</v>
      </c>
      <c r="R836" s="133">
        <v>0.976793893129771</v>
      </c>
      <c r="S836" s="133">
        <v>0.976269247418218</v>
      </c>
      <c r="T836" s="135">
        <v>0.9</v>
      </c>
      <c r="U836" s="133">
        <v>0.966019417475728</v>
      </c>
      <c r="V836" s="133">
        <v>0.970394736842105</v>
      </c>
      <c r="W836" s="133">
        <v>0.963358778625954</v>
      </c>
      <c r="X836" s="133">
        <v>0.94080452662173</v>
      </c>
      <c r="Y836" s="135">
        <v>0.92</v>
      </c>
      <c r="Z836" s="135">
        <v>0.962222222222222</v>
      </c>
      <c r="AA836" s="135">
        <v>0.938118811881188</v>
      </c>
      <c r="AB836" s="135">
        <v>0.940919037199125</v>
      </c>
      <c r="AC836" s="135">
        <v>0.94331169424888</v>
      </c>
      <c r="AD836" s="135">
        <v>0.92</v>
      </c>
      <c r="AE836" s="133">
        <v>0.997316636851521</v>
      </c>
      <c r="AF836" s="133">
        <v>0.997384155455904</v>
      </c>
      <c r="AG836" s="133">
        <v>0.98811544991511</v>
      </c>
      <c r="AH836" s="133">
        <v>0.995483450553895</v>
      </c>
      <c r="AI836" s="135">
        <v>0.92</v>
      </c>
      <c r="AJ836" s="133">
        <v>0.979013254786451</v>
      </c>
      <c r="AK836" s="133">
        <v>0.975571725571726</v>
      </c>
      <c r="AL836" s="133">
        <v>0.980707395498392</v>
      </c>
      <c r="AM836" s="133">
        <v>0.979477143197175</v>
      </c>
      <c r="AN836" s="132">
        <v>0.99</v>
      </c>
      <c r="AO836" s="137">
        <v>1</v>
      </c>
      <c r="AP836" s="137">
        <v>1</v>
      </c>
      <c r="AQ836" s="137">
        <v>1</v>
      </c>
      <c r="AR836" s="137">
        <v>1</v>
      </c>
      <c r="AS836" s="158">
        <v>0.0810595228934205</v>
      </c>
      <c r="AT836" s="141">
        <v>0</v>
      </c>
      <c r="AU836" s="141">
        <v>0.333333333333333</v>
      </c>
      <c r="AV836" s="141">
        <v>0.0666666666666667</v>
      </c>
      <c r="AW836" s="141">
        <v>0.0526315789473684</v>
      </c>
      <c r="AX836" s="95"/>
      <c r="AY836" s="93"/>
    </row>
    <row r="837" ht="15" spans="1:51">
      <c r="A837" s="91"/>
      <c r="B837" s="95"/>
      <c r="C837" s="152" t="s">
        <v>668</v>
      </c>
      <c r="D837" s="153" t="s">
        <v>25</v>
      </c>
      <c r="E837" s="130" t="s">
        <v>669</v>
      </c>
      <c r="F837" s="179" t="s">
        <v>864</v>
      </c>
      <c r="G837" s="179" t="s">
        <v>864</v>
      </c>
      <c r="H837" s="179" t="s">
        <v>864</v>
      </c>
      <c r="I837" s="179" t="s">
        <v>864</v>
      </c>
      <c r="J837" s="132">
        <v>0.9</v>
      </c>
      <c r="K837" s="133">
        <v>0.875</v>
      </c>
      <c r="L837" s="133">
        <v>0.888888888888889</v>
      </c>
      <c r="M837" s="134">
        <v>0.826923076923077</v>
      </c>
      <c r="N837" s="133">
        <v>0.867924528301887</v>
      </c>
      <c r="O837" s="135">
        <v>0.9</v>
      </c>
      <c r="P837" s="133">
        <v>0.925378266850069</v>
      </c>
      <c r="Q837" s="133">
        <v>0.916026871401152</v>
      </c>
      <c r="R837" s="133">
        <v>0.9111834457103</v>
      </c>
      <c r="S837" s="133">
        <v>0.904233932378922</v>
      </c>
      <c r="T837" s="135">
        <v>0.9</v>
      </c>
      <c r="U837" s="133">
        <v>0.90646492434663</v>
      </c>
      <c r="V837" s="133">
        <v>0.892034548944338</v>
      </c>
      <c r="W837" s="133">
        <v>0.896303185305743</v>
      </c>
      <c r="X837" s="133">
        <v>0.873603411513859</v>
      </c>
      <c r="Y837" s="135">
        <v>0.92</v>
      </c>
      <c r="Z837" s="135">
        <v>0.871710526315789</v>
      </c>
      <c r="AA837" s="135">
        <v>0.522504892367906</v>
      </c>
      <c r="AB837" s="135">
        <v>0.843629343629344</v>
      </c>
      <c r="AC837" s="135">
        <v>0.873162536749265</v>
      </c>
      <c r="AD837" s="135">
        <v>0.92</v>
      </c>
      <c r="AE837" s="133">
        <v>0.994275491949911</v>
      </c>
      <c r="AF837" s="133">
        <v>0.991372748033494</v>
      </c>
      <c r="AG837" s="133">
        <v>0.989002654531665</v>
      </c>
      <c r="AH837" s="133">
        <v>0.988932702033158</v>
      </c>
      <c r="AI837" s="135">
        <v>0.92</v>
      </c>
      <c r="AJ837" s="133">
        <v>0.940273037542662</v>
      </c>
      <c r="AK837" s="133">
        <v>0.85009633911368</v>
      </c>
      <c r="AL837" s="133">
        <v>0.958290101680847</v>
      </c>
      <c r="AM837" s="133">
        <v>0.961500145282471</v>
      </c>
      <c r="AN837" s="132">
        <v>0.99</v>
      </c>
      <c r="AO837" s="137">
        <v>1</v>
      </c>
      <c r="AP837" s="137">
        <v>1</v>
      </c>
      <c r="AQ837" s="137">
        <v>1</v>
      </c>
      <c r="AR837" s="137">
        <v>1</v>
      </c>
      <c r="AS837" s="158">
        <v>0.0810595228934205</v>
      </c>
      <c r="AT837" s="141">
        <v>0</v>
      </c>
      <c r="AU837" s="141">
        <v>0</v>
      </c>
      <c r="AV837" s="141">
        <v>0.142857142857143</v>
      </c>
      <c r="AW837" s="141">
        <v>0.0450819672131148</v>
      </c>
      <c r="AX837" s="95"/>
      <c r="AY837" s="93"/>
    </row>
    <row r="838" ht="15" spans="1:51">
      <c r="A838" s="91"/>
      <c r="B838" s="95"/>
      <c r="C838" s="152" t="s">
        <v>668</v>
      </c>
      <c r="D838" s="153" t="s">
        <v>25</v>
      </c>
      <c r="E838" s="130" t="s">
        <v>669</v>
      </c>
      <c r="F838" s="179" t="s">
        <v>865</v>
      </c>
      <c r="G838" s="179" t="s">
        <v>865</v>
      </c>
      <c r="H838" s="179" t="s">
        <v>865</v>
      </c>
      <c r="I838" s="179" t="s">
        <v>865</v>
      </c>
      <c r="J838" s="132">
        <v>0.9</v>
      </c>
      <c r="K838" s="133">
        <v>0.714285714285714</v>
      </c>
      <c r="L838" s="133">
        <v>0.818181818181818</v>
      </c>
      <c r="M838" s="134">
        <v>0.775510204081633</v>
      </c>
      <c r="N838" s="133">
        <v>0.792194092827004</v>
      </c>
      <c r="O838" s="135">
        <v>0.9</v>
      </c>
      <c r="P838" s="133">
        <v>0.956369982547993</v>
      </c>
      <c r="Q838" s="133">
        <v>0.960984393757503</v>
      </c>
      <c r="R838" s="133">
        <v>0.969226081657526</v>
      </c>
      <c r="S838" s="133">
        <v>0.958936281946552</v>
      </c>
      <c r="T838" s="135">
        <v>0.9</v>
      </c>
      <c r="U838" s="133">
        <v>0.921902268760908</v>
      </c>
      <c r="V838" s="133">
        <v>0.936974789915966</v>
      </c>
      <c r="W838" s="133">
        <v>0.932967702620353</v>
      </c>
      <c r="X838" s="133">
        <v>0.92300735208309</v>
      </c>
      <c r="Y838" s="135">
        <v>0.92</v>
      </c>
      <c r="Z838" s="135">
        <v>0.946466809421842</v>
      </c>
      <c r="AA838" s="135">
        <v>0.92093023255814</v>
      </c>
      <c r="AB838" s="135">
        <v>0.878718535469107</v>
      </c>
      <c r="AC838" s="135">
        <v>0.922475961538462</v>
      </c>
      <c r="AD838" s="135">
        <v>0.92</v>
      </c>
      <c r="AE838" s="133">
        <v>1</v>
      </c>
      <c r="AF838" s="133">
        <v>0.993877551020408</v>
      </c>
      <c r="AG838" s="133">
        <v>1</v>
      </c>
      <c r="AH838" s="133">
        <v>0.997297036393474</v>
      </c>
      <c r="AI838" s="135">
        <v>0.92</v>
      </c>
      <c r="AJ838" s="133">
        <v>0.950344327654947</v>
      </c>
      <c r="AK838" s="133">
        <v>0.954198473282443</v>
      </c>
      <c r="AL838" s="133">
        <v>0.951331002957784</v>
      </c>
      <c r="AM838" s="133">
        <v>0.963270496708558</v>
      </c>
      <c r="AN838" s="132">
        <v>0.99</v>
      </c>
      <c r="AO838" s="137">
        <v>1</v>
      </c>
      <c r="AP838" s="137">
        <v>1</v>
      </c>
      <c r="AQ838" s="137">
        <v>1</v>
      </c>
      <c r="AR838" s="137">
        <v>1</v>
      </c>
      <c r="AS838" s="158">
        <v>0.0810595228934205</v>
      </c>
      <c r="AT838" s="141">
        <v>0.0476190476190476</v>
      </c>
      <c r="AU838" s="141">
        <v>0</v>
      </c>
      <c r="AV838" s="141">
        <v>0.25</v>
      </c>
      <c r="AW838" s="141">
        <v>0.0432098765432099</v>
      </c>
      <c r="AX838" s="95"/>
      <c r="AY838" s="93"/>
    </row>
    <row r="839" ht="15" spans="1:51">
      <c r="A839" s="91"/>
      <c r="B839" s="95"/>
      <c r="C839" s="152" t="s">
        <v>668</v>
      </c>
      <c r="D839" s="153" t="s">
        <v>25</v>
      </c>
      <c r="E839" s="130" t="s">
        <v>669</v>
      </c>
      <c r="F839" s="179" t="s">
        <v>866</v>
      </c>
      <c r="G839" s="179" t="s">
        <v>866</v>
      </c>
      <c r="H839" s="179" t="s">
        <v>866</v>
      </c>
      <c r="I839" s="179" t="s">
        <v>866</v>
      </c>
      <c r="J839" s="132">
        <v>0.9</v>
      </c>
      <c r="K839" s="133">
        <v>1</v>
      </c>
      <c r="L839" s="133">
        <v>1</v>
      </c>
      <c r="M839" s="134">
        <v>0.979591836734694</v>
      </c>
      <c r="N839" s="133">
        <v>0.982142857142857</v>
      </c>
      <c r="O839" s="135">
        <v>0.9</v>
      </c>
      <c r="P839" s="133">
        <v>0.972064930162325</v>
      </c>
      <c r="Q839" s="133">
        <v>0.98018211033744</v>
      </c>
      <c r="R839" s="133">
        <v>0.967394030599448</v>
      </c>
      <c r="S839" s="133">
        <v>0.942121093239179</v>
      </c>
      <c r="T839" s="135">
        <v>0.9</v>
      </c>
      <c r="U839" s="133">
        <v>0.926764816912042</v>
      </c>
      <c r="V839" s="133">
        <v>0.935190144617033</v>
      </c>
      <c r="W839" s="133">
        <v>0.922999749184851</v>
      </c>
      <c r="X839" s="133">
        <v>0.917993984569112</v>
      </c>
      <c r="Y839" s="135">
        <v>0.92</v>
      </c>
      <c r="Z839" s="135">
        <v>0.912681912681913</v>
      </c>
      <c r="AA839" s="135">
        <v>0.923679060665362</v>
      </c>
      <c r="AB839" s="135">
        <v>0.878787878787879</v>
      </c>
      <c r="AC839" s="135">
        <v>0.918829707426857</v>
      </c>
      <c r="AD839" s="135">
        <v>0.92</v>
      </c>
      <c r="AE839" s="133">
        <v>0.993431855500821</v>
      </c>
      <c r="AF839" s="133">
        <v>1</v>
      </c>
      <c r="AG839" s="133">
        <v>0.975757575757576</v>
      </c>
      <c r="AH839" s="133">
        <v>0.991097489784005</v>
      </c>
      <c r="AI839" s="135">
        <v>0.92</v>
      </c>
      <c r="AJ839" s="133">
        <v>0.950159744408946</v>
      </c>
      <c r="AK839" s="133">
        <v>0.956265769554247</v>
      </c>
      <c r="AL839" s="133">
        <v>0.957563764291997</v>
      </c>
      <c r="AM839" s="133">
        <v>0.969466498892019</v>
      </c>
      <c r="AN839" s="132">
        <v>0.99</v>
      </c>
      <c r="AO839" s="137">
        <v>1</v>
      </c>
      <c r="AP839" s="137">
        <v>1</v>
      </c>
      <c r="AQ839" s="137">
        <v>1</v>
      </c>
      <c r="AR839" s="137">
        <v>1</v>
      </c>
      <c r="AS839" s="158">
        <v>0.0810595228934205</v>
      </c>
      <c r="AT839" s="141">
        <v>0.333333333333333</v>
      </c>
      <c r="AU839" s="141">
        <v>0</v>
      </c>
      <c r="AV839" s="141">
        <v>0</v>
      </c>
      <c r="AW839" s="141">
        <v>0.0307167235494881</v>
      </c>
      <c r="AX839" s="95"/>
      <c r="AY839" s="93"/>
    </row>
    <row r="840" ht="15" spans="1:51">
      <c r="A840" s="91"/>
      <c r="B840" s="95"/>
      <c r="C840" s="152" t="s">
        <v>668</v>
      </c>
      <c r="D840" s="153" t="s">
        <v>25</v>
      </c>
      <c r="E840" s="130" t="s">
        <v>669</v>
      </c>
      <c r="F840" s="179" t="s">
        <v>867</v>
      </c>
      <c r="G840" s="179" t="s">
        <v>867</v>
      </c>
      <c r="H840" s="179" t="s">
        <v>867</v>
      </c>
      <c r="I840" s="179" t="s">
        <v>867</v>
      </c>
      <c r="J840" s="132">
        <v>0.9</v>
      </c>
      <c r="K840" s="133">
        <v>0.916666666666667</v>
      </c>
      <c r="L840" s="133">
        <v>0.925925925925926</v>
      </c>
      <c r="M840" s="134">
        <v>0.882352941176471</v>
      </c>
      <c r="N840" s="133">
        <v>0.930921052631579</v>
      </c>
      <c r="O840" s="135">
        <v>0.9</v>
      </c>
      <c r="P840" s="133">
        <v>0.980032379924447</v>
      </c>
      <c r="Q840" s="133">
        <v>0.981301421091997</v>
      </c>
      <c r="R840" s="133">
        <v>0.980985642219635</v>
      </c>
      <c r="S840" s="133">
        <v>0.962821389771858</v>
      </c>
      <c r="T840" s="135">
        <v>0.9</v>
      </c>
      <c r="U840" s="133">
        <v>0.962223421478683</v>
      </c>
      <c r="V840" s="133">
        <v>0.946148092744951</v>
      </c>
      <c r="W840" s="133">
        <v>0.961583236321304</v>
      </c>
      <c r="X840" s="133">
        <v>0.957490041443689</v>
      </c>
      <c r="Y840" s="135">
        <v>0.92</v>
      </c>
      <c r="Z840" s="135">
        <v>0.961995249406176</v>
      </c>
      <c r="AA840" s="135">
        <v>0.945454545454545</v>
      </c>
      <c r="AB840" s="135">
        <v>0.940379403794038</v>
      </c>
      <c r="AC840" s="135">
        <v>0.938055875274668</v>
      </c>
      <c r="AD840" s="135">
        <v>0.92</v>
      </c>
      <c r="AE840" s="133">
        <v>0.993737567229058</v>
      </c>
      <c r="AF840" s="133">
        <v>0.980085582620145</v>
      </c>
      <c r="AG840" s="133">
        <v>0.994740099009901</v>
      </c>
      <c r="AH840" s="133">
        <v>0.992473345691146</v>
      </c>
      <c r="AI840" s="135">
        <v>0.92</v>
      </c>
      <c r="AJ840" s="133">
        <v>0.973614775725594</v>
      </c>
      <c r="AK840" s="133">
        <v>0.963492063492064</v>
      </c>
      <c r="AL840" s="133">
        <v>0.975899524779362</v>
      </c>
      <c r="AM840" s="133">
        <v>0.977612821594264</v>
      </c>
      <c r="AN840" s="132">
        <v>0.99</v>
      </c>
      <c r="AO840" s="137">
        <v>1</v>
      </c>
      <c r="AP840" s="137">
        <v>1</v>
      </c>
      <c r="AQ840" s="137">
        <v>1</v>
      </c>
      <c r="AR840" s="137">
        <v>1</v>
      </c>
      <c r="AS840" s="158">
        <v>0.0810595228934205</v>
      </c>
      <c r="AT840" s="141">
        <v>0.0714285714285714</v>
      </c>
      <c r="AU840" s="141">
        <v>0</v>
      </c>
      <c r="AV840" s="141">
        <v>0.111111111111111</v>
      </c>
      <c r="AW840" s="141">
        <v>0.0401606425702811</v>
      </c>
      <c r="AX840" s="95"/>
      <c r="AY840" s="93"/>
    </row>
    <row r="841" ht="15" spans="1:51">
      <c r="A841" s="91"/>
      <c r="B841" s="95"/>
      <c r="C841" s="152" t="s">
        <v>668</v>
      </c>
      <c r="D841" s="153" t="s">
        <v>25</v>
      </c>
      <c r="E841" s="130" t="s">
        <v>669</v>
      </c>
      <c r="F841" s="179" t="s">
        <v>868</v>
      </c>
      <c r="G841" s="179" t="s">
        <v>868</v>
      </c>
      <c r="H841" s="179" t="s">
        <v>868</v>
      </c>
      <c r="I841" s="179" t="s">
        <v>868</v>
      </c>
      <c r="J841" s="132">
        <v>0.9</v>
      </c>
      <c r="K841" s="133">
        <v>0.9</v>
      </c>
      <c r="L841" s="133">
        <v>0.846153846153846</v>
      </c>
      <c r="M841" s="134">
        <v>0.925925925925926</v>
      </c>
      <c r="N841" s="133">
        <v>0.919753086419753</v>
      </c>
      <c r="O841" s="135">
        <v>0.9</v>
      </c>
      <c r="P841" s="133">
        <v>0.972734562951083</v>
      </c>
      <c r="Q841" s="133">
        <v>0.959490740740741</v>
      </c>
      <c r="R841" s="133">
        <v>0.961776859504132</v>
      </c>
      <c r="S841" s="133">
        <v>0.967260729795274</v>
      </c>
      <c r="T841" s="135">
        <v>0.9</v>
      </c>
      <c r="U841" s="133">
        <v>0.957497995188452</v>
      </c>
      <c r="V841" s="133">
        <v>0.952546296296296</v>
      </c>
      <c r="W841" s="133">
        <v>0.962809917355372</v>
      </c>
      <c r="X841" s="133">
        <v>0.939089729851672</v>
      </c>
      <c r="Y841" s="135">
        <v>0.92</v>
      </c>
      <c r="Z841" s="135">
        <v>0.941422594142259</v>
      </c>
      <c r="AA841" s="135">
        <v>0.956692913385827</v>
      </c>
      <c r="AB841" s="135">
        <v>0.961240310077519</v>
      </c>
      <c r="AC841" s="135">
        <v>0.953677172874881</v>
      </c>
      <c r="AD841" s="135">
        <v>0.92</v>
      </c>
      <c r="AE841" s="133">
        <v>1</v>
      </c>
      <c r="AF841" s="133">
        <v>0.997067448680352</v>
      </c>
      <c r="AG841" s="133">
        <v>0.993181818181818</v>
      </c>
      <c r="AH841" s="133">
        <v>0.99534720393293</v>
      </c>
      <c r="AI841" s="135">
        <v>0.92</v>
      </c>
      <c r="AJ841" s="133">
        <v>0.977119784656797</v>
      </c>
      <c r="AK841" s="133">
        <v>0.983005366726297</v>
      </c>
      <c r="AL841" s="133">
        <v>0.985414767547858</v>
      </c>
      <c r="AM841" s="133">
        <v>0.984381363037489</v>
      </c>
      <c r="AN841" s="132">
        <v>0.99</v>
      </c>
      <c r="AO841" s="137">
        <v>1</v>
      </c>
      <c r="AP841" s="137">
        <v>1</v>
      </c>
      <c r="AQ841" s="137">
        <v>1</v>
      </c>
      <c r="AR841" s="137">
        <v>1</v>
      </c>
      <c r="AS841" s="158">
        <v>0.0810595228934205</v>
      </c>
      <c r="AT841" s="141">
        <v>0</v>
      </c>
      <c r="AU841" s="141">
        <v>0</v>
      </c>
      <c r="AV841" s="141">
        <v>0</v>
      </c>
      <c r="AW841" s="141">
        <v>0</v>
      </c>
      <c r="AX841" s="95"/>
      <c r="AY841" s="93"/>
    </row>
    <row r="842" ht="15" spans="1:51">
      <c r="A842" s="91"/>
      <c r="B842" s="95"/>
      <c r="C842" s="152" t="s">
        <v>668</v>
      </c>
      <c r="D842" s="153" t="s">
        <v>25</v>
      </c>
      <c r="E842" s="130" t="s">
        <v>669</v>
      </c>
      <c r="F842" s="179" t="s">
        <v>869</v>
      </c>
      <c r="G842" s="179" t="s">
        <v>869</v>
      </c>
      <c r="H842" s="179" t="s">
        <v>869</v>
      </c>
      <c r="I842" s="179" t="s">
        <v>869</v>
      </c>
      <c r="J842" s="132">
        <v>0.9</v>
      </c>
      <c r="K842" s="133">
        <v>0.954545454545455</v>
      </c>
      <c r="L842" s="133">
        <v>1</v>
      </c>
      <c r="M842" s="134">
        <v>1</v>
      </c>
      <c r="N842" s="133">
        <v>0.978947368421053</v>
      </c>
      <c r="O842" s="135">
        <v>0.9</v>
      </c>
      <c r="P842" s="133">
        <v>0.975798644724105</v>
      </c>
      <c r="Q842" s="133">
        <v>0.974008207934337</v>
      </c>
      <c r="R842" s="133">
        <v>0.967320261437909</v>
      </c>
      <c r="S842" s="133">
        <v>0.962252240878677</v>
      </c>
      <c r="T842" s="135">
        <v>0.9</v>
      </c>
      <c r="U842" s="133">
        <v>0.933204259438529</v>
      </c>
      <c r="V842" s="133">
        <v>0.917920656634747</v>
      </c>
      <c r="W842" s="133">
        <v>0.937254901960784</v>
      </c>
      <c r="X842" s="133">
        <v>0.927692210579472</v>
      </c>
      <c r="Y842" s="135">
        <v>0.92</v>
      </c>
      <c r="Z842" s="135">
        <v>0.92</v>
      </c>
      <c r="AA842" s="135">
        <v>0.936893203883495</v>
      </c>
      <c r="AB842" s="135">
        <v>0.941176470588235</v>
      </c>
      <c r="AC842" s="135">
        <v>0.94535829079221</v>
      </c>
      <c r="AD842" s="135">
        <v>0.92</v>
      </c>
      <c r="AE842" s="133">
        <v>1</v>
      </c>
      <c r="AF842" s="133">
        <v>1</v>
      </c>
      <c r="AG842" s="133">
        <v>1</v>
      </c>
      <c r="AH842" s="133">
        <v>0.998177884067874</v>
      </c>
      <c r="AI842" s="135">
        <v>0.92</v>
      </c>
      <c r="AJ842" s="133">
        <v>0.956204379562044</v>
      </c>
      <c r="AK842" s="133">
        <v>0.963713980789755</v>
      </c>
      <c r="AL842" s="133">
        <v>0.96078431372549</v>
      </c>
      <c r="AM842" s="133">
        <v>0.972304113812782</v>
      </c>
      <c r="AN842" s="132">
        <v>0.99</v>
      </c>
      <c r="AO842" s="137">
        <v>1</v>
      </c>
      <c r="AP842" s="137">
        <v>1</v>
      </c>
      <c r="AQ842" s="137">
        <v>1</v>
      </c>
      <c r="AR842" s="137">
        <v>1</v>
      </c>
      <c r="AS842" s="158">
        <v>0.0810595228934205</v>
      </c>
      <c r="AT842" s="141">
        <v>0</v>
      </c>
      <c r="AU842" s="141">
        <v>0</v>
      </c>
      <c r="AV842" s="141">
        <v>0.166666666666667</v>
      </c>
      <c r="AW842" s="141">
        <v>0.0434782608695652</v>
      </c>
      <c r="AX842" s="95"/>
      <c r="AY842" s="93"/>
    </row>
    <row r="843" ht="15" spans="1:51">
      <c r="A843" s="91"/>
      <c r="B843" s="95"/>
      <c r="C843" s="152" t="s">
        <v>668</v>
      </c>
      <c r="D843" s="153" t="s">
        <v>25</v>
      </c>
      <c r="E843" s="130" t="s">
        <v>669</v>
      </c>
      <c r="F843" s="179" t="s">
        <v>870</v>
      </c>
      <c r="G843" s="179" t="s">
        <v>870</v>
      </c>
      <c r="H843" s="179" t="s">
        <v>870</v>
      </c>
      <c r="I843" s="179" t="s">
        <v>870</v>
      </c>
      <c r="J843" s="132">
        <v>0.9</v>
      </c>
      <c r="K843" s="133">
        <v>1</v>
      </c>
      <c r="L843" s="133">
        <v>1</v>
      </c>
      <c r="M843" s="134">
        <v>1</v>
      </c>
      <c r="N843" s="133">
        <v>0.886206896551724</v>
      </c>
      <c r="O843" s="135">
        <v>0.9</v>
      </c>
      <c r="P843" s="133">
        <v>0.981981981981982</v>
      </c>
      <c r="Q843" s="133">
        <v>0.981132075471698</v>
      </c>
      <c r="R843" s="133">
        <v>0.981060606060606</v>
      </c>
      <c r="S843" s="133">
        <v>0.942567866301176</v>
      </c>
      <c r="T843" s="135">
        <v>0.9</v>
      </c>
      <c r="U843" s="133">
        <v>0.923423423423423</v>
      </c>
      <c r="V843" s="133">
        <v>0.949685534591195</v>
      </c>
      <c r="W843" s="133">
        <v>0.865530303030303</v>
      </c>
      <c r="X843" s="133">
        <v>0.734812980811743</v>
      </c>
      <c r="Y843" s="135">
        <v>0.92</v>
      </c>
      <c r="Z843" s="135">
        <v>0.877551020408163</v>
      </c>
      <c r="AA843" s="135">
        <v>0.652542372881356</v>
      </c>
      <c r="AB843" s="135">
        <v>0.813333333333333</v>
      </c>
      <c r="AC843" s="135">
        <v>0.745409701288024</v>
      </c>
      <c r="AD843" s="135">
        <v>0.92</v>
      </c>
      <c r="AE843" s="133">
        <v>1</v>
      </c>
      <c r="AF843" s="133">
        <v>0.666666666666667</v>
      </c>
      <c r="AG843" s="133">
        <v>1</v>
      </c>
      <c r="AH843" s="133">
        <v>0.941605839416058</v>
      </c>
      <c r="AI843" s="135">
        <v>0.92</v>
      </c>
      <c r="AJ843" s="133">
        <v>0.944649446494465</v>
      </c>
      <c r="AK843" s="133">
        <v>0.904201680672269</v>
      </c>
      <c r="AL843" s="133">
        <v>0.961028192371476</v>
      </c>
      <c r="AM843" s="133">
        <v>0.937566620983706</v>
      </c>
      <c r="AN843" s="132">
        <v>0.99</v>
      </c>
      <c r="AO843" s="137">
        <v>1</v>
      </c>
      <c r="AP843" s="137">
        <v>1</v>
      </c>
      <c r="AQ843" s="137">
        <v>1</v>
      </c>
      <c r="AR843" s="137">
        <v>1</v>
      </c>
      <c r="AS843" s="158">
        <v>0.0810595228934205</v>
      </c>
      <c r="AT843" s="141">
        <v>7.5</v>
      </c>
      <c r="AU843" s="141">
        <v>0.166666666666667</v>
      </c>
      <c r="AV843" s="141">
        <v>0</v>
      </c>
      <c r="AW843" s="141">
        <v>0.218181818181818</v>
      </c>
      <c r="AX843" s="95"/>
      <c r="AY843" s="93"/>
    </row>
    <row r="844" ht="15" spans="1:51">
      <c r="A844" s="91"/>
      <c r="B844" s="95"/>
      <c r="C844" s="152" t="s">
        <v>668</v>
      </c>
      <c r="D844" s="153" t="s">
        <v>25</v>
      </c>
      <c r="E844" s="130" t="s">
        <v>669</v>
      </c>
      <c r="F844" s="179" t="s">
        <v>871</v>
      </c>
      <c r="G844" s="179" t="s">
        <v>871</v>
      </c>
      <c r="H844" s="179" t="s">
        <v>871</v>
      </c>
      <c r="I844" s="179" t="s">
        <v>871</v>
      </c>
      <c r="J844" s="132">
        <v>0.9</v>
      </c>
      <c r="K844" s="133">
        <v>1</v>
      </c>
      <c r="L844" s="133">
        <v>0.958333333333333</v>
      </c>
      <c r="M844" s="134">
        <v>1</v>
      </c>
      <c r="N844" s="133">
        <v>0.920754716981132</v>
      </c>
      <c r="O844" s="135">
        <v>0.9</v>
      </c>
      <c r="P844" s="133">
        <v>0.971063257065949</v>
      </c>
      <c r="Q844" s="133">
        <v>0.964435146443515</v>
      </c>
      <c r="R844" s="133">
        <v>0.967178401270513</v>
      </c>
      <c r="S844" s="133">
        <v>0.956961077844311</v>
      </c>
      <c r="T844" s="135">
        <v>0.9</v>
      </c>
      <c r="U844" s="133">
        <v>0.949528936742934</v>
      </c>
      <c r="V844" s="133">
        <v>0.934100418410042</v>
      </c>
      <c r="W844" s="133">
        <v>0.961355214399153</v>
      </c>
      <c r="X844" s="133">
        <v>0.929665668662675</v>
      </c>
      <c r="Y844" s="135">
        <v>0.92</v>
      </c>
      <c r="Z844" s="135">
        <v>0.857142857142857</v>
      </c>
      <c r="AA844" s="135">
        <v>0.796428571428571</v>
      </c>
      <c r="AB844" s="135">
        <v>0.819112627986348</v>
      </c>
      <c r="AC844" s="135">
        <v>0.828810623556582</v>
      </c>
      <c r="AD844" s="135">
        <v>0.92</v>
      </c>
      <c r="AE844" s="133">
        <v>1</v>
      </c>
      <c r="AF844" s="133">
        <v>0.992592592592593</v>
      </c>
      <c r="AG844" s="133">
        <v>0.997435897435897</v>
      </c>
      <c r="AH844" s="133">
        <v>0.991541007723428</v>
      </c>
      <c r="AI844" s="135">
        <v>0.92</v>
      </c>
      <c r="AJ844" s="133">
        <v>0.944507361268403</v>
      </c>
      <c r="AK844" s="133">
        <v>0.916666666666667</v>
      </c>
      <c r="AL844" s="133">
        <v>0.956003666361137</v>
      </c>
      <c r="AM844" s="133">
        <v>0.952965452688904</v>
      </c>
      <c r="AN844" s="132">
        <v>0.99</v>
      </c>
      <c r="AO844" s="137">
        <v>1</v>
      </c>
      <c r="AP844" s="137">
        <v>1</v>
      </c>
      <c r="AQ844" s="137">
        <v>1</v>
      </c>
      <c r="AR844" s="137">
        <v>1</v>
      </c>
      <c r="AS844" s="158">
        <v>0.0810595228934205</v>
      </c>
      <c r="AT844" s="141">
        <v>0</v>
      </c>
      <c r="AU844" s="141">
        <v>0</v>
      </c>
      <c r="AV844" s="141">
        <v>0</v>
      </c>
      <c r="AW844" s="141">
        <v>0.0666666666666667</v>
      </c>
      <c r="AX844" s="95"/>
      <c r="AY844" s="93"/>
    </row>
    <row r="845" ht="15" spans="1:51">
      <c r="A845" s="91"/>
      <c r="B845" s="95"/>
      <c r="C845" s="152" t="s">
        <v>668</v>
      </c>
      <c r="D845" s="153" t="s">
        <v>25</v>
      </c>
      <c r="E845" s="130" t="s">
        <v>669</v>
      </c>
      <c r="F845" s="179" t="s">
        <v>872</v>
      </c>
      <c r="G845" s="179" t="s">
        <v>872</v>
      </c>
      <c r="H845" s="179" t="s">
        <v>872</v>
      </c>
      <c r="I845" s="179" t="s">
        <v>872</v>
      </c>
      <c r="J845" s="132">
        <v>0.9</v>
      </c>
      <c r="K845" s="133">
        <v>0.91304347826087</v>
      </c>
      <c r="L845" s="133">
        <v>0.952380952380952</v>
      </c>
      <c r="M845" s="134">
        <v>0.86046511627907</v>
      </c>
      <c r="N845" s="133">
        <v>0.902923976608187</v>
      </c>
      <c r="O845" s="135">
        <v>0.9</v>
      </c>
      <c r="P845" s="133">
        <v>0.948639157155399</v>
      </c>
      <c r="Q845" s="133">
        <v>0.957736389684814</v>
      </c>
      <c r="R845" s="133">
        <v>0.965148378191857</v>
      </c>
      <c r="S845" s="133">
        <v>0.951194712760549</v>
      </c>
      <c r="T845" s="135">
        <v>0.9</v>
      </c>
      <c r="U845" s="133">
        <v>0.938542581211589</v>
      </c>
      <c r="V845" s="133">
        <v>0.929083094555874</v>
      </c>
      <c r="W845" s="133">
        <v>0.919254658385093</v>
      </c>
      <c r="X845" s="133">
        <v>0.921284528046094</v>
      </c>
      <c r="Y845" s="135">
        <v>0.92</v>
      </c>
      <c r="Z845" s="135">
        <v>0.933740191804708</v>
      </c>
      <c r="AA845" s="135">
        <v>0.933110367892977</v>
      </c>
      <c r="AB845" s="135">
        <v>0.886243386243386</v>
      </c>
      <c r="AC845" s="135">
        <v>0.911124019750218</v>
      </c>
      <c r="AD845" s="135">
        <v>0.92</v>
      </c>
      <c r="AE845" s="133">
        <v>0.999514798641436</v>
      </c>
      <c r="AF845" s="133">
        <v>0.998051948051948</v>
      </c>
      <c r="AG845" s="133">
        <v>0.990361445783133</v>
      </c>
      <c r="AH845" s="133">
        <v>0.992815133693082</v>
      </c>
      <c r="AI845" s="135">
        <v>0.92</v>
      </c>
      <c r="AJ845" s="133">
        <v>0.953576642335766</v>
      </c>
      <c r="AK845" s="133">
        <v>0.953383458646617</v>
      </c>
      <c r="AL845" s="133">
        <v>0.952700640830027</v>
      </c>
      <c r="AM845" s="133">
        <v>0.953014940252109</v>
      </c>
      <c r="AN845" s="132">
        <v>0.99</v>
      </c>
      <c r="AO845" s="137">
        <v>1</v>
      </c>
      <c r="AP845" s="137">
        <v>1</v>
      </c>
      <c r="AQ845" s="137">
        <v>1</v>
      </c>
      <c r="AR845" s="137">
        <v>1</v>
      </c>
      <c r="AS845" s="158">
        <v>0.0810595228934205</v>
      </c>
      <c r="AT845" s="141">
        <v>0.0454545454545455</v>
      </c>
      <c r="AU845" s="141">
        <v>0.153846153846154</v>
      </c>
      <c r="AV845" s="141">
        <v>0.05</v>
      </c>
      <c r="AW845" s="141">
        <v>0.0393700787401575</v>
      </c>
      <c r="AX845" s="95"/>
      <c r="AY845" s="93"/>
    </row>
    <row r="846" ht="15" spans="1:51">
      <c r="A846" s="91"/>
      <c r="B846" s="95"/>
      <c r="C846" s="152" t="s">
        <v>668</v>
      </c>
      <c r="D846" s="153" t="s">
        <v>25</v>
      </c>
      <c r="E846" s="130" t="s">
        <v>669</v>
      </c>
      <c r="F846" s="179" t="s">
        <v>873</v>
      </c>
      <c r="G846" s="179" t="s">
        <v>873</v>
      </c>
      <c r="H846" s="179" t="s">
        <v>873</v>
      </c>
      <c r="I846" s="179" t="s">
        <v>873</v>
      </c>
      <c r="J846" s="132">
        <v>0.9</v>
      </c>
      <c r="K846" s="133">
        <v>0.9</v>
      </c>
      <c r="L846" s="133">
        <v>0.942857142857143</v>
      </c>
      <c r="M846" s="134">
        <v>0.871794871794872</v>
      </c>
      <c r="N846" s="133">
        <v>0.871369294605809</v>
      </c>
      <c r="O846" s="135">
        <v>0.9</v>
      </c>
      <c r="P846" s="133">
        <v>0.901543374135178</v>
      </c>
      <c r="Q846" s="133">
        <v>0.892205638474295</v>
      </c>
      <c r="R846" s="133">
        <v>0.940250302785628</v>
      </c>
      <c r="S846" s="133">
        <v>0.937606129633464</v>
      </c>
      <c r="T846" s="135">
        <v>0.9</v>
      </c>
      <c r="U846" s="133">
        <v>0.882916444917509</v>
      </c>
      <c r="V846" s="133">
        <v>0.878109452736318</v>
      </c>
      <c r="W846" s="133">
        <v>0.890997174000807</v>
      </c>
      <c r="X846" s="133">
        <v>0.877925036239387</v>
      </c>
      <c r="Y846" s="135">
        <v>0.92</v>
      </c>
      <c r="Z846" s="135">
        <v>0.90311004784689</v>
      </c>
      <c r="AA846" s="135">
        <v>0.919230769230769</v>
      </c>
      <c r="AB846" s="135">
        <v>0.940809968847352</v>
      </c>
      <c r="AC846" s="135">
        <v>0.920630245913709</v>
      </c>
      <c r="AD846" s="135">
        <v>0.92</v>
      </c>
      <c r="AE846" s="133">
        <v>0.990361445783133</v>
      </c>
      <c r="AF846" s="133">
        <v>0.988441978733241</v>
      </c>
      <c r="AG846" s="133">
        <v>0.990283400809717</v>
      </c>
      <c r="AH846" s="133">
        <v>0.988671695460567</v>
      </c>
      <c r="AI846" s="135">
        <v>0.92</v>
      </c>
      <c r="AJ846" s="133">
        <v>0.920810313075506</v>
      </c>
      <c r="AK846" s="133">
        <v>0.928199189345686</v>
      </c>
      <c r="AL846" s="133">
        <v>0.942836727402644</v>
      </c>
      <c r="AM846" s="133">
        <v>0.943094422542493</v>
      </c>
      <c r="AN846" s="132">
        <v>0.99</v>
      </c>
      <c r="AO846" s="137">
        <v>1</v>
      </c>
      <c r="AP846" s="137">
        <v>1</v>
      </c>
      <c r="AQ846" s="137">
        <v>1</v>
      </c>
      <c r="AR846" s="137">
        <v>1</v>
      </c>
      <c r="AS846" s="158">
        <v>0.0810595228934205</v>
      </c>
      <c r="AT846" s="141">
        <v>0.0476190476190476</v>
      </c>
      <c r="AU846" s="141">
        <v>0</v>
      </c>
      <c r="AV846" s="141">
        <v>0.0416666666666667</v>
      </c>
      <c r="AW846" s="141">
        <v>0.0298507462686567</v>
      </c>
      <c r="AX846" s="95"/>
      <c r="AY846" s="93"/>
    </row>
    <row r="847" ht="15" spans="1:51">
      <c r="A847" s="91"/>
      <c r="B847" s="95"/>
      <c r="C847" s="152" t="s">
        <v>668</v>
      </c>
      <c r="D847" s="153" t="s">
        <v>25</v>
      </c>
      <c r="E847" s="130" t="s">
        <v>669</v>
      </c>
      <c r="F847" s="179" t="s">
        <v>874</v>
      </c>
      <c r="G847" s="179" t="s">
        <v>874</v>
      </c>
      <c r="H847" s="179" t="s">
        <v>874</v>
      </c>
      <c r="I847" s="179" t="s">
        <v>874</v>
      </c>
      <c r="J847" s="132">
        <v>0.9</v>
      </c>
      <c r="K847" s="133">
        <v>0.829268292682927</v>
      </c>
      <c r="L847" s="133">
        <v>0.925</v>
      </c>
      <c r="M847" s="134">
        <v>0.902439024390244</v>
      </c>
      <c r="N847" s="133">
        <v>0.867360208062419</v>
      </c>
      <c r="O847" s="135">
        <v>0.9</v>
      </c>
      <c r="P847" s="133">
        <v>0.960252935862692</v>
      </c>
      <c r="Q847" s="133">
        <v>0.944769330734243</v>
      </c>
      <c r="R847" s="133">
        <v>0.899621212121212</v>
      </c>
      <c r="S847" s="133">
        <v>0.917630036022729</v>
      </c>
      <c r="T847" s="135">
        <v>0.9</v>
      </c>
      <c r="U847" s="133">
        <v>0.911472448057814</v>
      </c>
      <c r="V847" s="133">
        <v>0.915529564652372</v>
      </c>
      <c r="W847" s="133">
        <v>0.908459595959596</v>
      </c>
      <c r="X847" s="133">
        <v>0.9065066996247</v>
      </c>
      <c r="Y847" s="135">
        <v>0.92</v>
      </c>
      <c r="Z847" s="135">
        <v>0.931398416886544</v>
      </c>
      <c r="AA847" s="135">
        <v>0.953767123287671</v>
      </c>
      <c r="AB847" s="135">
        <v>0.942857142857143</v>
      </c>
      <c r="AC847" s="135">
        <v>0.949619565217391</v>
      </c>
      <c r="AD847" s="135">
        <v>0.92</v>
      </c>
      <c r="AE847" s="133">
        <v>0.99746192893401</v>
      </c>
      <c r="AF847" s="133">
        <v>0.997084548104956</v>
      </c>
      <c r="AG847" s="133">
        <v>0.988215488215488</v>
      </c>
      <c r="AH847" s="133">
        <v>0.987678000581226</v>
      </c>
      <c r="AI847" s="135">
        <v>0.92</v>
      </c>
      <c r="AJ847" s="133">
        <v>0.942405252163533</v>
      </c>
      <c r="AK847" s="133">
        <v>0.946798493408663</v>
      </c>
      <c r="AL847" s="133">
        <v>0.959482273494654</v>
      </c>
      <c r="AM847" s="133">
        <v>0.958857884490591</v>
      </c>
      <c r="AN847" s="132">
        <v>0.99</v>
      </c>
      <c r="AO847" s="137">
        <v>1</v>
      </c>
      <c r="AP847" s="137">
        <v>1</v>
      </c>
      <c r="AQ847" s="137">
        <v>1</v>
      </c>
      <c r="AR847" s="137">
        <v>1</v>
      </c>
      <c r="AS847" s="158">
        <v>0.0810595228934205</v>
      </c>
      <c r="AT847" s="141">
        <v>0.0833333333333333</v>
      </c>
      <c r="AU847" s="141">
        <v>0</v>
      </c>
      <c r="AV847" s="141">
        <v>0</v>
      </c>
      <c r="AW847" s="141">
        <v>0.029045643153527</v>
      </c>
      <c r="AX847" s="95"/>
      <c r="AY847" s="93"/>
    </row>
    <row r="848" ht="15" spans="1:51">
      <c r="A848" s="91"/>
      <c r="B848" s="95"/>
      <c r="C848" s="152" t="s">
        <v>668</v>
      </c>
      <c r="D848" s="153" t="s">
        <v>25</v>
      </c>
      <c r="E848" s="130" t="s">
        <v>669</v>
      </c>
      <c r="F848" s="179" t="s">
        <v>875</v>
      </c>
      <c r="G848" s="179" t="s">
        <v>875</v>
      </c>
      <c r="H848" s="179" t="s">
        <v>875</v>
      </c>
      <c r="I848" s="179" t="s">
        <v>875</v>
      </c>
      <c r="J848" s="132">
        <v>0.9</v>
      </c>
      <c r="K848" s="133">
        <v>0.852941176470588</v>
      </c>
      <c r="L848" s="133">
        <v>0.857142857142857</v>
      </c>
      <c r="M848" s="134">
        <v>0.870967741935484</v>
      </c>
      <c r="N848" s="133">
        <v>0.931034482758621</v>
      </c>
      <c r="O848" s="135">
        <v>0.9</v>
      </c>
      <c r="P848" s="133">
        <v>0.926739926739927</v>
      </c>
      <c r="Q848" s="133">
        <v>0.960618846694796</v>
      </c>
      <c r="R848" s="133">
        <v>0.97397504456328</v>
      </c>
      <c r="S848" s="133">
        <v>0.973083512960814</v>
      </c>
      <c r="T848" s="135">
        <v>0.9</v>
      </c>
      <c r="U848" s="133">
        <v>0.936682365253794</v>
      </c>
      <c r="V848" s="133">
        <v>0.958509142053446</v>
      </c>
      <c r="W848" s="133">
        <v>0.946524064171123</v>
      </c>
      <c r="X848" s="133">
        <v>0.942795556292489</v>
      </c>
      <c r="Y848" s="135">
        <v>0.92</v>
      </c>
      <c r="Z848" s="135">
        <v>0.979434447300771</v>
      </c>
      <c r="AA848" s="135">
        <v>0.971830985915493</v>
      </c>
      <c r="AB848" s="135">
        <v>0.988571428571429</v>
      </c>
      <c r="AC848" s="135">
        <v>0.979226012645036</v>
      </c>
      <c r="AD848" s="135">
        <v>0.92</v>
      </c>
      <c r="AE848" s="133">
        <v>1</v>
      </c>
      <c r="AF848" s="133">
        <v>0.999198717948718</v>
      </c>
      <c r="AG848" s="133">
        <v>0.997676219984508</v>
      </c>
      <c r="AH848" s="133">
        <v>0.992401442872084</v>
      </c>
      <c r="AI848" s="135">
        <v>0.92</v>
      </c>
      <c r="AJ848" s="133">
        <v>0.973596132391224</v>
      </c>
      <c r="AK848" s="133">
        <v>0.980904522613065</v>
      </c>
      <c r="AL848" s="133">
        <v>0.98351822503962</v>
      </c>
      <c r="AM848" s="133">
        <v>0.984668025626092</v>
      </c>
      <c r="AN848" s="132">
        <v>0.99</v>
      </c>
      <c r="AO848" s="137">
        <v>1</v>
      </c>
      <c r="AP848" s="137">
        <v>1</v>
      </c>
      <c r="AQ848" s="137">
        <v>1</v>
      </c>
      <c r="AR848" s="137">
        <v>1</v>
      </c>
      <c r="AS848" s="158">
        <v>0.0810595228934205</v>
      </c>
      <c r="AT848" s="141">
        <v>0</v>
      </c>
      <c r="AU848" s="141">
        <v>0</v>
      </c>
      <c r="AV848" s="141">
        <v>0.111111111111111</v>
      </c>
      <c r="AW848" s="141">
        <v>0.047244094488189</v>
      </c>
      <c r="AX848" s="95"/>
      <c r="AY848" s="93"/>
    </row>
    <row r="849" ht="15" spans="1:51">
      <c r="A849" s="91"/>
      <c r="B849" s="95"/>
      <c r="C849" s="152" t="s">
        <v>668</v>
      </c>
      <c r="D849" s="153" t="s">
        <v>25</v>
      </c>
      <c r="E849" s="130" t="s">
        <v>669</v>
      </c>
      <c r="F849" s="179" t="s">
        <v>876</v>
      </c>
      <c r="G849" s="179" t="s">
        <v>876</v>
      </c>
      <c r="H849" s="179" t="s">
        <v>876</v>
      </c>
      <c r="I849" s="179" t="s">
        <v>876</v>
      </c>
      <c r="J849" s="132">
        <v>0.9</v>
      </c>
      <c r="K849" s="133">
        <v>0.72</v>
      </c>
      <c r="L849" s="133">
        <v>0.736842105263158</v>
      </c>
      <c r="M849" s="134">
        <v>0.727272727272727</v>
      </c>
      <c r="N849" s="133">
        <v>0.741007194244604</v>
      </c>
      <c r="O849" s="135">
        <v>0.9</v>
      </c>
      <c r="P849" s="133">
        <v>0.967684021543986</v>
      </c>
      <c r="Q849" s="133">
        <v>0.967780429594272</v>
      </c>
      <c r="R849" s="133">
        <v>0.951118963486455</v>
      </c>
      <c r="S849" s="133">
        <v>0.956182434593488</v>
      </c>
      <c r="T849" s="135">
        <v>0.9</v>
      </c>
      <c r="U849" s="133">
        <v>0.885996409335727</v>
      </c>
      <c r="V849" s="133">
        <v>0.910501193317422</v>
      </c>
      <c r="W849" s="133">
        <v>0.896348645465253</v>
      </c>
      <c r="X849" s="133">
        <v>0.895093712019446</v>
      </c>
      <c r="Y849" s="135">
        <v>0.92</v>
      </c>
      <c r="Z849" s="135">
        <v>0.933198380566802</v>
      </c>
      <c r="AA849" s="135">
        <v>0.92</v>
      </c>
      <c r="AB849" s="135">
        <v>0.959183673469388</v>
      </c>
      <c r="AC849" s="135">
        <v>0.934836780463494</v>
      </c>
      <c r="AD849" s="135">
        <v>0.92</v>
      </c>
      <c r="AE849" s="133">
        <v>0.995444191343964</v>
      </c>
      <c r="AF849" s="133">
        <v>0.991935483870968</v>
      </c>
      <c r="AG849" s="133">
        <v>0.986363636363636</v>
      </c>
      <c r="AH849" s="133">
        <v>0.979346373466164</v>
      </c>
      <c r="AI849" s="135">
        <v>0.92</v>
      </c>
      <c r="AJ849" s="133">
        <v>0.949036668738347</v>
      </c>
      <c r="AK849" s="133">
        <v>0.949033391915642</v>
      </c>
      <c r="AL849" s="133">
        <v>0.963588390501319</v>
      </c>
      <c r="AM849" s="133">
        <v>0.962698150174296</v>
      </c>
      <c r="AN849" s="132">
        <v>0.99</v>
      </c>
      <c r="AO849" s="137">
        <v>1</v>
      </c>
      <c r="AP849" s="137">
        <v>1</v>
      </c>
      <c r="AQ849" s="137">
        <v>1</v>
      </c>
      <c r="AR849" s="137">
        <v>1</v>
      </c>
      <c r="AS849" s="158">
        <v>0.0810595228934205</v>
      </c>
      <c r="AT849" s="141">
        <v>0.285714285714286</v>
      </c>
      <c r="AU849" s="141">
        <v>0</v>
      </c>
      <c r="AV849" s="141">
        <v>0.272727272727273</v>
      </c>
      <c r="AW849" s="141">
        <v>0.0885416666666667</v>
      </c>
      <c r="AX849" s="95"/>
      <c r="AY849" s="93"/>
    </row>
    <row r="850" ht="15" spans="1:51">
      <c r="A850" s="91"/>
      <c r="B850" s="95"/>
      <c r="C850" s="152" t="s">
        <v>668</v>
      </c>
      <c r="D850" s="153" t="s">
        <v>25</v>
      </c>
      <c r="E850" s="130" t="s">
        <v>669</v>
      </c>
      <c r="F850" s="179" t="s">
        <v>877</v>
      </c>
      <c r="G850" s="179" t="s">
        <v>877</v>
      </c>
      <c r="H850" s="179" t="s">
        <v>877</v>
      </c>
      <c r="I850" s="179" t="s">
        <v>877</v>
      </c>
      <c r="J850" s="132">
        <v>0.9</v>
      </c>
      <c r="K850" s="133">
        <v>1</v>
      </c>
      <c r="L850" s="133">
        <v>1</v>
      </c>
      <c r="M850" s="134">
        <v>0.961538461538462</v>
      </c>
      <c r="N850" s="133">
        <v>0.972727272727273</v>
      </c>
      <c r="O850" s="135">
        <v>0.9</v>
      </c>
      <c r="P850" s="133">
        <v>0.957983193277311</v>
      </c>
      <c r="Q850" s="133">
        <v>0.925133689839572</v>
      </c>
      <c r="R850" s="133">
        <v>0.980044345898004</v>
      </c>
      <c r="S850" s="133">
        <v>0.963955281418658</v>
      </c>
      <c r="T850" s="135">
        <v>0.9</v>
      </c>
      <c r="U850" s="133">
        <v>0.917542016806723</v>
      </c>
      <c r="V850" s="133">
        <v>0.864973262032086</v>
      </c>
      <c r="W850" s="133">
        <v>0.849593495934959</v>
      </c>
      <c r="X850" s="133">
        <v>0.918774094063223</v>
      </c>
      <c r="Y850" s="135">
        <v>0.92</v>
      </c>
      <c r="Z850" s="135">
        <v>0.902900378310214</v>
      </c>
      <c r="AA850" s="135">
        <v>0.887387387387387</v>
      </c>
      <c r="AB850" s="135">
        <v>0.0483870967741935</v>
      </c>
      <c r="AC850" s="135">
        <v>0.910480850087914</v>
      </c>
      <c r="AD850" s="135">
        <v>0.92</v>
      </c>
      <c r="AE850" s="133">
        <v>0.999163879598662</v>
      </c>
      <c r="AF850" s="133">
        <v>0.993680884676145</v>
      </c>
      <c r="AG850" s="133">
        <v>0.989767441860465</v>
      </c>
      <c r="AH850" s="133">
        <v>0.991793721973094</v>
      </c>
      <c r="AI850" s="135">
        <v>0.92</v>
      </c>
      <c r="AJ850" s="133">
        <v>0.946627131208302</v>
      </c>
      <c r="AK850" s="133">
        <v>0.952061855670103</v>
      </c>
      <c r="AL850" s="133">
        <v>0.834549071618037</v>
      </c>
      <c r="AM850" s="133">
        <v>0.962226395345258</v>
      </c>
      <c r="AN850" s="132">
        <v>0.99</v>
      </c>
      <c r="AO850" s="137">
        <v>1</v>
      </c>
      <c r="AP850" s="137">
        <v>1</v>
      </c>
      <c r="AQ850" s="137">
        <v>1</v>
      </c>
      <c r="AR850" s="137">
        <v>1</v>
      </c>
      <c r="AS850" s="158">
        <v>0.0810595228934205</v>
      </c>
      <c r="AT850" s="141">
        <v>0.25</v>
      </c>
      <c r="AU850" s="141">
        <v>0</v>
      </c>
      <c r="AV850" s="141">
        <v>0</v>
      </c>
      <c r="AW850" s="141">
        <v>0.0349344978165939</v>
      </c>
      <c r="AX850" s="95"/>
      <c r="AY850" s="93"/>
    </row>
    <row r="851" ht="15" spans="1:51">
      <c r="A851" s="91"/>
      <c r="B851" s="95"/>
      <c r="C851" s="152" t="s">
        <v>668</v>
      </c>
      <c r="D851" s="153" t="s">
        <v>25</v>
      </c>
      <c r="E851" s="130" t="s">
        <v>669</v>
      </c>
      <c r="F851" s="179" t="s">
        <v>878</v>
      </c>
      <c r="G851" s="179" t="s">
        <v>878</v>
      </c>
      <c r="H851" s="179" t="s">
        <v>878</v>
      </c>
      <c r="I851" s="179" t="s">
        <v>878</v>
      </c>
      <c r="J851" s="132">
        <v>0.9</v>
      </c>
      <c r="K851" s="133">
        <v>0.604651162790698</v>
      </c>
      <c r="L851" s="133">
        <v>0.609756097560976</v>
      </c>
      <c r="M851" s="134">
        <v>0.428571428571429</v>
      </c>
      <c r="N851" s="133">
        <v>0.615885416666667</v>
      </c>
      <c r="O851" s="135">
        <v>0.9</v>
      </c>
      <c r="P851" s="133">
        <v>0.799240626483151</v>
      </c>
      <c r="Q851" s="133">
        <v>0.783526208304969</v>
      </c>
      <c r="R851" s="133">
        <v>0.80938123752495</v>
      </c>
      <c r="S851" s="133">
        <v>0.756490195750656</v>
      </c>
      <c r="T851" s="135">
        <v>0.9</v>
      </c>
      <c r="U851" s="133">
        <v>0.570953962980541</v>
      </c>
      <c r="V851" s="133">
        <v>0.469707283866576</v>
      </c>
      <c r="W851" s="133">
        <v>0.342648037258816</v>
      </c>
      <c r="X851" s="133">
        <v>0.484378395546714</v>
      </c>
      <c r="Y851" s="135">
        <v>0.92</v>
      </c>
      <c r="Z851" s="135">
        <v>0.541666666666667</v>
      </c>
      <c r="AA851" s="135">
        <v>0.482242990654206</v>
      </c>
      <c r="AB851" s="135">
        <v>0.195195195195195</v>
      </c>
      <c r="AC851" s="135">
        <v>0.477772546909678</v>
      </c>
      <c r="AD851" s="135">
        <v>0.92</v>
      </c>
      <c r="AE851" s="133">
        <v>0.998069498069498</v>
      </c>
      <c r="AF851" s="133">
        <v>0.993620414673046</v>
      </c>
      <c r="AG851" s="133">
        <v>0.989690721649485</v>
      </c>
      <c r="AH851" s="133">
        <v>0.967104047311033</v>
      </c>
      <c r="AI851" s="135">
        <v>0.92</v>
      </c>
      <c r="AJ851" s="133">
        <v>0.776941498460486</v>
      </c>
      <c r="AK851" s="133">
        <v>0.698602794411178</v>
      </c>
      <c r="AL851" s="133">
        <v>0.601197604790419</v>
      </c>
      <c r="AM851" s="133">
        <v>0.75848773696048</v>
      </c>
      <c r="AN851" s="132">
        <v>0.99</v>
      </c>
      <c r="AO851" s="137">
        <v>1</v>
      </c>
      <c r="AP851" s="137">
        <v>1</v>
      </c>
      <c r="AQ851" s="137">
        <v>1</v>
      </c>
      <c r="AR851" s="137">
        <v>1</v>
      </c>
      <c r="AS851" s="158">
        <v>0.0810595228934205</v>
      </c>
      <c r="AT851" s="141">
        <v>0</v>
      </c>
      <c r="AU851" s="141">
        <v>0.03125</v>
      </c>
      <c r="AV851" s="141">
        <v>0.025</v>
      </c>
      <c r="AW851" s="141">
        <v>0.0302491103202847</v>
      </c>
      <c r="AX851" s="95"/>
      <c r="AY851" s="93"/>
    </row>
    <row r="852" ht="15" spans="1:51">
      <c r="A852" s="91"/>
      <c r="B852" s="95"/>
      <c r="C852" s="152" t="s">
        <v>668</v>
      </c>
      <c r="D852" s="153" t="s">
        <v>25</v>
      </c>
      <c r="E852" s="130" t="s">
        <v>669</v>
      </c>
      <c r="F852" s="179" t="s">
        <v>879</v>
      </c>
      <c r="G852" s="179" t="s">
        <v>879</v>
      </c>
      <c r="H852" s="179" t="s">
        <v>879</v>
      </c>
      <c r="I852" s="179" t="s">
        <v>879</v>
      </c>
      <c r="J852" s="132">
        <v>0.9</v>
      </c>
      <c r="K852" s="133" t="s">
        <v>35</v>
      </c>
      <c r="L852" s="133" t="s">
        <v>35</v>
      </c>
      <c r="M852" s="134" t="s">
        <v>35</v>
      </c>
      <c r="N852" s="133" t="s">
        <v>35</v>
      </c>
      <c r="O852" s="135">
        <v>0.9</v>
      </c>
      <c r="P852" s="133" t="s">
        <v>35</v>
      </c>
      <c r="Q852" s="133" t="s">
        <v>35</v>
      </c>
      <c r="R852" s="133" t="s">
        <v>35</v>
      </c>
      <c r="S852" s="133">
        <v>0.00925925925925926</v>
      </c>
      <c r="T852" s="135">
        <v>0.9</v>
      </c>
      <c r="U852" s="133" t="s">
        <v>35</v>
      </c>
      <c r="V852" s="133" t="s">
        <v>35</v>
      </c>
      <c r="W852" s="133" t="s">
        <v>35</v>
      </c>
      <c r="X852" s="133">
        <v>0.694444444444444</v>
      </c>
      <c r="Y852" s="135">
        <v>0.92</v>
      </c>
      <c r="Z852" s="135" t="s">
        <v>35</v>
      </c>
      <c r="AA852" s="135">
        <v>1</v>
      </c>
      <c r="AB852" s="135" t="s">
        <v>35</v>
      </c>
      <c r="AC852" s="135">
        <v>1</v>
      </c>
      <c r="AD852" s="135">
        <v>0.92</v>
      </c>
      <c r="AE852" s="133" t="s">
        <v>35</v>
      </c>
      <c r="AF852" s="133" t="s">
        <v>35</v>
      </c>
      <c r="AG852" s="133" t="s">
        <v>35</v>
      </c>
      <c r="AH852" s="133">
        <v>0.666666666666667</v>
      </c>
      <c r="AI852" s="135">
        <v>0.92</v>
      </c>
      <c r="AJ852" s="133" t="s">
        <v>35</v>
      </c>
      <c r="AK852" s="133">
        <v>1</v>
      </c>
      <c r="AL852" s="133" t="s">
        <v>35</v>
      </c>
      <c r="AM852" s="133">
        <v>1</v>
      </c>
      <c r="AN852" s="132">
        <v>0.99</v>
      </c>
      <c r="AO852" s="137" t="s">
        <v>35</v>
      </c>
      <c r="AP852" s="137" t="s">
        <v>35</v>
      </c>
      <c r="AQ852" s="137" t="s">
        <v>35</v>
      </c>
      <c r="AR852" s="137">
        <v>1</v>
      </c>
      <c r="AS852" s="158">
        <v>0.0810595228934205</v>
      </c>
      <c r="AT852" s="141" t="s">
        <v>35</v>
      </c>
      <c r="AU852" s="141" t="s">
        <v>35</v>
      </c>
      <c r="AV852" s="141" t="s">
        <v>35</v>
      </c>
      <c r="AW852" s="141">
        <v>0</v>
      </c>
      <c r="AX852" s="95"/>
      <c r="AY852" s="93"/>
    </row>
    <row r="853" ht="15" spans="1:51">
      <c r="A853" s="91"/>
      <c r="B853" s="95"/>
      <c r="C853" s="152" t="s">
        <v>668</v>
      </c>
      <c r="D853" s="153" t="s">
        <v>25</v>
      </c>
      <c r="E853" s="130" t="s">
        <v>669</v>
      </c>
      <c r="F853" s="179" t="s">
        <v>880</v>
      </c>
      <c r="G853" s="179" t="s">
        <v>880</v>
      </c>
      <c r="H853" s="179" t="s">
        <v>880</v>
      </c>
      <c r="I853" s="179" t="s">
        <v>880</v>
      </c>
      <c r="J853" s="132">
        <v>0.9</v>
      </c>
      <c r="K853" s="133">
        <v>0.9375</v>
      </c>
      <c r="L853" s="133">
        <v>0.886363636363636</v>
      </c>
      <c r="M853" s="134">
        <v>0.977777777777778</v>
      </c>
      <c r="N853" s="133">
        <v>0.908267270668177</v>
      </c>
      <c r="O853" s="135">
        <v>0.9</v>
      </c>
      <c r="P853" s="133">
        <v>0.96976241900648</v>
      </c>
      <c r="Q853" s="133">
        <v>0.960614152202937</v>
      </c>
      <c r="R853" s="133">
        <v>0.978448275862069</v>
      </c>
      <c r="S853" s="133">
        <v>0.960078433775545</v>
      </c>
      <c r="T853" s="135">
        <v>0.9</v>
      </c>
      <c r="U853" s="133">
        <v>0.930453563714903</v>
      </c>
      <c r="V853" s="133">
        <v>0.923898531375167</v>
      </c>
      <c r="W853" s="133">
        <v>0.915332512315271</v>
      </c>
      <c r="X853" s="133">
        <v>0.911991788964123</v>
      </c>
      <c r="Y853" s="135">
        <v>0.92</v>
      </c>
      <c r="Z853" s="135">
        <v>0.896643109540636</v>
      </c>
      <c r="AA853" s="135">
        <v>0.901869158878505</v>
      </c>
      <c r="AB853" s="135">
        <v>0.866666666666667</v>
      </c>
      <c r="AC853" s="135">
        <v>0.911916255356077</v>
      </c>
      <c r="AD853" s="135">
        <v>0.92</v>
      </c>
      <c r="AE853" s="133">
        <v>0.997267759562842</v>
      </c>
      <c r="AF853" s="133">
        <v>0.997506234413965</v>
      </c>
      <c r="AG853" s="133">
        <v>0.98932384341637</v>
      </c>
      <c r="AH853" s="133">
        <v>0.984746006619657</v>
      </c>
      <c r="AI853" s="135">
        <v>0.92</v>
      </c>
      <c r="AJ853" s="133">
        <v>0.940818102697998</v>
      </c>
      <c r="AK853" s="133">
        <v>0.950467289719626</v>
      </c>
      <c r="AL853" s="133">
        <v>0.951360263808739</v>
      </c>
      <c r="AM853" s="133">
        <v>0.957800312944184</v>
      </c>
      <c r="AN853" s="132">
        <v>0.99</v>
      </c>
      <c r="AO853" s="137">
        <v>1</v>
      </c>
      <c r="AP853" s="137">
        <v>1</v>
      </c>
      <c r="AQ853" s="137">
        <v>1</v>
      </c>
      <c r="AR853" s="137">
        <v>1</v>
      </c>
      <c r="AS853" s="158">
        <v>0.0810595228934205</v>
      </c>
      <c r="AT853" s="141">
        <v>0.0384615384615385</v>
      </c>
      <c r="AU853" s="141">
        <v>0</v>
      </c>
      <c r="AV853" s="141">
        <v>0</v>
      </c>
      <c r="AW853" s="141">
        <v>0.0301109350237718</v>
      </c>
      <c r="AX853" s="95"/>
      <c r="AY853" s="93"/>
    </row>
    <row r="854" ht="15" spans="1:51">
      <c r="A854" s="91"/>
      <c r="B854" s="95"/>
      <c r="C854" s="152" t="s">
        <v>668</v>
      </c>
      <c r="D854" s="153" t="s">
        <v>25</v>
      </c>
      <c r="E854" s="130" t="s">
        <v>669</v>
      </c>
      <c r="F854" s="179" t="s">
        <v>881</v>
      </c>
      <c r="G854" s="179" t="s">
        <v>881</v>
      </c>
      <c r="H854" s="179" t="s">
        <v>881</v>
      </c>
      <c r="I854" s="179" t="s">
        <v>881</v>
      </c>
      <c r="J854" s="132">
        <v>0.9</v>
      </c>
      <c r="K854" s="133">
        <v>0.972222222222222</v>
      </c>
      <c r="L854" s="133">
        <v>0.967741935483871</v>
      </c>
      <c r="M854" s="134">
        <v>0.914285714285714</v>
      </c>
      <c r="N854" s="133">
        <v>0.967084639498433</v>
      </c>
      <c r="O854" s="135">
        <v>0.9</v>
      </c>
      <c r="P854" s="133">
        <v>0.971333333333333</v>
      </c>
      <c r="Q854" s="133">
        <v>0.963345864661654</v>
      </c>
      <c r="R854" s="133">
        <v>0.968345965225145</v>
      </c>
      <c r="S854" s="133">
        <v>0.95808438916657</v>
      </c>
      <c r="T854" s="135">
        <v>0.9</v>
      </c>
      <c r="U854" s="133">
        <v>0.921333333333333</v>
      </c>
      <c r="V854" s="133">
        <v>0.918233082706767</v>
      </c>
      <c r="W854" s="133">
        <v>0.954525189478377</v>
      </c>
      <c r="X854" s="133">
        <v>0.929326978960828</v>
      </c>
      <c r="Y854" s="135">
        <v>0.92</v>
      </c>
      <c r="Z854" s="135">
        <v>0.886986301369863</v>
      </c>
      <c r="AA854" s="135">
        <v>0.904639175257732</v>
      </c>
      <c r="AB854" s="135">
        <v>0.949771689497717</v>
      </c>
      <c r="AC854" s="135">
        <v>0.914807872539831</v>
      </c>
      <c r="AD854" s="135">
        <v>0.92</v>
      </c>
      <c r="AE854" s="133">
        <v>1</v>
      </c>
      <c r="AF854" s="133">
        <v>1</v>
      </c>
      <c r="AG854" s="133">
        <v>0.986486486486487</v>
      </c>
      <c r="AH854" s="133">
        <v>0.992239467849224</v>
      </c>
      <c r="AI854" s="135">
        <v>0.92</v>
      </c>
      <c r="AJ854" s="133">
        <v>0.937619961612284</v>
      </c>
      <c r="AK854" s="133">
        <v>0.944903581267218</v>
      </c>
      <c r="AL854" s="133">
        <v>0.980909829406986</v>
      </c>
      <c r="AM854" s="133">
        <v>0.966304064374325</v>
      </c>
      <c r="AN854" s="132">
        <v>0.99</v>
      </c>
      <c r="AO854" s="137">
        <v>1</v>
      </c>
      <c r="AP854" s="137">
        <v>1</v>
      </c>
      <c r="AQ854" s="137">
        <v>1</v>
      </c>
      <c r="AR854" s="137">
        <v>1</v>
      </c>
      <c r="AS854" s="158">
        <v>0.0810595228934205</v>
      </c>
      <c r="AT854" s="141">
        <v>0</v>
      </c>
      <c r="AU854" s="141">
        <v>0</v>
      </c>
      <c r="AV854" s="141">
        <v>0.0555555555555556</v>
      </c>
      <c r="AW854" s="141">
        <v>0.0745098039215686</v>
      </c>
      <c r="AX854" s="95"/>
      <c r="AY854" s="93"/>
    </row>
    <row r="855" ht="15" spans="1:51">
      <c r="A855" s="91"/>
      <c r="B855" s="95"/>
      <c r="C855" s="152" t="s">
        <v>668</v>
      </c>
      <c r="D855" s="153" t="s">
        <v>25</v>
      </c>
      <c r="E855" s="130" t="s">
        <v>669</v>
      </c>
      <c r="F855" s="179" t="s">
        <v>882</v>
      </c>
      <c r="G855" s="179" t="s">
        <v>882</v>
      </c>
      <c r="H855" s="179" t="s">
        <v>882</v>
      </c>
      <c r="I855" s="179" t="s">
        <v>882</v>
      </c>
      <c r="J855" s="132">
        <v>0.9</v>
      </c>
      <c r="K855" s="133">
        <v>0.925925925925926</v>
      </c>
      <c r="L855" s="133">
        <v>0.846153846153846</v>
      </c>
      <c r="M855" s="134">
        <v>0.962962962962963</v>
      </c>
      <c r="N855" s="133">
        <v>0.922630560928433</v>
      </c>
      <c r="O855" s="135">
        <v>0.9</v>
      </c>
      <c r="P855" s="133">
        <v>0.974201474201474</v>
      </c>
      <c r="Q855" s="133">
        <v>0.973321858864028</v>
      </c>
      <c r="R855" s="133">
        <v>0.97020725388601</v>
      </c>
      <c r="S855" s="133">
        <v>0.970102879237727</v>
      </c>
      <c r="T855" s="135">
        <v>0.9</v>
      </c>
      <c r="U855" s="133">
        <v>0.912162162162162</v>
      </c>
      <c r="V855" s="133">
        <v>0.91566265060241</v>
      </c>
      <c r="W855" s="133">
        <v>0.910189982728843</v>
      </c>
      <c r="X855" s="133">
        <v>0.91686805219913</v>
      </c>
      <c r="Y855" s="135">
        <v>0.92</v>
      </c>
      <c r="Z855" s="135">
        <v>0.907766990291262</v>
      </c>
      <c r="AA855" s="135">
        <v>0.940774487471526</v>
      </c>
      <c r="AB855" s="135">
        <v>0.9182156133829</v>
      </c>
      <c r="AC855" s="135">
        <v>0.925898549385568</v>
      </c>
      <c r="AD855" s="135">
        <v>0.92</v>
      </c>
      <c r="AE855" s="133">
        <v>0.998961578400831</v>
      </c>
      <c r="AF855" s="133">
        <v>0.978239366963403</v>
      </c>
      <c r="AG855" s="133">
        <v>0.991884580703336</v>
      </c>
      <c r="AH855" s="133">
        <v>0.992245915258931</v>
      </c>
      <c r="AI855" s="135">
        <v>0.92</v>
      </c>
      <c r="AJ855" s="133">
        <v>0.944790739091719</v>
      </c>
      <c r="AK855" s="133">
        <v>0.955028107432854</v>
      </c>
      <c r="AL855" s="133">
        <v>0.959381044487427</v>
      </c>
      <c r="AM855" s="133">
        <v>0.958672660942624</v>
      </c>
      <c r="AN855" s="132">
        <v>0.99</v>
      </c>
      <c r="AO855" s="137">
        <v>1</v>
      </c>
      <c r="AP855" s="137">
        <v>1</v>
      </c>
      <c r="AQ855" s="137">
        <v>1</v>
      </c>
      <c r="AR855" s="137">
        <v>1</v>
      </c>
      <c r="AS855" s="158">
        <v>0.0810595228934205</v>
      </c>
      <c r="AT855" s="141">
        <v>0.0769230769230769</v>
      </c>
      <c r="AU855" s="141">
        <v>0</v>
      </c>
      <c r="AV855" s="141">
        <v>0</v>
      </c>
      <c r="AW855" s="141">
        <v>0.0325732899022801</v>
      </c>
      <c r="AX855" s="95"/>
      <c r="AY855" s="93"/>
    </row>
    <row r="856" ht="15" spans="1:51">
      <c r="A856" s="91"/>
      <c r="B856" s="95"/>
      <c r="C856" s="152" t="s">
        <v>668</v>
      </c>
      <c r="D856" s="153" t="s">
        <v>25</v>
      </c>
      <c r="E856" s="130" t="s">
        <v>669</v>
      </c>
      <c r="F856" s="179" t="s">
        <v>883</v>
      </c>
      <c r="G856" s="179" t="s">
        <v>883</v>
      </c>
      <c r="H856" s="179" t="s">
        <v>883</v>
      </c>
      <c r="I856" s="179" t="s">
        <v>883</v>
      </c>
      <c r="J856" s="132">
        <v>0.9</v>
      </c>
      <c r="K856" s="133">
        <v>0.903225806451613</v>
      </c>
      <c r="L856" s="133">
        <v>0.979591836734694</v>
      </c>
      <c r="M856" s="134">
        <v>0.918032786885246</v>
      </c>
      <c r="N856" s="133">
        <v>0.938488576449912</v>
      </c>
      <c r="O856" s="135">
        <v>0.9</v>
      </c>
      <c r="P856" s="133">
        <v>0.950676982591876</v>
      </c>
      <c r="Q856" s="133">
        <v>0.946129470348574</v>
      </c>
      <c r="R856" s="133">
        <v>0.93046986236355</v>
      </c>
      <c r="S856" s="133">
        <v>0.872375463153561</v>
      </c>
      <c r="T856" s="135">
        <v>0.9</v>
      </c>
      <c r="U856" s="133">
        <v>0.932946486137975</v>
      </c>
      <c r="V856" s="133">
        <v>0.908555907650521</v>
      </c>
      <c r="W856" s="133">
        <v>0.934978642619839</v>
      </c>
      <c r="X856" s="133">
        <v>0.918590836911133</v>
      </c>
      <c r="Y856" s="135">
        <v>0.92</v>
      </c>
      <c r="Z856" s="135">
        <v>0.93033381712627</v>
      </c>
      <c r="AA856" s="135">
        <v>0.862567811934901</v>
      </c>
      <c r="AB856" s="135">
        <v>0.867647058823529</v>
      </c>
      <c r="AC856" s="135">
        <v>0.886453421689818</v>
      </c>
      <c r="AD856" s="135">
        <v>0.92</v>
      </c>
      <c r="AE856" s="133">
        <v>0.998745609633718</v>
      </c>
      <c r="AF856" s="133">
        <v>0.967245119305857</v>
      </c>
      <c r="AG856" s="133">
        <v>0.991775950211158</v>
      </c>
      <c r="AH856" s="133">
        <v>0.979950388869202</v>
      </c>
      <c r="AI856" s="135">
        <v>0.92</v>
      </c>
      <c r="AJ856" s="133">
        <v>0.953322784810127</v>
      </c>
      <c r="AK856" s="133">
        <v>0.934467776973208</v>
      </c>
      <c r="AL856" s="133">
        <v>0.955864069622876</v>
      </c>
      <c r="AM856" s="133">
        <v>0.954901551934705</v>
      </c>
      <c r="AN856" s="132">
        <v>0.99</v>
      </c>
      <c r="AO856" s="137">
        <v>1</v>
      </c>
      <c r="AP856" s="137">
        <v>1</v>
      </c>
      <c r="AQ856" s="137">
        <v>1</v>
      </c>
      <c r="AR856" s="137">
        <v>1</v>
      </c>
      <c r="AS856" s="158">
        <v>0.0810595228934205</v>
      </c>
      <c r="AT856" s="141">
        <v>0.0416666666666667</v>
      </c>
      <c r="AU856" s="141">
        <v>0.0666666666666667</v>
      </c>
      <c r="AV856" s="141">
        <v>0.129032258064516</v>
      </c>
      <c r="AW856" s="141">
        <v>0.0547945205479452</v>
      </c>
      <c r="AX856" s="95"/>
      <c r="AY856" s="93"/>
    </row>
    <row r="857" ht="15" spans="1:51">
      <c r="A857" s="91"/>
      <c r="B857" s="95"/>
      <c r="C857" s="152" t="s">
        <v>668</v>
      </c>
      <c r="D857" s="153" t="s">
        <v>25</v>
      </c>
      <c r="E857" s="130" t="s">
        <v>669</v>
      </c>
      <c r="F857" s="179" t="s">
        <v>884</v>
      </c>
      <c r="G857" s="179" t="s">
        <v>884</v>
      </c>
      <c r="H857" s="179" t="s">
        <v>884</v>
      </c>
      <c r="I857" s="179" t="s">
        <v>884</v>
      </c>
      <c r="J857" s="132">
        <v>0.9</v>
      </c>
      <c r="K857" s="133">
        <v>0.942857142857143</v>
      </c>
      <c r="L857" s="133">
        <v>0.8</v>
      </c>
      <c r="M857" s="134">
        <v>0.9</v>
      </c>
      <c r="N857" s="133">
        <v>0.912337662337662</v>
      </c>
      <c r="O857" s="135">
        <v>0.9</v>
      </c>
      <c r="P857" s="133">
        <v>0.97194950911641</v>
      </c>
      <c r="Q857" s="133">
        <v>0.980698529411765</v>
      </c>
      <c r="R857" s="133">
        <v>0.956099195710456</v>
      </c>
      <c r="S857" s="133">
        <v>0.848580023002743</v>
      </c>
      <c r="T857" s="135">
        <v>0.9</v>
      </c>
      <c r="U857" s="133">
        <v>0.94109396914446</v>
      </c>
      <c r="V857" s="133">
        <v>0.932904411764706</v>
      </c>
      <c r="W857" s="133">
        <v>0.910857908847185</v>
      </c>
      <c r="X857" s="133">
        <v>0.923117756347872</v>
      </c>
      <c r="Y857" s="135">
        <v>0.92</v>
      </c>
      <c r="Z857" s="135">
        <v>0.929078014184397</v>
      </c>
      <c r="AA857" s="135">
        <v>0.768627450980392</v>
      </c>
      <c r="AB857" s="135">
        <v>0.773648648648649</v>
      </c>
      <c r="AC857" s="135">
        <v>0.865465384094296</v>
      </c>
      <c r="AD857" s="135">
        <v>0.92</v>
      </c>
      <c r="AE857" s="133">
        <v>0.997361477572559</v>
      </c>
      <c r="AF857" s="133">
        <v>0.990234375</v>
      </c>
      <c r="AG857" s="133">
        <v>0.984210526315789</v>
      </c>
      <c r="AH857" s="133">
        <v>0.935091802430825</v>
      </c>
      <c r="AI857" s="135">
        <v>0.92</v>
      </c>
      <c r="AJ857" s="133">
        <v>0.960187353629977</v>
      </c>
      <c r="AK857" s="133">
        <v>0.924050632911392</v>
      </c>
      <c r="AL857" s="133">
        <v>0.958231707317073</v>
      </c>
      <c r="AM857" s="133">
        <v>0.959310948016884</v>
      </c>
      <c r="AN857" s="132">
        <v>0.99</v>
      </c>
      <c r="AO857" s="137">
        <v>1</v>
      </c>
      <c r="AP857" s="137">
        <v>1</v>
      </c>
      <c r="AQ857" s="137">
        <v>1</v>
      </c>
      <c r="AR857" s="137">
        <v>1</v>
      </c>
      <c r="AS857" s="158">
        <v>0.0810595228934205</v>
      </c>
      <c r="AT857" s="141">
        <v>0</v>
      </c>
      <c r="AU857" s="141">
        <v>0</v>
      </c>
      <c r="AV857" s="141">
        <v>0</v>
      </c>
      <c r="AW857" s="141">
        <v>0.0452674897119342</v>
      </c>
      <c r="AX857" s="95"/>
      <c r="AY857" s="93"/>
    </row>
    <row r="858" ht="15" spans="1:51">
      <c r="A858" s="91"/>
      <c r="B858" s="95"/>
      <c r="C858" s="152" t="s">
        <v>668</v>
      </c>
      <c r="D858" s="153" t="s">
        <v>25</v>
      </c>
      <c r="E858" s="130" t="s">
        <v>669</v>
      </c>
      <c r="F858" s="179" t="s">
        <v>885</v>
      </c>
      <c r="G858" s="179" t="s">
        <v>885</v>
      </c>
      <c r="H858" s="179" t="s">
        <v>885</v>
      </c>
      <c r="I858" s="179" t="s">
        <v>885</v>
      </c>
      <c r="J858" s="132">
        <v>0.9</v>
      </c>
      <c r="K858" s="133">
        <v>0.931818181818182</v>
      </c>
      <c r="L858" s="133">
        <v>0.973684210526316</v>
      </c>
      <c r="M858" s="134">
        <v>0.973684210526316</v>
      </c>
      <c r="N858" s="133">
        <v>0.960709759188847</v>
      </c>
      <c r="O858" s="135">
        <v>0.9</v>
      </c>
      <c r="P858" s="133">
        <v>0.855840208423795</v>
      </c>
      <c r="Q858" s="133">
        <v>0.833536585365854</v>
      </c>
      <c r="R858" s="133">
        <v>0.757660950238965</v>
      </c>
      <c r="S858" s="133">
        <v>0.790955749757248</v>
      </c>
      <c r="T858" s="135">
        <v>0.9</v>
      </c>
      <c r="U858" s="133">
        <v>0.714285714285714</v>
      </c>
      <c r="V858" s="133">
        <v>0.668292682926829</v>
      </c>
      <c r="W858" s="133">
        <v>0.603879673882485</v>
      </c>
      <c r="X858" s="133">
        <v>0.626207980764785</v>
      </c>
      <c r="Y858" s="135">
        <v>0.92</v>
      </c>
      <c r="Z858" s="135">
        <v>0.781385281385281</v>
      </c>
      <c r="AA858" s="135">
        <v>0.623893805309734</v>
      </c>
      <c r="AB858" s="135">
        <v>0.511777301927195</v>
      </c>
      <c r="AC858" s="135">
        <v>0.679469632164243</v>
      </c>
      <c r="AD858" s="135">
        <v>0.92</v>
      </c>
      <c r="AE858" s="133">
        <v>0.998377939983779</v>
      </c>
      <c r="AF858" s="133">
        <v>0.999209486166008</v>
      </c>
      <c r="AG858" s="133">
        <v>0.99528672427337</v>
      </c>
      <c r="AH858" s="133">
        <v>0.996085364313676</v>
      </c>
      <c r="AI858" s="135">
        <v>0.92</v>
      </c>
      <c r="AJ858" s="133">
        <v>0.892224231464738</v>
      </c>
      <c r="AK858" s="133">
        <v>0.819875776397516</v>
      </c>
      <c r="AL858" s="133">
        <v>0.843936381709742</v>
      </c>
      <c r="AM858" s="133">
        <v>0.896378808258354</v>
      </c>
      <c r="AN858" s="132">
        <v>0.99</v>
      </c>
      <c r="AO858" s="137">
        <v>1</v>
      </c>
      <c r="AP858" s="137">
        <v>1</v>
      </c>
      <c r="AQ858" s="137">
        <v>1</v>
      </c>
      <c r="AR858" s="137">
        <v>1</v>
      </c>
      <c r="AS858" s="158">
        <v>0.0810595228934205</v>
      </c>
      <c r="AT858" s="141">
        <v>0.0714285714285714</v>
      </c>
      <c r="AU858" s="141">
        <v>0.166666666666667</v>
      </c>
      <c r="AV858" s="141">
        <v>0</v>
      </c>
      <c r="AW858" s="141">
        <v>0.0721311475409836</v>
      </c>
      <c r="AX858" s="95"/>
      <c r="AY858" s="93"/>
    </row>
    <row r="859" ht="15" spans="1:51">
      <c r="A859" s="91"/>
      <c r="B859" s="95"/>
      <c r="C859" s="152" t="s">
        <v>668</v>
      </c>
      <c r="D859" s="153" t="s">
        <v>25</v>
      </c>
      <c r="E859" s="130" t="s">
        <v>669</v>
      </c>
      <c r="F859" s="179" t="s">
        <v>886</v>
      </c>
      <c r="G859" s="179" t="s">
        <v>886</v>
      </c>
      <c r="H859" s="179" t="s">
        <v>886</v>
      </c>
      <c r="I859" s="179" t="s">
        <v>886</v>
      </c>
      <c r="J859" s="132">
        <v>0.9</v>
      </c>
      <c r="K859" s="133">
        <v>0.977272727272727</v>
      </c>
      <c r="L859" s="133">
        <v>1</v>
      </c>
      <c r="M859" s="134">
        <v>0.975609756097561</v>
      </c>
      <c r="N859" s="133">
        <v>0.982689747003995</v>
      </c>
      <c r="O859" s="135">
        <v>0.9</v>
      </c>
      <c r="P859" s="133">
        <v>0.976465730800991</v>
      </c>
      <c r="Q859" s="133">
        <v>0.974282296650718</v>
      </c>
      <c r="R859" s="133">
        <v>0.976662777129522</v>
      </c>
      <c r="S859" s="133">
        <v>0.939942558982302</v>
      </c>
      <c r="T859" s="135">
        <v>0.9</v>
      </c>
      <c r="U859" s="133">
        <v>0.940545004128819</v>
      </c>
      <c r="V859" s="133">
        <v>0.932416267942584</v>
      </c>
      <c r="W859" s="133">
        <v>0.950991831971995</v>
      </c>
      <c r="X859" s="133">
        <v>0.926544667157873</v>
      </c>
      <c r="Y859" s="135">
        <v>0.92</v>
      </c>
      <c r="Z859" s="135">
        <v>0.76530612244898</v>
      </c>
      <c r="AA859" s="135">
        <v>0.751807228915663</v>
      </c>
      <c r="AB859" s="135">
        <v>0.728744939271255</v>
      </c>
      <c r="AC859" s="135">
        <v>0.806421232876712</v>
      </c>
      <c r="AD859" s="135">
        <v>0.92</v>
      </c>
      <c r="AE859" s="133">
        <v>0.992753623188406</v>
      </c>
      <c r="AF859" s="133">
        <v>0.994778067885117</v>
      </c>
      <c r="AG859" s="133">
        <v>0.988095238095238</v>
      </c>
      <c r="AH859" s="133">
        <v>0.988636363636364</v>
      </c>
      <c r="AI859" s="135">
        <v>0.92</v>
      </c>
      <c r="AJ859" s="133">
        <v>0.923763736263736</v>
      </c>
      <c r="AK859" s="133">
        <v>0.928126497364638</v>
      </c>
      <c r="AL859" s="133">
        <v>0.951810300866905</v>
      </c>
      <c r="AM859" s="133">
        <v>0.95373792927032</v>
      </c>
      <c r="AN859" s="132">
        <v>0.99</v>
      </c>
      <c r="AO859" s="137">
        <v>1</v>
      </c>
      <c r="AP859" s="137">
        <v>1</v>
      </c>
      <c r="AQ859" s="137">
        <v>1</v>
      </c>
      <c r="AR859" s="137">
        <v>1</v>
      </c>
      <c r="AS859" s="158">
        <v>0.0810595228934205</v>
      </c>
      <c r="AT859" s="141">
        <v>0.05</v>
      </c>
      <c r="AU859" s="141">
        <v>0</v>
      </c>
      <c r="AV859" s="141">
        <v>0.2</v>
      </c>
      <c r="AW859" s="141">
        <v>0.0465116279069767</v>
      </c>
      <c r="AX859" s="95"/>
      <c r="AY859" s="93"/>
    </row>
    <row r="860" ht="15" spans="1:51">
      <c r="A860" s="91"/>
      <c r="B860" s="95"/>
      <c r="C860" s="152" t="s">
        <v>668</v>
      </c>
      <c r="D860" s="153" t="s">
        <v>25</v>
      </c>
      <c r="E860" s="130" t="s">
        <v>669</v>
      </c>
      <c r="F860" s="179" t="s">
        <v>887</v>
      </c>
      <c r="G860" s="179" t="s">
        <v>887</v>
      </c>
      <c r="H860" s="179" t="s">
        <v>887</v>
      </c>
      <c r="I860" s="179" t="s">
        <v>887</v>
      </c>
      <c r="J860" s="132">
        <v>0.9</v>
      </c>
      <c r="K860" s="133">
        <v>0.914893617021277</v>
      </c>
      <c r="L860" s="133">
        <v>0.934782608695652</v>
      </c>
      <c r="M860" s="134">
        <v>0.978723404255319</v>
      </c>
      <c r="N860" s="133">
        <v>0.940112994350283</v>
      </c>
      <c r="O860" s="135">
        <v>0.9</v>
      </c>
      <c r="P860" s="133">
        <v>0.920843277645187</v>
      </c>
      <c r="Q860" s="133">
        <v>0.936784741144414</v>
      </c>
      <c r="R860" s="133">
        <v>0.937697160883281</v>
      </c>
      <c r="S860" s="133">
        <v>0.916018788467768</v>
      </c>
      <c r="T860" s="135">
        <v>0.9</v>
      </c>
      <c r="U860" s="133">
        <v>0.920445505171042</v>
      </c>
      <c r="V860" s="133">
        <v>0.935149863760218</v>
      </c>
      <c r="W860" s="133">
        <v>0.92192429022082</v>
      </c>
      <c r="X860" s="133">
        <v>0.892924630169528</v>
      </c>
      <c r="Y860" s="135">
        <v>0.92</v>
      </c>
      <c r="Z860" s="135">
        <v>0.900181488203267</v>
      </c>
      <c r="AA860" s="135">
        <v>0.926096997690531</v>
      </c>
      <c r="AB860" s="135">
        <v>0.886281588447653</v>
      </c>
      <c r="AC860" s="135">
        <v>0.902358324533615</v>
      </c>
      <c r="AD860" s="135">
        <v>0.92</v>
      </c>
      <c r="AE860" s="133">
        <v>0.999184339314845</v>
      </c>
      <c r="AF860" s="133">
        <v>0.991959798994975</v>
      </c>
      <c r="AG860" s="133">
        <v>0.997177798682973</v>
      </c>
      <c r="AH860" s="133">
        <v>0.993987301854266</v>
      </c>
      <c r="AI860" s="135">
        <v>0.92</v>
      </c>
      <c r="AJ860" s="133">
        <v>0.943230016313214</v>
      </c>
      <c r="AK860" s="133">
        <v>0.967813051146384</v>
      </c>
      <c r="AL860" s="133">
        <v>0.965121615419917</v>
      </c>
      <c r="AM860" s="133">
        <v>0.962591313211394</v>
      </c>
      <c r="AN860" s="132">
        <v>0.99</v>
      </c>
      <c r="AO860" s="137">
        <v>1</v>
      </c>
      <c r="AP860" s="137">
        <v>1</v>
      </c>
      <c r="AQ860" s="137">
        <v>1</v>
      </c>
      <c r="AR860" s="137">
        <v>1</v>
      </c>
      <c r="AS860" s="158">
        <v>0.0810595228934205</v>
      </c>
      <c r="AT860" s="141">
        <v>0.130434782608696</v>
      </c>
      <c r="AU860" s="141">
        <v>0.04</v>
      </c>
      <c r="AV860" s="141">
        <v>0.0666666666666667</v>
      </c>
      <c r="AW860" s="141">
        <v>0.0631868131868132</v>
      </c>
      <c r="AX860" s="95"/>
      <c r="AY860" s="93"/>
    </row>
    <row r="861" ht="15" spans="1:51">
      <c r="A861" s="91"/>
      <c r="B861" s="95"/>
      <c r="C861" s="152" t="s">
        <v>668</v>
      </c>
      <c r="D861" s="153" t="s">
        <v>25</v>
      </c>
      <c r="E861" s="130" t="s">
        <v>669</v>
      </c>
      <c r="F861" s="179" t="s">
        <v>888</v>
      </c>
      <c r="G861" s="179" t="s">
        <v>888</v>
      </c>
      <c r="H861" s="179" t="s">
        <v>888</v>
      </c>
      <c r="I861" s="179" t="s">
        <v>888</v>
      </c>
      <c r="J861" s="132">
        <v>0.9</v>
      </c>
      <c r="K861" s="133">
        <v>0.969230769230769</v>
      </c>
      <c r="L861" s="133">
        <v>0.936170212765957</v>
      </c>
      <c r="M861" s="134">
        <v>0.934426229508197</v>
      </c>
      <c r="N861" s="133">
        <v>0.936395759717314</v>
      </c>
      <c r="O861" s="135">
        <v>0.9</v>
      </c>
      <c r="P861" s="133">
        <v>0.931872646353988</v>
      </c>
      <c r="Q861" s="133">
        <v>0.936359382311652</v>
      </c>
      <c r="R861" s="133">
        <v>0.887845968712395</v>
      </c>
      <c r="S861" s="133">
        <v>0.671943244055185</v>
      </c>
      <c r="T861" s="135">
        <v>0.9</v>
      </c>
      <c r="U861" s="133">
        <v>0.920232796987333</v>
      </c>
      <c r="V861" s="133">
        <v>0.918109499298081</v>
      </c>
      <c r="W861" s="133">
        <v>0.922262334536703</v>
      </c>
      <c r="X861" s="133">
        <v>0.885817946525547</v>
      </c>
      <c r="Y861" s="135">
        <v>0.92</v>
      </c>
      <c r="Z861" s="135">
        <v>0.870192307692308</v>
      </c>
      <c r="AA861" s="135">
        <v>0.84765625</v>
      </c>
      <c r="AB861" s="135">
        <v>0.817733990147783</v>
      </c>
      <c r="AC861" s="135">
        <v>0.867619272555503</v>
      </c>
      <c r="AD861" s="135">
        <v>0.92</v>
      </c>
      <c r="AE861" s="133">
        <v>1</v>
      </c>
      <c r="AF861" s="133">
        <v>0.996884735202492</v>
      </c>
      <c r="AG861" s="133">
        <v>0.994850669412976</v>
      </c>
      <c r="AH861" s="133">
        <v>0.981138031725988</v>
      </c>
      <c r="AI861" s="135">
        <v>0.92</v>
      </c>
      <c r="AJ861" s="133">
        <v>0.932036097010716</v>
      </c>
      <c r="AK861" s="133">
        <v>0.924877312193281</v>
      </c>
      <c r="AL861" s="133">
        <v>0.945004198152813</v>
      </c>
      <c r="AM861" s="133">
        <v>0.949983572657171</v>
      </c>
      <c r="AN861" s="132">
        <v>0.99</v>
      </c>
      <c r="AO861" s="137">
        <v>1</v>
      </c>
      <c r="AP861" s="137">
        <v>1</v>
      </c>
      <c r="AQ861" s="137">
        <v>1</v>
      </c>
      <c r="AR861" s="137">
        <v>1</v>
      </c>
      <c r="AS861" s="158">
        <v>0.0810595228934205</v>
      </c>
      <c r="AT861" s="141">
        <v>0.0555555555555556</v>
      </c>
      <c r="AU861" s="141">
        <v>0.0526315789473684</v>
      </c>
      <c r="AV861" s="141">
        <v>0.0769230769230769</v>
      </c>
      <c r="AW861" s="141">
        <v>0.0555555555555556</v>
      </c>
      <c r="AX861" s="95"/>
      <c r="AY861" s="93"/>
    </row>
    <row r="862" ht="15" spans="1:51">
      <c r="A862" s="91"/>
      <c r="B862" s="95"/>
      <c r="C862" s="152" t="s">
        <v>668</v>
      </c>
      <c r="D862" s="153" t="s">
        <v>25</v>
      </c>
      <c r="E862" s="130" t="s">
        <v>669</v>
      </c>
      <c r="F862" s="179" t="s">
        <v>889</v>
      </c>
      <c r="G862" s="179" t="s">
        <v>889</v>
      </c>
      <c r="H862" s="179" t="s">
        <v>889</v>
      </c>
      <c r="I862" s="179" t="s">
        <v>889</v>
      </c>
      <c r="J862" s="132">
        <v>0.9</v>
      </c>
      <c r="K862" s="133">
        <v>0.829787234042553</v>
      </c>
      <c r="L862" s="133">
        <v>0.567567567567568</v>
      </c>
      <c r="M862" s="134">
        <v>0.8125</v>
      </c>
      <c r="N862" s="133">
        <v>0.797909407665505</v>
      </c>
      <c r="O862" s="135">
        <v>0.9</v>
      </c>
      <c r="P862" s="133">
        <v>0.920488010096761</v>
      </c>
      <c r="Q862" s="133">
        <v>0.958593306863301</v>
      </c>
      <c r="R862" s="133">
        <v>0.961923847695391</v>
      </c>
      <c r="S862" s="133">
        <v>0.815738654650789</v>
      </c>
      <c r="T862" s="135">
        <v>0.9</v>
      </c>
      <c r="U862" s="133">
        <v>0.864955826672276</v>
      </c>
      <c r="V862" s="133">
        <v>0.905275099262621</v>
      </c>
      <c r="W862" s="133">
        <v>0.923847695390782</v>
      </c>
      <c r="X862" s="133">
        <v>0.891915615764988</v>
      </c>
      <c r="Y862" s="135">
        <v>0.92</v>
      </c>
      <c r="Z862" s="135">
        <v>0.88477366255144</v>
      </c>
      <c r="AA862" s="135">
        <v>0.859307359307359</v>
      </c>
      <c r="AB862" s="135">
        <v>0.858527131782946</v>
      </c>
      <c r="AC862" s="135">
        <v>0.905557393317896</v>
      </c>
      <c r="AD862" s="135">
        <v>0.92</v>
      </c>
      <c r="AE862" s="133">
        <v>1</v>
      </c>
      <c r="AF862" s="133">
        <v>0.992805755395683</v>
      </c>
      <c r="AG862" s="133">
        <v>0.993697478991597</v>
      </c>
      <c r="AH862" s="133">
        <v>0.992723492723493</v>
      </c>
      <c r="AI862" s="135">
        <v>0.92</v>
      </c>
      <c r="AJ862" s="133">
        <v>0.932937478169752</v>
      </c>
      <c r="AK862" s="133">
        <v>0.935730337078652</v>
      </c>
      <c r="AL862" s="133">
        <v>0.96258418558244</v>
      </c>
      <c r="AM862" s="133">
        <v>0.964411351573085</v>
      </c>
      <c r="AN862" s="132">
        <v>0.99</v>
      </c>
      <c r="AO862" s="137">
        <v>1</v>
      </c>
      <c r="AP862" s="137">
        <v>1</v>
      </c>
      <c r="AQ862" s="137">
        <v>1</v>
      </c>
      <c r="AR862" s="137">
        <v>1</v>
      </c>
      <c r="AS862" s="158">
        <v>0.0810595228934205</v>
      </c>
      <c r="AT862" s="141">
        <v>0</v>
      </c>
      <c r="AU862" s="141">
        <v>0.25</v>
      </c>
      <c r="AV862" s="141">
        <v>0.0909090909090909</v>
      </c>
      <c r="AW862" s="141">
        <v>0.0900621118012422</v>
      </c>
      <c r="AX862" s="95"/>
      <c r="AY862" s="93"/>
    </row>
    <row r="863" ht="15" spans="1:51">
      <c r="A863" s="91"/>
      <c r="B863" s="95"/>
      <c r="C863" s="152" t="s">
        <v>668</v>
      </c>
      <c r="D863" s="153" t="s">
        <v>25</v>
      </c>
      <c r="E863" s="130" t="s">
        <v>669</v>
      </c>
      <c r="F863" s="179" t="s">
        <v>890</v>
      </c>
      <c r="G863" s="179" t="s">
        <v>890</v>
      </c>
      <c r="H863" s="179" t="s">
        <v>890</v>
      </c>
      <c r="I863" s="179" t="s">
        <v>890</v>
      </c>
      <c r="J863" s="132">
        <v>0.9</v>
      </c>
      <c r="K863" s="133">
        <v>0.884615384615385</v>
      </c>
      <c r="L863" s="133">
        <v>0.847826086956522</v>
      </c>
      <c r="M863" s="134">
        <v>0.959183673469388</v>
      </c>
      <c r="N863" s="133">
        <v>0.891005291005291</v>
      </c>
      <c r="O863" s="135">
        <v>0.9</v>
      </c>
      <c r="P863" s="133">
        <v>0.965479651162791</v>
      </c>
      <c r="Q863" s="133">
        <v>0.960732984293194</v>
      </c>
      <c r="R863" s="133">
        <v>0.927268244575937</v>
      </c>
      <c r="S863" s="133">
        <v>0.944163090681821</v>
      </c>
      <c r="T863" s="135">
        <v>0.9</v>
      </c>
      <c r="U863" s="133">
        <v>0.908430232558139</v>
      </c>
      <c r="V863" s="133">
        <v>0.932984293193717</v>
      </c>
      <c r="W863" s="133">
        <v>0.915927021696253</v>
      </c>
      <c r="X863" s="133">
        <v>0.920413396734578</v>
      </c>
      <c r="Y863" s="135">
        <v>0.92</v>
      </c>
      <c r="Z863" s="135">
        <v>0.88212927756654</v>
      </c>
      <c r="AA863" s="135">
        <v>0.915433403805497</v>
      </c>
      <c r="AB863" s="135">
        <v>0.864321608040201</v>
      </c>
      <c r="AC863" s="135">
        <v>0.92010692010692</v>
      </c>
      <c r="AD863" s="135">
        <v>0.92</v>
      </c>
      <c r="AE863" s="133">
        <v>0.992974238875878</v>
      </c>
      <c r="AF863" s="133">
        <v>0.970642201834862</v>
      </c>
      <c r="AG863" s="133">
        <v>0.990328820116054</v>
      </c>
      <c r="AH863" s="133">
        <v>0.988426860449468</v>
      </c>
      <c r="AI863" s="135">
        <v>0.92</v>
      </c>
      <c r="AJ863" s="133">
        <v>0.929225137278829</v>
      </c>
      <c r="AK863" s="133">
        <v>0.95216114141838</v>
      </c>
      <c r="AL863" s="133">
        <v>0.954437996991188</v>
      </c>
      <c r="AM863" s="133">
        <v>0.963073983793399</v>
      </c>
      <c r="AN863" s="132">
        <v>0.99</v>
      </c>
      <c r="AO863" s="137">
        <v>1</v>
      </c>
      <c r="AP863" s="137">
        <v>1</v>
      </c>
      <c r="AQ863" s="137">
        <v>1</v>
      </c>
      <c r="AR863" s="137">
        <v>1</v>
      </c>
      <c r="AS863" s="158">
        <v>0.0810595228934205</v>
      </c>
      <c r="AT863" s="141">
        <v>0.0833333333333333</v>
      </c>
      <c r="AU863" s="141">
        <v>0.153846153846154</v>
      </c>
      <c r="AV863" s="141">
        <v>0.0416666666666667</v>
      </c>
      <c r="AW863" s="141">
        <v>0.0598290598290598</v>
      </c>
      <c r="AX863" s="95"/>
      <c r="AY863" s="93"/>
    </row>
    <row r="864" ht="15" spans="1:51">
      <c r="A864" s="91"/>
      <c r="B864" s="95"/>
      <c r="C864" s="152" t="s">
        <v>668</v>
      </c>
      <c r="D864" s="153" t="s">
        <v>25</v>
      </c>
      <c r="E864" s="130" t="s">
        <v>669</v>
      </c>
      <c r="F864" s="179" t="s">
        <v>891</v>
      </c>
      <c r="G864" s="179" t="s">
        <v>891</v>
      </c>
      <c r="H864" s="179" t="s">
        <v>891</v>
      </c>
      <c r="I864" s="179" t="s">
        <v>891</v>
      </c>
      <c r="J864" s="132">
        <v>0.9</v>
      </c>
      <c r="K864" s="133">
        <v>0.964912280701754</v>
      </c>
      <c r="L864" s="133">
        <v>0.866666666666667</v>
      </c>
      <c r="M864" s="134">
        <v>0.849056603773585</v>
      </c>
      <c r="N864" s="133">
        <v>0.92603550295858</v>
      </c>
      <c r="O864" s="135">
        <v>0.9</v>
      </c>
      <c r="P864" s="133">
        <v>0.964416361822414</v>
      </c>
      <c r="Q864" s="133">
        <v>0.960913482652613</v>
      </c>
      <c r="R864" s="133">
        <v>0.85176184690158</v>
      </c>
      <c r="S864" s="133">
        <v>0.877382880805003</v>
      </c>
      <c r="T864" s="135">
        <v>0.9</v>
      </c>
      <c r="U864" s="133">
        <v>0.933155969404722</v>
      </c>
      <c r="V864" s="133">
        <v>0.922705314009662</v>
      </c>
      <c r="W864" s="133">
        <v>0.761239368165249</v>
      </c>
      <c r="X864" s="133">
        <v>0.853942950320221</v>
      </c>
      <c r="Y864" s="135">
        <v>0.92</v>
      </c>
      <c r="Z864" s="135">
        <v>0.871794871794872</v>
      </c>
      <c r="AA864" s="135">
        <v>0.807817589576547</v>
      </c>
      <c r="AB864" s="135">
        <v>0.813559322033898</v>
      </c>
      <c r="AC864" s="135">
        <v>0.868048186754884</v>
      </c>
      <c r="AD864" s="135">
        <v>0.92</v>
      </c>
      <c r="AE864" s="133">
        <v>1</v>
      </c>
      <c r="AF864" s="133">
        <v>0.995121951219512</v>
      </c>
      <c r="AG864" s="133">
        <v>0.981981981981982</v>
      </c>
      <c r="AH864" s="133">
        <v>0.97158081705151</v>
      </c>
      <c r="AI864" s="135">
        <v>0.92</v>
      </c>
      <c r="AJ864" s="133">
        <v>0.944959128065395</v>
      </c>
      <c r="AK864" s="133">
        <v>0.930819785541335</v>
      </c>
      <c r="AL864" s="133">
        <v>0.947042153737159</v>
      </c>
      <c r="AM864" s="133">
        <v>0.956911782206314</v>
      </c>
      <c r="AN864" s="132">
        <v>0.99</v>
      </c>
      <c r="AO864" s="137">
        <v>1</v>
      </c>
      <c r="AP864" s="137">
        <v>1</v>
      </c>
      <c r="AQ864" s="137">
        <v>1</v>
      </c>
      <c r="AR864" s="137">
        <v>1</v>
      </c>
      <c r="AS864" s="158">
        <v>0.0810595228934205</v>
      </c>
      <c r="AT864" s="141">
        <v>0.0625</v>
      </c>
      <c r="AU864" s="141">
        <v>0</v>
      </c>
      <c r="AV864" s="141">
        <v>0.0714285714285714</v>
      </c>
      <c r="AW864" s="141">
        <v>0.0338541666666667</v>
      </c>
      <c r="AX864" s="95"/>
      <c r="AY864" s="93"/>
    </row>
    <row r="865" ht="15" spans="1:51">
      <c r="A865" s="91"/>
      <c r="B865" s="95"/>
      <c r="C865" s="152" t="s">
        <v>668</v>
      </c>
      <c r="D865" s="153" t="s">
        <v>25</v>
      </c>
      <c r="E865" s="130" t="s">
        <v>669</v>
      </c>
      <c r="F865" s="179" t="s">
        <v>892</v>
      </c>
      <c r="G865" s="179" t="s">
        <v>892</v>
      </c>
      <c r="H865" s="179" t="s">
        <v>892</v>
      </c>
      <c r="I865" s="179" t="s">
        <v>892</v>
      </c>
      <c r="J865" s="132">
        <v>0.9</v>
      </c>
      <c r="K865" s="133">
        <v>0.9</v>
      </c>
      <c r="L865" s="133">
        <v>0.315789473684211</v>
      </c>
      <c r="M865" s="134">
        <v>0.8</v>
      </c>
      <c r="N865" s="133">
        <v>0.719480519480519</v>
      </c>
      <c r="O865" s="135">
        <v>0.9</v>
      </c>
      <c r="P865" s="133">
        <v>0.932086614173228</v>
      </c>
      <c r="Q865" s="133">
        <v>0.940780619111709</v>
      </c>
      <c r="R865" s="133">
        <v>0.940372670807453</v>
      </c>
      <c r="S865" s="133">
        <v>0.93245729303548</v>
      </c>
      <c r="T865" s="135">
        <v>0.9</v>
      </c>
      <c r="U865" s="133">
        <v>0.898622047244094</v>
      </c>
      <c r="V865" s="133">
        <v>0.936742934051144</v>
      </c>
      <c r="W865" s="133">
        <v>0.898757763975155</v>
      </c>
      <c r="X865" s="133">
        <v>0.92907358738502</v>
      </c>
      <c r="Y865" s="135">
        <v>0.92</v>
      </c>
      <c r="Z865" s="135">
        <v>0.840336134453782</v>
      </c>
      <c r="AA865" s="135">
        <v>0.850515463917526</v>
      </c>
      <c r="AB865" s="135">
        <v>0.862222222222222</v>
      </c>
      <c r="AC865" s="135">
        <v>0.892320966350302</v>
      </c>
      <c r="AD865" s="135">
        <v>0.92</v>
      </c>
      <c r="AE865" s="133">
        <v>0.96875</v>
      </c>
      <c r="AF865" s="133">
        <v>1</v>
      </c>
      <c r="AG865" s="133">
        <v>0.84375</v>
      </c>
      <c r="AH865" s="133">
        <v>0.960163432073544</v>
      </c>
      <c r="AI865" s="135">
        <v>0.92</v>
      </c>
      <c r="AJ865" s="133">
        <v>0.915470494417863</v>
      </c>
      <c r="AK865" s="133">
        <v>0.937033084311633</v>
      </c>
      <c r="AL865" s="133">
        <v>0.946594005449591</v>
      </c>
      <c r="AM865" s="133">
        <v>0.957474404614069</v>
      </c>
      <c r="AN865" s="132">
        <v>0.99</v>
      </c>
      <c r="AO865" s="137">
        <v>1</v>
      </c>
      <c r="AP865" s="137">
        <v>1</v>
      </c>
      <c r="AQ865" s="137">
        <v>1</v>
      </c>
      <c r="AR865" s="137">
        <v>1</v>
      </c>
      <c r="AS865" s="158">
        <v>0.0810595228934205</v>
      </c>
      <c r="AT865" s="141">
        <v>0</v>
      </c>
      <c r="AU865" s="141">
        <v>0.2</v>
      </c>
      <c r="AV865" s="141">
        <v>0</v>
      </c>
      <c r="AW865" s="141">
        <v>0.0504201680672269</v>
      </c>
      <c r="AX865" s="95"/>
      <c r="AY865" s="93"/>
    </row>
    <row r="866" ht="15" spans="1:51">
      <c r="A866" s="91"/>
      <c r="B866" s="95"/>
      <c r="C866" s="152" t="s">
        <v>668</v>
      </c>
      <c r="D866" s="153" t="s">
        <v>25</v>
      </c>
      <c r="E866" s="130" t="s">
        <v>669</v>
      </c>
      <c r="F866" s="179" t="s">
        <v>893</v>
      </c>
      <c r="G866" s="179" t="s">
        <v>893</v>
      </c>
      <c r="H866" s="179" t="s">
        <v>893</v>
      </c>
      <c r="I866" s="179" t="s">
        <v>893</v>
      </c>
      <c r="J866" s="132">
        <v>0.9</v>
      </c>
      <c r="K866" s="133">
        <v>0.909090909090909</v>
      </c>
      <c r="L866" s="133">
        <v>1</v>
      </c>
      <c r="M866" s="134">
        <v>1</v>
      </c>
      <c r="N866" s="133">
        <v>0.984575835475578</v>
      </c>
      <c r="O866" s="135">
        <v>0.9</v>
      </c>
      <c r="P866" s="133">
        <v>0.985428051001822</v>
      </c>
      <c r="Q866" s="133">
        <v>0.97609561752988</v>
      </c>
      <c r="R866" s="133">
        <v>0.987626546681665</v>
      </c>
      <c r="S866" s="133">
        <v>0.922392665880004</v>
      </c>
      <c r="T866" s="135">
        <v>0.9</v>
      </c>
      <c r="U866" s="133">
        <v>0.951730418943534</v>
      </c>
      <c r="V866" s="133">
        <v>0.950863213811421</v>
      </c>
      <c r="W866" s="133">
        <v>0.955568053993251</v>
      </c>
      <c r="X866" s="133">
        <v>0.926719312577532</v>
      </c>
      <c r="Y866" s="135">
        <v>0.92</v>
      </c>
      <c r="Z866" s="135">
        <v>0.801587301587302</v>
      </c>
      <c r="AA866" s="135">
        <v>0.834123222748815</v>
      </c>
      <c r="AB866" s="135">
        <v>0.78125</v>
      </c>
      <c r="AC866" s="135">
        <v>0.834688346883469</v>
      </c>
      <c r="AD866" s="135">
        <v>0.92</v>
      </c>
      <c r="AE866" s="133">
        <v>1</v>
      </c>
      <c r="AF866" s="133">
        <v>1</v>
      </c>
      <c r="AG866" s="133">
        <v>1</v>
      </c>
      <c r="AH866" s="133">
        <v>0.987390882638215</v>
      </c>
      <c r="AI866" s="135">
        <v>0.92</v>
      </c>
      <c r="AJ866" s="133">
        <v>0.945185185185185</v>
      </c>
      <c r="AK866" s="133">
        <v>0.946058091286307</v>
      </c>
      <c r="AL866" s="133">
        <v>0.95771878072763</v>
      </c>
      <c r="AM866" s="133">
        <v>0.960646900269542</v>
      </c>
      <c r="AN866" s="132">
        <v>0.99</v>
      </c>
      <c r="AO866" s="137">
        <v>1</v>
      </c>
      <c r="AP866" s="137">
        <v>1</v>
      </c>
      <c r="AQ866" s="137">
        <v>1</v>
      </c>
      <c r="AR866" s="137">
        <v>1</v>
      </c>
      <c r="AS866" s="158">
        <v>0.0810595228934205</v>
      </c>
      <c r="AT866" s="141">
        <v>1</v>
      </c>
      <c r="AU866" s="141">
        <v>0</v>
      </c>
      <c r="AV866" s="141">
        <v>0</v>
      </c>
      <c r="AW866" s="141">
        <v>0.0531914893617021</v>
      </c>
      <c r="AX866" s="95"/>
      <c r="AY866" s="93"/>
    </row>
    <row r="867" ht="15" spans="1:51">
      <c r="A867" s="91"/>
      <c r="B867" s="95"/>
      <c r="C867" s="152" t="s">
        <v>668</v>
      </c>
      <c r="D867" s="153" t="s">
        <v>25</v>
      </c>
      <c r="E867" s="130" t="s">
        <v>669</v>
      </c>
      <c r="F867" s="179" t="s">
        <v>894</v>
      </c>
      <c r="G867" s="179" t="s">
        <v>894</v>
      </c>
      <c r="H867" s="179" t="s">
        <v>894</v>
      </c>
      <c r="I867" s="179" t="s">
        <v>894</v>
      </c>
      <c r="J867" s="132">
        <v>0.9</v>
      </c>
      <c r="K867" s="133">
        <v>1</v>
      </c>
      <c r="L867" s="133">
        <v>0.826086956521739</v>
      </c>
      <c r="M867" s="134">
        <v>0.925925925925926</v>
      </c>
      <c r="N867" s="133">
        <v>0.945179584120983</v>
      </c>
      <c r="O867" s="135">
        <v>0.9</v>
      </c>
      <c r="P867" s="133">
        <v>0.992679355783309</v>
      </c>
      <c r="Q867" s="133">
        <v>0.991803278688525</v>
      </c>
      <c r="R867" s="133">
        <v>0.99113867966327</v>
      </c>
      <c r="S867" s="133">
        <v>0.934784849265653</v>
      </c>
      <c r="T867" s="135">
        <v>0.9</v>
      </c>
      <c r="U867" s="133">
        <v>0.948023426061493</v>
      </c>
      <c r="V867" s="133">
        <v>0.951844262295082</v>
      </c>
      <c r="W867" s="133">
        <v>0.950819672131147</v>
      </c>
      <c r="X867" s="133">
        <v>0.940170059263077</v>
      </c>
      <c r="Y867" s="135">
        <v>0.92</v>
      </c>
      <c r="Z867" s="135">
        <v>0.943037974683544</v>
      </c>
      <c r="AA867" s="135">
        <v>0.9</v>
      </c>
      <c r="AB867" s="135">
        <v>0.813725490196078</v>
      </c>
      <c r="AC867" s="135">
        <v>0.911068806091923</v>
      </c>
      <c r="AD867" s="135">
        <v>0.92</v>
      </c>
      <c r="AE867" s="133">
        <v>1</v>
      </c>
      <c r="AF867" s="133">
        <v>1</v>
      </c>
      <c r="AG867" s="133">
        <v>1</v>
      </c>
      <c r="AH867" s="133">
        <v>0.988290398126464</v>
      </c>
      <c r="AI867" s="135">
        <v>0.92</v>
      </c>
      <c r="AJ867" s="133">
        <v>0.963139120095125</v>
      </c>
      <c r="AK867" s="133">
        <v>0.961476725521669</v>
      </c>
      <c r="AL867" s="133">
        <v>0.966055403823644</v>
      </c>
      <c r="AM867" s="133">
        <v>0.967811809556817</v>
      </c>
      <c r="AN867" s="132">
        <v>0.99</v>
      </c>
      <c r="AO867" s="137">
        <v>1</v>
      </c>
      <c r="AP867" s="137">
        <v>1</v>
      </c>
      <c r="AQ867" s="137">
        <v>1</v>
      </c>
      <c r="AR867" s="137">
        <v>1</v>
      </c>
      <c r="AS867" s="158">
        <v>0.0810595228934205</v>
      </c>
      <c r="AT867" s="141">
        <v>0</v>
      </c>
      <c r="AU867" s="141">
        <v>0</v>
      </c>
      <c r="AV867" s="141">
        <v>0.2</v>
      </c>
      <c r="AW867" s="141">
        <v>0.0542168674698795</v>
      </c>
      <c r="AX867" s="95"/>
      <c r="AY867" s="93"/>
    </row>
    <row r="868" ht="15" spans="1:51">
      <c r="A868" s="91"/>
      <c r="B868" s="95"/>
      <c r="C868" s="152" t="s">
        <v>668</v>
      </c>
      <c r="D868" s="153" t="s">
        <v>25</v>
      </c>
      <c r="E868" s="130" t="s">
        <v>669</v>
      </c>
      <c r="F868" s="179" t="s">
        <v>895</v>
      </c>
      <c r="G868" s="179" t="s">
        <v>895</v>
      </c>
      <c r="H868" s="179" t="s">
        <v>895</v>
      </c>
      <c r="I868" s="179" t="s">
        <v>895</v>
      </c>
      <c r="J868" s="132">
        <v>0.9</v>
      </c>
      <c r="K868" s="133">
        <v>0.8</v>
      </c>
      <c r="L868" s="133">
        <v>0.833333333333333</v>
      </c>
      <c r="M868" s="134">
        <v>0.846153846153846</v>
      </c>
      <c r="N868" s="133">
        <v>0.841194968553459</v>
      </c>
      <c r="O868" s="135">
        <v>0.9</v>
      </c>
      <c r="P868" s="133">
        <v>0.971223021582734</v>
      </c>
      <c r="Q868" s="133">
        <v>0.948795180722892</v>
      </c>
      <c r="R868" s="133">
        <v>0.947233418834738</v>
      </c>
      <c r="S868" s="133">
        <v>0.874886313285604</v>
      </c>
      <c r="T868" s="135">
        <v>0.9</v>
      </c>
      <c r="U868" s="133">
        <v>0.935251798561151</v>
      </c>
      <c r="V868" s="133">
        <v>0.887550200803213</v>
      </c>
      <c r="W868" s="133">
        <v>0.792231586661781</v>
      </c>
      <c r="X868" s="133">
        <v>0.912362118420746</v>
      </c>
      <c r="Y868" s="135">
        <v>0.92</v>
      </c>
      <c r="Z868" s="135">
        <v>0.813953488372093</v>
      </c>
      <c r="AA868" s="135">
        <v>0.799126637554585</v>
      </c>
      <c r="AB868" s="135">
        <v>0.486486486486487</v>
      </c>
      <c r="AC868" s="135">
        <v>0.771610933814347</v>
      </c>
      <c r="AD868" s="135">
        <v>0.92</v>
      </c>
      <c r="AE868" s="133">
        <v>1</v>
      </c>
      <c r="AF868" s="133">
        <v>0.944444444444444</v>
      </c>
      <c r="AG868" s="133">
        <v>0.980769230769231</v>
      </c>
      <c r="AH868" s="133">
        <v>0.930047694753577</v>
      </c>
      <c r="AI868" s="135">
        <v>0.92</v>
      </c>
      <c r="AJ868" s="133">
        <v>0.929627439384979</v>
      </c>
      <c r="AK868" s="133">
        <v>0.924081632653061</v>
      </c>
      <c r="AL868" s="133">
        <v>0.87603305785124</v>
      </c>
      <c r="AM868" s="133">
        <v>0.939409063685366</v>
      </c>
      <c r="AN868" s="132">
        <v>0.99</v>
      </c>
      <c r="AO868" s="137">
        <v>1</v>
      </c>
      <c r="AP868" s="137">
        <v>1</v>
      </c>
      <c r="AQ868" s="137">
        <v>1</v>
      </c>
      <c r="AR868" s="137">
        <v>1</v>
      </c>
      <c r="AS868" s="158">
        <v>0.0810595228934205</v>
      </c>
      <c r="AT868" s="141">
        <v>0</v>
      </c>
      <c r="AU868" s="141">
        <v>0</v>
      </c>
      <c r="AV868" s="141">
        <v>0.0769230769230769</v>
      </c>
      <c r="AW868" s="141">
        <v>0.0358974358974359</v>
      </c>
      <c r="AX868" s="95"/>
      <c r="AY868" s="93"/>
    </row>
    <row r="869" ht="15" spans="1:51">
      <c r="A869" s="91"/>
      <c r="B869" s="95"/>
      <c r="C869" s="152" t="s">
        <v>668</v>
      </c>
      <c r="D869" s="153" t="s">
        <v>25</v>
      </c>
      <c r="E869" s="130" t="s">
        <v>669</v>
      </c>
      <c r="F869" s="179" t="s">
        <v>896</v>
      </c>
      <c r="G869" s="179" t="s">
        <v>896</v>
      </c>
      <c r="H869" s="179" t="s">
        <v>896</v>
      </c>
      <c r="I869" s="179" t="s">
        <v>896</v>
      </c>
      <c r="J869" s="132">
        <v>0.9</v>
      </c>
      <c r="K869" s="133">
        <v>1</v>
      </c>
      <c r="L869" s="133">
        <v>1</v>
      </c>
      <c r="M869" s="134">
        <v>1</v>
      </c>
      <c r="N869" s="133">
        <v>0.9867197875166</v>
      </c>
      <c r="O869" s="135">
        <v>0.9</v>
      </c>
      <c r="P869" s="133">
        <v>0.979037636969986</v>
      </c>
      <c r="Q869" s="133">
        <v>0.97679180887372</v>
      </c>
      <c r="R869" s="133">
        <v>0.961561561561562</v>
      </c>
      <c r="S869" s="133">
        <v>0.954633641596068</v>
      </c>
      <c r="T869" s="135">
        <v>0.9</v>
      </c>
      <c r="U869" s="133">
        <v>0.92282039066222</v>
      </c>
      <c r="V869" s="133">
        <v>0.943344709897611</v>
      </c>
      <c r="W869" s="133">
        <v>0.951651651651652</v>
      </c>
      <c r="X869" s="133">
        <v>0.931643277501132</v>
      </c>
      <c r="Y869" s="135">
        <v>0.92</v>
      </c>
      <c r="Z869" s="135">
        <v>0.858910891089109</v>
      </c>
      <c r="AA869" s="135">
        <v>0.873479318734793</v>
      </c>
      <c r="AB869" s="135">
        <v>0.905063291139241</v>
      </c>
      <c r="AC869" s="135">
        <v>0.915012350196688</v>
      </c>
      <c r="AD869" s="135">
        <v>0.92</v>
      </c>
      <c r="AE869" s="133">
        <v>0.993464052287582</v>
      </c>
      <c r="AF869" s="133">
        <v>0.976470588235294</v>
      </c>
      <c r="AG869" s="133">
        <v>0.982300884955752</v>
      </c>
      <c r="AH869" s="133">
        <v>0.982766239505082</v>
      </c>
      <c r="AI869" s="135">
        <v>0.92</v>
      </c>
      <c r="AJ869" s="133">
        <v>0.939272872552936</v>
      </c>
      <c r="AK869" s="133">
        <v>0.947761194029851</v>
      </c>
      <c r="AL869" s="133">
        <v>0.971608832807571</v>
      </c>
      <c r="AM869" s="133">
        <v>0.969773161315142</v>
      </c>
      <c r="AN869" s="132">
        <v>0.99</v>
      </c>
      <c r="AO869" s="137">
        <v>1</v>
      </c>
      <c r="AP869" s="137">
        <v>1</v>
      </c>
      <c r="AQ869" s="137">
        <v>1</v>
      </c>
      <c r="AR869" s="137">
        <v>1</v>
      </c>
      <c r="AS869" s="158">
        <v>0.0810595228934205</v>
      </c>
      <c r="AT869" s="141">
        <v>0</v>
      </c>
      <c r="AU869" s="141">
        <v>0</v>
      </c>
      <c r="AV869" s="141">
        <v>0.1</v>
      </c>
      <c r="AW869" s="141">
        <v>0.0672645739910314</v>
      </c>
      <c r="AX869" s="95"/>
      <c r="AY869" s="93"/>
    </row>
    <row r="870" ht="15" spans="1:51">
      <c r="A870" s="91"/>
      <c r="B870" s="95"/>
      <c r="C870" s="152" t="s">
        <v>668</v>
      </c>
      <c r="D870" s="153" t="s">
        <v>25</v>
      </c>
      <c r="E870" s="130" t="s">
        <v>669</v>
      </c>
      <c r="F870" s="179" t="s">
        <v>897</v>
      </c>
      <c r="G870" s="179" t="s">
        <v>897</v>
      </c>
      <c r="H870" s="179" t="s">
        <v>897</v>
      </c>
      <c r="I870" s="179" t="s">
        <v>897</v>
      </c>
      <c r="J870" s="132">
        <v>0.9</v>
      </c>
      <c r="K870" s="133">
        <v>0.838709677419355</v>
      </c>
      <c r="L870" s="133">
        <v>0.8</v>
      </c>
      <c r="M870" s="134">
        <v>0.75</v>
      </c>
      <c r="N870" s="133">
        <v>0.776223776223776</v>
      </c>
      <c r="O870" s="135">
        <v>0.9</v>
      </c>
      <c r="P870" s="133">
        <v>0.997129186602871</v>
      </c>
      <c r="Q870" s="133">
        <v>1</v>
      </c>
      <c r="R870" s="133">
        <v>0.966174661746617</v>
      </c>
      <c r="S870" s="133">
        <v>0.935518777848504</v>
      </c>
      <c r="T870" s="135">
        <v>0.9</v>
      </c>
      <c r="U870" s="133">
        <v>0.91578947368421</v>
      </c>
      <c r="V870" s="133">
        <v>0.926020408163265</v>
      </c>
      <c r="W870" s="133">
        <v>0.86469864698647</v>
      </c>
      <c r="X870" s="133">
        <v>0.92622533418205</v>
      </c>
      <c r="Y870" s="135">
        <v>0.92</v>
      </c>
      <c r="Z870" s="135">
        <v>0.922727272727273</v>
      </c>
      <c r="AA870" s="135">
        <v>0.682539682539683</v>
      </c>
      <c r="AB870" s="135">
        <v>0.888888888888889</v>
      </c>
      <c r="AC870" s="135">
        <v>0.918891855807744</v>
      </c>
      <c r="AD870" s="135">
        <v>0.92</v>
      </c>
      <c r="AE870" s="133">
        <v>1</v>
      </c>
      <c r="AF870" s="133">
        <v>0.978494623655914</v>
      </c>
      <c r="AG870" s="133">
        <v>1</v>
      </c>
      <c r="AH870" s="133">
        <v>0.983594332587621</v>
      </c>
      <c r="AI870" s="135">
        <v>0.92</v>
      </c>
      <c r="AJ870" s="133">
        <v>0.95098814229249</v>
      </c>
      <c r="AK870" s="133">
        <v>0.912641315519013</v>
      </c>
      <c r="AL870" s="133">
        <v>0.961102106969206</v>
      </c>
      <c r="AM870" s="133">
        <v>0.971666844862611</v>
      </c>
      <c r="AN870" s="132">
        <v>0.99</v>
      </c>
      <c r="AO870" s="137">
        <v>1</v>
      </c>
      <c r="AP870" s="137">
        <v>1</v>
      </c>
      <c r="AQ870" s="137">
        <v>1</v>
      </c>
      <c r="AR870" s="137">
        <v>1</v>
      </c>
      <c r="AS870" s="158">
        <v>0.0810595228934205</v>
      </c>
      <c r="AT870" s="141">
        <v>0</v>
      </c>
      <c r="AU870" s="141">
        <v>0</v>
      </c>
      <c r="AV870" s="141">
        <v>0</v>
      </c>
      <c r="AW870" s="141">
        <v>0.032967032967033</v>
      </c>
      <c r="AX870" s="95"/>
      <c r="AY870" s="93"/>
    </row>
    <row r="871" ht="15" spans="1:51">
      <c r="A871" s="91"/>
      <c r="B871" s="95"/>
      <c r="C871" s="152" t="s">
        <v>668</v>
      </c>
      <c r="D871" s="153" t="s">
        <v>25</v>
      </c>
      <c r="E871" s="130" t="s">
        <v>669</v>
      </c>
      <c r="F871" s="179" t="s">
        <v>898</v>
      </c>
      <c r="G871" s="179" t="s">
        <v>898</v>
      </c>
      <c r="H871" s="179" t="s">
        <v>898</v>
      </c>
      <c r="I871" s="179" t="s">
        <v>898</v>
      </c>
      <c r="J871" s="132">
        <v>0.9</v>
      </c>
      <c r="K871" s="133">
        <v>0.837837837837838</v>
      </c>
      <c r="L871" s="133">
        <v>0.931034482758621</v>
      </c>
      <c r="M871" s="134">
        <v>0.885714285714286</v>
      </c>
      <c r="N871" s="133">
        <v>0.897744360902256</v>
      </c>
      <c r="O871" s="135">
        <v>0.9</v>
      </c>
      <c r="P871" s="133">
        <v>0.964358452138493</v>
      </c>
      <c r="Q871" s="133">
        <v>0.945606694560669</v>
      </c>
      <c r="R871" s="133">
        <v>0.96484375</v>
      </c>
      <c r="S871" s="133">
        <v>0.962429270600222</v>
      </c>
      <c r="T871" s="135">
        <v>0.9</v>
      </c>
      <c r="U871" s="133">
        <v>0.920061099796334</v>
      </c>
      <c r="V871" s="133">
        <v>0.934449093444909</v>
      </c>
      <c r="W871" s="133">
        <v>0.935221354166667</v>
      </c>
      <c r="X871" s="133">
        <v>0.9257864381493</v>
      </c>
      <c r="Y871" s="135">
        <v>0.92</v>
      </c>
      <c r="Z871" s="135">
        <v>0.916666666666667</v>
      </c>
      <c r="AA871" s="135">
        <v>0.931972789115646</v>
      </c>
      <c r="AB871" s="135">
        <v>0.939490445859873</v>
      </c>
      <c r="AC871" s="135">
        <v>0.942806031178124</v>
      </c>
      <c r="AD871" s="135">
        <v>0.92</v>
      </c>
      <c r="AE871" s="133">
        <v>0.976598173515982</v>
      </c>
      <c r="AF871" s="133">
        <v>0.979856115107914</v>
      </c>
      <c r="AG871" s="133">
        <v>0.985781990521327</v>
      </c>
      <c r="AH871" s="133">
        <v>0.985956112852665</v>
      </c>
      <c r="AI871" s="135">
        <v>0.92</v>
      </c>
      <c r="AJ871" s="133">
        <v>0.947387518142235</v>
      </c>
      <c r="AK871" s="133">
        <v>0.96496081143384</v>
      </c>
      <c r="AL871" s="133">
        <v>0.974622030237581</v>
      </c>
      <c r="AM871" s="133">
        <v>0.970468718567693</v>
      </c>
      <c r="AN871" s="132">
        <v>0.99</v>
      </c>
      <c r="AO871" s="137">
        <v>1</v>
      </c>
      <c r="AP871" s="137">
        <v>1</v>
      </c>
      <c r="AQ871" s="137">
        <v>1</v>
      </c>
      <c r="AR871" s="137">
        <v>1</v>
      </c>
      <c r="AS871" s="158">
        <v>0.0810595228934205</v>
      </c>
      <c r="AT871" s="141">
        <v>0.105263157894737</v>
      </c>
      <c r="AU871" s="141">
        <v>0</v>
      </c>
      <c r="AV871" s="141">
        <v>0.0357142857142857</v>
      </c>
      <c r="AW871" s="141">
        <v>0.0595744680851064</v>
      </c>
      <c r="AX871" s="95"/>
      <c r="AY871" s="93"/>
    </row>
    <row r="872" ht="15" spans="1:51">
      <c r="A872" s="91"/>
      <c r="B872" s="95"/>
      <c r="C872" s="152" t="s">
        <v>668</v>
      </c>
      <c r="D872" s="153" t="s">
        <v>25</v>
      </c>
      <c r="E872" s="130" t="s">
        <v>669</v>
      </c>
      <c r="F872" s="179" t="s">
        <v>899</v>
      </c>
      <c r="G872" s="179" t="s">
        <v>899</v>
      </c>
      <c r="H872" s="179" t="s">
        <v>899</v>
      </c>
      <c r="I872" s="179" t="s">
        <v>899</v>
      </c>
      <c r="J872" s="132">
        <v>0.9</v>
      </c>
      <c r="K872" s="133">
        <v>0.888888888888889</v>
      </c>
      <c r="L872" s="133">
        <v>0.944444444444444</v>
      </c>
      <c r="M872" s="134">
        <v>0.948717948717949</v>
      </c>
      <c r="N872" s="133">
        <v>0.923884514435696</v>
      </c>
      <c r="O872" s="135">
        <v>0.9</v>
      </c>
      <c r="P872" s="133">
        <v>0.978249611600207</v>
      </c>
      <c r="Q872" s="133">
        <v>0.976577748861418</v>
      </c>
      <c r="R872" s="133">
        <v>0.978025285972306</v>
      </c>
      <c r="S872" s="133">
        <v>0.971466060181945</v>
      </c>
      <c r="T872" s="135">
        <v>0.9</v>
      </c>
      <c r="U872" s="133">
        <v>0.960124287933713</v>
      </c>
      <c r="V872" s="133">
        <v>0.957059206245934</v>
      </c>
      <c r="W872" s="133">
        <v>0.957555689343769</v>
      </c>
      <c r="X872" s="133">
        <v>0.953393981805458</v>
      </c>
      <c r="Y872" s="135">
        <v>0.92</v>
      </c>
      <c r="Z872" s="135">
        <v>0.922413793103448</v>
      </c>
      <c r="AA872" s="135">
        <v>0.939120631341601</v>
      </c>
      <c r="AB872" s="135">
        <v>0.937912813738441</v>
      </c>
      <c r="AC872" s="135">
        <v>0.935107829803769</v>
      </c>
      <c r="AD872" s="135">
        <v>0.92</v>
      </c>
      <c r="AE872" s="133">
        <v>0.992147678743629</v>
      </c>
      <c r="AF872" s="133">
        <v>0.990701938187533</v>
      </c>
      <c r="AG872" s="133">
        <v>0.992793312193716</v>
      </c>
      <c r="AH872" s="133">
        <v>0.991442722479629</v>
      </c>
      <c r="AI872" s="135">
        <v>0.92</v>
      </c>
      <c r="AJ872" s="133">
        <v>0.968542467668647</v>
      </c>
      <c r="AK872" s="133">
        <v>0.97029702970297</v>
      </c>
      <c r="AL872" s="133">
        <v>0.98015192354815</v>
      </c>
      <c r="AM872" s="133">
        <v>0.974567990125489</v>
      </c>
      <c r="AN872" s="132">
        <v>0.99</v>
      </c>
      <c r="AO872" s="137">
        <v>1</v>
      </c>
      <c r="AP872" s="137">
        <v>1</v>
      </c>
      <c r="AQ872" s="137">
        <v>1</v>
      </c>
      <c r="AR872" s="137">
        <v>1</v>
      </c>
      <c r="AS872" s="158">
        <v>0.0810595228934205</v>
      </c>
      <c r="AT872" s="141">
        <v>0.142857142857143</v>
      </c>
      <c r="AU872" s="141">
        <v>0</v>
      </c>
      <c r="AV872" s="141">
        <v>0.25</v>
      </c>
      <c r="AW872" s="141">
        <v>0.0571428571428571</v>
      </c>
      <c r="AX872" s="95"/>
      <c r="AY872" s="93"/>
    </row>
    <row r="873" ht="15" spans="1:51">
      <c r="A873" s="91"/>
      <c r="B873" s="95"/>
      <c r="C873" s="152" t="s">
        <v>668</v>
      </c>
      <c r="D873" s="153" t="s">
        <v>25</v>
      </c>
      <c r="E873" s="130" t="s">
        <v>669</v>
      </c>
      <c r="F873" s="179" t="s">
        <v>900</v>
      </c>
      <c r="G873" s="179" t="s">
        <v>900</v>
      </c>
      <c r="H873" s="179" t="s">
        <v>900</v>
      </c>
      <c r="I873" s="179" t="s">
        <v>900</v>
      </c>
      <c r="J873" s="132">
        <v>0.9</v>
      </c>
      <c r="K873" s="133">
        <v>0.980769230769231</v>
      </c>
      <c r="L873" s="133">
        <v>0.897435897435897</v>
      </c>
      <c r="M873" s="134">
        <v>0.92156862745098</v>
      </c>
      <c r="N873" s="133">
        <v>0.929336188436831</v>
      </c>
      <c r="O873" s="135">
        <v>0.9</v>
      </c>
      <c r="P873" s="133">
        <v>0.969383160738406</v>
      </c>
      <c r="Q873" s="133">
        <v>0.97396449704142</v>
      </c>
      <c r="R873" s="133">
        <v>0.979241627456407</v>
      </c>
      <c r="S873" s="133">
        <v>0.97037687890294</v>
      </c>
      <c r="T873" s="135">
        <v>0.9</v>
      </c>
      <c r="U873" s="133">
        <v>0.95182350292661</v>
      </c>
      <c r="V873" s="133">
        <v>0.942011834319527</v>
      </c>
      <c r="W873" s="133">
        <v>0.939662330473291</v>
      </c>
      <c r="X873" s="133">
        <v>0.926601186180061</v>
      </c>
      <c r="Y873" s="135">
        <v>0.92</v>
      </c>
      <c r="Z873" s="135">
        <v>0.957934990439771</v>
      </c>
      <c r="AA873" s="135">
        <v>0.937193326790972</v>
      </c>
      <c r="AB873" s="135">
        <v>0.939172749391727</v>
      </c>
      <c r="AC873" s="135">
        <v>0.947035977977893</v>
      </c>
      <c r="AD873" s="135">
        <v>0.92</v>
      </c>
      <c r="AE873" s="133">
        <v>0.998409485251591</v>
      </c>
      <c r="AF873" s="133">
        <v>0.996781576312402</v>
      </c>
      <c r="AG873" s="133">
        <v>0.997545332171985</v>
      </c>
      <c r="AH873" s="133">
        <v>0.995510472123212</v>
      </c>
      <c r="AI873" s="135">
        <v>0.92</v>
      </c>
      <c r="AJ873" s="133">
        <v>0.979192166462668</v>
      </c>
      <c r="AK873" s="133">
        <v>0.971217712177122</v>
      </c>
      <c r="AL873" s="133">
        <v>0.976791347453808</v>
      </c>
      <c r="AM873" s="133">
        <v>0.976322337266233</v>
      </c>
      <c r="AN873" s="132">
        <v>0.99</v>
      </c>
      <c r="AO873" s="137">
        <v>1</v>
      </c>
      <c r="AP873" s="137">
        <v>1</v>
      </c>
      <c r="AQ873" s="137">
        <v>1</v>
      </c>
      <c r="AR873" s="137">
        <v>1</v>
      </c>
      <c r="AS873" s="158">
        <v>0.0810595228934205</v>
      </c>
      <c r="AT873" s="141">
        <v>0</v>
      </c>
      <c r="AU873" s="141">
        <v>0.3</v>
      </c>
      <c r="AV873" s="141">
        <v>0.0625</v>
      </c>
      <c r="AW873" s="141">
        <v>0.0508474576271186</v>
      </c>
      <c r="AX873" s="95"/>
      <c r="AY873" s="93"/>
    </row>
    <row r="874" ht="15" spans="1:51">
      <c r="A874" s="91"/>
      <c r="B874" s="95"/>
      <c r="C874" s="152" t="s">
        <v>668</v>
      </c>
      <c r="D874" s="153" t="s">
        <v>25</v>
      </c>
      <c r="E874" s="130" t="s">
        <v>669</v>
      </c>
      <c r="F874" s="179" t="s">
        <v>901</v>
      </c>
      <c r="G874" s="179" t="s">
        <v>901</v>
      </c>
      <c r="H874" s="179" t="s">
        <v>901</v>
      </c>
      <c r="I874" s="179" t="s">
        <v>901</v>
      </c>
      <c r="J874" s="132">
        <v>0.9</v>
      </c>
      <c r="K874" s="133">
        <v>0.980769230769231</v>
      </c>
      <c r="L874" s="133">
        <v>0.972972972972973</v>
      </c>
      <c r="M874" s="134">
        <v>0.956521739130435</v>
      </c>
      <c r="N874" s="133">
        <v>0.970449172576832</v>
      </c>
      <c r="O874" s="135">
        <v>0.9</v>
      </c>
      <c r="P874" s="133">
        <v>0.987241531016278</v>
      </c>
      <c r="Q874" s="133">
        <v>0.964796479647965</v>
      </c>
      <c r="R874" s="133">
        <v>0.982783775897286</v>
      </c>
      <c r="S874" s="133">
        <v>0.977195041069333</v>
      </c>
      <c r="T874" s="135">
        <v>0.9</v>
      </c>
      <c r="U874" s="133">
        <v>0.964364276286846</v>
      </c>
      <c r="V874" s="133">
        <v>0.963146314631463</v>
      </c>
      <c r="W874" s="133">
        <v>0.97432156405019</v>
      </c>
      <c r="X874" s="133">
        <v>0.964525619441185</v>
      </c>
      <c r="Y874" s="135">
        <v>0.92</v>
      </c>
      <c r="Z874" s="135">
        <v>0.974662162162162</v>
      </c>
      <c r="AA874" s="135">
        <v>0.975279106858054</v>
      </c>
      <c r="AB874" s="135">
        <v>0.971971971971972</v>
      </c>
      <c r="AC874" s="135">
        <v>0.965083858791232</v>
      </c>
      <c r="AD874" s="135">
        <v>0.92</v>
      </c>
      <c r="AE874" s="133">
        <v>0.996476569185081</v>
      </c>
      <c r="AF874" s="133">
        <v>0.994709650754288</v>
      </c>
      <c r="AG874" s="133">
        <v>0.994435773902422</v>
      </c>
      <c r="AH874" s="133">
        <v>0.995189485892445</v>
      </c>
      <c r="AI874" s="135">
        <v>0.92</v>
      </c>
      <c r="AJ874" s="133">
        <v>0.980913823019086</v>
      </c>
      <c r="AK874" s="133">
        <v>0.982747395833333</v>
      </c>
      <c r="AL874" s="133">
        <v>0.986217803886127</v>
      </c>
      <c r="AM874" s="133">
        <v>0.98285582086281</v>
      </c>
      <c r="AN874" s="132">
        <v>0.99</v>
      </c>
      <c r="AO874" s="137">
        <v>1</v>
      </c>
      <c r="AP874" s="137">
        <v>1</v>
      </c>
      <c r="AQ874" s="137">
        <v>1</v>
      </c>
      <c r="AR874" s="137">
        <v>1</v>
      </c>
      <c r="AS874" s="158">
        <v>0.0810595228934205</v>
      </c>
      <c r="AT874" s="141">
        <v>0</v>
      </c>
      <c r="AU874" s="141">
        <v>0.166666666666667</v>
      </c>
      <c r="AV874" s="141">
        <v>0.0625</v>
      </c>
      <c r="AW874" s="141">
        <v>0.0392857142857143</v>
      </c>
      <c r="AX874" s="95"/>
      <c r="AY874" s="93"/>
    </row>
    <row r="875" ht="15" spans="1:51">
      <c r="A875" s="91"/>
      <c r="B875" s="95"/>
      <c r="C875" s="152" t="s">
        <v>668</v>
      </c>
      <c r="D875" s="153" t="s">
        <v>25</v>
      </c>
      <c r="E875" s="130" t="s">
        <v>669</v>
      </c>
      <c r="F875" s="179" t="s">
        <v>902</v>
      </c>
      <c r="G875" s="179" t="s">
        <v>902</v>
      </c>
      <c r="H875" s="179" t="s">
        <v>902</v>
      </c>
      <c r="I875" s="179" t="s">
        <v>902</v>
      </c>
      <c r="J875" s="132">
        <v>0.9</v>
      </c>
      <c r="K875" s="133">
        <v>0.944444444444444</v>
      </c>
      <c r="L875" s="133">
        <v>0.884615384615385</v>
      </c>
      <c r="M875" s="134">
        <v>0.96875</v>
      </c>
      <c r="N875" s="133">
        <v>0.936666666666667</v>
      </c>
      <c r="O875" s="135">
        <v>0.9</v>
      </c>
      <c r="P875" s="133">
        <v>0.984700122399021</v>
      </c>
      <c r="Q875" s="133">
        <v>0.988076311605723</v>
      </c>
      <c r="R875" s="133">
        <v>0.985166425470333</v>
      </c>
      <c r="S875" s="133">
        <v>0.980780066361986</v>
      </c>
      <c r="T875" s="135">
        <v>0.9</v>
      </c>
      <c r="U875" s="133">
        <v>0.960832313341493</v>
      </c>
      <c r="V875" s="133">
        <v>0.966613672496025</v>
      </c>
      <c r="W875" s="133">
        <v>0.965267727930536</v>
      </c>
      <c r="X875" s="133">
        <v>0.963250485193764</v>
      </c>
      <c r="Y875" s="135">
        <v>0.92</v>
      </c>
      <c r="Z875" s="135">
        <v>0.915714285714286</v>
      </c>
      <c r="AA875" s="135">
        <v>0.908945686900958</v>
      </c>
      <c r="AB875" s="135">
        <v>0.928082191780822</v>
      </c>
      <c r="AC875" s="135">
        <v>0.935157574694498</v>
      </c>
      <c r="AD875" s="135">
        <v>0.92</v>
      </c>
      <c r="AE875" s="133">
        <v>0.988372093023256</v>
      </c>
      <c r="AF875" s="133">
        <v>0.96319018404908</v>
      </c>
      <c r="AG875" s="133">
        <v>1</v>
      </c>
      <c r="AH875" s="133">
        <v>0.987175913019236</v>
      </c>
      <c r="AI875" s="135">
        <v>0.92</v>
      </c>
      <c r="AJ875" s="133">
        <v>0.964453961456103</v>
      </c>
      <c r="AK875" s="133">
        <v>0.962314225053079</v>
      </c>
      <c r="AL875" s="133">
        <v>0.97760525530009</v>
      </c>
      <c r="AM875" s="133">
        <v>0.975891388243977</v>
      </c>
      <c r="AN875" s="132">
        <v>0.99</v>
      </c>
      <c r="AO875" s="137">
        <v>1</v>
      </c>
      <c r="AP875" s="137">
        <v>1</v>
      </c>
      <c r="AQ875" s="137">
        <v>1</v>
      </c>
      <c r="AR875" s="137">
        <v>1</v>
      </c>
      <c r="AS875" s="158">
        <v>0.0810595228934205</v>
      </c>
      <c r="AT875" s="141">
        <v>0</v>
      </c>
      <c r="AU875" s="141">
        <v>0.166666666666667</v>
      </c>
      <c r="AV875" s="141">
        <v>0.142857142857143</v>
      </c>
      <c r="AW875" s="141">
        <v>0.038135593220339</v>
      </c>
      <c r="AX875" s="95"/>
      <c r="AY875" s="93"/>
    </row>
    <row r="876" ht="15" spans="1:51">
      <c r="A876" s="91"/>
      <c r="B876" s="95"/>
      <c r="C876" s="152" t="s">
        <v>668</v>
      </c>
      <c r="D876" s="153" t="s">
        <v>25</v>
      </c>
      <c r="E876" s="130" t="s">
        <v>669</v>
      </c>
      <c r="F876" s="179" t="s">
        <v>903</v>
      </c>
      <c r="G876" s="179" t="s">
        <v>903</v>
      </c>
      <c r="H876" s="179" t="s">
        <v>903</v>
      </c>
      <c r="I876" s="179" t="s">
        <v>903</v>
      </c>
      <c r="J876" s="132">
        <v>0.9</v>
      </c>
      <c r="K876" s="133">
        <v>0.866666666666667</v>
      </c>
      <c r="L876" s="133">
        <v>0.951219512195122</v>
      </c>
      <c r="M876" s="134">
        <v>0.754385964912281</v>
      </c>
      <c r="N876" s="133">
        <v>0.872380952380952</v>
      </c>
      <c r="O876" s="135">
        <v>0.9</v>
      </c>
      <c r="P876" s="133">
        <v>0.961680176860722</v>
      </c>
      <c r="Q876" s="133">
        <v>0.956602031394275</v>
      </c>
      <c r="R876" s="133">
        <v>0.956559325696996</v>
      </c>
      <c r="S876" s="133">
        <v>0.940765317947279</v>
      </c>
      <c r="T876" s="135">
        <v>0.9</v>
      </c>
      <c r="U876" s="133">
        <v>0.932940309506264</v>
      </c>
      <c r="V876" s="133">
        <v>0.904893813481071</v>
      </c>
      <c r="W876" s="133">
        <v>0.929760103738924</v>
      </c>
      <c r="X876" s="133">
        <v>0.915319777016065</v>
      </c>
      <c r="Y876" s="135">
        <v>0.92</v>
      </c>
      <c r="Z876" s="135">
        <v>0.929782082324455</v>
      </c>
      <c r="AA876" s="135">
        <v>0.911320754716981</v>
      </c>
      <c r="AB876" s="135">
        <v>0.921465968586387</v>
      </c>
      <c r="AC876" s="135">
        <v>0.92958573748402</v>
      </c>
      <c r="AD876" s="135">
        <v>0.92</v>
      </c>
      <c r="AE876" s="133">
        <v>1</v>
      </c>
      <c r="AF876" s="133">
        <v>1</v>
      </c>
      <c r="AG876" s="133">
        <v>1</v>
      </c>
      <c r="AH876" s="133">
        <v>0.990973166810931</v>
      </c>
      <c r="AI876" s="135">
        <v>0.92</v>
      </c>
      <c r="AJ876" s="133">
        <v>0.965125094768764</v>
      </c>
      <c r="AK876" s="133">
        <v>0.951657886581965</v>
      </c>
      <c r="AL876" s="133">
        <v>0.969365818702974</v>
      </c>
      <c r="AM876" s="133">
        <v>0.967380435468034</v>
      </c>
      <c r="AN876" s="132">
        <v>0.99</v>
      </c>
      <c r="AO876" s="137">
        <v>1</v>
      </c>
      <c r="AP876" s="137">
        <v>1</v>
      </c>
      <c r="AQ876" s="137">
        <v>1</v>
      </c>
      <c r="AR876" s="137">
        <v>1</v>
      </c>
      <c r="AS876" s="158">
        <v>0.0810595228934205</v>
      </c>
      <c r="AT876" s="141">
        <v>0</v>
      </c>
      <c r="AU876" s="141">
        <v>0.1</v>
      </c>
      <c r="AV876" s="141">
        <v>0</v>
      </c>
      <c r="AW876" s="141">
        <v>0.0747663551401869</v>
      </c>
      <c r="AX876" s="95"/>
      <c r="AY876" s="93"/>
    </row>
    <row r="877" ht="15" spans="1:51">
      <c r="A877" s="91"/>
      <c r="B877" s="95"/>
      <c r="C877" s="152" t="s">
        <v>668</v>
      </c>
      <c r="D877" s="153" t="s">
        <v>25</v>
      </c>
      <c r="E877" s="130" t="s">
        <v>669</v>
      </c>
      <c r="F877" s="179" t="s">
        <v>904</v>
      </c>
      <c r="G877" s="179" t="s">
        <v>904</v>
      </c>
      <c r="H877" s="179" t="s">
        <v>904</v>
      </c>
      <c r="I877" s="179" t="s">
        <v>904</v>
      </c>
      <c r="J877" s="132">
        <v>0.9</v>
      </c>
      <c r="K877" s="133">
        <v>0.844444444444444</v>
      </c>
      <c r="L877" s="133">
        <v>0.852941176470588</v>
      </c>
      <c r="M877" s="134">
        <v>0.975</v>
      </c>
      <c r="N877" s="133">
        <v>0.881648936170213</v>
      </c>
      <c r="O877" s="135">
        <v>0.9</v>
      </c>
      <c r="P877" s="133">
        <v>0.979502834714348</v>
      </c>
      <c r="Q877" s="133">
        <v>0.985849056603774</v>
      </c>
      <c r="R877" s="133">
        <v>0.969348659003831</v>
      </c>
      <c r="S877" s="133">
        <v>0.951240113645089</v>
      </c>
      <c r="T877" s="135">
        <v>0.9</v>
      </c>
      <c r="U877" s="133">
        <v>0.941125163541212</v>
      </c>
      <c r="V877" s="133">
        <v>0.949292452830189</v>
      </c>
      <c r="W877" s="133">
        <v>0.946086480569239</v>
      </c>
      <c r="X877" s="133">
        <v>0.934869077785456</v>
      </c>
      <c r="Y877" s="135">
        <v>0.92</v>
      </c>
      <c r="Z877" s="135">
        <v>0.94392523364486</v>
      </c>
      <c r="AA877" s="135">
        <v>0.948521358159912</v>
      </c>
      <c r="AB877" s="135">
        <v>0.940446650124069</v>
      </c>
      <c r="AC877" s="135">
        <v>0.93864440851287</v>
      </c>
      <c r="AD877" s="135">
        <v>0.92</v>
      </c>
      <c r="AE877" s="133">
        <v>0.993322859387274</v>
      </c>
      <c r="AF877" s="133">
        <v>0.984520123839009</v>
      </c>
      <c r="AG877" s="133">
        <v>0.990033222591362</v>
      </c>
      <c r="AH877" s="133">
        <v>0.995969111619375</v>
      </c>
      <c r="AI877" s="135">
        <v>0.92</v>
      </c>
      <c r="AJ877" s="133">
        <v>0.97267424009825</v>
      </c>
      <c r="AK877" s="133">
        <v>0.975086239938674</v>
      </c>
      <c r="AL877" s="133">
        <v>0.975784753363229</v>
      </c>
      <c r="AM877" s="133">
        <v>0.972966221969912</v>
      </c>
      <c r="AN877" s="132">
        <v>0.99</v>
      </c>
      <c r="AO877" s="137">
        <v>1</v>
      </c>
      <c r="AP877" s="137">
        <v>1</v>
      </c>
      <c r="AQ877" s="137">
        <v>1</v>
      </c>
      <c r="AR877" s="137">
        <v>1</v>
      </c>
      <c r="AS877" s="158">
        <v>0.0810595228934205</v>
      </c>
      <c r="AT877" s="141">
        <v>0.0714285714285714</v>
      </c>
      <c r="AU877" s="141">
        <v>0.0952380952380952</v>
      </c>
      <c r="AV877" s="141">
        <v>0</v>
      </c>
      <c r="AW877" s="141">
        <v>0.0351966873706004</v>
      </c>
      <c r="AX877" s="95"/>
      <c r="AY877" s="93"/>
    </row>
    <row r="878" ht="15" spans="1:51">
      <c r="A878" s="91"/>
      <c r="B878" s="95"/>
      <c r="C878" s="152" t="s">
        <v>668</v>
      </c>
      <c r="D878" s="153" t="s">
        <v>25</v>
      </c>
      <c r="E878" s="130" t="s">
        <v>669</v>
      </c>
      <c r="F878" s="179" t="s">
        <v>905</v>
      </c>
      <c r="G878" s="179" t="s">
        <v>905</v>
      </c>
      <c r="H878" s="179" t="s">
        <v>905</v>
      </c>
      <c r="I878" s="179" t="s">
        <v>905</v>
      </c>
      <c r="J878" s="132">
        <v>0.9</v>
      </c>
      <c r="K878" s="133">
        <v>0.95</v>
      </c>
      <c r="L878" s="133">
        <v>1</v>
      </c>
      <c r="M878" s="134">
        <v>1</v>
      </c>
      <c r="N878" s="133">
        <v>0.993975903614458</v>
      </c>
      <c r="O878" s="135">
        <v>0.9</v>
      </c>
      <c r="P878" s="133">
        <v>0.988965517241379</v>
      </c>
      <c r="Q878" s="133">
        <v>0.978003384094755</v>
      </c>
      <c r="R878" s="133">
        <v>0.981651376146789</v>
      </c>
      <c r="S878" s="133">
        <v>0.972347266881029</v>
      </c>
      <c r="T878" s="135">
        <v>0.9</v>
      </c>
      <c r="U878" s="133">
        <v>0.971034482758621</v>
      </c>
      <c r="V878" s="133">
        <v>0.923857868020305</v>
      </c>
      <c r="W878" s="133">
        <v>0.96605504587156</v>
      </c>
      <c r="X878" s="133">
        <v>0.944786403307304</v>
      </c>
      <c r="Y878" s="135">
        <v>0.92</v>
      </c>
      <c r="Z878" s="135">
        <v>0.96231884057971</v>
      </c>
      <c r="AA878" s="135">
        <v>0.937037037037037</v>
      </c>
      <c r="AB878" s="135">
        <v>0.938864628820961</v>
      </c>
      <c r="AC878" s="135">
        <v>0.947483307652799</v>
      </c>
      <c r="AD878" s="135">
        <v>0.92</v>
      </c>
      <c r="AE878" s="133">
        <v>0.993720565149137</v>
      </c>
      <c r="AF878" s="133">
        <v>0.997442455242967</v>
      </c>
      <c r="AG878" s="133">
        <v>0.98936170212766</v>
      </c>
      <c r="AH878" s="133">
        <v>0.996140320782228</v>
      </c>
      <c r="AI878" s="135">
        <v>0.92</v>
      </c>
      <c r="AJ878" s="133">
        <v>0.980373831775701</v>
      </c>
      <c r="AK878" s="133">
        <v>0.966318234610918</v>
      </c>
      <c r="AL878" s="133">
        <v>0.979529946929492</v>
      </c>
      <c r="AM878" s="133">
        <v>0.976258116883117</v>
      </c>
      <c r="AN878" s="132">
        <v>0.99</v>
      </c>
      <c r="AO878" s="137">
        <v>1</v>
      </c>
      <c r="AP878" s="137">
        <v>1</v>
      </c>
      <c r="AQ878" s="137">
        <v>1</v>
      </c>
      <c r="AR878" s="137">
        <v>1</v>
      </c>
      <c r="AS878" s="158">
        <v>0.0810595228934205</v>
      </c>
      <c r="AT878" s="141">
        <v>0</v>
      </c>
      <c r="AU878" s="141">
        <v>0</v>
      </c>
      <c r="AV878" s="141">
        <v>0</v>
      </c>
      <c r="AW878" s="141">
        <v>0.02</v>
      </c>
      <c r="AX878" s="95"/>
      <c r="AY878" s="93"/>
    </row>
    <row r="879" ht="15" spans="1:51">
      <c r="A879" s="91"/>
      <c r="B879" s="95"/>
      <c r="C879" s="152" t="s">
        <v>668</v>
      </c>
      <c r="D879" s="153" t="s">
        <v>25</v>
      </c>
      <c r="E879" s="130" t="s">
        <v>669</v>
      </c>
      <c r="F879" s="179" t="s">
        <v>906</v>
      </c>
      <c r="G879" s="179" t="s">
        <v>906</v>
      </c>
      <c r="H879" s="179" t="s">
        <v>906</v>
      </c>
      <c r="I879" s="179" t="s">
        <v>906</v>
      </c>
      <c r="J879" s="132">
        <v>0.9</v>
      </c>
      <c r="K879" s="133">
        <v>0.833333333333333</v>
      </c>
      <c r="L879" s="133">
        <v>0.827586206896552</v>
      </c>
      <c r="M879" s="134">
        <v>0.838709677419355</v>
      </c>
      <c r="N879" s="133">
        <v>0.830097087378641</v>
      </c>
      <c r="O879" s="135">
        <v>0.9</v>
      </c>
      <c r="P879" s="133">
        <v>0.98898250162022</v>
      </c>
      <c r="Q879" s="133">
        <v>0.984602917341977</v>
      </c>
      <c r="R879" s="133">
        <v>0.975997176138369</v>
      </c>
      <c r="S879" s="133">
        <v>0.977612410922621</v>
      </c>
      <c r="T879" s="135">
        <v>0.9</v>
      </c>
      <c r="U879" s="133">
        <v>0.970836033700583</v>
      </c>
      <c r="V879" s="133">
        <v>0.969205834683955</v>
      </c>
      <c r="W879" s="133">
        <v>0.970702435580656</v>
      </c>
      <c r="X879" s="133">
        <v>0.96737508145719</v>
      </c>
      <c r="Y879" s="135">
        <v>0.92</v>
      </c>
      <c r="Z879" s="135">
        <v>0.974960876369327</v>
      </c>
      <c r="AA879" s="135">
        <v>0.964615384615385</v>
      </c>
      <c r="AB879" s="135">
        <v>0.969283276450512</v>
      </c>
      <c r="AC879" s="135">
        <v>0.97366860396157</v>
      </c>
      <c r="AD879" s="135">
        <v>0.92</v>
      </c>
      <c r="AE879" s="133">
        <v>0.995850622406639</v>
      </c>
      <c r="AF879" s="133">
        <v>0.997175141242938</v>
      </c>
      <c r="AG879" s="133">
        <v>0.996632996632997</v>
      </c>
      <c r="AH879" s="133">
        <v>0.99838865613922</v>
      </c>
      <c r="AI879" s="135">
        <v>0.92</v>
      </c>
      <c r="AJ879" s="133">
        <v>0.989000916590284</v>
      </c>
      <c r="AK879" s="133">
        <v>0.984623541887593</v>
      </c>
      <c r="AL879" s="133">
        <v>0.989184448991523</v>
      </c>
      <c r="AM879" s="133">
        <v>0.989591573983589</v>
      </c>
      <c r="AN879" s="132">
        <v>0.99</v>
      </c>
      <c r="AO879" s="137">
        <v>1</v>
      </c>
      <c r="AP879" s="137">
        <v>1</v>
      </c>
      <c r="AQ879" s="137">
        <v>1</v>
      </c>
      <c r="AR879" s="137">
        <v>1</v>
      </c>
      <c r="AS879" s="158">
        <v>0.0810595228934205</v>
      </c>
      <c r="AT879" s="141">
        <v>0</v>
      </c>
      <c r="AU879" s="141">
        <v>0</v>
      </c>
      <c r="AV879" s="141">
        <v>0</v>
      </c>
      <c r="AW879" s="141">
        <v>0.0167224080267559</v>
      </c>
      <c r="AX879" s="95"/>
      <c r="AY879" s="93"/>
    </row>
    <row r="880" ht="15" spans="1:51">
      <c r="A880" s="91"/>
      <c r="B880" s="95"/>
      <c r="C880" s="152" t="s">
        <v>668</v>
      </c>
      <c r="D880" s="153" t="s">
        <v>25</v>
      </c>
      <c r="E880" s="130" t="s">
        <v>669</v>
      </c>
      <c r="F880" s="179" t="s">
        <v>907</v>
      </c>
      <c r="G880" s="179" t="s">
        <v>907</v>
      </c>
      <c r="H880" s="179" t="s">
        <v>907</v>
      </c>
      <c r="I880" s="179" t="s">
        <v>907</v>
      </c>
      <c r="J880" s="132">
        <v>0.9</v>
      </c>
      <c r="K880" s="133">
        <v>1</v>
      </c>
      <c r="L880" s="133">
        <v>0.952380952380952</v>
      </c>
      <c r="M880" s="134">
        <v>0.91304347826087</v>
      </c>
      <c r="N880" s="133">
        <v>0.977973568281938</v>
      </c>
      <c r="O880" s="135">
        <v>0.9</v>
      </c>
      <c r="P880" s="133">
        <v>0.980492813141684</v>
      </c>
      <c r="Q880" s="133">
        <v>0.973936899862826</v>
      </c>
      <c r="R880" s="133">
        <v>0.963006459189665</v>
      </c>
      <c r="S880" s="133">
        <v>0.964893219705972</v>
      </c>
      <c r="T880" s="135">
        <v>0.9</v>
      </c>
      <c r="U880" s="133">
        <v>0.946611909650924</v>
      </c>
      <c r="V880" s="133">
        <v>0.939643347050754</v>
      </c>
      <c r="W880" s="133">
        <v>0.948326482677628</v>
      </c>
      <c r="X880" s="133">
        <v>0.953654975724035</v>
      </c>
      <c r="Y880" s="135">
        <v>0.92</v>
      </c>
      <c r="Z880" s="135">
        <v>0.917073170731707</v>
      </c>
      <c r="AA880" s="135">
        <v>0.935483870967742</v>
      </c>
      <c r="AB880" s="135">
        <v>0.936962750716332</v>
      </c>
      <c r="AC880" s="135">
        <v>0.943259746359793</v>
      </c>
      <c r="AD880" s="135">
        <v>0.92</v>
      </c>
      <c r="AE880" s="133">
        <v>1</v>
      </c>
      <c r="AF880" s="133">
        <v>1</v>
      </c>
      <c r="AG880" s="133">
        <v>0.99781181619256</v>
      </c>
      <c r="AH880" s="133">
        <v>0.998774634943327</v>
      </c>
      <c r="AI880" s="135">
        <v>0.92</v>
      </c>
      <c r="AJ880" s="133">
        <v>0.960982658959538</v>
      </c>
      <c r="AK880" s="133">
        <v>0.966394187102634</v>
      </c>
      <c r="AL880" s="133">
        <v>0.979044834307992</v>
      </c>
      <c r="AM880" s="133">
        <v>0.978105284157502</v>
      </c>
      <c r="AN880" s="132">
        <v>0.99</v>
      </c>
      <c r="AO880" s="137">
        <v>1</v>
      </c>
      <c r="AP880" s="137" t="s">
        <v>35</v>
      </c>
      <c r="AQ880" s="137">
        <v>1</v>
      </c>
      <c r="AR880" s="137">
        <v>1</v>
      </c>
      <c r="AS880" s="158">
        <v>0.0810595228934205</v>
      </c>
      <c r="AT880" s="141">
        <v>0</v>
      </c>
      <c r="AU880" s="141">
        <v>0</v>
      </c>
      <c r="AV880" s="141">
        <v>0</v>
      </c>
      <c r="AW880" s="141">
        <v>0.0222222222222222</v>
      </c>
      <c r="AX880" s="95"/>
      <c r="AY880" s="93"/>
    </row>
    <row r="881" ht="15" spans="1:51">
      <c r="A881" s="91"/>
      <c r="B881" s="95"/>
      <c r="C881" s="152" t="s">
        <v>668</v>
      </c>
      <c r="D881" s="153" t="s">
        <v>25</v>
      </c>
      <c r="E881" s="130" t="s">
        <v>669</v>
      </c>
      <c r="F881" s="179" t="s">
        <v>908</v>
      </c>
      <c r="G881" s="179" t="s">
        <v>908</v>
      </c>
      <c r="H881" s="179" t="s">
        <v>908</v>
      </c>
      <c r="I881" s="179" t="s">
        <v>908</v>
      </c>
      <c r="J881" s="132">
        <v>0.9</v>
      </c>
      <c r="K881" s="133">
        <v>0.892857142857143</v>
      </c>
      <c r="L881" s="133">
        <v>0.904761904761905</v>
      </c>
      <c r="M881" s="134">
        <v>0.958333333333333</v>
      </c>
      <c r="N881" s="133">
        <v>0.902386117136659</v>
      </c>
      <c r="O881" s="135">
        <v>0.9</v>
      </c>
      <c r="P881" s="133">
        <v>0.990999099909991</v>
      </c>
      <c r="Q881" s="133">
        <v>0.994722955145119</v>
      </c>
      <c r="R881" s="133">
        <v>0.994246260069045</v>
      </c>
      <c r="S881" s="133">
        <v>0.986153996164722</v>
      </c>
      <c r="T881" s="135">
        <v>0.9</v>
      </c>
      <c r="U881" s="133">
        <v>0.953195319531953</v>
      </c>
      <c r="V881" s="133">
        <v>0.95910290237467</v>
      </c>
      <c r="W881" s="133">
        <v>0.967779056386651</v>
      </c>
      <c r="X881" s="133">
        <v>0.955731790554815</v>
      </c>
      <c r="Y881" s="135">
        <v>0.92</v>
      </c>
      <c r="Z881" s="135">
        <v>0.956803455723542</v>
      </c>
      <c r="AA881" s="135">
        <v>0.950777202072539</v>
      </c>
      <c r="AB881" s="135">
        <v>0.958974358974359</v>
      </c>
      <c r="AC881" s="135">
        <v>0.951017401712549</v>
      </c>
      <c r="AD881" s="135">
        <v>0.92</v>
      </c>
      <c r="AE881" s="133">
        <v>1</v>
      </c>
      <c r="AF881" s="133">
        <v>1</v>
      </c>
      <c r="AG881" s="133">
        <v>1</v>
      </c>
      <c r="AH881" s="133">
        <v>1</v>
      </c>
      <c r="AI881" s="135">
        <v>0.92</v>
      </c>
      <c r="AJ881" s="133">
        <v>0.978398983481576</v>
      </c>
      <c r="AK881" s="133">
        <v>0.97465034965035</v>
      </c>
      <c r="AL881" s="133">
        <v>0.986848285580085</v>
      </c>
      <c r="AM881" s="133">
        <v>0.979494813676527</v>
      </c>
      <c r="AN881" s="132">
        <v>0.99</v>
      </c>
      <c r="AO881" s="137">
        <v>1</v>
      </c>
      <c r="AP881" s="137">
        <v>1</v>
      </c>
      <c r="AQ881" s="137">
        <v>1</v>
      </c>
      <c r="AR881" s="137">
        <v>1</v>
      </c>
      <c r="AS881" s="158">
        <v>0.0810595228934205</v>
      </c>
      <c r="AT881" s="141">
        <v>0</v>
      </c>
      <c r="AU881" s="141">
        <v>0</v>
      </c>
      <c r="AV881" s="141">
        <v>0</v>
      </c>
      <c r="AW881" s="141">
        <v>0.0291970802919708</v>
      </c>
      <c r="AX881" s="95"/>
      <c r="AY881" s="93"/>
    </row>
    <row r="882" ht="15" spans="1:51">
      <c r="A882" s="91"/>
      <c r="B882" s="95"/>
      <c r="C882" s="152" t="s">
        <v>668</v>
      </c>
      <c r="D882" s="153" t="s">
        <v>25</v>
      </c>
      <c r="E882" s="130" t="s">
        <v>669</v>
      </c>
      <c r="F882" s="179" t="s">
        <v>909</v>
      </c>
      <c r="G882" s="179" t="s">
        <v>909</v>
      </c>
      <c r="H882" s="179" t="s">
        <v>909</v>
      </c>
      <c r="I882" s="179" t="s">
        <v>909</v>
      </c>
      <c r="J882" s="132">
        <v>0.9</v>
      </c>
      <c r="K882" s="133">
        <v>0.964285714285714</v>
      </c>
      <c r="L882" s="133">
        <v>0.75</v>
      </c>
      <c r="M882" s="134">
        <v>0.84</v>
      </c>
      <c r="N882" s="133">
        <v>0.869294605809129</v>
      </c>
      <c r="O882" s="135">
        <v>0.9</v>
      </c>
      <c r="P882" s="133">
        <v>0.96684350132626</v>
      </c>
      <c r="Q882" s="133">
        <v>0.93676603432701</v>
      </c>
      <c r="R882" s="133">
        <v>0.93784826403772</v>
      </c>
      <c r="S882" s="133">
        <v>0.933936436138555</v>
      </c>
      <c r="T882" s="135">
        <v>0.9</v>
      </c>
      <c r="U882" s="133">
        <v>0.941644562334218</v>
      </c>
      <c r="V882" s="133">
        <v>0.921409214092141</v>
      </c>
      <c r="W882" s="133">
        <v>0.94127732533219</v>
      </c>
      <c r="X882" s="133">
        <v>0.920842756814665</v>
      </c>
      <c r="Y882" s="135">
        <v>0.92</v>
      </c>
      <c r="Z882" s="135">
        <v>0.89375</v>
      </c>
      <c r="AA882" s="135">
        <v>0.91768826619965</v>
      </c>
      <c r="AB882" s="135">
        <v>0.937644341801386</v>
      </c>
      <c r="AC882" s="135">
        <v>0.915637157873183</v>
      </c>
      <c r="AD882" s="135">
        <v>0.92</v>
      </c>
      <c r="AE882" s="133">
        <v>0.996012759170654</v>
      </c>
      <c r="AF882" s="133">
        <v>0.998595505617977</v>
      </c>
      <c r="AG882" s="133">
        <v>1</v>
      </c>
      <c r="AH882" s="133">
        <v>0.993538418317179</v>
      </c>
      <c r="AI882" s="135">
        <v>0.92</v>
      </c>
      <c r="AJ882" s="133">
        <v>0.947417403443462</v>
      </c>
      <c r="AK882" s="133">
        <v>0.946364719904648</v>
      </c>
      <c r="AL882" s="133">
        <v>0.97397903867004</v>
      </c>
      <c r="AM882" s="133">
        <v>0.963384951850153</v>
      </c>
      <c r="AN882" s="132">
        <v>0.99</v>
      </c>
      <c r="AO882" s="137">
        <v>1</v>
      </c>
      <c r="AP882" s="137">
        <v>1</v>
      </c>
      <c r="AQ882" s="137">
        <v>1</v>
      </c>
      <c r="AR882" s="137">
        <v>1</v>
      </c>
      <c r="AS882" s="158">
        <v>0.0810595228934205</v>
      </c>
      <c r="AT882" s="141">
        <v>0</v>
      </c>
      <c r="AU882" s="141">
        <v>0.166666666666667</v>
      </c>
      <c r="AV882" s="141">
        <v>0</v>
      </c>
      <c r="AW882" s="141">
        <v>0.0235849056603774</v>
      </c>
      <c r="AX882" s="95"/>
      <c r="AY882" s="93"/>
    </row>
    <row r="883" ht="15" spans="1:51">
      <c r="A883" s="91"/>
      <c r="B883" s="95"/>
      <c r="C883" s="152" t="s">
        <v>668</v>
      </c>
      <c r="D883" s="153" t="s">
        <v>25</v>
      </c>
      <c r="E883" s="130" t="s">
        <v>669</v>
      </c>
      <c r="F883" s="179" t="s">
        <v>910</v>
      </c>
      <c r="G883" s="179" t="s">
        <v>910</v>
      </c>
      <c r="H883" s="179" t="s">
        <v>910</v>
      </c>
      <c r="I883" s="179" t="s">
        <v>910</v>
      </c>
      <c r="J883" s="132">
        <v>0.9</v>
      </c>
      <c r="K883" s="133">
        <v>1</v>
      </c>
      <c r="L883" s="133">
        <v>1</v>
      </c>
      <c r="M883" s="134">
        <v>1</v>
      </c>
      <c r="N883" s="133">
        <v>0.987376014427412</v>
      </c>
      <c r="O883" s="135">
        <v>0.9</v>
      </c>
      <c r="P883" s="133">
        <v>0.979445506692161</v>
      </c>
      <c r="Q883" s="133">
        <v>0.971035137701804</v>
      </c>
      <c r="R883" s="133">
        <v>0.917492711370262</v>
      </c>
      <c r="S883" s="133">
        <v>0.968633453938213</v>
      </c>
      <c r="T883" s="135">
        <v>0.9</v>
      </c>
      <c r="U883" s="133">
        <v>0.936424474187381</v>
      </c>
      <c r="V883" s="133">
        <v>0.931623931623932</v>
      </c>
      <c r="W883" s="133">
        <v>0.934110787172012</v>
      </c>
      <c r="X883" s="133">
        <v>0.937072084608962</v>
      </c>
      <c r="Y883" s="135">
        <v>0.92</v>
      </c>
      <c r="Z883" s="135">
        <v>0.956021372790793</v>
      </c>
      <c r="AA883" s="135">
        <v>0.942784488239034</v>
      </c>
      <c r="AB883" s="135">
        <v>0.926857142857143</v>
      </c>
      <c r="AC883" s="135">
        <v>0.950618790734005</v>
      </c>
      <c r="AD883" s="135">
        <v>0.92</v>
      </c>
      <c r="AE883" s="133">
        <v>0.985959438377535</v>
      </c>
      <c r="AF883" s="133">
        <v>1</v>
      </c>
      <c r="AG883" s="133">
        <v>0.986394557823129</v>
      </c>
      <c r="AH883" s="133">
        <v>0.983278361586254</v>
      </c>
      <c r="AI883" s="135">
        <v>0.92</v>
      </c>
      <c r="AJ883" s="133">
        <v>0.965082872928177</v>
      </c>
      <c r="AK883" s="133">
        <v>0.963577058983419</v>
      </c>
      <c r="AL883" s="133">
        <v>0.962833914053426</v>
      </c>
      <c r="AM883" s="133">
        <v>0.970929974918241</v>
      </c>
      <c r="AN883" s="132">
        <v>0.99</v>
      </c>
      <c r="AO883" s="137">
        <v>1</v>
      </c>
      <c r="AP883" s="137">
        <v>1</v>
      </c>
      <c r="AQ883" s="137">
        <v>1</v>
      </c>
      <c r="AR883" s="137">
        <v>1</v>
      </c>
      <c r="AS883" s="158">
        <v>0.0810595228934205</v>
      </c>
      <c r="AT883" s="141">
        <v>0.0344827586206897</v>
      </c>
      <c r="AU883" s="141">
        <v>0.0681818181818182</v>
      </c>
      <c r="AV883" s="141">
        <v>0</v>
      </c>
      <c r="AW883" s="141">
        <v>0.0133155792276964</v>
      </c>
      <c r="AX883" s="95"/>
      <c r="AY883" s="93"/>
    </row>
    <row r="884" ht="15" spans="1:51">
      <c r="A884" s="91"/>
      <c r="B884" s="95"/>
      <c r="C884" s="152" t="s">
        <v>668</v>
      </c>
      <c r="D884" s="153" t="s">
        <v>25</v>
      </c>
      <c r="E884" s="130" t="s">
        <v>669</v>
      </c>
      <c r="F884" s="179" t="s">
        <v>911</v>
      </c>
      <c r="G884" s="179" t="s">
        <v>911</v>
      </c>
      <c r="H884" s="179" t="s">
        <v>911</v>
      </c>
      <c r="I884" s="179" t="s">
        <v>911</v>
      </c>
      <c r="J884" s="132">
        <v>0.9</v>
      </c>
      <c r="K884" s="133" t="s">
        <v>35</v>
      </c>
      <c r="L884" s="133" t="s">
        <v>35</v>
      </c>
      <c r="M884" s="134" t="s">
        <v>35</v>
      </c>
      <c r="N884" s="133" t="s">
        <v>35</v>
      </c>
      <c r="O884" s="135">
        <v>0.9</v>
      </c>
      <c r="P884" s="133" t="s">
        <v>35</v>
      </c>
      <c r="Q884" s="133" t="s">
        <v>35</v>
      </c>
      <c r="R884" s="133" t="s">
        <v>35</v>
      </c>
      <c r="S884" s="133" t="s">
        <v>35</v>
      </c>
      <c r="T884" s="135">
        <v>0.9</v>
      </c>
      <c r="U884" s="133" t="s">
        <v>35</v>
      </c>
      <c r="V884" s="133" t="s">
        <v>35</v>
      </c>
      <c r="W884" s="133" t="s">
        <v>35</v>
      </c>
      <c r="X884" s="133" t="s">
        <v>35</v>
      </c>
      <c r="Y884" s="135">
        <v>0.92</v>
      </c>
      <c r="Z884" s="135" t="s">
        <v>35</v>
      </c>
      <c r="AA884" s="135" t="s">
        <v>35</v>
      </c>
      <c r="AB884" s="135" t="s">
        <v>35</v>
      </c>
      <c r="AC884" s="135" t="s">
        <v>35</v>
      </c>
      <c r="AD884" s="135">
        <v>0.92</v>
      </c>
      <c r="AE884" s="133" t="s">
        <v>35</v>
      </c>
      <c r="AF884" s="133" t="s">
        <v>35</v>
      </c>
      <c r="AG884" s="133" t="s">
        <v>35</v>
      </c>
      <c r="AH884" s="133">
        <v>1</v>
      </c>
      <c r="AI884" s="135">
        <v>0.92</v>
      </c>
      <c r="AJ884" s="133" t="s">
        <v>35</v>
      </c>
      <c r="AK884" s="133" t="s">
        <v>35</v>
      </c>
      <c r="AL884" s="133" t="s">
        <v>35</v>
      </c>
      <c r="AM884" s="133" t="s">
        <v>35</v>
      </c>
      <c r="AN884" s="132">
        <v>0.99</v>
      </c>
      <c r="AO884" s="137" t="s">
        <v>35</v>
      </c>
      <c r="AP884" s="137" t="s">
        <v>35</v>
      </c>
      <c r="AQ884" s="137" t="s">
        <v>35</v>
      </c>
      <c r="AR884" s="137" t="s">
        <v>35</v>
      </c>
      <c r="AS884" s="158">
        <v>0.0810595228934205</v>
      </c>
      <c r="AT884" s="141" t="s">
        <v>35</v>
      </c>
      <c r="AU884" s="141" t="s">
        <v>35</v>
      </c>
      <c r="AV884" s="141" t="s">
        <v>35</v>
      </c>
      <c r="AW884" s="141" t="s">
        <v>35</v>
      </c>
      <c r="AX884" s="95"/>
      <c r="AY884" s="93"/>
    </row>
    <row r="885" ht="15" spans="1:51">
      <c r="A885" s="91"/>
      <c r="B885" s="95"/>
      <c r="C885" s="152" t="s">
        <v>668</v>
      </c>
      <c r="D885" s="153" t="s">
        <v>25</v>
      </c>
      <c r="E885" s="130" t="s">
        <v>669</v>
      </c>
      <c r="F885" s="179" t="s">
        <v>912</v>
      </c>
      <c r="G885" s="179" t="s">
        <v>912</v>
      </c>
      <c r="H885" s="179" t="s">
        <v>912</v>
      </c>
      <c r="I885" s="179" t="s">
        <v>912</v>
      </c>
      <c r="J885" s="132">
        <v>0.9</v>
      </c>
      <c r="K885" s="133">
        <v>1</v>
      </c>
      <c r="L885" s="133">
        <v>1</v>
      </c>
      <c r="M885" s="134">
        <v>1</v>
      </c>
      <c r="N885" s="133">
        <v>1</v>
      </c>
      <c r="O885" s="135">
        <v>0.9</v>
      </c>
      <c r="P885" s="133">
        <v>0.975</v>
      </c>
      <c r="Q885" s="133">
        <v>0.984572230014025</v>
      </c>
      <c r="R885" s="133">
        <v>0.984232365145228</v>
      </c>
      <c r="S885" s="133">
        <v>0.982471364109684</v>
      </c>
      <c r="T885" s="135">
        <v>0.9</v>
      </c>
      <c r="U885" s="133">
        <v>0.920833333333333</v>
      </c>
      <c r="V885" s="133">
        <v>0.939691444600281</v>
      </c>
      <c r="W885" s="133">
        <v>0.936099585062241</v>
      </c>
      <c r="X885" s="133">
        <v>0.94168691426588</v>
      </c>
      <c r="Y885" s="135">
        <v>0.92</v>
      </c>
      <c r="Z885" s="135">
        <v>0.930142302716688</v>
      </c>
      <c r="AA885" s="135">
        <v>0.953033268101761</v>
      </c>
      <c r="AB885" s="135">
        <v>0.957142857142857</v>
      </c>
      <c r="AC885" s="135">
        <v>0.95027146116925</v>
      </c>
      <c r="AD885" s="135">
        <v>0.92</v>
      </c>
      <c r="AE885" s="133">
        <v>1</v>
      </c>
      <c r="AF885" s="133">
        <v>0.942894224529526</v>
      </c>
      <c r="AG885" s="133">
        <v>0.997685185185185</v>
      </c>
      <c r="AH885" s="133">
        <v>0.993118204950266</v>
      </c>
      <c r="AI885" s="135">
        <v>0.92</v>
      </c>
      <c r="AJ885" s="133">
        <v>0.947121820615797</v>
      </c>
      <c r="AK885" s="133">
        <v>0.967320261437909</v>
      </c>
      <c r="AL885" s="133">
        <v>0.976430976430976</v>
      </c>
      <c r="AM885" s="133">
        <v>0.97091803920472</v>
      </c>
      <c r="AN885" s="132">
        <v>0.99</v>
      </c>
      <c r="AO885" s="137">
        <v>1</v>
      </c>
      <c r="AP885" s="137">
        <v>1</v>
      </c>
      <c r="AQ885" s="137">
        <v>1</v>
      </c>
      <c r="AR885" s="137">
        <v>1</v>
      </c>
      <c r="AS885" s="158">
        <v>0.0810595228934205</v>
      </c>
      <c r="AT885" s="141">
        <v>0</v>
      </c>
      <c r="AU885" s="141">
        <v>0</v>
      </c>
      <c r="AV885" s="141">
        <v>0</v>
      </c>
      <c r="AW885" s="141">
        <v>0.0132450331125828</v>
      </c>
      <c r="AX885" s="95"/>
      <c r="AY885" s="93"/>
    </row>
    <row r="886" ht="15" spans="1:51">
      <c r="A886" s="91"/>
      <c r="B886" s="95"/>
      <c r="C886" s="152" t="s">
        <v>668</v>
      </c>
      <c r="D886" s="153" t="s">
        <v>25</v>
      </c>
      <c r="E886" s="130" t="s">
        <v>669</v>
      </c>
      <c r="F886" s="179" t="s">
        <v>913</v>
      </c>
      <c r="G886" s="179" t="s">
        <v>913</v>
      </c>
      <c r="H886" s="179" t="s">
        <v>913</v>
      </c>
      <c r="I886" s="179" t="s">
        <v>913</v>
      </c>
      <c r="J886" s="132">
        <v>0.9</v>
      </c>
      <c r="K886" s="133">
        <v>0.979591836734694</v>
      </c>
      <c r="L886" s="133">
        <v>0.923076923076923</v>
      </c>
      <c r="M886" s="134">
        <v>1</v>
      </c>
      <c r="N886" s="133">
        <v>0.963182897862233</v>
      </c>
      <c r="O886" s="135">
        <v>0.9</v>
      </c>
      <c r="P886" s="133">
        <v>0.923582089552239</v>
      </c>
      <c r="Q886" s="133">
        <v>0.938679245283019</v>
      </c>
      <c r="R886" s="133">
        <v>0.90551500405515</v>
      </c>
      <c r="S886" s="133">
        <v>0.923941537688081</v>
      </c>
      <c r="T886" s="135">
        <v>0.9</v>
      </c>
      <c r="U886" s="133">
        <v>0.911641791044776</v>
      </c>
      <c r="V886" s="133">
        <v>0.899595687331536</v>
      </c>
      <c r="W886" s="133">
        <v>0.893349553933496</v>
      </c>
      <c r="X886" s="133">
        <v>0.908553883721765</v>
      </c>
      <c r="Y886" s="135">
        <v>0.92</v>
      </c>
      <c r="Z886" s="135">
        <v>0.944186046511628</v>
      </c>
      <c r="AA886" s="135">
        <v>0.929411764705882</v>
      </c>
      <c r="AB886" s="135">
        <v>0.884322678843227</v>
      </c>
      <c r="AC886" s="135">
        <v>0.932928006176414</v>
      </c>
      <c r="AD886" s="135">
        <v>0.92</v>
      </c>
      <c r="AE886" s="133">
        <v>1</v>
      </c>
      <c r="AF886" s="133">
        <v>0.998687664041995</v>
      </c>
      <c r="AG886" s="133">
        <v>1</v>
      </c>
      <c r="AH886" s="133">
        <v>0.995824175824176</v>
      </c>
      <c r="AI886" s="135">
        <v>0.92</v>
      </c>
      <c r="AJ886" s="133">
        <v>0.957340720221607</v>
      </c>
      <c r="AK886" s="133">
        <v>0.949513836948392</v>
      </c>
      <c r="AL886" s="133">
        <v>0.941402497598463</v>
      </c>
      <c r="AM886" s="133">
        <v>0.95851961100613</v>
      </c>
      <c r="AN886" s="132">
        <v>0.99</v>
      </c>
      <c r="AO886" s="137">
        <v>1</v>
      </c>
      <c r="AP886" s="137">
        <v>1</v>
      </c>
      <c r="AQ886" s="137">
        <v>1</v>
      </c>
      <c r="AR886" s="137">
        <v>1</v>
      </c>
      <c r="AS886" s="158">
        <v>0.0810595228934205</v>
      </c>
      <c r="AT886" s="141">
        <v>0</v>
      </c>
      <c r="AU886" s="141">
        <v>0.1</v>
      </c>
      <c r="AV886" s="141">
        <v>0.131578947368421</v>
      </c>
      <c r="AW886" s="141">
        <v>0.0474452554744526</v>
      </c>
      <c r="AX886" s="95"/>
      <c r="AY886" s="93"/>
    </row>
    <row r="887" ht="15" spans="1:51">
      <c r="A887" s="91"/>
      <c r="B887" s="95"/>
      <c r="C887" s="152" t="s">
        <v>668</v>
      </c>
      <c r="D887" s="153" t="s">
        <v>25</v>
      </c>
      <c r="E887" s="130" t="s">
        <v>669</v>
      </c>
      <c r="F887" s="179" t="s">
        <v>914</v>
      </c>
      <c r="G887" s="179" t="s">
        <v>914</v>
      </c>
      <c r="H887" s="179" t="s">
        <v>914</v>
      </c>
      <c r="I887" s="179" t="s">
        <v>914</v>
      </c>
      <c r="J887" s="132">
        <v>0.9</v>
      </c>
      <c r="K887" s="133" t="s">
        <v>35</v>
      </c>
      <c r="L887" s="133" t="s">
        <v>35</v>
      </c>
      <c r="M887" s="134" t="s">
        <v>35</v>
      </c>
      <c r="N887" s="133" t="s">
        <v>35</v>
      </c>
      <c r="O887" s="135">
        <v>0.9</v>
      </c>
      <c r="P887" s="133" t="s">
        <v>35</v>
      </c>
      <c r="Q887" s="133" t="s">
        <v>35</v>
      </c>
      <c r="R887" s="133" t="s">
        <v>35</v>
      </c>
      <c r="S887" s="133">
        <v>0</v>
      </c>
      <c r="T887" s="135">
        <v>0.9</v>
      </c>
      <c r="U887" s="133" t="s">
        <v>35</v>
      </c>
      <c r="V887" s="133" t="s">
        <v>35</v>
      </c>
      <c r="W887" s="133" t="s">
        <v>35</v>
      </c>
      <c r="X887" s="133">
        <v>1</v>
      </c>
      <c r="Y887" s="135">
        <v>0.92</v>
      </c>
      <c r="Z887" s="135" t="s">
        <v>35</v>
      </c>
      <c r="AA887" s="135" t="s">
        <v>35</v>
      </c>
      <c r="AB887" s="135" t="s">
        <v>35</v>
      </c>
      <c r="AC887" s="135">
        <v>1</v>
      </c>
      <c r="AD887" s="135">
        <v>0.92</v>
      </c>
      <c r="AE887" s="133">
        <v>1</v>
      </c>
      <c r="AF887" s="133">
        <v>0.997863247863248</v>
      </c>
      <c r="AG887" s="133">
        <v>1</v>
      </c>
      <c r="AH887" s="133">
        <v>0.998773006134969</v>
      </c>
      <c r="AI887" s="135">
        <v>0.92</v>
      </c>
      <c r="AJ887" s="133" t="s">
        <v>35</v>
      </c>
      <c r="AK887" s="133" t="s">
        <v>35</v>
      </c>
      <c r="AL887" s="133" t="s">
        <v>35</v>
      </c>
      <c r="AM887" s="133">
        <v>1</v>
      </c>
      <c r="AN887" s="132">
        <v>0.99</v>
      </c>
      <c r="AO887" s="137">
        <v>1</v>
      </c>
      <c r="AP887" s="137">
        <v>1</v>
      </c>
      <c r="AQ887" s="137" t="s">
        <v>35</v>
      </c>
      <c r="AR887" s="137">
        <v>1</v>
      </c>
      <c r="AS887" s="158">
        <v>0.0810595228934205</v>
      </c>
      <c r="AT887" s="141" t="s">
        <v>35</v>
      </c>
      <c r="AU887" s="141" t="s">
        <v>35</v>
      </c>
      <c r="AV887" s="141" t="s">
        <v>35</v>
      </c>
      <c r="AW887" s="141" t="s">
        <v>35</v>
      </c>
      <c r="AX887" s="95"/>
      <c r="AY887" s="93"/>
    </row>
    <row r="888" ht="15" spans="1:51">
      <c r="A888" s="91"/>
      <c r="B888" s="95"/>
      <c r="C888" s="152" t="s">
        <v>668</v>
      </c>
      <c r="D888" s="153" t="s">
        <v>25</v>
      </c>
      <c r="E888" s="130" t="s">
        <v>669</v>
      </c>
      <c r="F888" s="179" t="s">
        <v>915</v>
      </c>
      <c r="G888" s="179" t="s">
        <v>915</v>
      </c>
      <c r="H888" s="179" t="s">
        <v>915</v>
      </c>
      <c r="I888" s="179" t="s">
        <v>915</v>
      </c>
      <c r="J888" s="132">
        <v>0.9</v>
      </c>
      <c r="K888" s="133" t="s">
        <v>35</v>
      </c>
      <c r="L888" s="133" t="s">
        <v>35</v>
      </c>
      <c r="M888" s="134" t="s">
        <v>35</v>
      </c>
      <c r="N888" s="133" t="s">
        <v>35</v>
      </c>
      <c r="O888" s="135">
        <v>0.9</v>
      </c>
      <c r="P888" s="133" t="s">
        <v>35</v>
      </c>
      <c r="Q888" s="133" t="s">
        <v>35</v>
      </c>
      <c r="R888" s="133" t="s">
        <v>35</v>
      </c>
      <c r="S888" s="133">
        <v>1</v>
      </c>
      <c r="T888" s="135">
        <v>0.9</v>
      </c>
      <c r="U888" s="133" t="s">
        <v>35</v>
      </c>
      <c r="V888" s="133" t="s">
        <v>35</v>
      </c>
      <c r="W888" s="133" t="s">
        <v>35</v>
      </c>
      <c r="X888" s="133">
        <v>1</v>
      </c>
      <c r="Y888" s="135">
        <v>0.92</v>
      </c>
      <c r="Z888" s="135" t="s">
        <v>35</v>
      </c>
      <c r="AA888" s="135" t="s">
        <v>35</v>
      </c>
      <c r="AB888" s="135" t="s">
        <v>35</v>
      </c>
      <c r="AC888" s="135" t="s">
        <v>35</v>
      </c>
      <c r="AD888" s="135">
        <v>0.92</v>
      </c>
      <c r="AE888" s="133">
        <v>1</v>
      </c>
      <c r="AF888" s="133">
        <v>0.997171145685997</v>
      </c>
      <c r="AG888" s="133">
        <v>0.998802395209581</v>
      </c>
      <c r="AH888" s="133">
        <v>0.99821367812181</v>
      </c>
      <c r="AI888" s="135">
        <v>0.92</v>
      </c>
      <c r="AJ888" s="133" t="s">
        <v>35</v>
      </c>
      <c r="AK888" s="133" t="s">
        <v>35</v>
      </c>
      <c r="AL888" s="133" t="s">
        <v>35</v>
      </c>
      <c r="AM888" s="133">
        <v>1</v>
      </c>
      <c r="AN888" s="132">
        <v>0.99</v>
      </c>
      <c r="AO888" s="137" t="s">
        <v>35</v>
      </c>
      <c r="AP888" s="137" t="s">
        <v>35</v>
      </c>
      <c r="AQ888" s="137">
        <v>1</v>
      </c>
      <c r="AR888" s="137">
        <v>1</v>
      </c>
      <c r="AS888" s="158">
        <v>0.0810595228934205</v>
      </c>
      <c r="AT888" s="141" t="s">
        <v>35</v>
      </c>
      <c r="AU888" s="141" t="s">
        <v>35</v>
      </c>
      <c r="AV888" s="141" t="s">
        <v>35</v>
      </c>
      <c r="AW888" s="141" t="s">
        <v>35</v>
      </c>
      <c r="AX888" s="95"/>
      <c r="AY888" s="93"/>
    </row>
    <row r="889" ht="15" spans="1:51">
      <c r="A889" s="91"/>
      <c r="B889" s="95"/>
      <c r="C889" s="152" t="s">
        <v>668</v>
      </c>
      <c r="D889" s="153" t="s">
        <v>25</v>
      </c>
      <c r="E889" s="130" t="s">
        <v>669</v>
      </c>
      <c r="F889" s="179" t="s">
        <v>916</v>
      </c>
      <c r="G889" s="179" t="s">
        <v>916</v>
      </c>
      <c r="H889" s="179" t="s">
        <v>916</v>
      </c>
      <c r="I889" s="179" t="s">
        <v>916</v>
      </c>
      <c r="J889" s="132">
        <v>0.9</v>
      </c>
      <c r="K889" s="133" t="s">
        <v>35</v>
      </c>
      <c r="L889" s="133" t="s">
        <v>35</v>
      </c>
      <c r="M889" s="134" t="s">
        <v>35</v>
      </c>
      <c r="N889" s="133" t="s">
        <v>35</v>
      </c>
      <c r="O889" s="135">
        <v>0.9</v>
      </c>
      <c r="P889" s="133">
        <v>0</v>
      </c>
      <c r="Q889" s="133">
        <v>0</v>
      </c>
      <c r="R889" s="133">
        <v>0</v>
      </c>
      <c r="S889" s="133">
        <v>0</v>
      </c>
      <c r="T889" s="135">
        <v>0.9</v>
      </c>
      <c r="U889" s="133">
        <v>0.967741935483871</v>
      </c>
      <c r="V889" s="133">
        <v>1</v>
      </c>
      <c r="W889" s="133">
        <v>1</v>
      </c>
      <c r="X889" s="133">
        <v>0.986754966887417</v>
      </c>
      <c r="Y889" s="135">
        <v>0.92</v>
      </c>
      <c r="Z889" s="135">
        <v>0</v>
      </c>
      <c r="AA889" s="135" t="s">
        <v>35</v>
      </c>
      <c r="AB889" s="135">
        <v>1</v>
      </c>
      <c r="AC889" s="135">
        <v>0.8125</v>
      </c>
      <c r="AD889" s="135">
        <v>0.92</v>
      </c>
      <c r="AE889" s="133">
        <v>0.999612724757953</v>
      </c>
      <c r="AF889" s="133">
        <v>0.999434140207482</v>
      </c>
      <c r="AG889" s="133">
        <v>0.999393019726859</v>
      </c>
      <c r="AH889" s="133">
        <v>0.98821130231848</v>
      </c>
      <c r="AI889" s="135">
        <v>0.92</v>
      </c>
      <c r="AJ889" s="133">
        <v>0.918367346938776</v>
      </c>
      <c r="AK889" s="133">
        <v>1</v>
      </c>
      <c r="AL889" s="133">
        <v>1</v>
      </c>
      <c r="AM889" s="133">
        <v>0.988776655443322</v>
      </c>
      <c r="AN889" s="132">
        <v>0.99</v>
      </c>
      <c r="AO889" s="137">
        <v>1</v>
      </c>
      <c r="AP889" s="137">
        <v>1</v>
      </c>
      <c r="AQ889" s="137" t="s">
        <v>35</v>
      </c>
      <c r="AR889" s="137">
        <v>1</v>
      </c>
      <c r="AS889" s="158">
        <v>0.0810595228934205</v>
      </c>
      <c r="AT889" s="141" t="s">
        <v>35</v>
      </c>
      <c r="AU889" s="141" t="s">
        <v>35</v>
      </c>
      <c r="AV889" s="141" t="s">
        <v>35</v>
      </c>
      <c r="AW889" s="141" t="s">
        <v>35</v>
      </c>
      <c r="AX889" s="95"/>
      <c r="AY889" s="93"/>
    </row>
    <row r="890" ht="15" spans="1:51">
      <c r="A890" s="91"/>
      <c r="B890" s="95"/>
      <c r="C890" s="152" t="s">
        <v>668</v>
      </c>
      <c r="D890" s="153" t="s">
        <v>25</v>
      </c>
      <c r="E890" s="130" t="s">
        <v>669</v>
      </c>
      <c r="F890" s="179" t="s">
        <v>917</v>
      </c>
      <c r="G890" s="179" t="s">
        <v>917</v>
      </c>
      <c r="H890" s="179" t="s">
        <v>917</v>
      </c>
      <c r="I890" s="179" t="s">
        <v>917</v>
      </c>
      <c r="J890" s="132">
        <v>0.9</v>
      </c>
      <c r="K890" s="133" t="s">
        <v>35</v>
      </c>
      <c r="L890" s="133" t="s">
        <v>35</v>
      </c>
      <c r="M890" s="134" t="s">
        <v>35</v>
      </c>
      <c r="N890" s="133" t="s">
        <v>35</v>
      </c>
      <c r="O890" s="135">
        <v>0.9</v>
      </c>
      <c r="P890" s="133" t="s">
        <v>35</v>
      </c>
      <c r="Q890" s="133" t="s">
        <v>35</v>
      </c>
      <c r="R890" s="133" t="s">
        <v>35</v>
      </c>
      <c r="S890" s="133" t="s">
        <v>35</v>
      </c>
      <c r="T890" s="135">
        <v>0.9</v>
      </c>
      <c r="U890" s="133" t="s">
        <v>35</v>
      </c>
      <c r="V890" s="133" t="s">
        <v>35</v>
      </c>
      <c r="W890" s="133" t="s">
        <v>35</v>
      </c>
      <c r="X890" s="133" t="s">
        <v>35</v>
      </c>
      <c r="Y890" s="135">
        <v>0.92</v>
      </c>
      <c r="Z890" s="135" t="s">
        <v>35</v>
      </c>
      <c r="AA890" s="135" t="s">
        <v>35</v>
      </c>
      <c r="AB890" s="135" t="s">
        <v>35</v>
      </c>
      <c r="AC890" s="135" t="s">
        <v>35</v>
      </c>
      <c r="AD890" s="135">
        <v>0.92</v>
      </c>
      <c r="AE890" s="133" t="s">
        <v>35</v>
      </c>
      <c r="AF890" s="133" t="s">
        <v>35</v>
      </c>
      <c r="AG890" s="133" t="s">
        <v>35</v>
      </c>
      <c r="AH890" s="133" t="s">
        <v>35</v>
      </c>
      <c r="AI890" s="135">
        <v>0.92</v>
      </c>
      <c r="AJ890" s="133" t="s">
        <v>35</v>
      </c>
      <c r="AK890" s="133" t="s">
        <v>35</v>
      </c>
      <c r="AL890" s="133" t="s">
        <v>35</v>
      </c>
      <c r="AM890" s="133" t="s">
        <v>35</v>
      </c>
      <c r="AN890" s="132">
        <v>0.99</v>
      </c>
      <c r="AO890" s="137" t="s">
        <v>35</v>
      </c>
      <c r="AP890" s="137" t="s">
        <v>35</v>
      </c>
      <c r="AQ890" s="137" t="s">
        <v>35</v>
      </c>
      <c r="AR890" s="137" t="s">
        <v>35</v>
      </c>
      <c r="AS890" s="158">
        <v>0.0810595228934205</v>
      </c>
      <c r="AT890" s="141" t="s">
        <v>35</v>
      </c>
      <c r="AU890" s="141" t="s">
        <v>35</v>
      </c>
      <c r="AV890" s="141" t="s">
        <v>35</v>
      </c>
      <c r="AW890" s="141" t="s">
        <v>35</v>
      </c>
      <c r="AX890" s="95"/>
      <c r="AY890" s="93"/>
    </row>
    <row r="891" ht="15" spans="1:51">
      <c r="A891" s="91"/>
      <c r="B891" s="95"/>
      <c r="C891" s="152" t="s">
        <v>668</v>
      </c>
      <c r="D891" s="153" t="s">
        <v>25</v>
      </c>
      <c r="E891" s="130" t="s">
        <v>669</v>
      </c>
      <c r="F891" s="179" t="s">
        <v>918</v>
      </c>
      <c r="G891" s="179" t="s">
        <v>918</v>
      </c>
      <c r="H891" s="179" t="s">
        <v>918</v>
      </c>
      <c r="I891" s="179" t="s">
        <v>918</v>
      </c>
      <c r="J891" s="132">
        <v>0.9</v>
      </c>
      <c r="K891" s="133" t="s">
        <v>35</v>
      </c>
      <c r="L891" s="133" t="s">
        <v>35</v>
      </c>
      <c r="M891" s="134" t="s">
        <v>35</v>
      </c>
      <c r="N891" s="133" t="s">
        <v>35</v>
      </c>
      <c r="O891" s="135">
        <v>0.9</v>
      </c>
      <c r="P891" s="133">
        <v>0</v>
      </c>
      <c r="Q891" s="133">
        <v>0</v>
      </c>
      <c r="R891" s="133">
        <v>0</v>
      </c>
      <c r="S891" s="133">
        <v>0</v>
      </c>
      <c r="T891" s="135">
        <v>0.9</v>
      </c>
      <c r="U891" s="133">
        <v>1</v>
      </c>
      <c r="V891" s="133">
        <v>1</v>
      </c>
      <c r="W891" s="133">
        <v>1</v>
      </c>
      <c r="X891" s="133">
        <v>0.984615384615385</v>
      </c>
      <c r="Y891" s="135">
        <v>0.92</v>
      </c>
      <c r="Z891" s="135">
        <v>1</v>
      </c>
      <c r="AA891" s="135">
        <v>1</v>
      </c>
      <c r="AB891" s="135">
        <v>1</v>
      </c>
      <c r="AC891" s="135">
        <v>0.918918918918919</v>
      </c>
      <c r="AD891" s="135">
        <v>0.92</v>
      </c>
      <c r="AE891" s="133">
        <v>1</v>
      </c>
      <c r="AF891" s="133">
        <v>1</v>
      </c>
      <c r="AG891" s="133">
        <v>1</v>
      </c>
      <c r="AH891" s="133">
        <v>0.999046165585654</v>
      </c>
      <c r="AI891" s="135">
        <v>0.92</v>
      </c>
      <c r="AJ891" s="133">
        <v>1</v>
      </c>
      <c r="AK891" s="133">
        <v>1</v>
      </c>
      <c r="AL891" s="133">
        <v>1</v>
      </c>
      <c r="AM891" s="133">
        <v>0.96078431372549</v>
      </c>
      <c r="AN891" s="132">
        <v>0.99</v>
      </c>
      <c r="AO891" s="137">
        <v>1</v>
      </c>
      <c r="AP891" s="137">
        <v>1</v>
      </c>
      <c r="AQ891" s="137" t="s">
        <v>35</v>
      </c>
      <c r="AR891" s="137">
        <v>1</v>
      </c>
      <c r="AS891" s="158">
        <v>0.0810595228934205</v>
      </c>
      <c r="AT891" s="141" t="s">
        <v>35</v>
      </c>
      <c r="AU891" s="141" t="s">
        <v>35</v>
      </c>
      <c r="AV891" s="141" t="s">
        <v>35</v>
      </c>
      <c r="AW891" s="141" t="s">
        <v>35</v>
      </c>
      <c r="AX891" s="95"/>
      <c r="AY891" s="93"/>
    </row>
    <row r="892" ht="15" spans="1:51">
      <c r="A892" s="91"/>
      <c r="B892" s="95"/>
      <c r="C892" s="152" t="s">
        <v>668</v>
      </c>
      <c r="D892" s="153" t="s">
        <v>25</v>
      </c>
      <c r="E892" s="130" t="s">
        <v>669</v>
      </c>
      <c r="F892" s="179" t="s">
        <v>919</v>
      </c>
      <c r="G892" s="179" t="s">
        <v>919</v>
      </c>
      <c r="H892" s="179" t="s">
        <v>919</v>
      </c>
      <c r="I892" s="179" t="s">
        <v>919</v>
      </c>
      <c r="J892" s="132">
        <v>0.9</v>
      </c>
      <c r="K892" s="133" t="s">
        <v>35</v>
      </c>
      <c r="L892" s="133" t="s">
        <v>35</v>
      </c>
      <c r="M892" s="134" t="s">
        <v>35</v>
      </c>
      <c r="N892" s="133" t="s">
        <v>35</v>
      </c>
      <c r="O892" s="135">
        <v>0.9</v>
      </c>
      <c r="P892" s="133" t="s">
        <v>35</v>
      </c>
      <c r="Q892" s="133" t="s">
        <v>35</v>
      </c>
      <c r="R892" s="133" t="s">
        <v>35</v>
      </c>
      <c r="S892" s="133">
        <v>0</v>
      </c>
      <c r="T892" s="135">
        <v>0.9</v>
      </c>
      <c r="U892" s="133" t="s">
        <v>35</v>
      </c>
      <c r="V892" s="133" t="s">
        <v>35</v>
      </c>
      <c r="W892" s="133" t="s">
        <v>35</v>
      </c>
      <c r="X892" s="133">
        <v>1</v>
      </c>
      <c r="Y892" s="135">
        <v>0.92</v>
      </c>
      <c r="Z892" s="135" t="s">
        <v>35</v>
      </c>
      <c r="AA892" s="135" t="s">
        <v>35</v>
      </c>
      <c r="AB892" s="135" t="s">
        <v>35</v>
      </c>
      <c r="AC892" s="135" t="s">
        <v>35</v>
      </c>
      <c r="AD892" s="135">
        <v>0.92</v>
      </c>
      <c r="AE892" s="133">
        <v>1</v>
      </c>
      <c r="AF892" s="133">
        <v>0.968871595330739</v>
      </c>
      <c r="AG892" s="133">
        <v>0.98936170212766</v>
      </c>
      <c r="AH892" s="133">
        <v>0.997460317460317</v>
      </c>
      <c r="AI892" s="135">
        <v>0.92</v>
      </c>
      <c r="AJ892" s="133" t="s">
        <v>35</v>
      </c>
      <c r="AK892" s="133" t="s">
        <v>35</v>
      </c>
      <c r="AL892" s="133" t="s">
        <v>35</v>
      </c>
      <c r="AM892" s="133">
        <v>1</v>
      </c>
      <c r="AN892" s="132">
        <v>0.99</v>
      </c>
      <c r="AO892" s="137">
        <v>1</v>
      </c>
      <c r="AP892" s="137" t="s">
        <v>35</v>
      </c>
      <c r="AQ892" s="137" t="s">
        <v>35</v>
      </c>
      <c r="AR892" s="137">
        <v>1</v>
      </c>
      <c r="AS892" s="158">
        <v>0.0810595228934205</v>
      </c>
      <c r="AT892" s="141" t="s">
        <v>35</v>
      </c>
      <c r="AU892" s="141" t="s">
        <v>35</v>
      </c>
      <c r="AV892" s="141" t="s">
        <v>35</v>
      </c>
      <c r="AW892" s="141" t="s">
        <v>35</v>
      </c>
      <c r="AX892" s="95"/>
      <c r="AY892" s="93"/>
    </row>
    <row r="893" ht="15" spans="1:51">
      <c r="A893" s="91"/>
      <c r="B893" s="95"/>
      <c r="C893" s="152" t="s">
        <v>668</v>
      </c>
      <c r="D893" s="153" t="s">
        <v>25</v>
      </c>
      <c r="E893" s="130" t="s">
        <v>669</v>
      </c>
      <c r="F893" s="179" t="s">
        <v>920</v>
      </c>
      <c r="G893" s="179" t="s">
        <v>920</v>
      </c>
      <c r="H893" s="179" t="s">
        <v>920</v>
      </c>
      <c r="I893" s="179" t="s">
        <v>920</v>
      </c>
      <c r="J893" s="132">
        <v>0.9</v>
      </c>
      <c r="K893" s="133" t="s">
        <v>35</v>
      </c>
      <c r="L893" s="133" t="s">
        <v>35</v>
      </c>
      <c r="M893" s="134" t="s">
        <v>35</v>
      </c>
      <c r="N893" s="133" t="s">
        <v>35</v>
      </c>
      <c r="O893" s="135">
        <v>0.9</v>
      </c>
      <c r="P893" s="133" t="s">
        <v>35</v>
      </c>
      <c r="Q893" s="133" t="s">
        <v>35</v>
      </c>
      <c r="R893" s="133" t="s">
        <v>35</v>
      </c>
      <c r="S893" s="133" t="s">
        <v>35</v>
      </c>
      <c r="T893" s="135">
        <v>0.9</v>
      </c>
      <c r="U893" s="133" t="s">
        <v>35</v>
      </c>
      <c r="V893" s="133" t="s">
        <v>35</v>
      </c>
      <c r="W893" s="133" t="s">
        <v>35</v>
      </c>
      <c r="X893" s="133" t="s">
        <v>35</v>
      </c>
      <c r="Y893" s="135">
        <v>0.92</v>
      </c>
      <c r="Z893" s="135" t="s">
        <v>35</v>
      </c>
      <c r="AA893" s="135" t="s">
        <v>35</v>
      </c>
      <c r="AB893" s="135" t="s">
        <v>35</v>
      </c>
      <c r="AC893" s="135" t="s">
        <v>35</v>
      </c>
      <c r="AD893" s="135">
        <v>0.92</v>
      </c>
      <c r="AE893" s="133">
        <v>1</v>
      </c>
      <c r="AF893" s="133">
        <v>1</v>
      </c>
      <c r="AG893" s="133">
        <v>1</v>
      </c>
      <c r="AH893" s="133">
        <v>0.998908807482463</v>
      </c>
      <c r="AI893" s="135">
        <v>0.92</v>
      </c>
      <c r="AJ893" s="133" t="s">
        <v>35</v>
      </c>
      <c r="AK893" s="133" t="s">
        <v>35</v>
      </c>
      <c r="AL893" s="133" t="s">
        <v>35</v>
      </c>
      <c r="AM893" s="133" t="s">
        <v>35</v>
      </c>
      <c r="AN893" s="132">
        <v>0.99</v>
      </c>
      <c r="AO893" s="137">
        <v>1</v>
      </c>
      <c r="AP893" s="137">
        <v>1</v>
      </c>
      <c r="AQ893" s="137" t="s">
        <v>35</v>
      </c>
      <c r="AR893" s="137">
        <v>1</v>
      </c>
      <c r="AS893" s="158">
        <v>0.0810595228934205</v>
      </c>
      <c r="AT893" s="141" t="s">
        <v>35</v>
      </c>
      <c r="AU893" s="141" t="s">
        <v>35</v>
      </c>
      <c r="AV893" s="141" t="s">
        <v>35</v>
      </c>
      <c r="AW893" s="141" t="s">
        <v>35</v>
      </c>
      <c r="AX893" s="95"/>
      <c r="AY893" s="93"/>
    </row>
    <row r="894" ht="15" spans="1:51">
      <c r="A894" s="91"/>
      <c r="B894" s="95"/>
      <c r="C894" s="152" t="s">
        <v>668</v>
      </c>
      <c r="D894" s="153" t="s">
        <v>25</v>
      </c>
      <c r="E894" s="130" t="s">
        <v>669</v>
      </c>
      <c r="F894" s="179" t="s">
        <v>921</v>
      </c>
      <c r="G894" s="179" t="s">
        <v>921</v>
      </c>
      <c r="H894" s="179" t="s">
        <v>921</v>
      </c>
      <c r="I894" s="179" t="s">
        <v>921</v>
      </c>
      <c r="J894" s="132">
        <v>0.9</v>
      </c>
      <c r="K894" s="133" t="s">
        <v>35</v>
      </c>
      <c r="L894" s="133" t="s">
        <v>35</v>
      </c>
      <c r="M894" s="134" t="s">
        <v>35</v>
      </c>
      <c r="N894" s="133" t="s">
        <v>35</v>
      </c>
      <c r="O894" s="135">
        <v>0.9</v>
      </c>
      <c r="P894" s="133">
        <v>0</v>
      </c>
      <c r="Q894" s="133">
        <v>0</v>
      </c>
      <c r="R894" s="133">
        <v>0</v>
      </c>
      <c r="S894" s="133">
        <v>0</v>
      </c>
      <c r="T894" s="135">
        <v>0.9</v>
      </c>
      <c r="U894" s="133">
        <v>1</v>
      </c>
      <c r="V894" s="133">
        <v>1</v>
      </c>
      <c r="W894" s="133">
        <v>1</v>
      </c>
      <c r="X894" s="133">
        <v>1</v>
      </c>
      <c r="Y894" s="135">
        <v>0.92</v>
      </c>
      <c r="Z894" s="135">
        <v>1</v>
      </c>
      <c r="AA894" s="135">
        <v>1</v>
      </c>
      <c r="AB894" s="135">
        <v>1</v>
      </c>
      <c r="AC894" s="135">
        <v>1</v>
      </c>
      <c r="AD894" s="135">
        <v>0.92</v>
      </c>
      <c r="AE894" s="133">
        <v>1</v>
      </c>
      <c r="AF894" s="133">
        <v>1</v>
      </c>
      <c r="AG894" s="133">
        <v>1</v>
      </c>
      <c r="AH894" s="133">
        <v>1</v>
      </c>
      <c r="AI894" s="135">
        <v>0.92</v>
      </c>
      <c r="AJ894" s="133">
        <v>1</v>
      </c>
      <c r="AK894" s="133">
        <v>1</v>
      </c>
      <c r="AL894" s="133">
        <v>1</v>
      </c>
      <c r="AM894" s="133">
        <v>1</v>
      </c>
      <c r="AN894" s="132">
        <v>0.99</v>
      </c>
      <c r="AO894" s="137" t="s">
        <v>35</v>
      </c>
      <c r="AP894" s="137">
        <v>1</v>
      </c>
      <c r="AQ894" s="137" t="s">
        <v>35</v>
      </c>
      <c r="AR894" s="137">
        <v>1</v>
      </c>
      <c r="AS894" s="158">
        <v>0.0810595228934205</v>
      </c>
      <c r="AT894" s="141" t="s">
        <v>35</v>
      </c>
      <c r="AU894" s="141" t="s">
        <v>35</v>
      </c>
      <c r="AV894" s="141" t="s">
        <v>35</v>
      </c>
      <c r="AW894" s="141" t="s">
        <v>35</v>
      </c>
      <c r="AX894" s="95"/>
      <c r="AY894" s="93"/>
    </row>
    <row r="895" ht="15" spans="1:51">
      <c r="A895" s="91"/>
      <c r="B895" s="95"/>
      <c r="C895" s="152" t="s">
        <v>668</v>
      </c>
      <c r="D895" s="153" t="s">
        <v>922</v>
      </c>
      <c r="E895" s="130" t="s">
        <v>669</v>
      </c>
      <c r="F895" s="179" t="s">
        <v>923</v>
      </c>
      <c r="G895" s="179" t="s">
        <v>923</v>
      </c>
      <c r="H895" s="179" t="s">
        <v>923</v>
      </c>
      <c r="I895" s="179" t="s">
        <v>923</v>
      </c>
      <c r="J895" s="132">
        <v>0.9</v>
      </c>
      <c r="K895" s="133" t="s">
        <v>35</v>
      </c>
      <c r="L895" s="133" t="s">
        <v>35</v>
      </c>
      <c r="M895" s="134" t="s">
        <v>35</v>
      </c>
      <c r="N895" s="133" t="s">
        <v>35</v>
      </c>
      <c r="O895" s="135">
        <v>0.9</v>
      </c>
      <c r="P895" s="133" t="s">
        <v>35</v>
      </c>
      <c r="Q895" s="133" t="s">
        <v>35</v>
      </c>
      <c r="R895" s="133" t="s">
        <v>35</v>
      </c>
      <c r="S895" s="133" t="s">
        <v>35</v>
      </c>
      <c r="T895" s="135">
        <v>0.9</v>
      </c>
      <c r="U895" s="133" t="s">
        <v>35</v>
      </c>
      <c r="V895" s="133" t="s">
        <v>35</v>
      </c>
      <c r="W895" s="133" t="s">
        <v>35</v>
      </c>
      <c r="X895" s="133" t="s">
        <v>35</v>
      </c>
      <c r="Y895" s="135">
        <v>0.92</v>
      </c>
      <c r="Z895" s="135" t="s">
        <v>35</v>
      </c>
      <c r="AA895" s="135" t="s">
        <v>35</v>
      </c>
      <c r="AB895" s="135" t="s">
        <v>35</v>
      </c>
      <c r="AC895" s="135" t="s">
        <v>35</v>
      </c>
      <c r="AD895" s="135">
        <v>0.92</v>
      </c>
      <c r="AE895" s="133" t="s">
        <v>35</v>
      </c>
      <c r="AF895" s="133" t="s">
        <v>35</v>
      </c>
      <c r="AG895" s="133" t="s">
        <v>35</v>
      </c>
      <c r="AH895" s="133" t="s">
        <v>35</v>
      </c>
      <c r="AI895" s="135">
        <v>0.92</v>
      </c>
      <c r="AJ895" s="133" t="s">
        <v>35</v>
      </c>
      <c r="AK895" s="133" t="s">
        <v>35</v>
      </c>
      <c r="AL895" s="133" t="s">
        <v>35</v>
      </c>
      <c r="AM895" s="133" t="s">
        <v>35</v>
      </c>
      <c r="AN895" s="132">
        <v>0.99</v>
      </c>
      <c r="AO895" s="137" t="s">
        <v>35</v>
      </c>
      <c r="AP895" s="137" t="s">
        <v>35</v>
      </c>
      <c r="AQ895" s="137" t="s">
        <v>35</v>
      </c>
      <c r="AR895" s="137" t="s">
        <v>35</v>
      </c>
      <c r="AS895" s="158">
        <v>0.0810595228934205</v>
      </c>
      <c r="AT895" s="141" t="s">
        <v>35</v>
      </c>
      <c r="AU895" s="141" t="s">
        <v>35</v>
      </c>
      <c r="AV895" s="141" t="s">
        <v>35</v>
      </c>
      <c r="AW895" s="141" t="s">
        <v>35</v>
      </c>
      <c r="AX895" s="95"/>
      <c r="AY895" s="93"/>
    </row>
    <row r="896" ht="15" spans="1:51">
      <c r="A896" s="91"/>
      <c r="B896" s="95"/>
      <c r="C896" s="152" t="s">
        <v>668</v>
      </c>
      <c r="D896" s="153" t="s">
        <v>922</v>
      </c>
      <c r="E896" s="130" t="s">
        <v>669</v>
      </c>
      <c r="F896" s="179" t="s">
        <v>924</v>
      </c>
      <c r="G896" s="179" t="s">
        <v>924</v>
      </c>
      <c r="H896" s="179" t="s">
        <v>924</v>
      </c>
      <c r="I896" s="179" t="s">
        <v>924</v>
      </c>
      <c r="J896" s="132">
        <v>0.9</v>
      </c>
      <c r="K896" s="133" t="s">
        <v>35</v>
      </c>
      <c r="L896" s="133" t="s">
        <v>35</v>
      </c>
      <c r="M896" s="134" t="s">
        <v>35</v>
      </c>
      <c r="N896" s="133" t="s">
        <v>35</v>
      </c>
      <c r="O896" s="135">
        <v>0.9</v>
      </c>
      <c r="P896" s="133" t="s">
        <v>35</v>
      </c>
      <c r="Q896" s="133" t="s">
        <v>35</v>
      </c>
      <c r="R896" s="133" t="s">
        <v>35</v>
      </c>
      <c r="S896" s="133" t="s">
        <v>35</v>
      </c>
      <c r="T896" s="135">
        <v>0.9</v>
      </c>
      <c r="U896" s="133" t="s">
        <v>35</v>
      </c>
      <c r="V896" s="133" t="s">
        <v>35</v>
      </c>
      <c r="W896" s="133" t="s">
        <v>35</v>
      </c>
      <c r="X896" s="133" t="s">
        <v>35</v>
      </c>
      <c r="Y896" s="135">
        <v>0.92</v>
      </c>
      <c r="Z896" s="135" t="s">
        <v>35</v>
      </c>
      <c r="AA896" s="135" t="s">
        <v>35</v>
      </c>
      <c r="AB896" s="135" t="s">
        <v>35</v>
      </c>
      <c r="AC896" s="135" t="s">
        <v>35</v>
      </c>
      <c r="AD896" s="135">
        <v>0.92</v>
      </c>
      <c r="AE896" s="133" t="s">
        <v>35</v>
      </c>
      <c r="AF896" s="133" t="s">
        <v>35</v>
      </c>
      <c r="AG896" s="133" t="s">
        <v>35</v>
      </c>
      <c r="AH896" s="133" t="s">
        <v>35</v>
      </c>
      <c r="AI896" s="135">
        <v>0.92</v>
      </c>
      <c r="AJ896" s="133" t="s">
        <v>35</v>
      </c>
      <c r="AK896" s="133" t="s">
        <v>35</v>
      </c>
      <c r="AL896" s="133" t="s">
        <v>35</v>
      </c>
      <c r="AM896" s="133" t="s">
        <v>35</v>
      </c>
      <c r="AN896" s="132">
        <v>0.99</v>
      </c>
      <c r="AO896" s="137" t="s">
        <v>35</v>
      </c>
      <c r="AP896" s="137" t="s">
        <v>35</v>
      </c>
      <c r="AQ896" s="137" t="s">
        <v>35</v>
      </c>
      <c r="AR896" s="137" t="s">
        <v>35</v>
      </c>
      <c r="AS896" s="158">
        <v>0.0810595228934205</v>
      </c>
      <c r="AT896" s="141" t="s">
        <v>35</v>
      </c>
      <c r="AU896" s="141" t="s">
        <v>35</v>
      </c>
      <c r="AV896" s="141" t="s">
        <v>35</v>
      </c>
      <c r="AW896" s="141" t="s">
        <v>35</v>
      </c>
      <c r="AX896" s="95"/>
      <c r="AY896" s="93"/>
    </row>
    <row r="897" ht="15" spans="1:51">
      <c r="A897" s="91"/>
      <c r="B897" s="95"/>
      <c r="C897" s="152" t="s">
        <v>668</v>
      </c>
      <c r="D897" s="153" t="s">
        <v>922</v>
      </c>
      <c r="E897" s="130" t="s">
        <v>669</v>
      </c>
      <c r="F897" s="179" t="s">
        <v>925</v>
      </c>
      <c r="G897" s="179" t="s">
        <v>925</v>
      </c>
      <c r="H897" s="179" t="s">
        <v>925</v>
      </c>
      <c r="I897" s="179" t="s">
        <v>925</v>
      </c>
      <c r="J897" s="132">
        <v>0.9</v>
      </c>
      <c r="K897" s="133" t="s">
        <v>35</v>
      </c>
      <c r="L897" s="133" t="s">
        <v>35</v>
      </c>
      <c r="M897" s="134" t="s">
        <v>35</v>
      </c>
      <c r="N897" s="133" t="s">
        <v>35</v>
      </c>
      <c r="O897" s="135">
        <v>0.9</v>
      </c>
      <c r="P897" s="133" t="s">
        <v>35</v>
      </c>
      <c r="Q897" s="133" t="s">
        <v>35</v>
      </c>
      <c r="R897" s="133" t="s">
        <v>35</v>
      </c>
      <c r="S897" s="133" t="s">
        <v>35</v>
      </c>
      <c r="T897" s="135">
        <v>0.9</v>
      </c>
      <c r="U897" s="133" t="s">
        <v>35</v>
      </c>
      <c r="V897" s="133" t="s">
        <v>35</v>
      </c>
      <c r="W897" s="133" t="s">
        <v>35</v>
      </c>
      <c r="X897" s="133" t="s">
        <v>35</v>
      </c>
      <c r="Y897" s="135">
        <v>0.92</v>
      </c>
      <c r="Z897" s="135" t="s">
        <v>35</v>
      </c>
      <c r="AA897" s="135" t="s">
        <v>35</v>
      </c>
      <c r="AB897" s="135" t="s">
        <v>35</v>
      </c>
      <c r="AC897" s="135" t="s">
        <v>35</v>
      </c>
      <c r="AD897" s="135">
        <v>0.92</v>
      </c>
      <c r="AE897" s="133" t="s">
        <v>35</v>
      </c>
      <c r="AF897" s="133" t="s">
        <v>35</v>
      </c>
      <c r="AG897" s="133" t="s">
        <v>35</v>
      </c>
      <c r="AH897" s="133" t="s">
        <v>35</v>
      </c>
      <c r="AI897" s="135">
        <v>0.92</v>
      </c>
      <c r="AJ897" s="133" t="s">
        <v>35</v>
      </c>
      <c r="AK897" s="133" t="s">
        <v>35</v>
      </c>
      <c r="AL897" s="133" t="s">
        <v>35</v>
      </c>
      <c r="AM897" s="133" t="s">
        <v>35</v>
      </c>
      <c r="AN897" s="132">
        <v>0.99</v>
      </c>
      <c r="AO897" s="137" t="s">
        <v>35</v>
      </c>
      <c r="AP897" s="137" t="s">
        <v>35</v>
      </c>
      <c r="AQ897" s="137" t="s">
        <v>35</v>
      </c>
      <c r="AR897" s="137" t="s">
        <v>35</v>
      </c>
      <c r="AS897" s="158">
        <v>0.0810595228934205</v>
      </c>
      <c r="AT897" s="141" t="s">
        <v>35</v>
      </c>
      <c r="AU897" s="141" t="s">
        <v>35</v>
      </c>
      <c r="AV897" s="141" t="s">
        <v>35</v>
      </c>
      <c r="AW897" s="141" t="s">
        <v>35</v>
      </c>
      <c r="AX897" s="95"/>
      <c r="AY897" s="93"/>
    </row>
    <row r="898" ht="15" spans="1:51">
      <c r="A898" s="91"/>
      <c r="B898" s="95"/>
      <c r="C898" s="152" t="s">
        <v>668</v>
      </c>
      <c r="D898" s="153" t="s">
        <v>25</v>
      </c>
      <c r="E898" s="130" t="s">
        <v>669</v>
      </c>
      <c r="F898" s="179" t="s">
        <v>926</v>
      </c>
      <c r="G898" s="179" t="s">
        <v>926</v>
      </c>
      <c r="H898" s="179" t="s">
        <v>926</v>
      </c>
      <c r="I898" s="179" t="s">
        <v>926</v>
      </c>
      <c r="J898" s="132">
        <v>0.9</v>
      </c>
      <c r="K898" s="133" t="s">
        <v>35</v>
      </c>
      <c r="L898" s="133" t="s">
        <v>35</v>
      </c>
      <c r="M898" s="134" t="s">
        <v>35</v>
      </c>
      <c r="N898" s="133" t="s">
        <v>35</v>
      </c>
      <c r="O898" s="135">
        <v>0.9</v>
      </c>
      <c r="P898" s="133" t="s">
        <v>35</v>
      </c>
      <c r="Q898" s="133" t="s">
        <v>35</v>
      </c>
      <c r="R898" s="133" t="s">
        <v>35</v>
      </c>
      <c r="S898" s="133" t="s">
        <v>35</v>
      </c>
      <c r="T898" s="135">
        <v>0.9</v>
      </c>
      <c r="U898" s="133" t="s">
        <v>35</v>
      </c>
      <c r="V898" s="133" t="s">
        <v>35</v>
      </c>
      <c r="W898" s="133" t="s">
        <v>35</v>
      </c>
      <c r="X898" s="133" t="s">
        <v>35</v>
      </c>
      <c r="Y898" s="135">
        <v>0.92</v>
      </c>
      <c r="Z898" s="135" t="s">
        <v>35</v>
      </c>
      <c r="AA898" s="135" t="s">
        <v>35</v>
      </c>
      <c r="AB898" s="135" t="s">
        <v>35</v>
      </c>
      <c r="AC898" s="135" t="s">
        <v>35</v>
      </c>
      <c r="AD898" s="135">
        <v>0.92</v>
      </c>
      <c r="AE898" s="133">
        <v>1</v>
      </c>
      <c r="AF898" s="133">
        <v>1</v>
      </c>
      <c r="AG898" s="133">
        <v>1</v>
      </c>
      <c r="AH898" s="133">
        <v>1</v>
      </c>
      <c r="AI898" s="135">
        <v>0.92</v>
      </c>
      <c r="AJ898" s="133" t="s">
        <v>35</v>
      </c>
      <c r="AK898" s="133" t="s">
        <v>35</v>
      </c>
      <c r="AL898" s="133" t="s">
        <v>35</v>
      </c>
      <c r="AM898" s="133" t="s">
        <v>35</v>
      </c>
      <c r="AN898" s="132">
        <v>0.99</v>
      </c>
      <c r="AO898" s="137" t="s">
        <v>35</v>
      </c>
      <c r="AP898" s="137" t="s">
        <v>35</v>
      </c>
      <c r="AQ898" s="137" t="s">
        <v>35</v>
      </c>
      <c r="AR898" s="137">
        <v>1</v>
      </c>
      <c r="AS898" s="158">
        <v>0.0810595228934205</v>
      </c>
      <c r="AT898" s="141" t="s">
        <v>35</v>
      </c>
      <c r="AU898" s="141" t="s">
        <v>35</v>
      </c>
      <c r="AV898" s="141" t="s">
        <v>35</v>
      </c>
      <c r="AW898" s="141" t="s">
        <v>35</v>
      </c>
      <c r="AX898" s="95"/>
      <c r="AY898" s="93"/>
    </row>
    <row r="899" ht="15" spans="1:51">
      <c r="A899" s="91"/>
      <c r="B899" s="95"/>
      <c r="C899" s="155"/>
      <c r="D899" s="153"/>
      <c r="E899" s="156"/>
      <c r="F899" s="156"/>
      <c r="G899" s="156"/>
      <c r="H899" s="156"/>
      <c r="I899" s="156"/>
      <c r="J899" s="146"/>
      <c r="K899" s="147"/>
      <c r="L899" s="147"/>
      <c r="M899" s="134"/>
      <c r="N899" s="147"/>
      <c r="O899" s="150"/>
      <c r="P899" s="147"/>
      <c r="Q899" s="147"/>
      <c r="R899" s="133"/>
      <c r="S899" s="147"/>
      <c r="T899" s="150"/>
      <c r="U899" s="147"/>
      <c r="V899" s="147"/>
      <c r="W899" s="133"/>
      <c r="X899" s="147"/>
      <c r="Y899" s="150"/>
      <c r="Z899" s="150"/>
      <c r="AA899" s="150"/>
      <c r="AB899" s="135"/>
      <c r="AC899" s="150"/>
      <c r="AD899" s="147"/>
      <c r="AE899" s="147"/>
      <c r="AF899" s="147"/>
      <c r="AG899" s="133"/>
      <c r="AH899" s="147"/>
      <c r="AI899" s="147"/>
      <c r="AJ899" s="147"/>
      <c r="AK899" s="147"/>
      <c r="AL899" s="133"/>
      <c r="AM899" s="147"/>
      <c r="AN899" s="146"/>
      <c r="AO899" s="146"/>
      <c r="AP899" s="146"/>
      <c r="AQ899" s="137"/>
      <c r="AR899" s="146"/>
      <c r="AS899" s="147"/>
      <c r="AT899" s="146"/>
      <c r="AU899" s="146"/>
      <c r="AV899" s="141"/>
      <c r="AW899" s="146"/>
      <c r="AX899" s="95"/>
      <c r="AY899" s="93"/>
    </row>
    <row r="900" ht="15" spans="1:51">
      <c r="A900" s="91"/>
      <c r="B900" s="95"/>
      <c r="C900" s="180" t="s">
        <v>927</v>
      </c>
      <c r="D900" s="181" t="s">
        <v>25</v>
      </c>
      <c r="E900" s="130" t="s">
        <v>928</v>
      </c>
      <c r="F900" s="182" t="s">
        <v>929</v>
      </c>
      <c r="G900" s="183" t="s">
        <v>929</v>
      </c>
      <c r="H900" s="183" t="s">
        <v>929</v>
      </c>
      <c r="I900" s="183" t="s">
        <v>929</v>
      </c>
      <c r="J900" s="132">
        <v>0.9</v>
      </c>
      <c r="K900" s="133">
        <v>0.8125</v>
      </c>
      <c r="L900" s="133">
        <v>0.875</v>
      </c>
      <c r="M900" s="134">
        <v>0.866666666666667</v>
      </c>
      <c r="N900" s="133">
        <v>0.886986301369863</v>
      </c>
      <c r="O900" s="135">
        <v>0.9</v>
      </c>
      <c r="P900" s="133">
        <v>0.923566878980892</v>
      </c>
      <c r="Q900" s="133">
        <v>0.855507868383405</v>
      </c>
      <c r="R900" s="133">
        <v>0.884963023829088</v>
      </c>
      <c r="S900" s="133">
        <v>0.901895758055734</v>
      </c>
      <c r="T900" s="135">
        <v>0.9</v>
      </c>
      <c r="U900" s="133">
        <v>0.915923566878981</v>
      </c>
      <c r="V900" s="133">
        <v>0.88412017167382</v>
      </c>
      <c r="W900" s="133">
        <v>0.922760887428102</v>
      </c>
      <c r="X900" s="133">
        <v>0.906053556402515</v>
      </c>
      <c r="Y900" s="135">
        <v>0.92</v>
      </c>
      <c r="Z900" s="135">
        <v>0.974226804123711</v>
      </c>
      <c r="AA900" s="135">
        <v>0.924778761061947</v>
      </c>
      <c r="AB900" s="135">
        <v>0.854545454545454</v>
      </c>
      <c r="AC900" s="135">
        <v>0.941283292978208</v>
      </c>
      <c r="AD900" s="135">
        <v>0.92</v>
      </c>
      <c r="AE900" s="133">
        <v>0.960957501280082</v>
      </c>
      <c r="AF900" s="133">
        <v>0.981023102310231</v>
      </c>
      <c r="AG900" s="133">
        <v>0.976384364820847</v>
      </c>
      <c r="AH900" s="133">
        <v>0.982620266287888</v>
      </c>
      <c r="AI900" s="135">
        <v>0.92</v>
      </c>
      <c r="AJ900" s="133">
        <v>0.970377936670072</v>
      </c>
      <c r="AK900" s="133">
        <v>0.930885529157667</v>
      </c>
      <c r="AL900" s="133">
        <v>0.950867052023121</v>
      </c>
      <c r="AM900" s="133">
        <v>0.963929607118738</v>
      </c>
      <c r="AN900" s="132">
        <v>0.99</v>
      </c>
      <c r="AO900" s="137">
        <v>1</v>
      </c>
      <c r="AP900" s="137">
        <v>1</v>
      </c>
      <c r="AQ900" s="137">
        <v>1</v>
      </c>
      <c r="AR900" s="137">
        <v>1</v>
      </c>
      <c r="AS900" s="158">
        <v>0.0656418488929858</v>
      </c>
      <c r="AT900" s="141">
        <v>0</v>
      </c>
      <c r="AU900" s="141">
        <v>0</v>
      </c>
      <c r="AV900" s="141">
        <v>0.0625</v>
      </c>
      <c r="AW900" s="141">
        <v>0.0627177700348432</v>
      </c>
      <c r="AX900" s="95"/>
      <c r="AY900" s="93"/>
    </row>
    <row r="901" ht="15" spans="1:51">
      <c r="A901" s="91"/>
      <c r="B901" s="95"/>
      <c r="C901" s="180" t="s">
        <v>927</v>
      </c>
      <c r="D901" s="181" t="s">
        <v>25</v>
      </c>
      <c r="E901" s="130" t="s">
        <v>928</v>
      </c>
      <c r="F901" s="184" t="s">
        <v>930</v>
      </c>
      <c r="G901" s="185" t="s">
        <v>930</v>
      </c>
      <c r="H901" s="185" t="s">
        <v>930</v>
      </c>
      <c r="I901" s="185" t="s">
        <v>930</v>
      </c>
      <c r="J901" s="132">
        <v>0.9</v>
      </c>
      <c r="K901" s="133">
        <v>0.958333333333333</v>
      </c>
      <c r="L901" s="133">
        <v>0.974358974358974</v>
      </c>
      <c r="M901" s="134">
        <v>0.928571428571429</v>
      </c>
      <c r="N901" s="133">
        <v>0.905311778290993</v>
      </c>
      <c r="O901" s="135">
        <v>0.9</v>
      </c>
      <c r="P901" s="133">
        <v>0.892569002123142</v>
      </c>
      <c r="Q901" s="133">
        <v>0.7552</v>
      </c>
      <c r="R901" s="133">
        <v>0.820906994619523</v>
      </c>
      <c r="S901" s="133">
        <v>0.872010210191284</v>
      </c>
      <c r="T901" s="135">
        <v>0.9</v>
      </c>
      <c r="U901" s="133">
        <v>0.922292993630573</v>
      </c>
      <c r="V901" s="133">
        <v>0.8592</v>
      </c>
      <c r="W901" s="133">
        <v>0.848321803740712</v>
      </c>
      <c r="X901" s="133">
        <v>0.880928371096335</v>
      </c>
      <c r="Y901" s="135">
        <v>0.92</v>
      </c>
      <c r="Z901" s="135">
        <v>0.971209213051823</v>
      </c>
      <c r="AA901" s="135">
        <v>0.903536977491961</v>
      </c>
      <c r="AB901" s="135">
        <v>0.868055555555556</v>
      </c>
      <c r="AC901" s="135">
        <v>0.905755890256859</v>
      </c>
      <c r="AD901" s="135">
        <v>0.92</v>
      </c>
      <c r="AE901" s="133">
        <v>0.976749287124369</v>
      </c>
      <c r="AF901" s="133">
        <v>0.951492537313433</v>
      </c>
      <c r="AG901" s="133">
        <v>0.983572895277207</v>
      </c>
      <c r="AH901" s="133">
        <v>0.976728968826549</v>
      </c>
      <c r="AI901" s="135">
        <v>0.92</v>
      </c>
      <c r="AJ901" s="133">
        <v>0.963143254520167</v>
      </c>
      <c r="AK901" s="133">
        <v>0.916700040048058</v>
      </c>
      <c r="AL901" s="133">
        <v>0.907958477508651</v>
      </c>
      <c r="AM901" s="133">
        <v>0.933955735621626</v>
      </c>
      <c r="AN901" s="132">
        <v>0.99</v>
      </c>
      <c r="AO901" s="137">
        <v>1</v>
      </c>
      <c r="AP901" s="137">
        <v>1</v>
      </c>
      <c r="AQ901" s="137">
        <v>1</v>
      </c>
      <c r="AR901" s="137">
        <v>1</v>
      </c>
      <c r="AS901" s="158">
        <v>0.0656418488929858</v>
      </c>
      <c r="AT901" s="141">
        <v>0.0204081632653061</v>
      </c>
      <c r="AU901" s="141">
        <v>0.0833333333333333</v>
      </c>
      <c r="AV901" s="141">
        <v>0</v>
      </c>
      <c r="AW901" s="141">
        <v>0.0371660859465738</v>
      </c>
      <c r="AX901" s="95"/>
      <c r="AY901" s="93"/>
    </row>
    <row r="902" ht="15" spans="1:51">
      <c r="A902" s="91"/>
      <c r="B902" s="95"/>
      <c r="C902" s="180" t="s">
        <v>927</v>
      </c>
      <c r="D902" s="181" t="s">
        <v>25</v>
      </c>
      <c r="E902" s="130" t="s">
        <v>928</v>
      </c>
      <c r="F902" s="184" t="s">
        <v>931</v>
      </c>
      <c r="G902" s="185" t="s">
        <v>931</v>
      </c>
      <c r="H902" s="185" t="s">
        <v>931</v>
      </c>
      <c r="I902" s="185" t="s">
        <v>931</v>
      </c>
      <c r="J902" s="132">
        <v>0.9</v>
      </c>
      <c r="K902" s="133">
        <v>0.96969696969697</v>
      </c>
      <c r="L902" s="133">
        <v>1</v>
      </c>
      <c r="M902" s="134">
        <v>0.96969696969697</v>
      </c>
      <c r="N902" s="133">
        <v>0.967289719626168</v>
      </c>
      <c r="O902" s="135">
        <v>0.9</v>
      </c>
      <c r="P902" s="133">
        <v>0.955595026642984</v>
      </c>
      <c r="Q902" s="133">
        <v>0.941860465116279</v>
      </c>
      <c r="R902" s="133">
        <v>0.571153846153846</v>
      </c>
      <c r="S902" s="133">
        <v>0.880366377967475</v>
      </c>
      <c r="T902" s="135">
        <v>0.9</v>
      </c>
      <c r="U902" s="133">
        <v>0.88809946714032</v>
      </c>
      <c r="V902" s="133">
        <v>0.908637873754153</v>
      </c>
      <c r="W902" s="133">
        <v>0.850320512820513</v>
      </c>
      <c r="X902" s="133">
        <v>0.872951585768584</v>
      </c>
      <c r="Y902" s="135">
        <v>0.92</v>
      </c>
      <c r="Z902" s="135">
        <v>0.930167597765363</v>
      </c>
      <c r="AA902" s="135">
        <v>0.950953678474114</v>
      </c>
      <c r="AB902" s="135">
        <v>0.898916967509025</v>
      </c>
      <c r="AC902" s="135">
        <v>0.916005900792919</v>
      </c>
      <c r="AD902" s="135">
        <v>0.92</v>
      </c>
      <c r="AE902" s="133">
        <v>0.988874345549738</v>
      </c>
      <c r="AF902" s="133">
        <v>0.786458333333333</v>
      </c>
      <c r="AG902" s="133">
        <v>0.935714285714286</v>
      </c>
      <c r="AH902" s="133">
        <v>0.915471939455311</v>
      </c>
      <c r="AI902" s="135">
        <v>0.92</v>
      </c>
      <c r="AJ902" s="133">
        <v>0.946262823644358</v>
      </c>
      <c r="AK902" s="133">
        <v>0.951653944020356</v>
      </c>
      <c r="AL902" s="133">
        <v>0.937297615543126</v>
      </c>
      <c r="AM902" s="133">
        <v>0.945186440677966</v>
      </c>
      <c r="AN902" s="132">
        <v>0.99</v>
      </c>
      <c r="AO902" s="137">
        <v>1</v>
      </c>
      <c r="AP902" s="137">
        <v>1</v>
      </c>
      <c r="AQ902" s="137">
        <v>1</v>
      </c>
      <c r="AR902" s="137">
        <v>1</v>
      </c>
      <c r="AS902" s="158">
        <v>0.0656418488929858</v>
      </c>
      <c r="AT902" s="141">
        <v>0.0285714285714286</v>
      </c>
      <c r="AU902" s="141">
        <v>0.0454545454545455</v>
      </c>
      <c r="AV902" s="141">
        <v>0.0333333333333333</v>
      </c>
      <c r="AW902" s="141">
        <v>0.0425196850393701</v>
      </c>
      <c r="AX902" s="95"/>
      <c r="AY902" s="93"/>
    </row>
    <row r="903" ht="15" spans="1:51">
      <c r="A903" s="91"/>
      <c r="B903" s="95"/>
      <c r="C903" s="180" t="s">
        <v>927</v>
      </c>
      <c r="D903" s="181" t="s">
        <v>25</v>
      </c>
      <c r="E903" s="130" t="s">
        <v>928</v>
      </c>
      <c r="F903" s="184" t="s">
        <v>932</v>
      </c>
      <c r="G903" s="185" t="s">
        <v>932</v>
      </c>
      <c r="H903" s="185" t="s">
        <v>932</v>
      </c>
      <c r="I903" s="185" t="s">
        <v>932</v>
      </c>
      <c r="J903" s="132">
        <v>0.9</v>
      </c>
      <c r="K903" s="133">
        <v>1</v>
      </c>
      <c r="L903" s="133">
        <v>1</v>
      </c>
      <c r="M903" s="134">
        <v>0.939393939393939</v>
      </c>
      <c r="N903" s="133">
        <v>0.948051948051948</v>
      </c>
      <c r="O903" s="135">
        <v>0.9</v>
      </c>
      <c r="P903" s="133">
        <v>0.93186119873817</v>
      </c>
      <c r="Q903" s="133">
        <v>0.878489326765189</v>
      </c>
      <c r="R903" s="133">
        <v>0.927857142857143</v>
      </c>
      <c r="S903" s="133">
        <v>0.940859571411469</v>
      </c>
      <c r="T903" s="135">
        <v>0.9</v>
      </c>
      <c r="U903" s="133">
        <v>0.905362776025237</v>
      </c>
      <c r="V903" s="133">
        <v>0.889983579638752</v>
      </c>
      <c r="W903" s="133">
        <v>0.921785714285714</v>
      </c>
      <c r="X903" s="133">
        <v>0.922997725368131</v>
      </c>
      <c r="Y903" s="135">
        <v>0.92</v>
      </c>
      <c r="Z903" s="135">
        <v>0.925925925925926</v>
      </c>
      <c r="AA903" s="135">
        <v>0.92326139088729</v>
      </c>
      <c r="AB903" s="135">
        <v>0.941747572815534</v>
      </c>
      <c r="AC903" s="135">
        <v>0.936108701936976</v>
      </c>
      <c r="AD903" s="135">
        <v>0.92</v>
      </c>
      <c r="AE903" s="133">
        <v>0.966856377636425</v>
      </c>
      <c r="AF903" s="133">
        <v>0.992213570634038</v>
      </c>
      <c r="AG903" s="133">
        <v>0.876373626373626</v>
      </c>
      <c r="AH903" s="133">
        <v>0.979547301218804</v>
      </c>
      <c r="AI903" s="135">
        <v>0.92</v>
      </c>
      <c r="AJ903" s="133">
        <v>0.947092718700891</v>
      </c>
      <c r="AK903" s="133">
        <v>0.947400611620795</v>
      </c>
      <c r="AL903" s="133">
        <v>0.967513669990351</v>
      </c>
      <c r="AM903" s="133">
        <v>0.963545362149309</v>
      </c>
      <c r="AN903" s="132">
        <v>0.99</v>
      </c>
      <c r="AO903" s="137">
        <v>1</v>
      </c>
      <c r="AP903" s="137">
        <v>1</v>
      </c>
      <c r="AQ903" s="137">
        <v>1</v>
      </c>
      <c r="AR903" s="137">
        <v>1</v>
      </c>
      <c r="AS903" s="158">
        <v>0.0656418488929858</v>
      </c>
      <c r="AT903" s="141">
        <v>0.135135135135135</v>
      </c>
      <c r="AU903" s="141">
        <v>0.0222222222222222</v>
      </c>
      <c r="AV903" s="141">
        <v>0.0273972602739726</v>
      </c>
      <c r="AW903" s="141">
        <v>0.0593220338983051</v>
      </c>
      <c r="AX903" s="95"/>
      <c r="AY903" s="93"/>
    </row>
    <row r="904" ht="15" spans="1:51">
      <c r="A904" s="91"/>
      <c r="B904" s="95"/>
      <c r="C904" s="180" t="s">
        <v>927</v>
      </c>
      <c r="D904" s="181" t="s">
        <v>25</v>
      </c>
      <c r="E904" s="130" t="s">
        <v>928</v>
      </c>
      <c r="F904" s="184" t="s">
        <v>933</v>
      </c>
      <c r="G904" s="185" t="s">
        <v>933</v>
      </c>
      <c r="H904" s="185" t="s">
        <v>933</v>
      </c>
      <c r="I904" s="185" t="s">
        <v>933</v>
      </c>
      <c r="J904" s="132">
        <v>0.9</v>
      </c>
      <c r="K904" s="133">
        <v>0.909090909090909</v>
      </c>
      <c r="L904" s="133">
        <v>0.96551724137931</v>
      </c>
      <c r="M904" s="134">
        <v>1</v>
      </c>
      <c r="N904" s="133">
        <v>0.966329966329966</v>
      </c>
      <c r="O904" s="135">
        <v>0.9</v>
      </c>
      <c r="P904" s="133">
        <v>0.992068334350214</v>
      </c>
      <c r="Q904" s="133">
        <v>0.950122649223222</v>
      </c>
      <c r="R904" s="133">
        <v>0.942424242424242</v>
      </c>
      <c r="S904" s="133">
        <v>0.96233858574738</v>
      </c>
      <c r="T904" s="135">
        <v>0.9</v>
      </c>
      <c r="U904" s="133">
        <v>0.949359365466748</v>
      </c>
      <c r="V904" s="133">
        <v>0.910874897792314</v>
      </c>
      <c r="W904" s="133">
        <v>0.938636363636364</v>
      </c>
      <c r="X904" s="133">
        <v>0.936282942269318</v>
      </c>
      <c r="Y904" s="135">
        <v>0.92</v>
      </c>
      <c r="Z904" s="135">
        <v>0.918604651162791</v>
      </c>
      <c r="AA904" s="135">
        <v>0.834319526627219</v>
      </c>
      <c r="AB904" s="135">
        <v>0.9</v>
      </c>
      <c r="AC904" s="135">
        <v>0.914037783603001</v>
      </c>
      <c r="AD904" s="135">
        <v>0.92</v>
      </c>
      <c r="AE904" s="133">
        <v>0.962660443407235</v>
      </c>
      <c r="AF904" s="133">
        <v>0.906447534766119</v>
      </c>
      <c r="AG904" s="133">
        <v>0.974789915966387</v>
      </c>
      <c r="AH904" s="133">
        <v>0.927866986976862</v>
      </c>
      <c r="AI904" s="135">
        <v>0.92</v>
      </c>
      <c r="AJ904" s="133">
        <v>0.97428139183056</v>
      </c>
      <c r="AK904" s="133">
        <v>0.917919075144509</v>
      </c>
      <c r="AL904" s="133">
        <v>0.970547945205479</v>
      </c>
      <c r="AM904" s="133">
        <v>0.967951414930397</v>
      </c>
      <c r="AN904" s="132">
        <v>0.99</v>
      </c>
      <c r="AO904" s="137">
        <v>1</v>
      </c>
      <c r="AP904" s="137">
        <v>1</v>
      </c>
      <c r="AQ904" s="137">
        <v>1</v>
      </c>
      <c r="AR904" s="137">
        <v>1</v>
      </c>
      <c r="AS904" s="158">
        <v>0.0656418488929858</v>
      </c>
      <c r="AT904" s="141">
        <v>0</v>
      </c>
      <c r="AU904" s="141">
        <v>0</v>
      </c>
      <c r="AV904" s="141">
        <v>0.12</v>
      </c>
      <c r="AW904" s="141">
        <v>0.0476190476190476</v>
      </c>
      <c r="AX904" s="95"/>
      <c r="AY904" s="93"/>
    </row>
    <row r="905" ht="15" spans="1:51">
      <c r="A905" s="91"/>
      <c r="B905" s="95"/>
      <c r="C905" s="180" t="s">
        <v>927</v>
      </c>
      <c r="D905" s="181" t="s">
        <v>125</v>
      </c>
      <c r="E905" s="130" t="s">
        <v>928</v>
      </c>
      <c r="F905" s="184" t="s">
        <v>934</v>
      </c>
      <c r="G905" s="185" t="s">
        <v>934</v>
      </c>
      <c r="H905" s="185" t="s">
        <v>934</v>
      </c>
      <c r="I905" s="185" t="s">
        <v>934</v>
      </c>
      <c r="J905" s="132">
        <v>0.9</v>
      </c>
      <c r="K905" s="133" t="s">
        <v>35</v>
      </c>
      <c r="L905" s="133" t="s">
        <v>35</v>
      </c>
      <c r="M905" s="134" t="s">
        <v>35</v>
      </c>
      <c r="N905" s="133" t="s">
        <v>35</v>
      </c>
      <c r="O905" s="135">
        <v>0.9</v>
      </c>
      <c r="P905" s="133">
        <v>0</v>
      </c>
      <c r="Q905" s="133" t="s">
        <v>35</v>
      </c>
      <c r="R905" s="133" t="s">
        <v>35</v>
      </c>
      <c r="S905" s="133">
        <v>0</v>
      </c>
      <c r="T905" s="135">
        <v>0.9</v>
      </c>
      <c r="U905" s="133">
        <v>1</v>
      </c>
      <c r="V905" s="133" t="s">
        <v>35</v>
      </c>
      <c r="W905" s="133" t="s">
        <v>35</v>
      </c>
      <c r="X905" s="133">
        <v>1</v>
      </c>
      <c r="Y905" s="135">
        <v>0.92</v>
      </c>
      <c r="Z905" s="135" t="s">
        <v>35</v>
      </c>
      <c r="AA905" s="135" t="s">
        <v>35</v>
      </c>
      <c r="AB905" s="135" t="s">
        <v>35</v>
      </c>
      <c r="AC905" s="135" t="s">
        <v>35</v>
      </c>
      <c r="AD905" s="135">
        <v>0.92</v>
      </c>
      <c r="AE905" s="133">
        <v>0.986033519553073</v>
      </c>
      <c r="AF905" s="133">
        <v>0.99009900990099</v>
      </c>
      <c r="AG905" s="133">
        <v>1</v>
      </c>
      <c r="AH905" s="133">
        <v>0.944950243489308</v>
      </c>
      <c r="AI905" s="135">
        <v>0.92</v>
      </c>
      <c r="AJ905" s="133">
        <v>1</v>
      </c>
      <c r="AK905" s="133" t="s">
        <v>35</v>
      </c>
      <c r="AL905" s="133" t="s">
        <v>35</v>
      </c>
      <c r="AM905" s="133">
        <v>1</v>
      </c>
      <c r="AN905" s="132">
        <v>0.99</v>
      </c>
      <c r="AO905" s="137">
        <v>1</v>
      </c>
      <c r="AP905" s="137">
        <v>1</v>
      </c>
      <c r="AQ905" s="137">
        <v>1</v>
      </c>
      <c r="AR905" s="137">
        <v>1</v>
      </c>
      <c r="AS905" s="158">
        <v>0.0656418488929858</v>
      </c>
      <c r="AT905" s="141" t="s">
        <v>35</v>
      </c>
      <c r="AU905" s="141" t="s">
        <v>35</v>
      </c>
      <c r="AV905" s="141" t="s">
        <v>35</v>
      </c>
      <c r="AW905" s="141" t="s">
        <v>35</v>
      </c>
      <c r="AX905" s="95"/>
      <c r="AY905" s="93"/>
    </row>
    <row r="906" ht="15" spans="1:51">
      <c r="A906" s="91"/>
      <c r="B906" s="95"/>
      <c r="C906" s="180" t="s">
        <v>927</v>
      </c>
      <c r="D906" s="181" t="s">
        <v>25</v>
      </c>
      <c r="E906" s="130" t="s">
        <v>928</v>
      </c>
      <c r="F906" s="186" t="s">
        <v>935</v>
      </c>
      <c r="G906" s="187" t="s">
        <v>935</v>
      </c>
      <c r="H906" s="187" t="s">
        <v>935</v>
      </c>
      <c r="I906" s="187" t="s">
        <v>935</v>
      </c>
      <c r="J906" s="132">
        <v>0.9</v>
      </c>
      <c r="K906" s="133">
        <v>0.897435897435897</v>
      </c>
      <c r="L906" s="133">
        <v>0.888888888888889</v>
      </c>
      <c r="M906" s="134">
        <v>0.923076923076923</v>
      </c>
      <c r="N906" s="133">
        <v>0.893877551020408</v>
      </c>
      <c r="O906" s="135">
        <v>0.9</v>
      </c>
      <c r="P906" s="133">
        <v>0.925396825396825</v>
      </c>
      <c r="Q906" s="133">
        <v>0.839473684210526</v>
      </c>
      <c r="R906" s="133">
        <v>0.808703535811423</v>
      </c>
      <c r="S906" s="133">
        <v>0.867084039981236</v>
      </c>
      <c r="T906" s="135">
        <v>0.9</v>
      </c>
      <c r="U906" s="133">
        <v>0.932275132275132</v>
      </c>
      <c r="V906" s="133">
        <v>0.9125</v>
      </c>
      <c r="W906" s="133">
        <v>0.90057419159867</v>
      </c>
      <c r="X906" s="133">
        <v>0.906632266445351</v>
      </c>
      <c r="Y906" s="135">
        <v>0.92</v>
      </c>
      <c r="Z906" s="135">
        <v>0.987206823027719</v>
      </c>
      <c r="AA906" s="135">
        <v>0.916504854368932</v>
      </c>
      <c r="AB906" s="135">
        <v>0.952247191011236</v>
      </c>
      <c r="AC906" s="135">
        <v>0.937314152535562</v>
      </c>
      <c r="AD906" s="135">
        <v>0.92</v>
      </c>
      <c r="AE906" s="133">
        <v>0.901428571428571</v>
      </c>
      <c r="AF906" s="133">
        <v>0.825454545454545</v>
      </c>
      <c r="AG906" s="133">
        <v>0.859520313264807</v>
      </c>
      <c r="AH906" s="133">
        <v>0.935313182088762</v>
      </c>
      <c r="AI906" s="135">
        <v>0.92</v>
      </c>
      <c r="AJ906" s="133">
        <v>0.949130987706655</v>
      </c>
      <c r="AK906" s="133">
        <v>0.921375921375921</v>
      </c>
      <c r="AL906" s="133">
        <v>0.917598908594816</v>
      </c>
      <c r="AM906" s="133">
        <v>0.926621587778613</v>
      </c>
      <c r="AN906" s="132">
        <v>0.99</v>
      </c>
      <c r="AO906" s="137">
        <v>1</v>
      </c>
      <c r="AP906" s="137">
        <v>1</v>
      </c>
      <c r="AQ906" s="137">
        <v>1</v>
      </c>
      <c r="AR906" s="137">
        <v>1</v>
      </c>
      <c r="AS906" s="158">
        <v>0.0656418488929858</v>
      </c>
      <c r="AT906" s="141">
        <v>0.0227272727272727</v>
      </c>
      <c r="AU906" s="141">
        <v>0.0277777777777778</v>
      </c>
      <c r="AV906" s="141">
        <v>0.04</v>
      </c>
      <c r="AW906" s="141">
        <v>0.0496969696969697</v>
      </c>
      <c r="AX906" s="95"/>
      <c r="AY906" s="93"/>
    </row>
    <row r="907" ht="15" spans="1:51">
      <c r="A907" s="91"/>
      <c r="B907" s="95"/>
      <c r="C907" s="180" t="s">
        <v>927</v>
      </c>
      <c r="D907" s="181" t="s">
        <v>125</v>
      </c>
      <c r="E907" s="130" t="s">
        <v>928</v>
      </c>
      <c r="F907" s="186" t="s">
        <v>936</v>
      </c>
      <c r="G907" s="187" t="s">
        <v>936</v>
      </c>
      <c r="H907" s="187" t="s">
        <v>936</v>
      </c>
      <c r="I907" s="187" t="s">
        <v>936</v>
      </c>
      <c r="J907" s="132">
        <v>0.9</v>
      </c>
      <c r="K907" s="133" t="s">
        <v>35</v>
      </c>
      <c r="L907" s="133" t="s">
        <v>35</v>
      </c>
      <c r="M907" s="134" t="s">
        <v>35</v>
      </c>
      <c r="N907" s="133" t="s">
        <v>35</v>
      </c>
      <c r="O907" s="135">
        <v>0.9</v>
      </c>
      <c r="P907" s="133" t="s">
        <v>35</v>
      </c>
      <c r="Q907" s="133" t="s">
        <v>35</v>
      </c>
      <c r="R907" s="133" t="s">
        <v>35</v>
      </c>
      <c r="S907" s="133" t="s">
        <v>35</v>
      </c>
      <c r="T907" s="135">
        <v>0.9</v>
      </c>
      <c r="U907" s="133" t="s">
        <v>35</v>
      </c>
      <c r="V907" s="133" t="s">
        <v>35</v>
      </c>
      <c r="W907" s="133" t="s">
        <v>35</v>
      </c>
      <c r="X907" s="133" t="s">
        <v>35</v>
      </c>
      <c r="Y907" s="135">
        <v>0.92</v>
      </c>
      <c r="Z907" s="135" t="s">
        <v>35</v>
      </c>
      <c r="AA907" s="135" t="s">
        <v>35</v>
      </c>
      <c r="AB907" s="135" t="s">
        <v>35</v>
      </c>
      <c r="AC907" s="135" t="s">
        <v>35</v>
      </c>
      <c r="AD907" s="135">
        <v>0.92</v>
      </c>
      <c r="AE907" s="133">
        <v>0.986631016042781</v>
      </c>
      <c r="AF907" s="133">
        <v>0.837962962962963</v>
      </c>
      <c r="AG907" s="133">
        <v>0.970802919708029</v>
      </c>
      <c r="AH907" s="133">
        <v>0.937112122465867</v>
      </c>
      <c r="AI907" s="135">
        <v>0.92</v>
      </c>
      <c r="AJ907" s="133" t="s">
        <v>35</v>
      </c>
      <c r="AK907" s="133" t="s">
        <v>35</v>
      </c>
      <c r="AL907" s="133" t="s">
        <v>35</v>
      </c>
      <c r="AM907" s="133" t="s">
        <v>35</v>
      </c>
      <c r="AN907" s="132">
        <v>0.99</v>
      </c>
      <c r="AO907" s="137">
        <v>1</v>
      </c>
      <c r="AP907" s="137">
        <v>1</v>
      </c>
      <c r="AQ907" s="137">
        <v>1</v>
      </c>
      <c r="AR907" s="137">
        <v>1</v>
      </c>
      <c r="AS907" s="158">
        <v>0.0656418488929858</v>
      </c>
      <c r="AT907" s="141" t="s">
        <v>35</v>
      </c>
      <c r="AU907" s="141" t="s">
        <v>35</v>
      </c>
      <c r="AV907" s="141" t="s">
        <v>35</v>
      </c>
      <c r="AW907" s="141" t="s">
        <v>35</v>
      </c>
      <c r="AX907" s="95"/>
      <c r="AY907" s="93"/>
    </row>
    <row r="908" ht="15" spans="1:51">
      <c r="A908" s="91"/>
      <c r="B908" s="95"/>
      <c r="C908" s="180" t="s">
        <v>927</v>
      </c>
      <c r="D908" s="181" t="s">
        <v>25</v>
      </c>
      <c r="E908" s="130" t="s">
        <v>928</v>
      </c>
      <c r="F908" s="186" t="s">
        <v>937</v>
      </c>
      <c r="G908" s="187" t="s">
        <v>937</v>
      </c>
      <c r="H908" s="187" t="s">
        <v>937</v>
      </c>
      <c r="I908" s="187" t="s">
        <v>937</v>
      </c>
      <c r="J908" s="132">
        <v>0.9</v>
      </c>
      <c r="K908" s="133">
        <v>0.952380952380952</v>
      </c>
      <c r="L908" s="133">
        <v>0.823529411764706</v>
      </c>
      <c r="M908" s="134">
        <v>0.941176470588235</v>
      </c>
      <c r="N908" s="133">
        <v>0.873626373626374</v>
      </c>
      <c r="O908" s="135">
        <v>0.9</v>
      </c>
      <c r="P908" s="133">
        <v>0.857009345794392</v>
      </c>
      <c r="Q908" s="133">
        <v>0.828099173553719</v>
      </c>
      <c r="R908" s="133">
        <v>0.896497647673811</v>
      </c>
      <c r="S908" s="133">
        <v>0.861720339804257</v>
      </c>
      <c r="T908" s="135">
        <v>0.9</v>
      </c>
      <c r="U908" s="133">
        <v>0.924299065420561</v>
      </c>
      <c r="V908" s="133">
        <v>0.907438016528926</v>
      </c>
      <c r="W908" s="133">
        <v>0.909566126502875</v>
      </c>
      <c r="X908" s="133">
        <v>0.920507768338771</v>
      </c>
      <c r="Y908" s="135">
        <v>0.92</v>
      </c>
      <c r="Z908" s="135">
        <v>0.959798994974874</v>
      </c>
      <c r="AA908" s="135">
        <v>0.903225806451613</v>
      </c>
      <c r="AB908" s="135">
        <v>0.959876543209877</v>
      </c>
      <c r="AC908" s="135">
        <v>0.927061698228467</v>
      </c>
      <c r="AD908" s="135">
        <v>0.92</v>
      </c>
      <c r="AE908" s="133">
        <v>0.876363636363636</v>
      </c>
      <c r="AF908" s="133">
        <v>0.827489481065919</v>
      </c>
      <c r="AG908" s="133">
        <v>0.924078091106291</v>
      </c>
      <c r="AH908" s="133">
        <v>0.887927888475294</v>
      </c>
      <c r="AI908" s="135">
        <v>0.92</v>
      </c>
      <c r="AJ908" s="133">
        <v>0.945626477541371</v>
      </c>
      <c r="AK908" s="133">
        <v>0.924411400247832</v>
      </c>
      <c r="AL908" s="133">
        <v>0.936075100581135</v>
      </c>
      <c r="AM908" s="133">
        <v>0.944574989783408</v>
      </c>
      <c r="AN908" s="132">
        <v>0.99</v>
      </c>
      <c r="AO908" s="137">
        <v>1</v>
      </c>
      <c r="AP908" s="137">
        <v>1</v>
      </c>
      <c r="AQ908" s="137">
        <v>1</v>
      </c>
      <c r="AR908" s="137">
        <v>1</v>
      </c>
      <c r="AS908" s="158">
        <v>0.0656418488929858</v>
      </c>
      <c r="AT908" s="141">
        <v>0.0943396226415094</v>
      </c>
      <c r="AU908" s="141">
        <v>0.0517241379310345</v>
      </c>
      <c r="AV908" s="141">
        <v>0</v>
      </c>
      <c r="AW908" s="141">
        <v>0.0333611342785655</v>
      </c>
      <c r="AX908" s="95"/>
      <c r="AY908" s="93"/>
    </row>
    <row r="909" ht="15" spans="1:51">
      <c r="A909" s="91"/>
      <c r="B909" s="95"/>
      <c r="C909" s="180" t="s">
        <v>927</v>
      </c>
      <c r="D909" s="181" t="s">
        <v>125</v>
      </c>
      <c r="E909" s="130" t="s">
        <v>928</v>
      </c>
      <c r="F909" s="184" t="s">
        <v>938</v>
      </c>
      <c r="G909" s="185" t="s">
        <v>938</v>
      </c>
      <c r="H909" s="185" t="s">
        <v>938</v>
      </c>
      <c r="I909" s="185" t="s">
        <v>938</v>
      </c>
      <c r="J909" s="132">
        <v>0.9</v>
      </c>
      <c r="K909" s="133" t="s">
        <v>35</v>
      </c>
      <c r="L909" s="133" t="s">
        <v>35</v>
      </c>
      <c r="M909" s="134" t="s">
        <v>35</v>
      </c>
      <c r="N909" s="133" t="s">
        <v>35</v>
      </c>
      <c r="O909" s="135">
        <v>0.9</v>
      </c>
      <c r="P909" s="133" t="s">
        <v>35</v>
      </c>
      <c r="Q909" s="133" t="s">
        <v>35</v>
      </c>
      <c r="R909" s="133" t="s">
        <v>35</v>
      </c>
      <c r="S909" s="133" t="s">
        <v>35</v>
      </c>
      <c r="T909" s="135">
        <v>0.9</v>
      </c>
      <c r="U909" s="133" t="s">
        <v>35</v>
      </c>
      <c r="V909" s="133" t="s">
        <v>35</v>
      </c>
      <c r="W909" s="133" t="s">
        <v>35</v>
      </c>
      <c r="X909" s="133" t="s">
        <v>35</v>
      </c>
      <c r="Y909" s="135">
        <v>0.92</v>
      </c>
      <c r="Z909" s="135" t="s">
        <v>35</v>
      </c>
      <c r="AA909" s="135" t="s">
        <v>35</v>
      </c>
      <c r="AB909" s="135" t="s">
        <v>35</v>
      </c>
      <c r="AC909" s="135" t="s">
        <v>35</v>
      </c>
      <c r="AD909" s="135">
        <v>0.92</v>
      </c>
      <c r="AE909" s="133">
        <v>1</v>
      </c>
      <c r="AF909" s="133">
        <v>0.348148148148148</v>
      </c>
      <c r="AG909" s="133">
        <v>0</v>
      </c>
      <c r="AH909" s="133">
        <v>0.855330955212049</v>
      </c>
      <c r="AI909" s="135">
        <v>0.92</v>
      </c>
      <c r="AJ909" s="133" t="s">
        <v>35</v>
      </c>
      <c r="AK909" s="133" t="s">
        <v>35</v>
      </c>
      <c r="AL909" s="133" t="s">
        <v>35</v>
      </c>
      <c r="AM909" s="133" t="s">
        <v>35</v>
      </c>
      <c r="AN909" s="132">
        <v>0.99</v>
      </c>
      <c r="AO909" s="137">
        <v>1</v>
      </c>
      <c r="AP909" s="137">
        <v>1</v>
      </c>
      <c r="AQ909" s="137">
        <v>1</v>
      </c>
      <c r="AR909" s="137">
        <v>1</v>
      </c>
      <c r="AS909" s="158">
        <v>0.0656418488929858</v>
      </c>
      <c r="AT909" s="141" t="s">
        <v>35</v>
      </c>
      <c r="AU909" s="141" t="s">
        <v>35</v>
      </c>
      <c r="AV909" s="141" t="s">
        <v>35</v>
      </c>
      <c r="AW909" s="141" t="s">
        <v>35</v>
      </c>
      <c r="AX909" s="95"/>
      <c r="AY909" s="93"/>
    </row>
    <row r="910" ht="15" spans="1:51">
      <c r="A910" s="91"/>
      <c r="B910" s="95"/>
      <c r="C910" s="180" t="s">
        <v>927</v>
      </c>
      <c r="D910" s="181" t="s">
        <v>25</v>
      </c>
      <c r="E910" s="130" t="s">
        <v>928</v>
      </c>
      <c r="F910" s="184" t="s">
        <v>939</v>
      </c>
      <c r="G910" s="185" t="s">
        <v>939</v>
      </c>
      <c r="H910" s="185" t="s">
        <v>939</v>
      </c>
      <c r="I910" s="185" t="s">
        <v>939</v>
      </c>
      <c r="J910" s="132">
        <v>0.9</v>
      </c>
      <c r="K910" s="133">
        <v>0.857142857142857</v>
      </c>
      <c r="L910" s="133">
        <v>0.714285714285714</v>
      </c>
      <c r="M910" s="134">
        <v>0.75</v>
      </c>
      <c r="N910" s="133">
        <v>0.780555555555556</v>
      </c>
      <c r="O910" s="135">
        <v>0.9</v>
      </c>
      <c r="P910" s="133">
        <v>0.879081015719468</v>
      </c>
      <c r="Q910" s="133">
        <v>0.885103011093502</v>
      </c>
      <c r="R910" s="133">
        <v>0.817902588854761</v>
      </c>
      <c r="S910" s="133">
        <v>0.826060706999209</v>
      </c>
      <c r="T910" s="135">
        <v>0.9</v>
      </c>
      <c r="U910" s="133">
        <v>0.893591293833132</v>
      </c>
      <c r="V910" s="133">
        <v>0.903328050713154</v>
      </c>
      <c r="W910" s="133">
        <v>0.857393593681439</v>
      </c>
      <c r="X910" s="133">
        <v>0.794916101095058</v>
      </c>
      <c r="Y910" s="135">
        <v>0.92</v>
      </c>
      <c r="Z910" s="135">
        <v>1</v>
      </c>
      <c r="AA910" s="135" t="s">
        <v>35</v>
      </c>
      <c r="AB910" s="135">
        <v>1</v>
      </c>
      <c r="AC910" s="135">
        <v>0.75</v>
      </c>
      <c r="AD910" s="135">
        <v>0.92</v>
      </c>
      <c r="AE910" s="133">
        <v>0.99602848534648</v>
      </c>
      <c r="AF910" s="133">
        <v>0.978141105384752</v>
      </c>
      <c r="AG910" s="133">
        <v>0.992262343404569</v>
      </c>
      <c r="AH910" s="133">
        <v>0.941678419754643</v>
      </c>
      <c r="AI910" s="135">
        <v>0.92</v>
      </c>
      <c r="AJ910" s="133">
        <v>0.952926976463488</v>
      </c>
      <c r="AK910" s="133">
        <v>0.955625990491284</v>
      </c>
      <c r="AL910" s="133">
        <v>0.962330267192291</v>
      </c>
      <c r="AM910" s="133">
        <v>0.94676711131459</v>
      </c>
      <c r="AN910" s="132">
        <v>0.99</v>
      </c>
      <c r="AO910" s="137">
        <v>1</v>
      </c>
      <c r="AP910" s="137">
        <v>1</v>
      </c>
      <c r="AQ910" s="137">
        <v>1</v>
      </c>
      <c r="AR910" s="137">
        <v>1</v>
      </c>
      <c r="AS910" s="158">
        <v>0.0656418488929858</v>
      </c>
      <c r="AT910" s="141">
        <v>0</v>
      </c>
      <c r="AU910" s="141">
        <v>0.142857142857143</v>
      </c>
      <c r="AV910" s="141">
        <v>0.142857142857143</v>
      </c>
      <c r="AW910" s="141">
        <v>0.0567164179104478</v>
      </c>
      <c r="AX910" s="95"/>
      <c r="AY910" s="93"/>
    </row>
    <row r="911" ht="15" spans="1:51">
      <c r="A911" s="91"/>
      <c r="B911" s="95"/>
      <c r="C911" s="180" t="s">
        <v>927</v>
      </c>
      <c r="D911" s="181" t="s">
        <v>25</v>
      </c>
      <c r="E911" s="130" t="s">
        <v>928</v>
      </c>
      <c r="F911" s="184" t="s">
        <v>940</v>
      </c>
      <c r="G911" s="185" t="s">
        <v>940</v>
      </c>
      <c r="H911" s="185" t="s">
        <v>940</v>
      </c>
      <c r="I911" s="185" t="s">
        <v>940</v>
      </c>
      <c r="J911" s="132">
        <v>0.9</v>
      </c>
      <c r="K911" s="133">
        <v>0.848484848484849</v>
      </c>
      <c r="L911" s="133">
        <v>0.9</v>
      </c>
      <c r="M911" s="134">
        <v>0.851851851851852</v>
      </c>
      <c r="N911" s="133">
        <v>0.87248322147651</v>
      </c>
      <c r="O911" s="135">
        <v>0.9</v>
      </c>
      <c r="P911" s="133">
        <v>0.972668810289389</v>
      </c>
      <c r="Q911" s="133">
        <v>0.972733037412809</v>
      </c>
      <c r="R911" s="133">
        <v>0.948191933240612</v>
      </c>
      <c r="S911" s="133">
        <v>0.973588967872455</v>
      </c>
      <c r="T911" s="135">
        <v>0.9</v>
      </c>
      <c r="U911" s="133">
        <v>0.92497320471597</v>
      </c>
      <c r="V911" s="133">
        <v>0.942929613189601</v>
      </c>
      <c r="W911" s="133">
        <v>0.882475660639777</v>
      </c>
      <c r="X911" s="133">
        <v>0.919838898272054</v>
      </c>
      <c r="Y911" s="135">
        <v>0.92</v>
      </c>
      <c r="Z911" s="135" t="s">
        <v>35</v>
      </c>
      <c r="AA911" s="135" t="s">
        <v>35</v>
      </c>
      <c r="AB911" s="135" t="s">
        <v>35</v>
      </c>
      <c r="AC911" s="135">
        <v>1</v>
      </c>
      <c r="AD911" s="135">
        <v>0.92</v>
      </c>
      <c r="AE911" s="133">
        <v>0.999169435215947</v>
      </c>
      <c r="AF911" s="133">
        <v>0.99911190053286</v>
      </c>
      <c r="AG911" s="133">
        <v>0.998932764140875</v>
      </c>
      <c r="AH911" s="133">
        <v>0.998803280419556</v>
      </c>
      <c r="AI911" s="135">
        <v>0.92</v>
      </c>
      <c r="AJ911" s="133">
        <v>0.948017148981779</v>
      </c>
      <c r="AK911" s="133">
        <v>0.948002536461636</v>
      </c>
      <c r="AL911" s="133">
        <v>0.927702467848453</v>
      </c>
      <c r="AM911" s="133">
        <v>0.952592125282963</v>
      </c>
      <c r="AN911" s="132">
        <v>0.99</v>
      </c>
      <c r="AO911" s="137">
        <v>1</v>
      </c>
      <c r="AP911" s="137">
        <v>1</v>
      </c>
      <c r="AQ911" s="137">
        <v>1</v>
      </c>
      <c r="AR911" s="137">
        <v>1</v>
      </c>
      <c r="AS911" s="158">
        <v>0.0656418488929858</v>
      </c>
      <c r="AT911" s="141">
        <v>0.142857142857143</v>
      </c>
      <c r="AU911" s="141">
        <v>0.428571428571429</v>
      </c>
      <c r="AV911" s="141">
        <v>0</v>
      </c>
      <c r="AW911" s="141">
        <v>0.0929368029739777</v>
      </c>
      <c r="AX911" s="95"/>
      <c r="AY911" s="93"/>
    </row>
    <row r="912" ht="15" spans="1:51">
      <c r="A912" s="91"/>
      <c r="B912" s="95"/>
      <c r="C912" s="180" t="s">
        <v>927</v>
      </c>
      <c r="D912" s="181" t="s">
        <v>25</v>
      </c>
      <c r="E912" s="130" t="s">
        <v>928</v>
      </c>
      <c r="F912" s="188" t="s">
        <v>941</v>
      </c>
      <c r="G912" s="189" t="s">
        <v>941</v>
      </c>
      <c r="H912" s="189" t="s">
        <v>941</v>
      </c>
      <c r="I912" s="189" t="s">
        <v>941</v>
      </c>
      <c r="J912" s="132">
        <v>0.9</v>
      </c>
      <c r="K912" s="133">
        <v>0.954545454545455</v>
      </c>
      <c r="L912" s="133">
        <v>0.9375</v>
      </c>
      <c r="M912" s="134">
        <v>1</v>
      </c>
      <c r="N912" s="133">
        <v>0.912023460410557</v>
      </c>
      <c r="O912" s="135">
        <v>0.9</v>
      </c>
      <c r="P912" s="133">
        <v>0.851629502572899</v>
      </c>
      <c r="Q912" s="133">
        <v>0.884811416921509</v>
      </c>
      <c r="R912" s="133">
        <v>0.815991237677985</v>
      </c>
      <c r="S912" s="133">
        <v>0.871658369543323</v>
      </c>
      <c r="T912" s="135">
        <v>0.9</v>
      </c>
      <c r="U912" s="133">
        <v>0.897941680960549</v>
      </c>
      <c r="V912" s="133">
        <v>0.807339449541284</v>
      </c>
      <c r="W912" s="133">
        <v>0.631434830230011</v>
      </c>
      <c r="X912" s="133">
        <v>0.848119478576156</v>
      </c>
      <c r="Y912" s="135">
        <v>0.92</v>
      </c>
      <c r="Z912" s="135" t="s">
        <v>35</v>
      </c>
      <c r="AA912" s="135">
        <v>1</v>
      </c>
      <c r="AB912" s="135" t="s">
        <v>35</v>
      </c>
      <c r="AC912" s="135">
        <v>1</v>
      </c>
      <c r="AD912" s="135">
        <v>0.92</v>
      </c>
      <c r="AE912" s="133">
        <v>0.996711608023676</v>
      </c>
      <c r="AF912" s="133">
        <v>1</v>
      </c>
      <c r="AG912" s="133">
        <v>0.994949494949495</v>
      </c>
      <c r="AH912" s="133">
        <v>0.989270018834541</v>
      </c>
      <c r="AI912" s="135">
        <v>0.92</v>
      </c>
      <c r="AJ912" s="133">
        <v>0.931239388794567</v>
      </c>
      <c r="AK912" s="133">
        <v>0.873353596757852</v>
      </c>
      <c r="AL912" s="133">
        <v>0.709677419354839</v>
      </c>
      <c r="AM912" s="133">
        <v>0.925560022975302</v>
      </c>
      <c r="AN912" s="132">
        <v>0.99</v>
      </c>
      <c r="AO912" s="137">
        <v>1</v>
      </c>
      <c r="AP912" s="137">
        <v>1</v>
      </c>
      <c r="AQ912" s="137">
        <v>1</v>
      </c>
      <c r="AR912" s="137">
        <v>1</v>
      </c>
      <c r="AS912" s="158">
        <v>0.0656418488929858</v>
      </c>
      <c r="AT912" s="141">
        <v>0</v>
      </c>
      <c r="AU912" s="141">
        <v>0.166666666666667</v>
      </c>
      <c r="AV912" s="141">
        <v>0</v>
      </c>
      <c r="AW912" s="141">
        <v>0.0738255033557047</v>
      </c>
      <c r="AX912" s="95"/>
      <c r="AY912" s="93"/>
    </row>
    <row r="913" ht="15" spans="1:51">
      <c r="A913" s="91"/>
      <c r="B913" s="95"/>
      <c r="C913" s="180" t="s">
        <v>927</v>
      </c>
      <c r="D913" s="181" t="s">
        <v>25</v>
      </c>
      <c r="E913" s="130" t="s">
        <v>928</v>
      </c>
      <c r="F913" s="184" t="s">
        <v>942</v>
      </c>
      <c r="G913" s="185" t="s">
        <v>942</v>
      </c>
      <c r="H913" s="185" t="s">
        <v>942</v>
      </c>
      <c r="I913" s="185" t="s">
        <v>942</v>
      </c>
      <c r="J913" s="132">
        <v>0.9</v>
      </c>
      <c r="K913" s="133">
        <v>1</v>
      </c>
      <c r="L913" s="133">
        <v>0.833333333333333</v>
      </c>
      <c r="M913" s="134">
        <v>0.925</v>
      </c>
      <c r="N913" s="133">
        <v>0.894039735099338</v>
      </c>
      <c r="O913" s="135">
        <v>0.9</v>
      </c>
      <c r="P913" s="133">
        <v>0.91219723183391</v>
      </c>
      <c r="Q913" s="133">
        <v>0.887430590610803</v>
      </c>
      <c r="R913" s="133">
        <v>0.896910193473867</v>
      </c>
      <c r="S913" s="133">
        <v>0.929759650821639</v>
      </c>
      <c r="T913" s="135">
        <v>0.9</v>
      </c>
      <c r="U913" s="133">
        <v>0.959342560553633</v>
      </c>
      <c r="V913" s="133">
        <v>0.931852599697123</v>
      </c>
      <c r="W913" s="133">
        <v>0.952353450765232</v>
      </c>
      <c r="X913" s="133">
        <v>0.929224899192092</v>
      </c>
      <c r="Y913" s="135">
        <v>0.92</v>
      </c>
      <c r="Z913" s="135" t="s">
        <v>35</v>
      </c>
      <c r="AA913" s="135">
        <v>0</v>
      </c>
      <c r="AB913" s="135" t="s">
        <v>35</v>
      </c>
      <c r="AC913" s="135">
        <v>0.5</v>
      </c>
      <c r="AD913" s="135">
        <v>0.92</v>
      </c>
      <c r="AE913" s="133">
        <v>0.998163115356356</v>
      </c>
      <c r="AF913" s="133">
        <v>0.992651970607882</v>
      </c>
      <c r="AG913" s="133">
        <v>0.986842105263158</v>
      </c>
      <c r="AH913" s="133">
        <v>0.994435339406182</v>
      </c>
      <c r="AI913" s="135">
        <v>0.92</v>
      </c>
      <c r="AJ913" s="133">
        <v>0.964532871972318</v>
      </c>
      <c r="AK913" s="133">
        <v>0.949067070095814</v>
      </c>
      <c r="AL913" s="133">
        <v>0.957551256136298</v>
      </c>
      <c r="AM913" s="133">
        <v>0.961616833099701</v>
      </c>
      <c r="AN913" s="132">
        <v>0.99</v>
      </c>
      <c r="AO913" s="137">
        <v>1</v>
      </c>
      <c r="AP913" s="137">
        <v>1</v>
      </c>
      <c r="AQ913" s="137">
        <v>1</v>
      </c>
      <c r="AR913" s="137">
        <v>1</v>
      </c>
      <c r="AS913" s="158">
        <v>0.0656418488929858</v>
      </c>
      <c r="AT913" s="141">
        <v>0</v>
      </c>
      <c r="AU913" s="141">
        <v>0.333333333333333</v>
      </c>
      <c r="AV913" s="141">
        <v>0</v>
      </c>
      <c r="AW913" s="141">
        <v>0.0509803921568627</v>
      </c>
      <c r="AX913" s="95"/>
      <c r="AY913" s="93"/>
    </row>
    <row r="914" ht="15" spans="1:51">
      <c r="A914" s="91"/>
      <c r="B914" s="95"/>
      <c r="C914" s="180" t="s">
        <v>927</v>
      </c>
      <c r="D914" s="181" t="s">
        <v>25</v>
      </c>
      <c r="E914" s="130" t="s">
        <v>928</v>
      </c>
      <c r="F914" s="188" t="s">
        <v>943</v>
      </c>
      <c r="G914" s="189" t="s">
        <v>943</v>
      </c>
      <c r="H914" s="189" t="s">
        <v>943</v>
      </c>
      <c r="I914" s="189" t="s">
        <v>943</v>
      </c>
      <c r="J914" s="132">
        <v>0.9</v>
      </c>
      <c r="K914" s="133">
        <v>1</v>
      </c>
      <c r="L914" s="133">
        <v>0.916666666666667</v>
      </c>
      <c r="M914" s="134">
        <v>0.818181818181818</v>
      </c>
      <c r="N914" s="133">
        <v>0.921739130434783</v>
      </c>
      <c r="O914" s="135">
        <v>0.9</v>
      </c>
      <c r="P914" s="133">
        <v>0.960257787325457</v>
      </c>
      <c r="Q914" s="133">
        <v>0.947159841479524</v>
      </c>
      <c r="R914" s="133">
        <v>0.900657414170928</v>
      </c>
      <c r="S914" s="133">
        <v>0.926752262681541</v>
      </c>
      <c r="T914" s="135">
        <v>0.9</v>
      </c>
      <c r="U914" s="133">
        <v>0.907626208378088</v>
      </c>
      <c r="V914" s="133">
        <v>0.916776750330251</v>
      </c>
      <c r="W914" s="133">
        <v>0.842220598977356</v>
      </c>
      <c r="X914" s="133">
        <v>0.884655861923806</v>
      </c>
      <c r="Y914" s="135">
        <v>0.92</v>
      </c>
      <c r="Z914" s="135" t="s">
        <v>35</v>
      </c>
      <c r="AA914" s="135" t="s">
        <v>35</v>
      </c>
      <c r="AB914" s="135" t="s">
        <v>35</v>
      </c>
      <c r="AC914" s="135" t="s">
        <v>35</v>
      </c>
      <c r="AD914" s="135">
        <v>0.92</v>
      </c>
      <c r="AE914" s="133">
        <v>0.998168498168498</v>
      </c>
      <c r="AF914" s="133">
        <v>1</v>
      </c>
      <c r="AG914" s="133">
        <v>1</v>
      </c>
      <c r="AH914" s="133">
        <v>0.996290307238657</v>
      </c>
      <c r="AI914" s="135">
        <v>0.92</v>
      </c>
      <c r="AJ914" s="133">
        <v>0.945220193340494</v>
      </c>
      <c r="AK914" s="133">
        <v>0.944517833553501</v>
      </c>
      <c r="AL914" s="133">
        <v>0.867786705624543</v>
      </c>
      <c r="AM914" s="133">
        <v>0.932365116115905</v>
      </c>
      <c r="AN914" s="132">
        <v>0.99</v>
      </c>
      <c r="AO914" s="137">
        <v>1</v>
      </c>
      <c r="AP914" s="137">
        <v>1</v>
      </c>
      <c r="AQ914" s="137">
        <v>1</v>
      </c>
      <c r="AR914" s="137">
        <v>1</v>
      </c>
      <c r="AS914" s="158">
        <v>0.0656418488929858</v>
      </c>
      <c r="AT914" s="141">
        <v>0</v>
      </c>
      <c r="AU914" s="141">
        <v>0</v>
      </c>
      <c r="AV914" s="141">
        <v>0</v>
      </c>
      <c r="AW914" s="141">
        <v>0.0261437908496732</v>
      </c>
      <c r="AX914" s="95"/>
      <c r="AY914" s="93"/>
    </row>
    <row r="915" ht="15" spans="1:51">
      <c r="A915" s="91"/>
      <c r="B915" s="95"/>
      <c r="C915" s="180" t="s">
        <v>927</v>
      </c>
      <c r="D915" s="181" t="s">
        <v>25</v>
      </c>
      <c r="E915" s="130" t="s">
        <v>928</v>
      </c>
      <c r="F915" s="184" t="s">
        <v>944</v>
      </c>
      <c r="G915" s="185" t="s">
        <v>944</v>
      </c>
      <c r="H915" s="185" t="s">
        <v>944</v>
      </c>
      <c r="I915" s="185" t="s">
        <v>944</v>
      </c>
      <c r="J915" s="132">
        <v>0.9</v>
      </c>
      <c r="K915" s="133">
        <v>0.863636363636364</v>
      </c>
      <c r="L915" s="133">
        <v>0.666666666666667</v>
      </c>
      <c r="M915" s="134">
        <v>0.75</v>
      </c>
      <c r="N915" s="133">
        <v>0.785529715762274</v>
      </c>
      <c r="O915" s="135">
        <v>0.9</v>
      </c>
      <c r="P915" s="133">
        <v>0.958515283842795</v>
      </c>
      <c r="Q915" s="133">
        <v>0.925385934819897</v>
      </c>
      <c r="R915" s="133">
        <v>0.94816305988928</v>
      </c>
      <c r="S915" s="133">
        <v>0.940365597842373</v>
      </c>
      <c r="T915" s="135">
        <v>0.9</v>
      </c>
      <c r="U915" s="133">
        <v>0.857350800582242</v>
      </c>
      <c r="V915" s="133">
        <v>0.867924528301887</v>
      </c>
      <c r="W915" s="133">
        <v>0.856567689984902</v>
      </c>
      <c r="X915" s="133">
        <v>0.86574767755469</v>
      </c>
      <c r="Y915" s="135">
        <v>0.92</v>
      </c>
      <c r="Z915" s="135">
        <v>0</v>
      </c>
      <c r="AA915" s="135" t="s">
        <v>35</v>
      </c>
      <c r="AB915" s="135" t="s">
        <v>35</v>
      </c>
      <c r="AC915" s="135">
        <v>0</v>
      </c>
      <c r="AD915" s="135">
        <v>0.92</v>
      </c>
      <c r="AE915" s="133">
        <v>0.99952539155197</v>
      </c>
      <c r="AF915" s="133">
        <v>0.985342019543974</v>
      </c>
      <c r="AG915" s="133">
        <v>0.995440729483283</v>
      </c>
      <c r="AH915" s="133">
        <v>0.994055749481459</v>
      </c>
      <c r="AI915" s="135">
        <v>0.92</v>
      </c>
      <c r="AJ915" s="133">
        <v>0.926033357505439</v>
      </c>
      <c r="AK915" s="133">
        <v>0.923670668953688</v>
      </c>
      <c r="AL915" s="133">
        <v>0.917002012072435</v>
      </c>
      <c r="AM915" s="133">
        <v>0.943223809048237</v>
      </c>
      <c r="AN915" s="132">
        <v>0.99</v>
      </c>
      <c r="AO915" s="137">
        <v>1</v>
      </c>
      <c r="AP915" s="137">
        <v>1</v>
      </c>
      <c r="AQ915" s="137">
        <v>1</v>
      </c>
      <c r="AR915" s="137">
        <v>1</v>
      </c>
      <c r="AS915" s="158">
        <v>0.0656418488929858</v>
      </c>
      <c r="AT915" s="141">
        <v>0.03125</v>
      </c>
      <c r="AU915" s="141">
        <v>0</v>
      </c>
      <c r="AV915" s="141">
        <v>0.0384615384615385</v>
      </c>
      <c r="AW915" s="141">
        <v>0.03125</v>
      </c>
      <c r="AX915" s="95"/>
      <c r="AY915" s="93"/>
    </row>
    <row r="916" ht="15" spans="1:51">
      <c r="A916" s="91"/>
      <c r="B916" s="95"/>
      <c r="C916" s="180" t="s">
        <v>927</v>
      </c>
      <c r="D916" s="181" t="s">
        <v>25</v>
      </c>
      <c r="E916" s="130" t="s">
        <v>928</v>
      </c>
      <c r="F916" s="184" t="s">
        <v>945</v>
      </c>
      <c r="G916" s="185" t="s">
        <v>945</v>
      </c>
      <c r="H916" s="185" t="s">
        <v>945</v>
      </c>
      <c r="I916" s="185" t="s">
        <v>945</v>
      </c>
      <c r="J916" s="132">
        <v>0.9</v>
      </c>
      <c r="K916" s="133">
        <v>0.96875</v>
      </c>
      <c r="L916" s="133">
        <v>0.9</v>
      </c>
      <c r="M916" s="134">
        <v>0.870967741935484</v>
      </c>
      <c r="N916" s="133">
        <v>0.885191347753744</v>
      </c>
      <c r="O916" s="135">
        <v>0.9</v>
      </c>
      <c r="P916" s="133">
        <v>0.979840403191936</v>
      </c>
      <c r="Q916" s="133">
        <v>0.949208083014746</v>
      </c>
      <c r="R916" s="133">
        <v>0.928923076923077</v>
      </c>
      <c r="S916" s="133">
        <v>0.919055329453124</v>
      </c>
      <c r="T916" s="135">
        <v>0.9</v>
      </c>
      <c r="U916" s="133">
        <v>0.910121797564049</v>
      </c>
      <c r="V916" s="133">
        <v>0.898416166029492</v>
      </c>
      <c r="W916" s="133">
        <v>0.881230769230769</v>
      </c>
      <c r="X916" s="133">
        <v>0.905153676717284</v>
      </c>
      <c r="Y916" s="135">
        <v>0.92</v>
      </c>
      <c r="Z916" s="135" t="s">
        <v>35</v>
      </c>
      <c r="AA916" s="135" t="s">
        <v>35</v>
      </c>
      <c r="AB916" s="135" t="s">
        <v>35</v>
      </c>
      <c r="AC916" s="135">
        <v>1</v>
      </c>
      <c r="AD916" s="135">
        <v>0.92</v>
      </c>
      <c r="AE916" s="133">
        <v>0.995511669658887</v>
      </c>
      <c r="AF916" s="133">
        <v>0.996947082767978</v>
      </c>
      <c r="AG916" s="133">
        <v>0.998011928429423</v>
      </c>
      <c r="AH916" s="133">
        <v>0.99490645614794</v>
      </c>
      <c r="AI916" s="135">
        <v>0.92</v>
      </c>
      <c r="AJ916" s="133">
        <v>0.958875367184222</v>
      </c>
      <c r="AK916" s="133">
        <v>0.942171303873432</v>
      </c>
      <c r="AL916" s="133">
        <v>0.922769230769231</v>
      </c>
      <c r="AM916" s="133">
        <v>0.949887699442873</v>
      </c>
      <c r="AN916" s="132">
        <v>0.99</v>
      </c>
      <c r="AO916" s="137">
        <v>1</v>
      </c>
      <c r="AP916" s="137">
        <v>1</v>
      </c>
      <c r="AQ916" s="137">
        <v>1</v>
      </c>
      <c r="AR916" s="137">
        <v>1</v>
      </c>
      <c r="AS916" s="158">
        <v>0.0656418488929858</v>
      </c>
      <c r="AT916" s="141">
        <v>0.108108108108108</v>
      </c>
      <c r="AU916" s="141">
        <v>0.05</v>
      </c>
      <c r="AV916" s="141">
        <v>0.0416666666666667</v>
      </c>
      <c r="AW916" s="141">
        <v>0.0476190476190476</v>
      </c>
      <c r="AX916" s="95"/>
      <c r="AY916" s="93"/>
    </row>
    <row r="917" ht="15" spans="1:51">
      <c r="A917" s="91"/>
      <c r="B917" s="95"/>
      <c r="C917" s="180" t="s">
        <v>927</v>
      </c>
      <c r="D917" s="181" t="s">
        <v>25</v>
      </c>
      <c r="E917" s="130" t="s">
        <v>928</v>
      </c>
      <c r="F917" s="184" t="s">
        <v>946</v>
      </c>
      <c r="G917" s="185" t="s">
        <v>946</v>
      </c>
      <c r="H917" s="185" t="s">
        <v>946</v>
      </c>
      <c r="I917" s="185" t="s">
        <v>946</v>
      </c>
      <c r="J917" s="132">
        <v>0.9</v>
      </c>
      <c r="K917" s="133">
        <v>1</v>
      </c>
      <c r="L917" s="133">
        <v>0.903225806451613</v>
      </c>
      <c r="M917" s="134">
        <v>0.942857142857143</v>
      </c>
      <c r="N917" s="133">
        <v>0.958333333333333</v>
      </c>
      <c r="O917" s="135">
        <v>0.9</v>
      </c>
      <c r="P917" s="133">
        <v>0.903225806451613</v>
      </c>
      <c r="Q917" s="133">
        <v>0.85521472392638</v>
      </c>
      <c r="R917" s="133">
        <v>0.899089253187614</v>
      </c>
      <c r="S917" s="133">
        <v>0.940648141359337</v>
      </c>
      <c r="T917" s="135">
        <v>0.9</v>
      </c>
      <c r="U917" s="133">
        <v>0.908693275013669</v>
      </c>
      <c r="V917" s="133">
        <v>0.902453987730061</v>
      </c>
      <c r="W917" s="133">
        <v>0.824408014571949</v>
      </c>
      <c r="X917" s="133">
        <v>0.885163868318792</v>
      </c>
      <c r="Y917" s="135">
        <v>0.92</v>
      </c>
      <c r="Z917" s="135">
        <v>0.953924914675768</v>
      </c>
      <c r="AA917" s="135">
        <v>0.933760683760684</v>
      </c>
      <c r="AB917" s="135">
        <v>0.59672131147541</v>
      </c>
      <c r="AC917" s="135">
        <v>0.87778768956289</v>
      </c>
      <c r="AD917" s="135">
        <v>0.92</v>
      </c>
      <c r="AE917" s="133">
        <v>0.998848167539267</v>
      </c>
      <c r="AF917" s="133">
        <v>0.963436413196729</v>
      </c>
      <c r="AG917" s="133">
        <v>0.824898785425101</v>
      </c>
      <c r="AH917" s="133">
        <v>0.950211906681246</v>
      </c>
      <c r="AI917" s="135">
        <v>0.92</v>
      </c>
      <c r="AJ917" s="133">
        <v>0.9528340918494</v>
      </c>
      <c r="AK917" s="133">
        <v>0.951382268827455</v>
      </c>
      <c r="AL917" s="133">
        <v>0.886996396986571</v>
      </c>
      <c r="AM917" s="133">
        <v>0.944590547709895</v>
      </c>
      <c r="AN917" s="132">
        <v>0.99</v>
      </c>
      <c r="AO917" s="137">
        <v>1</v>
      </c>
      <c r="AP917" s="137">
        <v>1</v>
      </c>
      <c r="AQ917" s="137">
        <v>1</v>
      </c>
      <c r="AR917" s="137">
        <v>1</v>
      </c>
      <c r="AS917" s="158">
        <v>0.0656418488929858</v>
      </c>
      <c r="AT917" s="141">
        <v>0</v>
      </c>
      <c r="AU917" s="141">
        <v>0.1</v>
      </c>
      <c r="AV917" s="141">
        <v>0.1</v>
      </c>
      <c r="AW917" s="141">
        <v>0.0606060606060606</v>
      </c>
      <c r="AX917" s="95"/>
      <c r="AY917" s="93"/>
    </row>
    <row r="918" ht="15" spans="1:51">
      <c r="A918" s="91"/>
      <c r="B918" s="95"/>
      <c r="C918" s="180" t="s">
        <v>927</v>
      </c>
      <c r="D918" s="181" t="s">
        <v>25</v>
      </c>
      <c r="E918" s="130" t="s">
        <v>928</v>
      </c>
      <c r="F918" s="184" t="s">
        <v>947</v>
      </c>
      <c r="G918" s="185" t="s">
        <v>947</v>
      </c>
      <c r="H918" s="185" t="s">
        <v>947</v>
      </c>
      <c r="I918" s="185" t="s">
        <v>947</v>
      </c>
      <c r="J918" s="132">
        <v>0.9</v>
      </c>
      <c r="K918" s="133">
        <v>1</v>
      </c>
      <c r="L918" s="133">
        <v>0.857142857142857</v>
      </c>
      <c r="M918" s="134">
        <v>1</v>
      </c>
      <c r="N918" s="133">
        <v>0.911504424778761</v>
      </c>
      <c r="O918" s="135">
        <v>0.9</v>
      </c>
      <c r="P918" s="133">
        <v>0.985111662531017</v>
      </c>
      <c r="Q918" s="133">
        <v>0.979351032448378</v>
      </c>
      <c r="R918" s="133">
        <v>0.96085409252669</v>
      </c>
      <c r="S918" s="133">
        <v>0.951167365090225</v>
      </c>
      <c r="T918" s="135">
        <v>0.9</v>
      </c>
      <c r="U918" s="133">
        <v>0.96029776674938</v>
      </c>
      <c r="V918" s="133">
        <v>0.929203539823009</v>
      </c>
      <c r="W918" s="133">
        <v>0.838078291814947</v>
      </c>
      <c r="X918" s="133">
        <v>0.877875652099547</v>
      </c>
      <c r="Y918" s="135">
        <v>0.92</v>
      </c>
      <c r="Z918" s="135" t="s">
        <v>35</v>
      </c>
      <c r="AA918" s="135" t="s">
        <v>35</v>
      </c>
      <c r="AB918" s="135" t="s">
        <v>35</v>
      </c>
      <c r="AC918" s="135">
        <v>0</v>
      </c>
      <c r="AD918" s="135">
        <v>0.92</v>
      </c>
      <c r="AE918" s="133">
        <v>0.99874843554443</v>
      </c>
      <c r="AF918" s="133">
        <v>1</v>
      </c>
      <c r="AG918" s="133">
        <v>0.998247151621385</v>
      </c>
      <c r="AH918" s="133">
        <v>0.996875</v>
      </c>
      <c r="AI918" s="135">
        <v>0.92</v>
      </c>
      <c r="AJ918" s="133">
        <v>0.970223325062035</v>
      </c>
      <c r="AK918" s="133">
        <v>0.973451327433628</v>
      </c>
      <c r="AL918" s="133">
        <v>0.911032028469751</v>
      </c>
      <c r="AM918" s="133">
        <v>0.959907676525902</v>
      </c>
      <c r="AN918" s="132">
        <v>0.99</v>
      </c>
      <c r="AO918" s="137">
        <v>1</v>
      </c>
      <c r="AP918" s="137">
        <v>1</v>
      </c>
      <c r="AQ918" s="137">
        <v>1</v>
      </c>
      <c r="AR918" s="137">
        <v>1</v>
      </c>
      <c r="AS918" s="158">
        <v>0.0656418488929858</v>
      </c>
      <c r="AT918" s="141">
        <v>0</v>
      </c>
      <c r="AU918" s="141">
        <v>0.142857142857143</v>
      </c>
      <c r="AV918" s="141">
        <v>0.25</v>
      </c>
      <c r="AW918" s="141">
        <v>0.0217391304347826</v>
      </c>
      <c r="AX918" s="95"/>
      <c r="AY918" s="93"/>
    </row>
    <row r="919" ht="15" spans="1:51">
      <c r="A919" s="91"/>
      <c r="B919" s="95"/>
      <c r="C919" s="180" t="s">
        <v>927</v>
      </c>
      <c r="D919" s="181" t="s">
        <v>25</v>
      </c>
      <c r="E919" s="130" t="s">
        <v>928</v>
      </c>
      <c r="F919" s="184" t="s">
        <v>948</v>
      </c>
      <c r="G919" s="185" t="s">
        <v>948</v>
      </c>
      <c r="H919" s="185" t="s">
        <v>948</v>
      </c>
      <c r="I919" s="185" t="s">
        <v>948</v>
      </c>
      <c r="J919" s="132">
        <v>0.9</v>
      </c>
      <c r="K919" s="133">
        <v>0.970588235294118</v>
      </c>
      <c r="L919" s="133">
        <v>0.9</v>
      </c>
      <c r="M919" s="134">
        <v>0.848484848484849</v>
      </c>
      <c r="N919" s="133">
        <v>0.922727272727273</v>
      </c>
      <c r="O919" s="135">
        <v>0.9</v>
      </c>
      <c r="P919" s="133">
        <v>0.936552498596294</v>
      </c>
      <c r="Q919" s="133">
        <v>0.932325886990802</v>
      </c>
      <c r="R919" s="133">
        <v>0.946189960274467</v>
      </c>
      <c r="S919" s="133">
        <v>0.953045508397798</v>
      </c>
      <c r="T919" s="135">
        <v>0.9</v>
      </c>
      <c r="U919" s="133">
        <v>0.913531723750702</v>
      </c>
      <c r="V919" s="133">
        <v>0.919185282522996</v>
      </c>
      <c r="W919" s="133">
        <v>0.893102202961358</v>
      </c>
      <c r="X919" s="133">
        <v>0.907815875670778</v>
      </c>
      <c r="Y919" s="135">
        <v>0.92</v>
      </c>
      <c r="Z919" s="135">
        <v>1</v>
      </c>
      <c r="AA919" s="135" t="s">
        <v>35</v>
      </c>
      <c r="AB919" s="135" t="s">
        <v>35</v>
      </c>
      <c r="AC919" s="135">
        <v>1</v>
      </c>
      <c r="AD919" s="135">
        <v>0.92</v>
      </c>
      <c r="AE919" s="133">
        <v>0.992467610726122</v>
      </c>
      <c r="AF919" s="133">
        <v>0.998207349865551</v>
      </c>
      <c r="AG919" s="133">
        <v>0.992392807745505</v>
      </c>
      <c r="AH919" s="133">
        <v>0.995134665508254</v>
      </c>
      <c r="AI919" s="135">
        <v>0.92</v>
      </c>
      <c r="AJ919" s="133">
        <v>0.927650028042625</v>
      </c>
      <c r="AK919" s="133">
        <v>0.931011826544021</v>
      </c>
      <c r="AL919" s="133">
        <v>0.931744312026002</v>
      </c>
      <c r="AM919" s="133">
        <v>0.940835206188261</v>
      </c>
      <c r="AN919" s="132">
        <v>0.99</v>
      </c>
      <c r="AO919" s="137">
        <v>1</v>
      </c>
      <c r="AP919" s="137">
        <v>1</v>
      </c>
      <c r="AQ919" s="137">
        <v>1</v>
      </c>
      <c r="AR919" s="137">
        <v>1</v>
      </c>
      <c r="AS919" s="158">
        <v>0.0656418488929858</v>
      </c>
      <c r="AT919" s="141">
        <v>0</v>
      </c>
      <c r="AU919" s="141">
        <v>0</v>
      </c>
      <c r="AV919" s="141">
        <v>0.111111111111111</v>
      </c>
      <c r="AW919" s="141">
        <v>0.0355329949238579</v>
      </c>
      <c r="AX919" s="95"/>
      <c r="AY919" s="93"/>
    </row>
    <row r="920" ht="15" spans="1:51">
      <c r="A920" s="91"/>
      <c r="B920" s="95"/>
      <c r="C920" s="180" t="s">
        <v>927</v>
      </c>
      <c r="D920" s="181" t="s">
        <v>25</v>
      </c>
      <c r="E920" s="130" t="s">
        <v>928</v>
      </c>
      <c r="F920" s="188" t="s">
        <v>949</v>
      </c>
      <c r="G920" s="189" t="s">
        <v>949</v>
      </c>
      <c r="H920" s="189" t="s">
        <v>949</v>
      </c>
      <c r="I920" s="189" t="s">
        <v>949</v>
      </c>
      <c r="J920" s="132">
        <v>0.9</v>
      </c>
      <c r="K920" s="133">
        <v>0.85</v>
      </c>
      <c r="L920" s="133">
        <v>0.823529411764706</v>
      </c>
      <c r="M920" s="134">
        <v>0.8125</v>
      </c>
      <c r="N920" s="133">
        <v>0.852601156069364</v>
      </c>
      <c r="O920" s="135">
        <v>0.9</v>
      </c>
      <c r="P920" s="133">
        <v>0.962199312714777</v>
      </c>
      <c r="Q920" s="133">
        <v>0.937282229965157</v>
      </c>
      <c r="R920" s="133">
        <v>0.925013989927252</v>
      </c>
      <c r="S920" s="133">
        <v>0.938135231316726</v>
      </c>
      <c r="T920" s="135">
        <v>0.9</v>
      </c>
      <c r="U920" s="133">
        <v>0.880584192439863</v>
      </c>
      <c r="V920" s="133">
        <v>0.854819976771196</v>
      </c>
      <c r="W920" s="133">
        <v>0.895914941242306</v>
      </c>
      <c r="X920" s="133">
        <v>0.838604982206406</v>
      </c>
      <c r="Y920" s="135">
        <v>0.92</v>
      </c>
      <c r="Z920" s="135" t="s">
        <v>35</v>
      </c>
      <c r="AA920" s="135" t="s">
        <v>35</v>
      </c>
      <c r="AB920" s="135" t="s">
        <v>35</v>
      </c>
      <c r="AC920" s="135" t="s">
        <v>35</v>
      </c>
      <c r="AD920" s="135">
        <v>0.92</v>
      </c>
      <c r="AE920" s="133">
        <v>0.985414767547858</v>
      </c>
      <c r="AF920" s="133">
        <v>0.978095238095238</v>
      </c>
      <c r="AG920" s="133">
        <v>0.993427230046948</v>
      </c>
      <c r="AH920" s="133">
        <v>0.981857590109978</v>
      </c>
      <c r="AI920" s="135">
        <v>0.92</v>
      </c>
      <c r="AJ920" s="133">
        <v>0.944158075601375</v>
      </c>
      <c r="AK920" s="133">
        <v>0.894308943089431</v>
      </c>
      <c r="AL920" s="133">
        <v>0.93788472299944</v>
      </c>
      <c r="AM920" s="133">
        <v>0.935804367011131</v>
      </c>
      <c r="AN920" s="132">
        <v>0.99</v>
      </c>
      <c r="AO920" s="137">
        <v>1</v>
      </c>
      <c r="AP920" s="137">
        <v>1</v>
      </c>
      <c r="AQ920" s="137">
        <v>1</v>
      </c>
      <c r="AR920" s="137">
        <v>1</v>
      </c>
      <c r="AS920" s="158">
        <v>0.0656418488929858</v>
      </c>
      <c r="AT920" s="141">
        <v>0.230769230769231</v>
      </c>
      <c r="AU920" s="141">
        <v>0</v>
      </c>
      <c r="AV920" s="141">
        <v>0.0588235294117647</v>
      </c>
      <c r="AW920" s="141">
        <v>0.0483091787439614</v>
      </c>
      <c r="AX920" s="95"/>
      <c r="AY920" s="93"/>
    </row>
    <row r="921" ht="15" spans="1:51">
      <c r="A921" s="91"/>
      <c r="B921" s="95"/>
      <c r="C921" s="180" t="s">
        <v>927</v>
      </c>
      <c r="D921" s="181" t="s">
        <v>25</v>
      </c>
      <c r="E921" s="130" t="s">
        <v>928</v>
      </c>
      <c r="F921" s="184" t="s">
        <v>950</v>
      </c>
      <c r="G921" s="185" t="s">
        <v>950</v>
      </c>
      <c r="H921" s="185" t="s">
        <v>950</v>
      </c>
      <c r="I921" s="185" t="s">
        <v>950</v>
      </c>
      <c r="J921" s="132">
        <v>0.9</v>
      </c>
      <c r="K921" s="133">
        <v>0.935483870967742</v>
      </c>
      <c r="L921" s="133">
        <v>0.925925925925926</v>
      </c>
      <c r="M921" s="134">
        <v>0.919354838709677</v>
      </c>
      <c r="N921" s="133">
        <v>0.906194690265487</v>
      </c>
      <c r="O921" s="135">
        <v>0.9</v>
      </c>
      <c r="P921" s="133">
        <v>0.955303933253874</v>
      </c>
      <c r="Q921" s="133">
        <v>0.932771381578947</v>
      </c>
      <c r="R921" s="133">
        <v>0.939631588546416</v>
      </c>
      <c r="S921" s="133">
        <v>0.905242466258315</v>
      </c>
      <c r="T921" s="135">
        <v>0.9</v>
      </c>
      <c r="U921" s="133">
        <v>0.888259833134684</v>
      </c>
      <c r="V921" s="133">
        <v>0.861430921052632</v>
      </c>
      <c r="W921" s="133">
        <v>0.892759438263724</v>
      </c>
      <c r="X921" s="133">
        <v>0.852317601839339</v>
      </c>
      <c r="Y921" s="135">
        <v>0.92</v>
      </c>
      <c r="Z921" s="135" t="s">
        <v>35</v>
      </c>
      <c r="AA921" s="135" t="s">
        <v>35</v>
      </c>
      <c r="AB921" s="135" t="s">
        <v>35</v>
      </c>
      <c r="AC921" s="135" t="s">
        <v>35</v>
      </c>
      <c r="AD921" s="135">
        <v>0.92</v>
      </c>
      <c r="AE921" s="133">
        <v>0.980599647266314</v>
      </c>
      <c r="AF921" s="133">
        <v>0.993235625704622</v>
      </c>
      <c r="AG921" s="133">
        <v>0.98961038961039</v>
      </c>
      <c r="AH921" s="133">
        <v>0.979088247595148</v>
      </c>
      <c r="AI921" s="135">
        <v>0.92</v>
      </c>
      <c r="AJ921" s="133">
        <v>0.941299165673421</v>
      </c>
      <c r="AK921" s="133">
        <v>0.917351973684211</v>
      </c>
      <c r="AL921" s="133">
        <v>0.929965347437534</v>
      </c>
      <c r="AM921" s="133">
        <v>0.935193716818042</v>
      </c>
      <c r="AN921" s="132">
        <v>0.99</v>
      </c>
      <c r="AO921" s="137">
        <v>1</v>
      </c>
      <c r="AP921" s="137">
        <v>1</v>
      </c>
      <c r="AQ921" s="137">
        <v>1</v>
      </c>
      <c r="AR921" s="137">
        <v>1</v>
      </c>
      <c r="AS921" s="158">
        <v>0.0656418488929858</v>
      </c>
      <c r="AT921" s="141">
        <v>0.108108108108108</v>
      </c>
      <c r="AU921" s="141">
        <v>0.0857142857142857</v>
      </c>
      <c r="AV921" s="141">
        <v>0.0638297872340425</v>
      </c>
      <c r="AW921" s="141">
        <v>0.0450070323488045</v>
      </c>
      <c r="AX921" s="95"/>
      <c r="AY921" s="93"/>
    </row>
    <row r="922" ht="15" spans="1:51">
      <c r="A922" s="91"/>
      <c r="B922" s="95"/>
      <c r="C922" s="180" t="s">
        <v>927</v>
      </c>
      <c r="D922" s="181" t="s">
        <v>25</v>
      </c>
      <c r="E922" s="130" t="s">
        <v>928</v>
      </c>
      <c r="F922" s="184" t="s">
        <v>951</v>
      </c>
      <c r="G922" s="185" t="s">
        <v>951</v>
      </c>
      <c r="H922" s="185" t="s">
        <v>951</v>
      </c>
      <c r="I922" s="185" t="s">
        <v>951</v>
      </c>
      <c r="J922" s="132">
        <v>0.9</v>
      </c>
      <c r="K922" s="133">
        <v>0.975609756097561</v>
      </c>
      <c r="L922" s="133">
        <v>1</v>
      </c>
      <c r="M922" s="134">
        <v>1</v>
      </c>
      <c r="N922" s="133">
        <v>0.996319018404908</v>
      </c>
      <c r="O922" s="135">
        <v>0.9</v>
      </c>
      <c r="P922" s="133">
        <v>0.968137254901961</v>
      </c>
      <c r="Q922" s="133">
        <v>0.984436985047299</v>
      </c>
      <c r="R922" s="133">
        <v>0.970530930345835</v>
      </c>
      <c r="S922" s="133">
        <v>0.979164422743211</v>
      </c>
      <c r="T922" s="135">
        <v>0.9</v>
      </c>
      <c r="U922" s="133">
        <v>0.925653594771242</v>
      </c>
      <c r="V922" s="133">
        <v>0.947512969179127</v>
      </c>
      <c r="W922" s="133">
        <v>0.929371651242085</v>
      </c>
      <c r="X922" s="133">
        <v>0.937648846922534</v>
      </c>
      <c r="Y922" s="135">
        <v>0.92</v>
      </c>
      <c r="Z922" s="135" t="s">
        <v>35</v>
      </c>
      <c r="AA922" s="135" t="s">
        <v>35</v>
      </c>
      <c r="AB922" s="135" t="s">
        <v>35</v>
      </c>
      <c r="AC922" s="135">
        <v>1</v>
      </c>
      <c r="AD922" s="135">
        <v>0.92</v>
      </c>
      <c r="AE922" s="133">
        <v>0.991071428571429</v>
      </c>
      <c r="AF922" s="133">
        <v>0.990322580645161</v>
      </c>
      <c r="AG922" s="133">
        <v>0.980997624703088</v>
      </c>
      <c r="AH922" s="133">
        <v>0.991115016598321</v>
      </c>
      <c r="AI922" s="135">
        <v>0.92</v>
      </c>
      <c r="AJ922" s="133">
        <v>0.960375816993464</v>
      </c>
      <c r="AK922" s="133">
        <v>0.987183399450717</v>
      </c>
      <c r="AL922" s="133">
        <v>0.972235752557233</v>
      </c>
      <c r="AM922" s="133">
        <v>0.976687689233015</v>
      </c>
      <c r="AN922" s="132">
        <v>0.99</v>
      </c>
      <c r="AO922" s="137">
        <v>1</v>
      </c>
      <c r="AP922" s="137">
        <v>1</v>
      </c>
      <c r="AQ922" s="137">
        <v>1</v>
      </c>
      <c r="AR922" s="137">
        <v>1</v>
      </c>
      <c r="AS922" s="158">
        <v>0.0656418488929858</v>
      </c>
      <c r="AT922" s="141">
        <v>0.105263157894737</v>
      </c>
      <c r="AU922" s="141">
        <v>0</v>
      </c>
      <c r="AV922" s="141">
        <v>0</v>
      </c>
      <c r="AW922" s="141">
        <v>0.0503597122302158</v>
      </c>
      <c r="AX922" s="95"/>
      <c r="AY922" s="93"/>
    </row>
    <row r="923" ht="15" spans="1:51">
      <c r="A923" s="91"/>
      <c r="B923" s="95"/>
      <c r="C923" s="180" t="s">
        <v>927</v>
      </c>
      <c r="D923" s="181" t="s">
        <v>25</v>
      </c>
      <c r="E923" s="130" t="s">
        <v>928</v>
      </c>
      <c r="F923" s="184" t="s">
        <v>952</v>
      </c>
      <c r="G923" s="185" t="s">
        <v>952</v>
      </c>
      <c r="H923" s="185" t="s">
        <v>952</v>
      </c>
      <c r="I923" s="185" t="s">
        <v>952</v>
      </c>
      <c r="J923" s="132">
        <v>0.9</v>
      </c>
      <c r="K923" s="133">
        <v>0.972972972972973</v>
      </c>
      <c r="L923" s="133">
        <v>0.914285714285714</v>
      </c>
      <c r="M923" s="134">
        <v>0.885714285714286</v>
      </c>
      <c r="N923" s="133">
        <v>0.95059880239521</v>
      </c>
      <c r="O923" s="135">
        <v>0.9</v>
      </c>
      <c r="P923" s="133">
        <v>0.925025329280648</v>
      </c>
      <c r="Q923" s="133">
        <v>0.937226277372263</v>
      </c>
      <c r="R923" s="133">
        <v>0.939500734214391</v>
      </c>
      <c r="S923" s="133">
        <v>0.949291676238609</v>
      </c>
      <c r="T923" s="135">
        <v>0.9</v>
      </c>
      <c r="U923" s="133">
        <v>0.93515704154002</v>
      </c>
      <c r="V923" s="133">
        <v>0.942335766423358</v>
      </c>
      <c r="W923" s="133">
        <v>0.923054331864905</v>
      </c>
      <c r="X923" s="133">
        <v>0.914082242131863</v>
      </c>
      <c r="Y923" s="135">
        <v>0.92</v>
      </c>
      <c r="Z923" s="135">
        <v>0</v>
      </c>
      <c r="AA923" s="135" t="s">
        <v>35</v>
      </c>
      <c r="AB923" s="135" t="s">
        <v>35</v>
      </c>
      <c r="AC923" s="135">
        <v>0</v>
      </c>
      <c r="AD923" s="135">
        <v>0.92</v>
      </c>
      <c r="AE923" s="133">
        <v>0.997800747745766</v>
      </c>
      <c r="AF923" s="133">
        <v>0.957478890229192</v>
      </c>
      <c r="AG923" s="133">
        <v>0.995332555425904</v>
      </c>
      <c r="AH923" s="133">
        <v>0.975823029941904</v>
      </c>
      <c r="AI923" s="135">
        <v>0.92</v>
      </c>
      <c r="AJ923" s="133">
        <v>0.951637279596977</v>
      </c>
      <c r="AK923" s="133">
        <v>0.957664233576642</v>
      </c>
      <c r="AL923" s="133">
        <v>0.960058737151248</v>
      </c>
      <c r="AM923" s="133">
        <v>0.958934313275149</v>
      </c>
      <c r="AN923" s="132">
        <v>0.99</v>
      </c>
      <c r="AO923" s="137">
        <v>1</v>
      </c>
      <c r="AP923" s="137">
        <v>1</v>
      </c>
      <c r="AQ923" s="137">
        <v>1</v>
      </c>
      <c r="AR923" s="137">
        <v>1</v>
      </c>
      <c r="AS923" s="158">
        <v>0.0656418488929858</v>
      </c>
      <c r="AT923" s="141">
        <v>0.133333333333333</v>
      </c>
      <c r="AU923" s="141">
        <v>0</v>
      </c>
      <c r="AV923" s="141">
        <v>0</v>
      </c>
      <c r="AW923" s="141">
        <v>0.0474137931034483</v>
      </c>
      <c r="AX923" s="95"/>
      <c r="AY923" s="93"/>
    </row>
    <row r="924" ht="15" spans="1:51">
      <c r="A924" s="91"/>
      <c r="B924" s="95"/>
      <c r="C924" s="180" t="s">
        <v>927</v>
      </c>
      <c r="D924" s="181" t="s">
        <v>25</v>
      </c>
      <c r="E924" s="130" t="s">
        <v>928</v>
      </c>
      <c r="F924" s="188" t="s">
        <v>953</v>
      </c>
      <c r="G924" s="189" t="s">
        <v>953</v>
      </c>
      <c r="H924" s="189" t="s">
        <v>953</v>
      </c>
      <c r="I924" s="189" t="s">
        <v>953</v>
      </c>
      <c r="J924" s="132">
        <v>0.9</v>
      </c>
      <c r="K924" s="133">
        <v>0.931818181818182</v>
      </c>
      <c r="L924" s="133">
        <v>1</v>
      </c>
      <c r="M924" s="134">
        <v>0.977272727272727</v>
      </c>
      <c r="N924" s="133">
        <v>0.939320388349515</v>
      </c>
      <c r="O924" s="135">
        <v>0.9</v>
      </c>
      <c r="P924" s="133">
        <v>0.936905358037056</v>
      </c>
      <c r="Q924" s="133">
        <v>0.938947368421053</v>
      </c>
      <c r="R924" s="133">
        <v>0.917702782711664</v>
      </c>
      <c r="S924" s="133">
        <v>0.944041361974406</v>
      </c>
      <c r="T924" s="135">
        <v>0.9</v>
      </c>
      <c r="U924" s="133">
        <v>0.918377566349524</v>
      </c>
      <c r="V924" s="133">
        <v>0.92140350877193</v>
      </c>
      <c r="W924" s="133">
        <v>0.918590882178804</v>
      </c>
      <c r="X924" s="133">
        <v>0.913405507312614</v>
      </c>
      <c r="Y924" s="135">
        <v>0.92</v>
      </c>
      <c r="Z924" s="135" t="s">
        <v>35</v>
      </c>
      <c r="AA924" s="135" t="s">
        <v>35</v>
      </c>
      <c r="AB924" s="135">
        <v>0</v>
      </c>
      <c r="AC924" s="135">
        <v>0</v>
      </c>
      <c r="AD924" s="135">
        <v>0.92</v>
      </c>
      <c r="AE924" s="133">
        <v>0.999074930619796</v>
      </c>
      <c r="AF924" s="133">
        <v>0.986827033218786</v>
      </c>
      <c r="AG924" s="133">
        <v>0.208333333333333</v>
      </c>
      <c r="AH924" s="133">
        <v>0.909969750834191</v>
      </c>
      <c r="AI924" s="135">
        <v>0.92</v>
      </c>
      <c r="AJ924" s="133">
        <v>0.949924887330996</v>
      </c>
      <c r="AK924" s="133">
        <v>0.954736842105263</v>
      </c>
      <c r="AL924" s="133">
        <v>0.953832494820953</v>
      </c>
      <c r="AM924" s="133">
        <v>0.968408123625353</v>
      </c>
      <c r="AN924" s="132">
        <v>0.99</v>
      </c>
      <c r="AO924" s="137">
        <v>1</v>
      </c>
      <c r="AP924" s="137">
        <v>1</v>
      </c>
      <c r="AQ924" s="137">
        <v>1</v>
      </c>
      <c r="AR924" s="137">
        <v>1</v>
      </c>
      <c r="AS924" s="158">
        <v>0.0656418488929858</v>
      </c>
      <c r="AT924" s="141">
        <v>0.0909090909090909</v>
      </c>
      <c r="AU924" s="141">
        <v>0.0588235294117647</v>
      </c>
      <c r="AV924" s="141">
        <v>0.1</v>
      </c>
      <c r="AW924" s="141">
        <v>0.041871921182266</v>
      </c>
      <c r="AX924" s="95"/>
      <c r="AY924" s="93"/>
    </row>
    <row r="925" ht="15" spans="1:51">
      <c r="A925" s="91"/>
      <c r="B925" s="95"/>
      <c r="C925" s="180" t="s">
        <v>927</v>
      </c>
      <c r="D925" s="181" t="s">
        <v>25</v>
      </c>
      <c r="E925" s="130" t="s">
        <v>928</v>
      </c>
      <c r="F925" s="184" t="s">
        <v>954</v>
      </c>
      <c r="G925" s="185" t="s">
        <v>954</v>
      </c>
      <c r="H925" s="185" t="s">
        <v>954</v>
      </c>
      <c r="I925" s="185" t="s">
        <v>954</v>
      </c>
      <c r="J925" s="132">
        <v>0.9</v>
      </c>
      <c r="K925" s="133">
        <v>0.970149253731343</v>
      </c>
      <c r="L925" s="133">
        <v>0.969230769230769</v>
      </c>
      <c r="M925" s="134">
        <v>1</v>
      </c>
      <c r="N925" s="133">
        <v>0.980694980694981</v>
      </c>
      <c r="O925" s="135">
        <v>0.9</v>
      </c>
      <c r="P925" s="133">
        <v>0.981456597688793</v>
      </c>
      <c r="Q925" s="133">
        <v>0.979616548940464</v>
      </c>
      <c r="R925" s="133">
        <v>0.977859778597786</v>
      </c>
      <c r="S925" s="133">
        <v>0.981422764564172</v>
      </c>
      <c r="T925" s="135">
        <v>0.9</v>
      </c>
      <c r="U925" s="133">
        <v>0.9470572426767</v>
      </c>
      <c r="V925" s="133">
        <v>0.961453077699294</v>
      </c>
      <c r="W925" s="133">
        <v>0.955048641395505</v>
      </c>
      <c r="X925" s="133">
        <v>0.953399617527506</v>
      </c>
      <c r="Y925" s="135">
        <v>0.92</v>
      </c>
      <c r="Z925" s="135" t="s">
        <v>35</v>
      </c>
      <c r="AA925" s="135" t="s">
        <v>35</v>
      </c>
      <c r="AB925" s="135" t="s">
        <v>35</v>
      </c>
      <c r="AC925" s="135">
        <v>1</v>
      </c>
      <c r="AD925" s="135">
        <v>0.92</v>
      </c>
      <c r="AE925" s="133">
        <v>0.986369467607441</v>
      </c>
      <c r="AF925" s="133">
        <v>0.987721691678035</v>
      </c>
      <c r="AG925" s="133">
        <v>0.987841124020535</v>
      </c>
      <c r="AH925" s="133">
        <v>0.983712594970972</v>
      </c>
      <c r="AI925" s="135">
        <v>0.92</v>
      </c>
      <c r="AJ925" s="133">
        <v>0.975819451907577</v>
      </c>
      <c r="AK925" s="133">
        <v>0.98547215496368</v>
      </c>
      <c r="AL925" s="133">
        <v>0.983730291848373</v>
      </c>
      <c r="AM925" s="133">
        <v>0.986408072379912</v>
      </c>
      <c r="AN925" s="132">
        <v>0.99</v>
      </c>
      <c r="AO925" s="137">
        <v>1</v>
      </c>
      <c r="AP925" s="137">
        <v>1</v>
      </c>
      <c r="AQ925" s="137">
        <v>1</v>
      </c>
      <c r="AR925" s="137">
        <v>1</v>
      </c>
      <c r="AS925" s="158">
        <v>0.0656418488929858</v>
      </c>
      <c r="AT925" s="141">
        <v>0.0384615384615385</v>
      </c>
      <c r="AU925" s="141">
        <v>0.0714285714285714</v>
      </c>
      <c r="AV925" s="141">
        <v>0</v>
      </c>
      <c r="AW925" s="141">
        <v>0.0377733598409543</v>
      </c>
      <c r="AX925" s="95"/>
      <c r="AY925" s="93"/>
    </row>
    <row r="926" ht="15" spans="1:51">
      <c r="A926" s="91"/>
      <c r="B926" s="95"/>
      <c r="C926" s="180" t="s">
        <v>927</v>
      </c>
      <c r="D926" s="181" t="s">
        <v>25</v>
      </c>
      <c r="E926" s="130" t="s">
        <v>928</v>
      </c>
      <c r="F926" s="184" t="s">
        <v>955</v>
      </c>
      <c r="G926" s="185" t="s">
        <v>955</v>
      </c>
      <c r="H926" s="185" t="s">
        <v>955</v>
      </c>
      <c r="I926" s="185" t="s">
        <v>955</v>
      </c>
      <c r="J926" s="132">
        <v>0.9</v>
      </c>
      <c r="K926" s="133">
        <v>0.980769230769231</v>
      </c>
      <c r="L926" s="133">
        <v>0.979591836734694</v>
      </c>
      <c r="M926" s="134">
        <v>0.980769230769231</v>
      </c>
      <c r="N926" s="133">
        <v>0.978791092258749</v>
      </c>
      <c r="O926" s="135">
        <v>0.9</v>
      </c>
      <c r="P926" s="133">
        <v>0.978392119478869</v>
      </c>
      <c r="Q926" s="133">
        <v>0.944945848375451</v>
      </c>
      <c r="R926" s="133">
        <v>0.959917780061665</v>
      </c>
      <c r="S926" s="133">
        <v>0.963247371449495</v>
      </c>
      <c r="T926" s="135">
        <v>0.9</v>
      </c>
      <c r="U926" s="133">
        <v>0.938036224976168</v>
      </c>
      <c r="V926" s="133">
        <v>0.946976534296029</v>
      </c>
      <c r="W926" s="133">
        <v>0.943884892086331</v>
      </c>
      <c r="X926" s="133">
        <v>0.926735366427787</v>
      </c>
      <c r="Y926" s="135">
        <v>0.92</v>
      </c>
      <c r="Z926" s="135">
        <v>1</v>
      </c>
      <c r="AA926" s="135" t="s">
        <v>35</v>
      </c>
      <c r="AB926" s="135" t="s">
        <v>35</v>
      </c>
      <c r="AC926" s="135">
        <v>1</v>
      </c>
      <c r="AD926" s="135">
        <v>0.92</v>
      </c>
      <c r="AE926" s="133">
        <v>0.729069509216078</v>
      </c>
      <c r="AF926" s="133">
        <v>0.119064227075173</v>
      </c>
      <c r="AG926" s="133">
        <v>0.541327735502493</v>
      </c>
      <c r="AH926" s="133">
        <v>0.58209707890201</v>
      </c>
      <c r="AI926" s="135">
        <v>0.92</v>
      </c>
      <c r="AJ926" s="133">
        <v>0.974968314321927</v>
      </c>
      <c r="AK926" s="133">
        <v>0.976775648252537</v>
      </c>
      <c r="AL926" s="133">
        <v>0.981298808055898</v>
      </c>
      <c r="AM926" s="133">
        <v>0.977413654282518</v>
      </c>
      <c r="AN926" s="132">
        <v>0.99</v>
      </c>
      <c r="AO926" s="137">
        <v>1</v>
      </c>
      <c r="AP926" s="137">
        <v>1</v>
      </c>
      <c r="AQ926" s="137">
        <v>1</v>
      </c>
      <c r="AR926" s="137">
        <v>1</v>
      </c>
      <c r="AS926" s="158">
        <v>0.0656418488929858</v>
      </c>
      <c r="AT926" s="141">
        <v>0</v>
      </c>
      <c r="AU926" s="141">
        <v>0.0555555555555556</v>
      </c>
      <c r="AV926" s="141">
        <v>0.0714285714285714</v>
      </c>
      <c r="AW926" s="141">
        <v>0.0422832980972516</v>
      </c>
      <c r="AX926" s="95"/>
      <c r="AY926" s="93"/>
    </row>
    <row r="927" ht="15" spans="1:51">
      <c r="A927" s="91"/>
      <c r="B927" s="95"/>
      <c r="C927" s="180" t="s">
        <v>927</v>
      </c>
      <c r="D927" s="181" t="s">
        <v>25</v>
      </c>
      <c r="E927" s="130" t="s">
        <v>928</v>
      </c>
      <c r="F927" s="184" t="s">
        <v>956</v>
      </c>
      <c r="G927" s="185" t="s">
        <v>956</v>
      </c>
      <c r="H927" s="185" t="s">
        <v>956</v>
      </c>
      <c r="I927" s="185" t="s">
        <v>956</v>
      </c>
      <c r="J927" s="132">
        <v>0.9</v>
      </c>
      <c r="K927" s="133">
        <v>0.979166666666667</v>
      </c>
      <c r="L927" s="133">
        <v>0.978723404255319</v>
      </c>
      <c r="M927" s="134">
        <v>1</v>
      </c>
      <c r="N927" s="133">
        <v>0.992545260915868</v>
      </c>
      <c r="O927" s="135">
        <v>0.9</v>
      </c>
      <c r="P927" s="133">
        <v>0.987096774193548</v>
      </c>
      <c r="Q927" s="133">
        <v>0.991457858769932</v>
      </c>
      <c r="R927" s="133">
        <v>0.987425860023725</v>
      </c>
      <c r="S927" s="133">
        <v>0.986615956686571</v>
      </c>
      <c r="T927" s="135">
        <v>0.9</v>
      </c>
      <c r="U927" s="133">
        <v>0.951043643263757</v>
      </c>
      <c r="V927" s="133">
        <v>0.963268792710706</v>
      </c>
      <c r="W927" s="133">
        <v>0.964650059311981</v>
      </c>
      <c r="X927" s="133">
        <v>0.955487457758506</v>
      </c>
      <c r="Y927" s="135">
        <v>0.92</v>
      </c>
      <c r="Z927" s="135" t="s">
        <v>35</v>
      </c>
      <c r="AA927" s="135" t="s">
        <v>35</v>
      </c>
      <c r="AB927" s="135" t="s">
        <v>35</v>
      </c>
      <c r="AC927" s="135">
        <v>0.888888888888889</v>
      </c>
      <c r="AD927" s="135">
        <v>0.92</v>
      </c>
      <c r="AE927" s="133">
        <v>0.993674367436744</v>
      </c>
      <c r="AF927" s="133">
        <v>0.984375</v>
      </c>
      <c r="AG927" s="133">
        <v>0.98448275862069</v>
      </c>
      <c r="AH927" s="133">
        <v>0.989311104435767</v>
      </c>
      <c r="AI927" s="135">
        <v>0.92</v>
      </c>
      <c r="AJ927" s="133">
        <v>0.982169954476479</v>
      </c>
      <c r="AK927" s="133">
        <v>0.986621121548534</v>
      </c>
      <c r="AL927" s="133">
        <v>0.988137603795967</v>
      </c>
      <c r="AM927" s="133">
        <v>0.988155934748647</v>
      </c>
      <c r="AN927" s="132">
        <v>0.99</v>
      </c>
      <c r="AO927" s="137">
        <v>1</v>
      </c>
      <c r="AP927" s="137">
        <v>1</v>
      </c>
      <c r="AQ927" s="137">
        <v>1</v>
      </c>
      <c r="AR927" s="137">
        <v>1</v>
      </c>
      <c r="AS927" s="158">
        <v>0.0656418488929858</v>
      </c>
      <c r="AT927" s="141">
        <v>0.0625</v>
      </c>
      <c r="AU927" s="141">
        <v>0</v>
      </c>
      <c r="AV927" s="141">
        <v>0</v>
      </c>
      <c r="AW927" s="141">
        <v>0.0349854227405248</v>
      </c>
      <c r="AX927" s="95"/>
      <c r="AY927" s="93"/>
    </row>
    <row r="928" ht="15" spans="1:51">
      <c r="A928" s="91"/>
      <c r="B928" s="95"/>
      <c r="C928" s="180" t="s">
        <v>927</v>
      </c>
      <c r="D928" s="181" t="s">
        <v>25</v>
      </c>
      <c r="E928" s="130" t="s">
        <v>928</v>
      </c>
      <c r="F928" s="184" t="s">
        <v>957</v>
      </c>
      <c r="G928" s="185" t="s">
        <v>957</v>
      </c>
      <c r="H928" s="185" t="s">
        <v>957</v>
      </c>
      <c r="I928" s="185" t="s">
        <v>957</v>
      </c>
      <c r="J928" s="132">
        <v>0.9</v>
      </c>
      <c r="K928" s="133">
        <v>0.977272727272727</v>
      </c>
      <c r="L928" s="133">
        <v>0.956521739130435</v>
      </c>
      <c r="M928" s="134">
        <v>1</v>
      </c>
      <c r="N928" s="133">
        <v>0.985057471264368</v>
      </c>
      <c r="O928" s="135">
        <v>0.9</v>
      </c>
      <c r="P928" s="133">
        <v>0.960538532961931</v>
      </c>
      <c r="Q928" s="133">
        <v>0.925373134328358</v>
      </c>
      <c r="R928" s="133">
        <v>0.936188315371526</v>
      </c>
      <c r="S928" s="133">
        <v>0.939464651535091</v>
      </c>
      <c r="T928" s="135">
        <v>0.9</v>
      </c>
      <c r="U928" s="133">
        <v>0.937790157845868</v>
      </c>
      <c r="V928" s="133">
        <v>0.924694708276798</v>
      </c>
      <c r="W928" s="133">
        <v>0.897901304594441</v>
      </c>
      <c r="X928" s="133">
        <v>0.923659254636476</v>
      </c>
      <c r="Y928" s="135">
        <v>0.92</v>
      </c>
      <c r="Z928" s="135" t="s">
        <v>35</v>
      </c>
      <c r="AA928" s="135" t="s">
        <v>35</v>
      </c>
      <c r="AB928" s="135" t="s">
        <v>35</v>
      </c>
      <c r="AC928" s="135" t="s">
        <v>35</v>
      </c>
      <c r="AD928" s="135">
        <v>0.92</v>
      </c>
      <c r="AE928" s="133">
        <v>0.992584745762712</v>
      </c>
      <c r="AF928" s="133">
        <v>0.988077496274218</v>
      </c>
      <c r="AG928" s="133">
        <v>0.946969696969697</v>
      </c>
      <c r="AH928" s="133">
        <v>0.981596716536476</v>
      </c>
      <c r="AI928" s="135">
        <v>0.92</v>
      </c>
      <c r="AJ928" s="133">
        <v>0.961484918793504</v>
      </c>
      <c r="AK928" s="133">
        <v>0.949796472184532</v>
      </c>
      <c r="AL928" s="133">
        <v>0.930252339098384</v>
      </c>
      <c r="AM928" s="133">
        <v>0.957295566769765</v>
      </c>
      <c r="AN928" s="132">
        <v>0.99</v>
      </c>
      <c r="AO928" s="137">
        <v>1</v>
      </c>
      <c r="AP928" s="137">
        <v>1</v>
      </c>
      <c r="AQ928" s="137">
        <v>1</v>
      </c>
      <c r="AR928" s="137">
        <v>1</v>
      </c>
      <c r="AS928" s="158">
        <v>0.0656418488929858</v>
      </c>
      <c r="AT928" s="141">
        <v>0.111111111111111</v>
      </c>
      <c r="AU928" s="141">
        <v>0</v>
      </c>
      <c r="AV928" s="141">
        <v>0</v>
      </c>
      <c r="AW928" s="141">
        <v>0.0588235294117647</v>
      </c>
      <c r="AX928" s="95"/>
      <c r="AY928" s="93"/>
    </row>
    <row r="929" ht="15" spans="1:51">
      <c r="A929" s="91"/>
      <c r="B929" s="95"/>
      <c r="C929" s="180" t="s">
        <v>927</v>
      </c>
      <c r="D929" s="181" t="s">
        <v>25</v>
      </c>
      <c r="E929" s="130" t="s">
        <v>928</v>
      </c>
      <c r="F929" s="184" t="s">
        <v>958</v>
      </c>
      <c r="G929" s="185" t="s">
        <v>958</v>
      </c>
      <c r="H929" s="185" t="s">
        <v>958</v>
      </c>
      <c r="I929" s="185" t="s">
        <v>958</v>
      </c>
      <c r="J929" s="132">
        <v>0.9</v>
      </c>
      <c r="K929" s="133">
        <v>0.951219512195122</v>
      </c>
      <c r="L929" s="133">
        <v>0.95</v>
      </c>
      <c r="M929" s="134">
        <v>0.853658536585366</v>
      </c>
      <c r="N929" s="133">
        <v>0.942708333333333</v>
      </c>
      <c r="O929" s="135">
        <v>0.9</v>
      </c>
      <c r="P929" s="133">
        <v>0.960859188544153</v>
      </c>
      <c r="Q929" s="133">
        <v>0.972176759410802</v>
      </c>
      <c r="R929" s="133">
        <v>0.925895765472313</v>
      </c>
      <c r="S929" s="133">
        <v>0.954349141725352</v>
      </c>
      <c r="T929" s="135">
        <v>0.9</v>
      </c>
      <c r="U929" s="133">
        <v>0.939379474940334</v>
      </c>
      <c r="V929" s="133">
        <v>0.922422258592471</v>
      </c>
      <c r="W929" s="133">
        <v>0.864006514657981</v>
      </c>
      <c r="X929" s="133">
        <v>0.917734925176056</v>
      </c>
      <c r="Y929" s="135">
        <v>0.92</v>
      </c>
      <c r="Z929" s="135">
        <v>0</v>
      </c>
      <c r="AA929" s="135" t="s">
        <v>35</v>
      </c>
      <c r="AB929" s="135" t="s">
        <v>35</v>
      </c>
      <c r="AC929" s="135">
        <v>0.625</v>
      </c>
      <c r="AD929" s="135">
        <v>0.92</v>
      </c>
      <c r="AE929" s="133">
        <v>0.995307706190218</v>
      </c>
      <c r="AF929" s="133">
        <v>0.871260621580724</v>
      </c>
      <c r="AG929" s="133">
        <v>0.994553376906318</v>
      </c>
      <c r="AH929" s="133">
        <v>0.94499049337759</v>
      </c>
      <c r="AI929" s="135">
        <v>0.92</v>
      </c>
      <c r="AJ929" s="133">
        <v>0.966158245948522</v>
      </c>
      <c r="AK929" s="133">
        <v>0.964320785597381</v>
      </c>
      <c r="AL929" s="133">
        <v>0.926438653637351</v>
      </c>
      <c r="AM929" s="133">
        <v>0.970504922721522</v>
      </c>
      <c r="AN929" s="132">
        <v>0.99</v>
      </c>
      <c r="AO929" s="137">
        <v>1</v>
      </c>
      <c r="AP929" s="137">
        <v>1</v>
      </c>
      <c r="AQ929" s="137">
        <v>1</v>
      </c>
      <c r="AR929" s="137">
        <v>1</v>
      </c>
      <c r="AS929" s="158">
        <v>0.0656418488929858</v>
      </c>
      <c r="AT929" s="141">
        <v>0</v>
      </c>
      <c r="AU929" s="141">
        <v>0.117647058823529</v>
      </c>
      <c r="AV929" s="141">
        <v>0</v>
      </c>
      <c r="AW929" s="141">
        <v>0.0442890442890443</v>
      </c>
      <c r="AX929" s="95"/>
      <c r="AY929" s="93"/>
    </row>
    <row r="930" ht="15" spans="1:51">
      <c r="A930" s="91"/>
      <c r="B930" s="95"/>
      <c r="C930" s="180" t="s">
        <v>927</v>
      </c>
      <c r="D930" s="181" t="s">
        <v>25</v>
      </c>
      <c r="E930" s="130" t="s">
        <v>928</v>
      </c>
      <c r="F930" s="184" t="s">
        <v>959</v>
      </c>
      <c r="G930" s="185" t="s">
        <v>959</v>
      </c>
      <c r="H930" s="185" t="s">
        <v>959</v>
      </c>
      <c r="I930" s="185" t="s">
        <v>959</v>
      </c>
      <c r="J930" s="132">
        <v>0.9</v>
      </c>
      <c r="K930" s="133">
        <v>1</v>
      </c>
      <c r="L930" s="133">
        <v>0.95</v>
      </c>
      <c r="M930" s="134">
        <v>0.956521739130435</v>
      </c>
      <c r="N930" s="133">
        <v>0.986425339366516</v>
      </c>
      <c r="O930" s="135">
        <v>0.9</v>
      </c>
      <c r="P930" s="133">
        <v>0.975948196114709</v>
      </c>
      <c r="Q930" s="133">
        <v>0.930807248764415</v>
      </c>
      <c r="R930" s="133">
        <v>0.959096459096459</v>
      </c>
      <c r="S930" s="133">
        <v>0.968169604629876</v>
      </c>
      <c r="T930" s="135">
        <v>0.9</v>
      </c>
      <c r="U930" s="133">
        <v>0.913968547641073</v>
      </c>
      <c r="V930" s="133">
        <v>0.862438220757825</v>
      </c>
      <c r="W930" s="133">
        <v>0.914529914529915</v>
      </c>
      <c r="X930" s="133">
        <v>0.923229102075767</v>
      </c>
      <c r="Y930" s="135">
        <v>0.92</v>
      </c>
      <c r="Z930" s="135">
        <v>0.942942942942943</v>
      </c>
      <c r="AA930" s="135">
        <v>0.69377990430622</v>
      </c>
      <c r="AB930" s="135">
        <v>0.889655172413793</v>
      </c>
      <c r="AC930" s="135">
        <v>0.915688796013503</v>
      </c>
      <c r="AD930" s="135">
        <v>0.92</v>
      </c>
      <c r="AE930" s="133">
        <v>0.997026759167493</v>
      </c>
      <c r="AF930" s="133">
        <v>0.990027198549411</v>
      </c>
      <c r="AG930" s="133">
        <v>0.996694214876033</v>
      </c>
      <c r="AH930" s="133">
        <v>0.993642143505904</v>
      </c>
      <c r="AI930" s="135">
        <v>0.92</v>
      </c>
      <c r="AJ930" s="133">
        <v>0.948373408769448</v>
      </c>
      <c r="AK930" s="133">
        <v>0.896697118763176</v>
      </c>
      <c r="AL930" s="133">
        <v>0.939906898011003</v>
      </c>
      <c r="AM930" s="133">
        <v>0.952972167641915</v>
      </c>
      <c r="AN930" s="132">
        <v>0.99</v>
      </c>
      <c r="AO930" s="137">
        <v>1</v>
      </c>
      <c r="AP930" s="137">
        <v>1</v>
      </c>
      <c r="AQ930" s="137">
        <v>1</v>
      </c>
      <c r="AR930" s="137">
        <v>1</v>
      </c>
      <c r="AS930" s="158">
        <v>0.0656418488929858</v>
      </c>
      <c r="AT930" s="141">
        <v>0.142857142857143</v>
      </c>
      <c r="AU930" s="141">
        <v>0.1</v>
      </c>
      <c r="AV930" s="141">
        <v>0</v>
      </c>
      <c r="AW930" s="141">
        <v>0.06</v>
      </c>
      <c r="AX930" s="95"/>
      <c r="AY930" s="93"/>
    </row>
    <row r="931" ht="15" spans="1:51">
      <c r="A931" s="91"/>
      <c r="B931" s="95"/>
      <c r="C931" s="180" t="s">
        <v>927</v>
      </c>
      <c r="D931" s="181" t="s">
        <v>25</v>
      </c>
      <c r="E931" s="130" t="s">
        <v>928</v>
      </c>
      <c r="F931" s="184" t="s">
        <v>960</v>
      </c>
      <c r="G931" s="185" t="s">
        <v>960</v>
      </c>
      <c r="H931" s="185" t="s">
        <v>960</v>
      </c>
      <c r="I931" s="185" t="s">
        <v>960</v>
      </c>
      <c r="J931" s="132">
        <v>0.9</v>
      </c>
      <c r="K931" s="133">
        <v>1</v>
      </c>
      <c r="L931" s="133">
        <v>0.970588235294118</v>
      </c>
      <c r="M931" s="134">
        <v>0.944444444444444</v>
      </c>
      <c r="N931" s="133">
        <v>0.957924263674614</v>
      </c>
      <c r="O931" s="135">
        <v>0.9</v>
      </c>
      <c r="P931" s="133">
        <v>0.980114722753346</v>
      </c>
      <c r="Q931" s="133">
        <v>0.925834701696771</v>
      </c>
      <c r="R931" s="133">
        <v>0.919503219871205</v>
      </c>
      <c r="S931" s="133">
        <v>0.959233496497491</v>
      </c>
      <c r="T931" s="135">
        <v>0.9</v>
      </c>
      <c r="U931" s="133">
        <v>0.926959847036329</v>
      </c>
      <c r="V931" s="133">
        <v>0.911330049261084</v>
      </c>
      <c r="W931" s="133">
        <v>0.914213431462741</v>
      </c>
      <c r="X931" s="133">
        <v>0.912308466134236</v>
      </c>
      <c r="Y931" s="135">
        <v>0.92</v>
      </c>
      <c r="Z931" s="135">
        <v>0.5</v>
      </c>
      <c r="AA931" s="135">
        <v>1</v>
      </c>
      <c r="AB931" s="135" t="s">
        <v>35</v>
      </c>
      <c r="AC931" s="135">
        <v>0.8</v>
      </c>
      <c r="AD931" s="135">
        <v>0.92</v>
      </c>
      <c r="AE931" s="133">
        <v>0.995875816244702</v>
      </c>
      <c r="AF931" s="133">
        <v>0.988058499932913</v>
      </c>
      <c r="AG931" s="133">
        <v>0.990092879256966</v>
      </c>
      <c r="AH931" s="133">
        <v>0.994529068579601</v>
      </c>
      <c r="AI931" s="135">
        <v>0.92</v>
      </c>
      <c r="AJ931" s="133">
        <v>0.950324799388613</v>
      </c>
      <c r="AK931" s="133">
        <v>0.951025991792066</v>
      </c>
      <c r="AL931" s="133">
        <v>0.959521619135235</v>
      </c>
      <c r="AM931" s="133">
        <v>0.965444486696679</v>
      </c>
      <c r="AN931" s="132">
        <v>0.99</v>
      </c>
      <c r="AO931" s="137">
        <v>1</v>
      </c>
      <c r="AP931" s="137">
        <v>1</v>
      </c>
      <c r="AQ931" s="137">
        <v>1</v>
      </c>
      <c r="AR931" s="137">
        <v>1</v>
      </c>
      <c r="AS931" s="158">
        <v>0.0656418488929858</v>
      </c>
      <c r="AT931" s="141">
        <v>0</v>
      </c>
      <c r="AU931" s="141">
        <v>0</v>
      </c>
      <c r="AV931" s="141">
        <v>0</v>
      </c>
      <c r="AW931" s="141">
        <v>0.0445344129554656</v>
      </c>
      <c r="AX931" s="95"/>
      <c r="AY931" s="93"/>
    </row>
    <row r="932" ht="15" spans="1:51">
      <c r="A932" s="91"/>
      <c r="B932" s="95"/>
      <c r="C932" s="180" t="s">
        <v>927</v>
      </c>
      <c r="D932" s="181" t="s">
        <v>25</v>
      </c>
      <c r="E932" s="130" t="s">
        <v>928</v>
      </c>
      <c r="F932" s="188" t="s">
        <v>961</v>
      </c>
      <c r="G932" s="189" t="s">
        <v>961</v>
      </c>
      <c r="H932" s="189" t="s">
        <v>961</v>
      </c>
      <c r="I932" s="189" t="s">
        <v>961</v>
      </c>
      <c r="J932" s="132">
        <v>0.9</v>
      </c>
      <c r="K932" s="133">
        <v>1</v>
      </c>
      <c r="L932" s="133">
        <v>1</v>
      </c>
      <c r="M932" s="134">
        <v>1</v>
      </c>
      <c r="N932" s="133">
        <v>0.997885835095137</v>
      </c>
      <c r="O932" s="135">
        <v>0.9</v>
      </c>
      <c r="P932" s="133">
        <v>0.99294670846395</v>
      </c>
      <c r="Q932" s="133">
        <v>0.9985559566787</v>
      </c>
      <c r="R932" s="133">
        <v>0.992004264392324</v>
      </c>
      <c r="S932" s="133">
        <v>0.985669409901607</v>
      </c>
      <c r="T932" s="135">
        <v>0.9</v>
      </c>
      <c r="U932" s="133">
        <v>0.953761755485893</v>
      </c>
      <c r="V932" s="133">
        <v>0.966064981949458</v>
      </c>
      <c r="W932" s="133">
        <v>0.948827292110874</v>
      </c>
      <c r="X932" s="133">
        <v>0.94566317921026</v>
      </c>
      <c r="Y932" s="135">
        <v>0.92</v>
      </c>
      <c r="Z932" s="135">
        <v>0.920353982300885</v>
      </c>
      <c r="AA932" s="135">
        <v>0.903669724770642</v>
      </c>
      <c r="AB932" s="135">
        <v>0.963503649635037</v>
      </c>
      <c r="AC932" s="135">
        <v>0.942302383362474</v>
      </c>
      <c r="AD932" s="135">
        <v>0.92</v>
      </c>
      <c r="AE932" s="133">
        <v>0.995441795231417</v>
      </c>
      <c r="AF932" s="133">
        <v>0.99135446685879</v>
      </c>
      <c r="AG932" s="133">
        <v>0.98989898989899</v>
      </c>
      <c r="AH932" s="133">
        <v>0.992293017932087</v>
      </c>
      <c r="AI932" s="135">
        <v>0.92</v>
      </c>
      <c r="AJ932" s="133">
        <v>0.968421052631579</v>
      </c>
      <c r="AK932" s="133">
        <v>0.976932668329177</v>
      </c>
      <c r="AL932" s="133">
        <v>0.97930495900039</v>
      </c>
      <c r="AM932" s="133">
        <v>0.980136875354337</v>
      </c>
      <c r="AN932" s="132">
        <v>0.99</v>
      </c>
      <c r="AO932" s="137">
        <v>1</v>
      </c>
      <c r="AP932" s="137">
        <v>1</v>
      </c>
      <c r="AQ932" s="137">
        <v>1</v>
      </c>
      <c r="AR932" s="137">
        <v>1</v>
      </c>
      <c r="AS932" s="158">
        <v>0.0656418488929858</v>
      </c>
      <c r="AT932" s="141">
        <v>0</v>
      </c>
      <c r="AU932" s="141">
        <v>0.142857142857143</v>
      </c>
      <c r="AV932" s="141">
        <v>0</v>
      </c>
      <c r="AW932" s="141">
        <v>0.0530973451327434</v>
      </c>
      <c r="AX932" s="95"/>
      <c r="AY932" s="93"/>
    </row>
    <row r="933" ht="15" spans="1:51">
      <c r="A933" s="91"/>
      <c r="B933" s="95"/>
      <c r="C933" s="180" t="s">
        <v>927</v>
      </c>
      <c r="D933" s="181" t="s">
        <v>25</v>
      </c>
      <c r="E933" s="130" t="s">
        <v>928</v>
      </c>
      <c r="F933" s="184" t="s">
        <v>962</v>
      </c>
      <c r="G933" s="185" t="s">
        <v>962</v>
      </c>
      <c r="H933" s="185" t="s">
        <v>962</v>
      </c>
      <c r="I933" s="185" t="s">
        <v>962</v>
      </c>
      <c r="J933" s="132">
        <v>0.9</v>
      </c>
      <c r="K933" s="133">
        <v>0.931818181818182</v>
      </c>
      <c r="L933" s="133">
        <v>0.951219512195122</v>
      </c>
      <c r="M933" s="134">
        <v>0.975</v>
      </c>
      <c r="N933" s="133">
        <v>0.953658536585366</v>
      </c>
      <c r="O933" s="135">
        <v>0.9</v>
      </c>
      <c r="P933" s="133">
        <v>0.971119133574007</v>
      </c>
      <c r="Q933" s="133">
        <v>0.936685852771887</v>
      </c>
      <c r="R933" s="133">
        <v>0.934015927189989</v>
      </c>
      <c r="S933" s="133">
        <v>0.957003010263339</v>
      </c>
      <c r="T933" s="135">
        <v>0.9</v>
      </c>
      <c r="U933" s="133">
        <v>0.912154031287605</v>
      </c>
      <c r="V933" s="133">
        <v>0.906392002423508</v>
      </c>
      <c r="W933" s="133">
        <v>0.880546075085324</v>
      </c>
      <c r="X933" s="133">
        <v>0.928227737087867</v>
      </c>
      <c r="Y933" s="135">
        <v>0.92</v>
      </c>
      <c r="Z933" s="135" t="s">
        <v>35</v>
      </c>
      <c r="AA933" s="135" t="s">
        <v>35</v>
      </c>
      <c r="AB933" s="135" t="s">
        <v>35</v>
      </c>
      <c r="AC933" s="135">
        <v>0</v>
      </c>
      <c r="AD933" s="135">
        <v>0.92</v>
      </c>
      <c r="AE933" s="133">
        <v>0.918978912319645</v>
      </c>
      <c r="AF933" s="133">
        <v>0.981264637002342</v>
      </c>
      <c r="AG933" s="133">
        <v>0.957236842105263</v>
      </c>
      <c r="AH933" s="133">
        <v>0.980050664977834</v>
      </c>
      <c r="AI933" s="135">
        <v>0.92</v>
      </c>
      <c r="AJ933" s="133">
        <v>0.937825912555154</v>
      </c>
      <c r="AK933" s="133">
        <v>0.931232959709179</v>
      </c>
      <c r="AL933" s="133">
        <v>0.915130830489192</v>
      </c>
      <c r="AM933" s="133">
        <v>0.955738579131362</v>
      </c>
      <c r="AN933" s="132">
        <v>0.99</v>
      </c>
      <c r="AO933" s="137">
        <v>1</v>
      </c>
      <c r="AP933" s="137">
        <v>1</v>
      </c>
      <c r="AQ933" s="137">
        <v>1</v>
      </c>
      <c r="AR933" s="137">
        <v>1</v>
      </c>
      <c r="AS933" s="158">
        <v>0.0656418488929858</v>
      </c>
      <c r="AT933" s="141">
        <v>0</v>
      </c>
      <c r="AU933" s="141">
        <v>0</v>
      </c>
      <c r="AV933" s="141">
        <v>0</v>
      </c>
      <c r="AW933" s="141">
        <v>0.0528169014084507</v>
      </c>
      <c r="AX933" s="95"/>
      <c r="AY933" s="93"/>
    </row>
    <row r="934" ht="15" spans="1:51">
      <c r="A934" s="91"/>
      <c r="B934" s="95"/>
      <c r="C934" s="180" t="s">
        <v>927</v>
      </c>
      <c r="D934" s="181" t="s">
        <v>25</v>
      </c>
      <c r="E934" s="130" t="s">
        <v>928</v>
      </c>
      <c r="F934" s="184" t="s">
        <v>963</v>
      </c>
      <c r="G934" s="185" t="s">
        <v>963</v>
      </c>
      <c r="H934" s="185" t="s">
        <v>963</v>
      </c>
      <c r="I934" s="185" t="s">
        <v>963</v>
      </c>
      <c r="J934" s="132">
        <v>0.9</v>
      </c>
      <c r="K934" s="133">
        <v>0.842105263157895</v>
      </c>
      <c r="L934" s="133">
        <v>0.806451612903226</v>
      </c>
      <c r="M934" s="134">
        <v>0.846153846153846</v>
      </c>
      <c r="N934" s="133">
        <v>0.833810888252149</v>
      </c>
      <c r="O934" s="135">
        <v>0.9</v>
      </c>
      <c r="P934" s="133">
        <v>0.941295546558704</v>
      </c>
      <c r="Q934" s="133">
        <v>0.887896825396825</v>
      </c>
      <c r="R934" s="133">
        <v>0.899365750528541</v>
      </c>
      <c r="S934" s="133">
        <v>0.912167871561356</v>
      </c>
      <c r="T934" s="135">
        <v>0.9</v>
      </c>
      <c r="U934" s="133">
        <v>0.909581646423752</v>
      </c>
      <c r="V934" s="133">
        <v>0.907738095238095</v>
      </c>
      <c r="W934" s="133">
        <v>0.882452431289641</v>
      </c>
      <c r="X934" s="133">
        <v>0.894164867148625</v>
      </c>
      <c r="Y934" s="135">
        <v>0.92</v>
      </c>
      <c r="Z934" s="135">
        <v>0.87621359223301</v>
      </c>
      <c r="AA934" s="135">
        <v>0.861538461538462</v>
      </c>
      <c r="AB934" s="135">
        <v>0.739393939393939</v>
      </c>
      <c r="AC934" s="135">
        <v>0.866350886969444</v>
      </c>
      <c r="AD934" s="135">
        <v>0.92</v>
      </c>
      <c r="AE934" s="133">
        <v>0.998108846396302</v>
      </c>
      <c r="AF934" s="133">
        <v>0.992386923421406</v>
      </c>
      <c r="AG934" s="133">
        <v>0.998801597869507</v>
      </c>
      <c r="AH934" s="133">
        <v>0.977635556060112</v>
      </c>
      <c r="AI934" s="135">
        <v>0.92</v>
      </c>
      <c r="AJ934" s="133">
        <v>0.934002111932418</v>
      </c>
      <c r="AK934" s="133">
        <v>0.918454935622318</v>
      </c>
      <c r="AL934" s="133">
        <v>0.896922506488691</v>
      </c>
      <c r="AM934" s="133">
        <v>0.936626578247349</v>
      </c>
      <c r="AN934" s="132">
        <v>0.99</v>
      </c>
      <c r="AO934" s="137">
        <v>1</v>
      </c>
      <c r="AP934" s="137">
        <v>1</v>
      </c>
      <c r="AQ934" s="137">
        <v>1</v>
      </c>
      <c r="AR934" s="137">
        <v>1</v>
      </c>
      <c r="AS934" s="158">
        <v>0.0656418488929858</v>
      </c>
      <c r="AT934" s="141">
        <v>0.0476190476190476</v>
      </c>
      <c r="AU934" s="141">
        <v>0.09375</v>
      </c>
      <c r="AV934" s="141">
        <v>0.113636363636364</v>
      </c>
      <c r="AW934" s="141">
        <v>0.0608974358974359</v>
      </c>
      <c r="AX934" s="95"/>
      <c r="AY934" s="93"/>
    </row>
    <row r="935" ht="15" spans="1:51">
      <c r="A935" s="91"/>
      <c r="B935" s="95"/>
      <c r="C935" s="180" t="s">
        <v>927</v>
      </c>
      <c r="D935" s="181" t="s">
        <v>25</v>
      </c>
      <c r="E935" s="130" t="s">
        <v>928</v>
      </c>
      <c r="F935" s="184" t="s">
        <v>964</v>
      </c>
      <c r="G935" s="185" t="s">
        <v>964</v>
      </c>
      <c r="H935" s="185" t="s">
        <v>964</v>
      </c>
      <c r="I935" s="185" t="s">
        <v>964</v>
      </c>
      <c r="J935" s="132">
        <v>0.9</v>
      </c>
      <c r="K935" s="133">
        <v>1</v>
      </c>
      <c r="L935" s="133">
        <v>0.916666666666667</v>
      </c>
      <c r="M935" s="134">
        <v>0.961538461538462</v>
      </c>
      <c r="N935" s="133">
        <v>0.950413223140496</v>
      </c>
      <c r="O935" s="135">
        <v>0.9</v>
      </c>
      <c r="P935" s="133">
        <v>0.943983402489627</v>
      </c>
      <c r="Q935" s="133">
        <v>0.906942392909897</v>
      </c>
      <c r="R935" s="133">
        <v>0.871868289191124</v>
      </c>
      <c r="S935" s="133">
        <v>0.898767112320871</v>
      </c>
      <c r="T935" s="135">
        <v>0.9</v>
      </c>
      <c r="U935" s="133">
        <v>0.911825726141079</v>
      </c>
      <c r="V935" s="133">
        <v>0.821270310192024</v>
      </c>
      <c r="W935" s="133">
        <v>0.853256979241231</v>
      </c>
      <c r="X935" s="133">
        <v>0.860379473220719</v>
      </c>
      <c r="Y935" s="135">
        <v>0.92</v>
      </c>
      <c r="Z935" s="135">
        <v>0.915129151291513</v>
      </c>
      <c r="AA935" s="135">
        <v>0.904214559386973</v>
      </c>
      <c r="AB935" s="135">
        <v>0.906735751295337</v>
      </c>
      <c r="AC935" s="135">
        <v>0.915025749772796</v>
      </c>
      <c r="AD935" s="135">
        <v>0.92</v>
      </c>
      <c r="AE935" s="133">
        <v>0.997899159663866</v>
      </c>
      <c r="AF935" s="133">
        <v>0.997111496244945</v>
      </c>
      <c r="AG935" s="133">
        <v>0.983935742971888</v>
      </c>
      <c r="AH935" s="133">
        <v>0.97584301771766</v>
      </c>
      <c r="AI935" s="135">
        <v>0.92</v>
      </c>
      <c r="AJ935" s="133">
        <v>0.931983805668016</v>
      </c>
      <c r="AK935" s="133">
        <v>0.934968017057569</v>
      </c>
      <c r="AL935" s="133">
        <v>0.921433060967945</v>
      </c>
      <c r="AM935" s="133">
        <v>0.943178220955999</v>
      </c>
      <c r="AN935" s="132">
        <v>0.99</v>
      </c>
      <c r="AO935" s="137">
        <v>1</v>
      </c>
      <c r="AP935" s="137">
        <v>1</v>
      </c>
      <c r="AQ935" s="137">
        <v>1</v>
      </c>
      <c r="AR935" s="137">
        <v>1</v>
      </c>
      <c r="AS935" s="158">
        <v>0.0656418488929858</v>
      </c>
      <c r="AT935" s="141">
        <v>0.05</v>
      </c>
      <c r="AU935" s="141">
        <v>0.105263157894737</v>
      </c>
      <c r="AV935" s="141">
        <v>0.1</v>
      </c>
      <c r="AW935" s="141">
        <v>0.0774487471526196</v>
      </c>
      <c r="AX935" s="95"/>
      <c r="AY935" s="93"/>
    </row>
    <row r="936" ht="15" spans="1:51">
      <c r="A936" s="91"/>
      <c r="B936" s="95"/>
      <c r="C936" s="180" t="s">
        <v>927</v>
      </c>
      <c r="D936" s="181" t="s">
        <v>125</v>
      </c>
      <c r="E936" s="130" t="s">
        <v>928</v>
      </c>
      <c r="F936" s="184" t="s">
        <v>965</v>
      </c>
      <c r="G936" s="185" t="s">
        <v>965</v>
      </c>
      <c r="H936" s="185" t="s">
        <v>965</v>
      </c>
      <c r="I936" s="185" t="s">
        <v>965</v>
      </c>
      <c r="J936" s="132">
        <v>0.9</v>
      </c>
      <c r="K936" s="133" t="s">
        <v>35</v>
      </c>
      <c r="L936" s="133" t="s">
        <v>35</v>
      </c>
      <c r="M936" s="134" t="s">
        <v>35</v>
      </c>
      <c r="N936" s="133" t="s">
        <v>35</v>
      </c>
      <c r="O936" s="135">
        <v>0.9</v>
      </c>
      <c r="P936" s="133" t="s">
        <v>35</v>
      </c>
      <c r="Q936" s="133" t="s">
        <v>35</v>
      </c>
      <c r="R936" s="133" t="s">
        <v>35</v>
      </c>
      <c r="S936" s="133">
        <v>0</v>
      </c>
      <c r="T936" s="135">
        <v>0.9</v>
      </c>
      <c r="U936" s="133" t="s">
        <v>35</v>
      </c>
      <c r="V936" s="133" t="s">
        <v>35</v>
      </c>
      <c r="W936" s="133" t="s">
        <v>35</v>
      </c>
      <c r="X936" s="133">
        <v>1</v>
      </c>
      <c r="Y936" s="135">
        <v>0.92</v>
      </c>
      <c r="Z936" s="135" t="s">
        <v>35</v>
      </c>
      <c r="AA936" s="135" t="s">
        <v>35</v>
      </c>
      <c r="AB936" s="135" t="s">
        <v>35</v>
      </c>
      <c r="AC936" s="135" t="s">
        <v>35</v>
      </c>
      <c r="AD936" s="135">
        <v>0.92</v>
      </c>
      <c r="AE936" s="133">
        <v>1</v>
      </c>
      <c r="AF936" s="133">
        <v>1</v>
      </c>
      <c r="AG936" s="133">
        <v>1</v>
      </c>
      <c r="AH936" s="133">
        <v>0.999156829679595</v>
      </c>
      <c r="AI936" s="135">
        <v>0.92</v>
      </c>
      <c r="AJ936" s="133" t="s">
        <v>35</v>
      </c>
      <c r="AK936" s="133" t="s">
        <v>35</v>
      </c>
      <c r="AL936" s="133" t="s">
        <v>35</v>
      </c>
      <c r="AM936" s="133">
        <v>1</v>
      </c>
      <c r="AN936" s="132">
        <v>0.99</v>
      </c>
      <c r="AO936" s="137">
        <v>1</v>
      </c>
      <c r="AP936" s="137" t="s">
        <v>35</v>
      </c>
      <c r="AQ936" s="137" t="s">
        <v>35</v>
      </c>
      <c r="AR936" s="137">
        <v>1</v>
      </c>
      <c r="AS936" s="158">
        <v>0.0656418488929858</v>
      </c>
      <c r="AT936" s="141" t="s">
        <v>35</v>
      </c>
      <c r="AU936" s="141" t="s">
        <v>35</v>
      </c>
      <c r="AV936" s="141" t="s">
        <v>35</v>
      </c>
      <c r="AW936" s="141" t="s">
        <v>35</v>
      </c>
      <c r="AX936" s="95"/>
      <c r="AY936" s="93"/>
    </row>
    <row r="937" ht="15" spans="1:51">
      <c r="A937" s="91"/>
      <c r="B937" s="95"/>
      <c r="C937" s="180" t="s">
        <v>927</v>
      </c>
      <c r="D937" s="181" t="s">
        <v>25</v>
      </c>
      <c r="E937" s="130" t="s">
        <v>928</v>
      </c>
      <c r="F937" s="188" t="s">
        <v>966</v>
      </c>
      <c r="G937" s="189" t="s">
        <v>966</v>
      </c>
      <c r="H937" s="189" t="s">
        <v>966</v>
      </c>
      <c r="I937" s="189" t="s">
        <v>966</v>
      </c>
      <c r="J937" s="132">
        <v>0.9</v>
      </c>
      <c r="K937" s="133">
        <v>0.851851851851852</v>
      </c>
      <c r="L937" s="133">
        <v>0.821428571428571</v>
      </c>
      <c r="M937" s="134">
        <v>0.827586206896552</v>
      </c>
      <c r="N937" s="133">
        <v>0.799276672694394</v>
      </c>
      <c r="O937" s="135">
        <v>0.9</v>
      </c>
      <c r="P937" s="133">
        <v>0.888644688644689</v>
      </c>
      <c r="Q937" s="133">
        <v>0.899713467048711</v>
      </c>
      <c r="R937" s="133">
        <v>0.834116541353383</v>
      </c>
      <c r="S937" s="133">
        <v>0.885394368516384</v>
      </c>
      <c r="T937" s="135">
        <v>0.9</v>
      </c>
      <c r="U937" s="133">
        <v>0.924542124542125</v>
      </c>
      <c r="V937" s="133">
        <v>0.929321872015282</v>
      </c>
      <c r="W937" s="133">
        <v>0.87218045112782</v>
      </c>
      <c r="X937" s="133">
        <v>0.864070475876832</v>
      </c>
      <c r="Y937" s="135">
        <v>0.92</v>
      </c>
      <c r="Z937" s="135">
        <v>0.948402948402948</v>
      </c>
      <c r="AA937" s="135">
        <v>0.947743467933492</v>
      </c>
      <c r="AB937" s="135">
        <v>0.845878136200717</v>
      </c>
      <c r="AC937" s="135">
        <v>0.908701701808841</v>
      </c>
      <c r="AD937" s="135">
        <v>0.92</v>
      </c>
      <c r="AE937" s="133">
        <v>0.996214001986097</v>
      </c>
      <c r="AF937" s="133">
        <v>0.995850028620492</v>
      </c>
      <c r="AG937" s="133">
        <v>0.997967479674797</v>
      </c>
      <c r="AH937" s="133">
        <v>0.993250280606312</v>
      </c>
      <c r="AI937" s="135">
        <v>0.92</v>
      </c>
      <c r="AJ937" s="133">
        <v>0.94532130777903</v>
      </c>
      <c r="AK937" s="133">
        <v>0.952413324269205</v>
      </c>
      <c r="AL937" s="133">
        <v>0.910373443983402</v>
      </c>
      <c r="AM937" s="133">
        <v>0.938531749497773</v>
      </c>
      <c r="AN937" s="132">
        <v>0.99</v>
      </c>
      <c r="AO937" s="137">
        <v>1</v>
      </c>
      <c r="AP937" s="137">
        <v>1</v>
      </c>
      <c r="AQ937" s="137">
        <v>1</v>
      </c>
      <c r="AR937" s="137">
        <v>0.999829351535836</v>
      </c>
      <c r="AS937" s="158">
        <v>0.0656418488929858</v>
      </c>
      <c r="AT937" s="141">
        <v>0</v>
      </c>
      <c r="AU937" s="141">
        <v>0.08</v>
      </c>
      <c r="AV937" s="141">
        <v>0.0606060606060606</v>
      </c>
      <c r="AW937" s="141">
        <v>0.0616740088105727</v>
      </c>
      <c r="AX937" s="95"/>
      <c r="AY937" s="93"/>
    </row>
    <row r="938" ht="15" spans="1:51">
      <c r="A938" s="91"/>
      <c r="B938" s="95"/>
      <c r="C938" s="180" t="s">
        <v>927</v>
      </c>
      <c r="D938" s="181" t="s">
        <v>25</v>
      </c>
      <c r="E938" s="130" t="s">
        <v>928</v>
      </c>
      <c r="F938" s="188" t="s">
        <v>967</v>
      </c>
      <c r="G938" s="189" t="s">
        <v>967</v>
      </c>
      <c r="H938" s="189" t="s">
        <v>967</v>
      </c>
      <c r="I938" s="189" t="s">
        <v>967</v>
      </c>
      <c r="J938" s="132">
        <v>0.9</v>
      </c>
      <c r="K938" s="133">
        <v>1</v>
      </c>
      <c r="L938" s="133">
        <v>0.9</v>
      </c>
      <c r="M938" s="134">
        <v>0.952380952380952</v>
      </c>
      <c r="N938" s="133">
        <v>0.944862155388471</v>
      </c>
      <c r="O938" s="135">
        <v>0.9</v>
      </c>
      <c r="P938" s="133">
        <v>0.957553058676654</v>
      </c>
      <c r="Q938" s="133">
        <v>0.951683748169839</v>
      </c>
      <c r="R938" s="133">
        <v>0.869387755102041</v>
      </c>
      <c r="S938" s="133">
        <v>0.932883317261331</v>
      </c>
      <c r="T938" s="135">
        <v>0.9</v>
      </c>
      <c r="U938" s="133">
        <v>0.892634207240949</v>
      </c>
      <c r="V938" s="133">
        <v>0.909224011713031</v>
      </c>
      <c r="W938" s="133">
        <v>0.868027210884354</v>
      </c>
      <c r="X938" s="133">
        <v>0.905303760848602</v>
      </c>
      <c r="Y938" s="135">
        <v>0.92</v>
      </c>
      <c r="Z938" s="135">
        <v>0.841176470588235</v>
      </c>
      <c r="AA938" s="135">
        <v>0.892988929889299</v>
      </c>
      <c r="AB938" s="135">
        <v>0.870588235294118</v>
      </c>
      <c r="AC938" s="135">
        <v>0.885427746543079</v>
      </c>
      <c r="AD938" s="135">
        <v>0.92</v>
      </c>
      <c r="AE938" s="133">
        <v>0.997572815533981</v>
      </c>
      <c r="AF938" s="133">
        <v>0.904555314533623</v>
      </c>
      <c r="AG938" s="133">
        <v>0.990740740740741</v>
      </c>
      <c r="AH938" s="133">
        <v>0.983043449063193</v>
      </c>
      <c r="AI938" s="135">
        <v>0.92</v>
      </c>
      <c r="AJ938" s="133">
        <v>0.910683012259194</v>
      </c>
      <c r="AK938" s="133">
        <v>0.932432432432432</v>
      </c>
      <c r="AL938" s="133">
        <v>0.906707317073171</v>
      </c>
      <c r="AM938" s="133">
        <v>0.943510279226757</v>
      </c>
      <c r="AN938" s="132">
        <v>0.99</v>
      </c>
      <c r="AO938" s="137">
        <v>1</v>
      </c>
      <c r="AP938" s="137">
        <v>1</v>
      </c>
      <c r="AQ938" s="137">
        <v>1</v>
      </c>
      <c r="AR938" s="137">
        <v>1</v>
      </c>
      <c r="AS938" s="158">
        <v>0.0656418488929858</v>
      </c>
      <c r="AT938" s="141">
        <v>0.0434782608695652</v>
      </c>
      <c r="AU938" s="141">
        <v>0</v>
      </c>
      <c r="AV938" s="141">
        <v>0.138888888888889</v>
      </c>
      <c r="AW938" s="141">
        <v>0.0214521452145215</v>
      </c>
      <c r="AX938" s="95"/>
      <c r="AY938" s="93"/>
    </row>
    <row r="939" ht="15" spans="1:51">
      <c r="A939" s="91"/>
      <c r="B939" s="95"/>
      <c r="C939" s="180" t="s">
        <v>927</v>
      </c>
      <c r="D939" s="181" t="s">
        <v>125</v>
      </c>
      <c r="E939" s="130" t="s">
        <v>928</v>
      </c>
      <c r="F939" s="184" t="s">
        <v>968</v>
      </c>
      <c r="G939" s="185" t="s">
        <v>968</v>
      </c>
      <c r="H939" s="185" t="s">
        <v>968</v>
      </c>
      <c r="I939" s="185" t="s">
        <v>968</v>
      </c>
      <c r="J939" s="132">
        <v>0.9</v>
      </c>
      <c r="K939" s="133" t="s">
        <v>35</v>
      </c>
      <c r="L939" s="133" t="s">
        <v>35</v>
      </c>
      <c r="M939" s="134" t="s">
        <v>35</v>
      </c>
      <c r="N939" s="133" t="s">
        <v>35</v>
      </c>
      <c r="O939" s="135">
        <v>0.9</v>
      </c>
      <c r="P939" s="133" t="s">
        <v>35</v>
      </c>
      <c r="Q939" s="133" t="s">
        <v>35</v>
      </c>
      <c r="R939" s="133" t="s">
        <v>35</v>
      </c>
      <c r="S939" s="133">
        <v>0</v>
      </c>
      <c r="T939" s="135">
        <v>0.9</v>
      </c>
      <c r="U939" s="133" t="s">
        <v>35</v>
      </c>
      <c r="V939" s="133" t="s">
        <v>35</v>
      </c>
      <c r="W939" s="133" t="s">
        <v>35</v>
      </c>
      <c r="X939" s="133">
        <v>1</v>
      </c>
      <c r="Y939" s="135">
        <v>0.92</v>
      </c>
      <c r="Z939" s="135" t="s">
        <v>35</v>
      </c>
      <c r="AA939" s="135" t="s">
        <v>35</v>
      </c>
      <c r="AB939" s="135" t="s">
        <v>35</v>
      </c>
      <c r="AC939" s="135" t="s">
        <v>35</v>
      </c>
      <c r="AD939" s="135">
        <v>0.92</v>
      </c>
      <c r="AE939" s="133">
        <v>1</v>
      </c>
      <c r="AF939" s="133">
        <v>1</v>
      </c>
      <c r="AG939" s="133">
        <v>1</v>
      </c>
      <c r="AH939" s="133">
        <v>0.995526636844246</v>
      </c>
      <c r="AI939" s="135">
        <v>0.92</v>
      </c>
      <c r="AJ939" s="133" t="s">
        <v>35</v>
      </c>
      <c r="AK939" s="133" t="s">
        <v>35</v>
      </c>
      <c r="AL939" s="133" t="s">
        <v>35</v>
      </c>
      <c r="AM939" s="133">
        <v>1</v>
      </c>
      <c r="AN939" s="132">
        <v>0.99</v>
      </c>
      <c r="AO939" s="137">
        <v>1</v>
      </c>
      <c r="AP939" s="137">
        <v>1</v>
      </c>
      <c r="AQ939" s="137" t="s">
        <v>35</v>
      </c>
      <c r="AR939" s="137">
        <v>1</v>
      </c>
      <c r="AS939" s="158">
        <v>0.0656418488929858</v>
      </c>
      <c r="AT939" s="141" t="s">
        <v>35</v>
      </c>
      <c r="AU939" s="141" t="s">
        <v>35</v>
      </c>
      <c r="AV939" s="141" t="s">
        <v>35</v>
      </c>
      <c r="AW939" s="141" t="s">
        <v>35</v>
      </c>
      <c r="AX939" s="95"/>
      <c r="AY939" s="93"/>
    </row>
    <row r="940" ht="15" spans="1:51">
      <c r="A940" s="91"/>
      <c r="B940" s="95"/>
      <c r="C940" s="180" t="s">
        <v>927</v>
      </c>
      <c r="D940" s="181" t="s">
        <v>125</v>
      </c>
      <c r="E940" s="130" t="s">
        <v>928</v>
      </c>
      <c r="F940" s="184" t="s">
        <v>969</v>
      </c>
      <c r="G940" s="185" t="s">
        <v>969</v>
      </c>
      <c r="H940" s="185" t="s">
        <v>969</v>
      </c>
      <c r="I940" s="185" t="s">
        <v>969</v>
      </c>
      <c r="J940" s="132">
        <v>0.9</v>
      </c>
      <c r="K940" s="133" t="s">
        <v>35</v>
      </c>
      <c r="L940" s="133" t="s">
        <v>35</v>
      </c>
      <c r="M940" s="134" t="s">
        <v>35</v>
      </c>
      <c r="N940" s="133" t="s">
        <v>35</v>
      </c>
      <c r="O940" s="135">
        <v>0.9</v>
      </c>
      <c r="P940" s="133" t="s">
        <v>35</v>
      </c>
      <c r="Q940" s="133" t="s">
        <v>35</v>
      </c>
      <c r="R940" s="133" t="s">
        <v>35</v>
      </c>
      <c r="S940" s="133" t="s">
        <v>35</v>
      </c>
      <c r="T940" s="135">
        <v>0.9</v>
      </c>
      <c r="U940" s="133" t="s">
        <v>35</v>
      </c>
      <c r="V940" s="133" t="s">
        <v>35</v>
      </c>
      <c r="W940" s="133" t="s">
        <v>35</v>
      </c>
      <c r="X940" s="133" t="s">
        <v>35</v>
      </c>
      <c r="Y940" s="135">
        <v>0.92</v>
      </c>
      <c r="Z940" s="135" t="s">
        <v>35</v>
      </c>
      <c r="AA940" s="135" t="s">
        <v>35</v>
      </c>
      <c r="AB940" s="135" t="s">
        <v>35</v>
      </c>
      <c r="AC940" s="135" t="s">
        <v>35</v>
      </c>
      <c r="AD940" s="135">
        <v>0.92</v>
      </c>
      <c r="AE940" s="133">
        <v>1</v>
      </c>
      <c r="AF940" s="133">
        <v>1</v>
      </c>
      <c r="AG940" s="133">
        <v>1</v>
      </c>
      <c r="AH940" s="133">
        <v>0.999629183276166</v>
      </c>
      <c r="AI940" s="135">
        <v>0.92</v>
      </c>
      <c r="AJ940" s="133" t="s">
        <v>35</v>
      </c>
      <c r="AK940" s="133" t="s">
        <v>35</v>
      </c>
      <c r="AL940" s="133" t="s">
        <v>35</v>
      </c>
      <c r="AM940" s="133" t="s">
        <v>35</v>
      </c>
      <c r="AN940" s="132">
        <v>0.99</v>
      </c>
      <c r="AO940" s="137">
        <v>1</v>
      </c>
      <c r="AP940" s="137">
        <v>1</v>
      </c>
      <c r="AQ940" s="137">
        <v>1</v>
      </c>
      <c r="AR940" s="137">
        <v>1</v>
      </c>
      <c r="AS940" s="158">
        <v>0.0656418488929858</v>
      </c>
      <c r="AT940" s="141" t="s">
        <v>35</v>
      </c>
      <c r="AU940" s="141" t="s">
        <v>35</v>
      </c>
      <c r="AV940" s="141" t="s">
        <v>35</v>
      </c>
      <c r="AW940" s="141" t="s">
        <v>35</v>
      </c>
      <c r="AX940" s="95"/>
      <c r="AY940" s="93"/>
    </row>
    <row r="941" ht="15" spans="1:51">
      <c r="A941" s="91"/>
      <c r="B941" s="95"/>
      <c r="C941" s="180" t="s">
        <v>927</v>
      </c>
      <c r="D941" s="181" t="s">
        <v>25</v>
      </c>
      <c r="E941" s="130" t="s">
        <v>928</v>
      </c>
      <c r="F941" s="184" t="s">
        <v>970</v>
      </c>
      <c r="G941" s="185" t="s">
        <v>970</v>
      </c>
      <c r="H941" s="185" t="s">
        <v>970</v>
      </c>
      <c r="I941" s="185" t="s">
        <v>970</v>
      </c>
      <c r="J941" s="132">
        <v>0.9</v>
      </c>
      <c r="K941" s="133">
        <v>0.954545454545455</v>
      </c>
      <c r="L941" s="133">
        <v>1</v>
      </c>
      <c r="M941" s="134">
        <v>0.85</v>
      </c>
      <c r="N941" s="133">
        <v>0.946778711484594</v>
      </c>
      <c r="O941" s="135">
        <v>0.9</v>
      </c>
      <c r="P941" s="133">
        <v>0.961809045226131</v>
      </c>
      <c r="Q941" s="133">
        <v>0.967326732673267</v>
      </c>
      <c r="R941" s="133">
        <v>0.966990291262136</v>
      </c>
      <c r="S941" s="133">
        <v>0.96044232671042</v>
      </c>
      <c r="T941" s="135">
        <v>0.9</v>
      </c>
      <c r="U941" s="133">
        <v>0.937688442211055</v>
      </c>
      <c r="V941" s="133">
        <v>0.936633663366337</v>
      </c>
      <c r="W941" s="133">
        <v>0.946278317152104</v>
      </c>
      <c r="X941" s="133">
        <v>0.927927117983757</v>
      </c>
      <c r="Y941" s="135">
        <v>0.92</v>
      </c>
      <c r="Z941" s="135">
        <v>0.964735516372796</v>
      </c>
      <c r="AA941" s="135">
        <v>0.930769230769231</v>
      </c>
      <c r="AB941" s="135">
        <v>0.981927710843373</v>
      </c>
      <c r="AC941" s="135">
        <v>0.951341052323025</v>
      </c>
      <c r="AD941" s="135">
        <v>0.92</v>
      </c>
      <c r="AE941" s="133">
        <v>0.998671474663124</v>
      </c>
      <c r="AF941" s="133">
        <v>0.999191200258816</v>
      </c>
      <c r="AG941" s="133">
        <v>0.997665369649805</v>
      </c>
      <c r="AH941" s="133">
        <v>0.985879425338908</v>
      </c>
      <c r="AI941" s="135">
        <v>0.92</v>
      </c>
      <c r="AJ941" s="133">
        <v>0.966954022988506</v>
      </c>
      <c r="AK941" s="133">
        <v>0.969315499606609</v>
      </c>
      <c r="AL941" s="133">
        <v>0.977206312098188</v>
      </c>
      <c r="AM941" s="133">
        <v>0.972685887708649</v>
      </c>
      <c r="AN941" s="132">
        <v>0.99</v>
      </c>
      <c r="AO941" s="137">
        <v>1</v>
      </c>
      <c r="AP941" s="137">
        <v>1</v>
      </c>
      <c r="AQ941" s="137">
        <v>1</v>
      </c>
      <c r="AR941" s="137">
        <v>1</v>
      </c>
      <c r="AS941" s="158">
        <v>0.0656418488929858</v>
      </c>
      <c r="AT941" s="141">
        <v>0</v>
      </c>
      <c r="AU941" s="141">
        <v>0</v>
      </c>
      <c r="AV941" s="141">
        <v>0</v>
      </c>
      <c r="AW941" s="141">
        <v>0.0300751879699248</v>
      </c>
      <c r="AX941" s="95"/>
      <c r="AY941" s="93"/>
    </row>
    <row r="942" ht="15" spans="1:51">
      <c r="A942" s="91"/>
      <c r="B942" s="95"/>
      <c r="C942" s="180" t="s">
        <v>927</v>
      </c>
      <c r="D942" s="181" t="s">
        <v>25</v>
      </c>
      <c r="E942" s="130" t="s">
        <v>928</v>
      </c>
      <c r="F942" s="184" t="s">
        <v>971</v>
      </c>
      <c r="G942" s="185" t="s">
        <v>971</v>
      </c>
      <c r="H942" s="185" t="s">
        <v>971</v>
      </c>
      <c r="I942" s="185" t="s">
        <v>971</v>
      </c>
      <c r="J942" s="132">
        <v>0.9</v>
      </c>
      <c r="K942" s="133">
        <v>1</v>
      </c>
      <c r="L942" s="133">
        <v>1</v>
      </c>
      <c r="M942" s="134">
        <v>1</v>
      </c>
      <c r="N942" s="133">
        <v>0.977900552486188</v>
      </c>
      <c r="O942" s="135">
        <v>0.9</v>
      </c>
      <c r="P942" s="133">
        <v>0.972129319955407</v>
      </c>
      <c r="Q942" s="133">
        <v>0.984939759036145</v>
      </c>
      <c r="R942" s="133">
        <v>0.951129211403184</v>
      </c>
      <c r="S942" s="133">
        <v>0.94316629122198</v>
      </c>
      <c r="T942" s="135">
        <v>0.9</v>
      </c>
      <c r="U942" s="133">
        <v>0.947603121516165</v>
      </c>
      <c r="V942" s="133">
        <v>0.954819277108434</v>
      </c>
      <c r="W942" s="133">
        <v>0.917067752684191</v>
      </c>
      <c r="X942" s="133">
        <v>0.903966173049226</v>
      </c>
      <c r="Y942" s="135">
        <v>0.92</v>
      </c>
      <c r="Z942" s="135">
        <v>0.965413533834587</v>
      </c>
      <c r="AA942" s="135">
        <v>0.956403269754768</v>
      </c>
      <c r="AB942" s="135">
        <v>0.969283276450512</v>
      </c>
      <c r="AC942" s="135">
        <v>0.950100714154917</v>
      </c>
      <c r="AD942" s="135">
        <v>0.92</v>
      </c>
      <c r="AE942" s="133">
        <v>0.999818873392501</v>
      </c>
      <c r="AF942" s="133">
        <v>0.999810677773571</v>
      </c>
      <c r="AG942" s="133">
        <v>0.999627282892285</v>
      </c>
      <c r="AH942" s="133">
        <v>0.997541866614435</v>
      </c>
      <c r="AI942" s="135">
        <v>0.92</v>
      </c>
      <c r="AJ942" s="133">
        <v>0.982106547376983</v>
      </c>
      <c r="AK942" s="133">
        <v>0.981746423285644</v>
      </c>
      <c r="AL942" s="133">
        <v>0.974615898463594</v>
      </c>
      <c r="AM942" s="133">
        <v>0.973171893486578</v>
      </c>
      <c r="AN942" s="132">
        <v>0.99</v>
      </c>
      <c r="AO942" s="137">
        <v>1</v>
      </c>
      <c r="AP942" s="137">
        <v>1</v>
      </c>
      <c r="AQ942" s="137">
        <v>1</v>
      </c>
      <c r="AR942" s="137">
        <v>1</v>
      </c>
      <c r="AS942" s="158">
        <v>0.0656418488929858</v>
      </c>
      <c r="AT942" s="141">
        <v>0.0526315789473684</v>
      </c>
      <c r="AU942" s="141">
        <v>0.166666666666667</v>
      </c>
      <c r="AV942" s="141">
        <v>0</v>
      </c>
      <c r="AW942" s="141">
        <v>0.0510204081632653</v>
      </c>
      <c r="AX942" s="95"/>
      <c r="AY942" s="93"/>
    </row>
    <row r="943" ht="15" spans="1:51">
      <c r="A943" s="91"/>
      <c r="B943" s="95"/>
      <c r="C943" s="180" t="s">
        <v>927</v>
      </c>
      <c r="D943" s="181" t="s">
        <v>25</v>
      </c>
      <c r="E943" s="130" t="s">
        <v>928</v>
      </c>
      <c r="F943" s="184" t="s">
        <v>972</v>
      </c>
      <c r="G943" s="185" t="s">
        <v>972</v>
      </c>
      <c r="H943" s="185" t="s">
        <v>972</v>
      </c>
      <c r="I943" s="185" t="s">
        <v>972</v>
      </c>
      <c r="J943" s="132">
        <v>0.9</v>
      </c>
      <c r="K943" s="133">
        <v>0.938775510204082</v>
      </c>
      <c r="L943" s="133">
        <v>0.897435897435897</v>
      </c>
      <c r="M943" s="134">
        <v>0.956521739130435</v>
      </c>
      <c r="N943" s="133">
        <v>0.941792782305006</v>
      </c>
      <c r="O943" s="135">
        <v>0.9</v>
      </c>
      <c r="P943" s="133">
        <v>0.967575187969925</v>
      </c>
      <c r="Q943" s="133">
        <v>0.921579532814238</v>
      </c>
      <c r="R943" s="133">
        <v>0.906509253350351</v>
      </c>
      <c r="S943" s="133">
        <v>0.929107011070111</v>
      </c>
      <c r="T943" s="135">
        <v>0.9</v>
      </c>
      <c r="U943" s="133">
        <v>0.928101503759398</v>
      </c>
      <c r="V943" s="133">
        <v>0.906562847608454</v>
      </c>
      <c r="W943" s="133">
        <v>0.881620931716656</v>
      </c>
      <c r="X943" s="133">
        <v>0.894066420664207</v>
      </c>
      <c r="Y943" s="135">
        <v>0.92</v>
      </c>
      <c r="Z943" s="135">
        <v>0.852331606217617</v>
      </c>
      <c r="AA943" s="135">
        <v>0.759002770083102</v>
      </c>
      <c r="AB943" s="135">
        <v>0.752941176470588</v>
      </c>
      <c r="AC943" s="135">
        <v>0.843756809762475</v>
      </c>
      <c r="AD943" s="135">
        <v>0.92</v>
      </c>
      <c r="AE943" s="133">
        <v>0.999251216772744</v>
      </c>
      <c r="AF943" s="133">
        <v>0.999230473258946</v>
      </c>
      <c r="AG943" s="133">
        <v>0.997389033942559</v>
      </c>
      <c r="AH943" s="133">
        <v>0.994429219641493</v>
      </c>
      <c r="AI943" s="135">
        <v>0.92</v>
      </c>
      <c r="AJ943" s="133">
        <v>0.927931034482759</v>
      </c>
      <c r="AK943" s="133">
        <v>0.91431218156554</v>
      </c>
      <c r="AL943" s="133">
        <v>0.936402877697842</v>
      </c>
      <c r="AM943" s="133">
        <v>0.945713900234267</v>
      </c>
      <c r="AN943" s="132">
        <v>0.99</v>
      </c>
      <c r="AO943" s="137">
        <v>1</v>
      </c>
      <c r="AP943" s="137">
        <v>1</v>
      </c>
      <c r="AQ943" s="137">
        <v>1</v>
      </c>
      <c r="AR943" s="137">
        <v>1</v>
      </c>
      <c r="AS943" s="158">
        <v>0.0656418488929858</v>
      </c>
      <c r="AT943" s="141">
        <v>0</v>
      </c>
      <c r="AU943" s="141">
        <v>0</v>
      </c>
      <c r="AV943" s="141">
        <v>0</v>
      </c>
      <c r="AW943" s="141">
        <v>0.0412698412698413</v>
      </c>
      <c r="AX943" s="95"/>
      <c r="AY943" s="93"/>
    </row>
    <row r="944" ht="15" spans="1:51">
      <c r="A944" s="91"/>
      <c r="B944" s="95"/>
      <c r="C944" s="180" t="s">
        <v>927</v>
      </c>
      <c r="D944" s="181" t="s">
        <v>25</v>
      </c>
      <c r="E944" s="130" t="s">
        <v>928</v>
      </c>
      <c r="F944" s="184" t="s">
        <v>973</v>
      </c>
      <c r="G944" s="185" t="s">
        <v>973</v>
      </c>
      <c r="H944" s="185" t="s">
        <v>973</v>
      </c>
      <c r="I944" s="185" t="s">
        <v>973</v>
      </c>
      <c r="J944" s="132">
        <v>0.9</v>
      </c>
      <c r="K944" s="133">
        <v>1</v>
      </c>
      <c r="L944" s="133">
        <v>0.944444444444444</v>
      </c>
      <c r="M944" s="134">
        <v>0.9</v>
      </c>
      <c r="N944" s="133">
        <v>0.939632545931758</v>
      </c>
      <c r="O944" s="135">
        <v>0.9</v>
      </c>
      <c r="P944" s="133">
        <v>0.947316103379722</v>
      </c>
      <c r="Q944" s="133">
        <v>0.958860759493671</v>
      </c>
      <c r="R944" s="133">
        <v>0.928618638466623</v>
      </c>
      <c r="S944" s="133">
        <v>0.949684378255807</v>
      </c>
      <c r="T944" s="135">
        <v>0.9</v>
      </c>
      <c r="U944" s="133">
        <v>0.938369781312127</v>
      </c>
      <c r="V944" s="133">
        <v>0.935654008438819</v>
      </c>
      <c r="W944" s="133">
        <v>0.929279576999339</v>
      </c>
      <c r="X944" s="133">
        <v>0.927315070172213</v>
      </c>
      <c r="Y944" s="135">
        <v>0.92</v>
      </c>
      <c r="Z944" s="135">
        <v>0.751396648044693</v>
      </c>
      <c r="AA944" s="135">
        <v>0.764705882352941</v>
      </c>
      <c r="AB944" s="135">
        <v>0.715789473684211</v>
      </c>
      <c r="AC944" s="135">
        <v>0.758653846153846</v>
      </c>
      <c r="AD944" s="135">
        <v>0.92</v>
      </c>
      <c r="AE944" s="133">
        <v>0.999486389316898</v>
      </c>
      <c r="AF944" s="133">
        <v>0.992710706150342</v>
      </c>
      <c r="AG944" s="133">
        <v>1</v>
      </c>
      <c r="AH944" s="133">
        <v>0.998632417647758</v>
      </c>
      <c r="AI944" s="135">
        <v>0.92</v>
      </c>
      <c r="AJ944" s="133">
        <v>0.904692082111437</v>
      </c>
      <c r="AK944" s="133">
        <v>0.941881918819188</v>
      </c>
      <c r="AL944" s="133">
        <v>0.93364650616559</v>
      </c>
      <c r="AM944" s="133">
        <v>0.938755562414795</v>
      </c>
      <c r="AN944" s="132">
        <v>0.99</v>
      </c>
      <c r="AO944" s="137">
        <v>1</v>
      </c>
      <c r="AP944" s="137">
        <v>1</v>
      </c>
      <c r="AQ944" s="137">
        <v>1</v>
      </c>
      <c r="AR944" s="137">
        <v>1</v>
      </c>
      <c r="AS944" s="158">
        <v>0.0656418488929858</v>
      </c>
      <c r="AT944" s="141">
        <v>0</v>
      </c>
      <c r="AU944" s="141">
        <v>0</v>
      </c>
      <c r="AV944" s="141">
        <v>0</v>
      </c>
      <c r="AW944" s="141">
        <v>0.0129032258064516</v>
      </c>
      <c r="AX944" s="95"/>
      <c r="AY944" s="93"/>
    </row>
    <row r="945" ht="15" spans="1:51">
      <c r="A945" s="91"/>
      <c r="B945" s="95"/>
      <c r="C945" s="180" t="s">
        <v>927</v>
      </c>
      <c r="D945" s="181" t="s">
        <v>25</v>
      </c>
      <c r="E945" s="130" t="s">
        <v>928</v>
      </c>
      <c r="F945" s="184" t="s">
        <v>974</v>
      </c>
      <c r="G945" s="185" t="s">
        <v>974</v>
      </c>
      <c r="H945" s="185" t="s">
        <v>974</v>
      </c>
      <c r="I945" s="185" t="s">
        <v>974</v>
      </c>
      <c r="J945" s="132">
        <v>0.9</v>
      </c>
      <c r="K945" s="133">
        <v>0.947368421052632</v>
      </c>
      <c r="L945" s="133">
        <v>0.818181818181818</v>
      </c>
      <c r="M945" s="134">
        <v>0.833333333333333</v>
      </c>
      <c r="N945" s="133">
        <v>0.893982808022923</v>
      </c>
      <c r="O945" s="135">
        <v>0.9</v>
      </c>
      <c r="P945" s="133">
        <v>0.96950319724545</v>
      </c>
      <c r="Q945" s="133">
        <v>0.94393063583815</v>
      </c>
      <c r="R945" s="133">
        <v>0.957876712328767</v>
      </c>
      <c r="S945" s="133">
        <v>0.946922066888082</v>
      </c>
      <c r="T945" s="135">
        <v>0.9</v>
      </c>
      <c r="U945" s="133">
        <v>0.945892769306444</v>
      </c>
      <c r="V945" s="133">
        <v>0.939884393063584</v>
      </c>
      <c r="W945" s="133">
        <v>0.934246575342466</v>
      </c>
      <c r="X945" s="133">
        <v>0.927411755619062</v>
      </c>
      <c r="Y945" s="135">
        <v>0.92</v>
      </c>
      <c r="Z945" s="135">
        <v>0.769547325102881</v>
      </c>
      <c r="AA945" s="135">
        <v>0.810810810810811</v>
      </c>
      <c r="AB945" s="135">
        <v>0.737024221453287</v>
      </c>
      <c r="AC945" s="135">
        <v>0.833842538190364</v>
      </c>
      <c r="AD945" s="135">
        <v>0.92</v>
      </c>
      <c r="AE945" s="133">
        <v>0.998946576373213</v>
      </c>
      <c r="AF945" s="133">
        <v>0.998610869942698</v>
      </c>
      <c r="AG945" s="133">
        <v>0.997585513078471</v>
      </c>
      <c r="AH945" s="133">
        <v>0.998736345217954</v>
      </c>
      <c r="AI945" s="135">
        <v>0.92</v>
      </c>
      <c r="AJ945" s="133">
        <v>0.918928700687658</v>
      </c>
      <c r="AK945" s="133">
        <v>0.939252336448598</v>
      </c>
      <c r="AL945" s="133">
        <v>0.944859813084112</v>
      </c>
      <c r="AM945" s="133">
        <v>0.948978933653263</v>
      </c>
      <c r="AN945" s="132">
        <v>0.99</v>
      </c>
      <c r="AO945" s="137">
        <v>1</v>
      </c>
      <c r="AP945" s="137">
        <v>1</v>
      </c>
      <c r="AQ945" s="137">
        <v>1</v>
      </c>
      <c r="AR945" s="137">
        <v>1</v>
      </c>
      <c r="AS945" s="158">
        <v>0.0656418488929858</v>
      </c>
      <c r="AT945" s="141">
        <v>0.0666666666666667</v>
      </c>
      <c r="AU945" s="141">
        <v>0</v>
      </c>
      <c r="AV945" s="141">
        <v>0.133333333333333</v>
      </c>
      <c r="AW945" s="141">
        <v>0.0625</v>
      </c>
      <c r="AX945" s="95"/>
      <c r="AY945" s="93"/>
    </row>
    <row r="946" ht="15" spans="1:51">
      <c r="A946" s="91"/>
      <c r="B946" s="95"/>
      <c r="C946" s="180" t="s">
        <v>927</v>
      </c>
      <c r="D946" s="181" t="s">
        <v>25</v>
      </c>
      <c r="E946" s="130" t="s">
        <v>928</v>
      </c>
      <c r="F946" s="184" t="s">
        <v>975</v>
      </c>
      <c r="G946" s="185" t="s">
        <v>975</v>
      </c>
      <c r="H946" s="185" t="s">
        <v>975</v>
      </c>
      <c r="I946" s="185" t="s">
        <v>975</v>
      </c>
      <c r="J946" s="132">
        <v>0.9</v>
      </c>
      <c r="K946" s="133">
        <v>1</v>
      </c>
      <c r="L946" s="133">
        <v>1</v>
      </c>
      <c r="M946" s="134">
        <v>1</v>
      </c>
      <c r="N946" s="133">
        <v>0.9957805907173</v>
      </c>
      <c r="O946" s="135">
        <v>0.9</v>
      </c>
      <c r="P946" s="133">
        <v>0.981806775407779</v>
      </c>
      <c r="Q946" s="133">
        <v>0.982638888888889</v>
      </c>
      <c r="R946" s="133">
        <v>0.991169049621531</v>
      </c>
      <c r="S946" s="133">
        <v>0.983507884916336</v>
      </c>
      <c r="T946" s="135">
        <v>0.9</v>
      </c>
      <c r="U946" s="133">
        <v>0.962986198243413</v>
      </c>
      <c r="V946" s="133">
        <v>0.960416666666667</v>
      </c>
      <c r="W946" s="133">
        <v>0.968040370058873</v>
      </c>
      <c r="X946" s="133">
        <v>0.959191043698086</v>
      </c>
      <c r="Y946" s="135">
        <v>0.92</v>
      </c>
      <c r="Z946" s="135">
        <v>0.98501872659176</v>
      </c>
      <c r="AA946" s="135">
        <v>0.977040816326531</v>
      </c>
      <c r="AB946" s="135">
        <v>0.970149253731343</v>
      </c>
      <c r="AC946" s="135">
        <v>0.980107630213338</v>
      </c>
      <c r="AD946" s="135">
        <v>0.92</v>
      </c>
      <c r="AE946" s="133">
        <v>0.993783303730018</v>
      </c>
      <c r="AF946" s="133">
        <v>0.993056372837472</v>
      </c>
      <c r="AG946" s="133">
        <v>0.985863552550707</v>
      </c>
      <c r="AH946" s="133">
        <v>0.988741044012282</v>
      </c>
      <c r="AI946" s="135">
        <v>0.92</v>
      </c>
      <c r="AJ946" s="133">
        <v>0.984492481203007</v>
      </c>
      <c r="AK946" s="133">
        <v>0.986899563318777</v>
      </c>
      <c r="AL946" s="133">
        <v>0.98942198715527</v>
      </c>
      <c r="AM946" s="133">
        <v>0.989728698249398</v>
      </c>
      <c r="AN946" s="132">
        <v>0.99</v>
      </c>
      <c r="AO946" s="137">
        <v>1</v>
      </c>
      <c r="AP946" s="137">
        <v>1</v>
      </c>
      <c r="AQ946" s="137">
        <v>1</v>
      </c>
      <c r="AR946" s="137">
        <v>1</v>
      </c>
      <c r="AS946" s="158">
        <v>0.0656418488929858</v>
      </c>
      <c r="AT946" s="141">
        <v>0.0666666666666667</v>
      </c>
      <c r="AU946" s="141">
        <v>0</v>
      </c>
      <c r="AV946" s="141">
        <v>0</v>
      </c>
      <c r="AW946" s="141">
        <v>0.0276073619631902</v>
      </c>
      <c r="AX946" s="95"/>
      <c r="AY946" s="93"/>
    </row>
    <row r="947" ht="15" spans="1:51">
      <c r="A947" s="91"/>
      <c r="B947" s="95"/>
      <c r="C947" s="180" t="s">
        <v>927</v>
      </c>
      <c r="D947" s="181" t="s">
        <v>25</v>
      </c>
      <c r="E947" s="130" t="s">
        <v>928</v>
      </c>
      <c r="F947" s="184" t="s">
        <v>976</v>
      </c>
      <c r="G947" s="185" t="s">
        <v>976</v>
      </c>
      <c r="H947" s="185" t="s">
        <v>976</v>
      </c>
      <c r="I947" s="185" t="s">
        <v>976</v>
      </c>
      <c r="J947" s="132">
        <v>0.9</v>
      </c>
      <c r="K947" s="133">
        <v>0.971428571428571</v>
      </c>
      <c r="L947" s="133">
        <v>0.884615384615385</v>
      </c>
      <c r="M947" s="134">
        <v>0.870967741935484</v>
      </c>
      <c r="N947" s="133">
        <v>0.923344947735192</v>
      </c>
      <c r="O947" s="135">
        <v>0.9</v>
      </c>
      <c r="P947" s="133">
        <v>0.950235373234701</v>
      </c>
      <c r="Q947" s="133">
        <v>0.948905109489051</v>
      </c>
      <c r="R947" s="133">
        <v>0.950882212684788</v>
      </c>
      <c r="S947" s="133">
        <v>0.940127861054745</v>
      </c>
      <c r="T947" s="135">
        <v>0.9</v>
      </c>
      <c r="U947" s="133">
        <v>0.948217888365837</v>
      </c>
      <c r="V947" s="133">
        <v>0.958637469586375</v>
      </c>
      <c r="W947" s="133">
        <v>0.937529804482594</v>
      </c>
      <c r="X947" s="133">
        <v>0.920075931138313</v>
      </c>
      <c r="Y947" s="135">
        <v>0.92</v>
      </c>
      <c r="Z947" s="135">
        <v>0.933202357563851</v>
      </c>
      <c r="AA947" s="135">
        <v>0.87890625</v>
      </c>
      <c r="AB947" s="135">
        <v>0.831967213114754</v>
      </c>
      <c r="AC947" s="135">
        <v>0.869634849455477</v>
      </c>
      <c r="AD947" s="135">
        <v>0.92</v>
      </c>
      <c r="AE947" s="133">
        <v>1</v>
      </c>
      <c r="AF947" s="133">
        <v>0.997596153846154</v>
      </c>
      <c r="AG947" s="133">
        <v>1</v>
      </c>
      <c r="AH947" s="133">
        <v>0.994931491589618</v>
      </c>
      <c r="AI947" s="135">
        <v>0.92</v>
      </c>
      <c r="AJ947" s="133">
        <v>0.96046046046046</v>
      </c>
      <c r="AK947" s="133">
        <v>0.959731543624161</v>
      </c>
      <c r="AL947" s="133">
        <v>0.9508756941478</v>
      </c>
      <c r="AM947" s="133">
        <v>0.955256054924551</v>
      </c>
      <c r="AN947" s="132">
        <v>0.99</v>
      </c>
      <c r="AO947" s="137">
        <v>1</v>
      </c>
      <c r="AP947" s="137">
        <v>1</v>
      </c>
      <c r="AQ947" s="137">
        <v>1</v>
      </c>
      <c r="AR947" s="137">
        <v>1</v>
      </c>
      <c r="AS947" s="158">
        <v>0.0656418488929858</v>
      </c>
      <c r="AT947" s="141">
        <v>0</v>
      </c>
      <c r="AU947" s="141">
        <v>0.25</v>
      </c>
      <c r="AV947" s="141">
        <v>0.2</v>
      </c>
      <c r="AW947" s="141">
        <v>0.05859375</v>
      </c>
      <c r="AX947" s="95"/>
      <c r="AY947" s="93"/>
    </row>
    <row r="948" ht="15" spans="1:51">
      <c r="A948" s="91"/>
      <c r="B948" s="95"/>
      <c r="C948" s="180" t="s">
        <v>927</v>
      </c>
      <c r="D948" s="181" t="s">
        <v>25</v>
      </c>
      <c r="E948" s="130" t="s">
        <v>928</v>
      </c>
      <c r="F948" s="184" t="s">
        <v>977</v>
      </c>
      <c r="G948" s="185" t="s">
        <v>977</v>
      </c>
      <c r="H948" s="185" t="s">
        <v>977</v>
      </c>
      <c r="I948" s="185" t="s">
        <v>977</v>
      </c>
      <c r="J948" s="132">
        <v>0.9</v>
      </c>
      <c r="K948" s="133">
        <v>0.96551724137931</v>
      </c>
      <c r="L948" s="133">
        <v>0.695652173913043</v>
      </c>
      <c r="M948" s="134">
        <v>0.833333333333333</v>
      </c>
      <c r="N948" s="133">
        <v>0.867588932806324</v>
      </c>
      <c r="O948" s="135">
        <v>0.9</v>
      </c>
      <c r="P948" s="133">
        <v>0.973333333333333</v>
      </c>
      <c r="Q948" s="133">
        <v>0.957062146892655</v>
      </c>
      <c r="R948" s="133">
        <v>0.939457937346005</v>
      </c>
      <c r="S948" s="133">
        <v>0.940236947518501</v>
      </c>
      <c r="T948" s="135">
        <v>0.9</v>
      </c>
      <c r="U948" s="133">
        <v>0.926913580246914</v>
      </c>
      <c r="V948" s="133">
        <v>0.91638418079096</v>
      </c>
      <c r="W948" s="133">
        <v>0.890179514255544</v>
      </c>
      <c r="X948" s="133">
        <v>0.900332677031706</v>
      </c>
      <c r="Y948" s="135">
        <v>0.92</v>
      </c>
      <c r="Z948" s="135">
        <v>0.920679886685552</v>
      </c>
      <c r="AA948" s="135">
        <v>0.964824120603015</v>
      </c>
      <c r="AB948" s="135">
        <v>0.943820224719101</v>
      </c>
      <c r="AC948" s="135">
        <v>0.915923463596562</v>
      </c>
      <c r="AD948" s="135">
        <v>0.92</v>
      </c>
      <c r="AE948" s="133">
        <v>0.998487538633524</v>
      </c>
      <c r="AF948" s="133">
        <v>0.953602758480807</v>
      </c>
      <c r="AG948" s="133">
        <v>0.98921028466483</v>
      </c>
      <c r="AH948" s="133">
        <v>0.992026822731344</v>
      </c>
      <c r="AI948" s="135">
        <v>0.92</v>
      </c>
      <c r="AJ948" s="133">
        <v>0.95825704870011</v>
      </c>
      <c r="AK948" s="133">
        <v>0.962837837837838</v>
      </c>
      <c r="AL948" s="133">
        <v>0.929643527204503</v>
      </c>
      <c r="AM948" s="133">
        <v>0.95489945694119</v>
      </c>
      <c r="AN948" s="132">
        <v>0.99</v>
      </c>
      <c r="AO948" s="137">
        <v>1</v>
      </c>
      <c r="AP948" s="137">
        <v>1</v>
      </c>
      <c r="AQ948" s="137">
        <v>1</v>
      </c>
      <c r="AR948" s="137">
        <v>1</v>
      </c>
      <c r="AS948" s="158">
        <v>0.0656418488929858</v>
      </c>
      <c r="AT948" s="141">
        <v>0</v>
      </c>
      <c r="AU948" s="141">
        <v>0.15</v>
      </c>
      <c r="AV948" s="141">
        <v>0.0625</v>
      </c>
      <c r="AW948" s="141">
        <v>0.0926829268292683</v>
      </c>
      <c r="AX948" s="95"/>
      <c r="AY948" s="93"/>
    </row>
    <row r="949" ht="15" spans="1:51">
      <c r="A949" s="91"/>
      <c r="B949" s="95"/>
      <c r="C949" s="180" t="s">
        <v>927</v>
      </c>
      <c r="D949" s="181" t="s">
        <v>25</v>
      </c>
      <c r="E949" s="130" t="s">
        <v>928</v>
      </c>
      <c r="F949" s="184" t="s">
        <v>978</v>
      </c>
      <c r="G949" s="185" t="s">
        <v>978</v>
      </c>
      <c r="H949" s="185" t="s">
        <v>978</v>
      </c>
      <c r="I949" s="185" t="s">
        <v>978</v>
      </c>
      <c r="J949" s="132">
        <v>0.9</v>
      </c>
      <c r="K949" s="133">
        <v>1</v>
      </c>
      <c r="L949" s="133">
        <v>1</v>
      </c>
      <c r="M949" s="134">
        <v>1</v>
      </c>
      <c r="N949" s="133">
        <v>0.945378151260504</v>
      </c>
      <c r="O949" s="135">
        <v>0.9</v>
      </c>
      <c r="P949" s="133">
        <v>0.957310565635005</v>
      </c>
      <c r="Q949" s="133">
        <v>0.949131513647643</v>
      </c>
      <c r="R949" s="133">
        <v>0.94309559939302</v>
      </c>
      <c r="S949" s="133">
        <v>0.945163610212154</v>
      </c>
      <c r="T949" s="135">
        <v>0.9</v>
      </c>
      <c r="U949" s="133">
        <v>0.961579509071505</v>
      </c>
      <c r="V949" s="133">
        <v>0.925558312655087</v>
      </c>
      <c r="W949" s="133">
        <v>0.938543247344461</v>
      </c>
      <c r="X949" s="133">
        <v>0.922905429701546</v>
      </c>
      <c r="Y949" s="135">
        <v>0.92</v>
      </c>
      <c r="Z949" s="135">
        <v>0.925423728813559</v>
      </c>
      <c r="AA949" s="135">
        <v>0.875</v>
      </c>
      <c r="AB949" s="135">
        <v>0.934306569343066</v>
      </c>
      <c r="AC949" s="135">
        <v>0.914525241479861</v>
      </c>
      <c r="AD949" s="135">
        <v>0.92</v>
      </c>
      <c r="AE949" s="133">
        <v>0.98567335243553</v>
      </c>
      <c r="AF949" s="133">
        <v>0.997685185185185</v>
      </c>
      <c r="AG949" s="133">
        <v>0.973262032085562</v>
      </c>
      <c r="AH949" s="133">
        <v>0.933962264150943</v>
      </c>
      <c r="AI949" s="135">
        <v>0.92</v>
      </c>
      <c r="AJ949" s="133">
        <v>0.961850649350649</v>
      </c>
      <c r="AK949" s="133">
        <v>0.949275362318841</v>
      </c>
      <c r="AL949" s="133">
        <v>0.967010309278351</v>
      </c>
      <c r="AM949" s="133">
        <v>0.962429047661951</v>
      </c>
      <c r="AN949" s="132">
        <v>0.99</v>
      </c>
      <c r="AO949" s="137">
        <v>1</v>
      </c>
      <c r="AP949" s="137">
        <v>1</v>
      </c>
      <c r="AQ949" s="137">
        <v>1</v>
      </c>
      <c r="AR949" s="137">
        <v>1</v>
      </c>
      <c r="AS949" s="158">
        <v>0.0656418488929858</v>
      </c>
      <c r="AT949" s="141">
        <v>0</v>
      </c>
      <c r="AU949" s="141">
        <v>0</v>
      </c>
      <c r="AV949" s="141">
        <v>0</v>
      </c>
      <c r="AW949" s="141">
        <v>0.0427350427350427</v>
      </c>
      <c r="AX949" s="95"/>
      <c r="AY949" s="93"/>
    </row>
    <row r="950" ht="15" spans="1:51">
      <c r="A950" s="91"/>
      <c r="B950" s="95"/>
      <c r="C950" s="180" t="s">
        <v>927</v>
      </c>
      <c r="D950" s="181" t="s">
        <v>25</v>
      </c>
      <c r="E950" s="130" t="s">
        <v>928</v>
      </c>
      <c r="F950" s="184" t="s">
        <v>979</v>
      </c>
      <c r="G950" s="185" t="s">
        <v>979</v>
      </c>
      <c r="H950" s="185" t="s">
        <v>979</v>
      </c>
      <c r="I950" s="185" t="s">
        <v>979</v>
      </c>
      <c r="J950" s="132">
        <v>0.9</v>
      </c>
      <c r="K950" s="133">
        <v>0.952380952380952</v>
      </c>
      <c r="L950" s="133">
        <v>1</v>
      </c>
      <c r="M950" s="134">
        <v>0.944444444444444</v>
      </c>
      <c r="N950" s="133">
        <v>0.947945205479452</v>
      </c>
      <c r="O950" s="135">
        <v>0.9</v>
      </c>
      <c r="P950" s="133">
        <v>0.974774774774775</v>
      </c>
      <c r="Q950" s="133">
        <v>0.976506639427988</v>
      </c>
      <c r="R950" s="133">
        <v>0.976275207591934</v>
      </c>
      <c r="S950" s="133">
        <v>0.960725789769201</v>
      </c>
      <c r="T950" s="135">
        <v>0.9</v>
      </c>
      <c r="U950" s="133">
        <v>0.945945945945946</v>
      </c>
      <c r="V950" s="133">
        <v>0.955056179775281</v>
      </c>
      <c r="W950" s="133">
        <v>0.905693950177936</v>
      </c>
      <c r="X950" s="133">
        <v>0.930494399952717</v>
      </c>
      <c r="Y950" s="135">
        <v>0.92</v>
      </c>
      <c r="Z950" s="135">
        <v>0.953883495145631</v>
      </c>
      <c r="AA950" s="135">
        <v>0.965156794425087</v>
      </c>
      <c r="AB950" s="135">
        <v>0.940119760479042</v>
      </c>
      <c r="AC950" s="135">
        <v>0.963288665549972</v>
      </c>
      <c r="AD950" s="135">
        <v>0.92</v>
      </c>
      <c r="AE950" s="133">
        <v>0.999752413963852</v>
      </c>
      <c r="AF950" s="133">
        <v>0.998838896952104</v>
      </c>
      <c r="AG950" s="133">
        <v>0.998992950654582</v>
      </c>
      <c r="AH950" s="133">
        <v>0.998344420248784</v>
      </c>
      <c r="AI950" s="135">
        <v>0.92</v>
      </c>
      <c r="AJ950" s="133">
        <v>0.97634691195795</v>
      </c>
      <c r="AK950" s="133">
        <v>0.980252764612954</v>
      </c>
      <c r="AL950" s="133">
        <v>0.976794387479763</v>
      </c>
      <c r="AM950" s="133">
        <v>0.982368433887724</v>
      </c>
      <c r="AN950" s="132">
        <v>0.99</v>
      </c>
      <c r="AO950" s="137">
        <v>1</v>
      </c>
      <c r="AP950" s="137">
        <v>1</v>
      </c>
      <c r="AQ950" s="137">
        <v>1</v>
      </c>
      <c r="AR950" s="137">
        <v>1</v>
      </c>
      <c r="AS950" s="158">
        <v>0.0656418488929858</v>
      </c>
      <c r="AT950" s="141">
        <v>0.125</v>
      </c>
      <c r="AU950" s="141">
        <v>0</v>
      </c>
      <c r="AV950" s="141">
        <v>0.2</v>
      </c>
      <c r="AW950" s="141">
        <v>0.0494505494505494</v>
      </c>
      <c r="AX950" s="95"/>
      <c r="AY950" s="93"/>
    </row>
    <row r="951" ht="15" spans="1:51">
      <c r="A951" s="91"/>
      <c r="B951" s="95"/>
      <c r="C951" s="180" t="s">
        <v>927</v>
      </c>
      <c r="D951" s="181" t="s">
        <v>25</v>
      </c>
      <c r="E951" s="130" t="s">
        <v>928</v>
      </c>
      <c r="F951" s="184" t="s">
        <v>980</v>
      </c>
      <c r="G951" s="185" t="s">
        <v>980</v>
      </c>
      <c r="H951" s="185" t="s">
        <v>980</v>
      </c>
      <c r="I951" s="185" t="s">
        <v>980</v>
      </c>
      <c r="J951" s="132">
        <v>0.9</v>
      </c>
      <c r="K951" s="133">
        <v>0.916666666666667</v>
      </c>
      <c r="L951" s="133">
        <v>1</v>
      </c>
      <c r="M951" s="134">
        <v>0.944444444444444</v>
      </c>
      <c r="N951" s="133">
        <v>0.952924393723253</v>
      </c>
      <c r="O951" s="135">
        <v>0.9</v>
      </c>
      <c r="P951" s="133">
        <v>0.961810466760962</v>
      </c>
      <c r="Q951" s="133">
        <v>0.940387481371088</v>
      </c>
      <c r="R951" s="133">
        <v>0.8898756660746</v>
      </c>
      <c r="S951" s="133">
        <v>0.912140360311912</v>
      </c>
      <c r="T951" s="135">
        <v>0.9</v>
      </c>
      <c r="U951" s="133">
        <v>0.936350777934936</v>
      </c>
      <c r="V951" s="133">
        <v>0.928464977645306</v>
      </c>
      <c r="W951" s="133">
        <v>0.903641207815275</v>
      </c>
      <c r="X951" s="133">
        <v>0.907793313614771</v>
      </c>
      <c r="Y951" s="135">
        <v>0.92</v>
      </c>
      <c r="Z951" s="135">
        <v>0.715025906735751</v>
      </c>
      <c r="AA951" s="135">
        <v>0.675090252707581</v>
      </c>
      <c r="AB951" s="135">
        <v>0.633484162895928</v>
      </c>
      <c r="AC951" s="135">
        <v>0.733053221288515</v>
      </c>
      <c r="AD951" s="135">
        <v>0.92</v>
      </c>
      <c r="AE951" s="133">
        <v>0.986238532110092</v>
      </c>
      <c r="AF951" s="133">
        <v>0.982737361282367</v>
      </c>
      <c r="AG951" s="133">
        <v>0.977827050997783</v>
      </c>
      <c r="AH951" s="133">
        <v>0.985001568873549</v>
      </c>
      <c r="AI951" s="135">
        <v>0.92</v>
      </c>
      <c r="AJ951" s="133">
        <v>0.906666666666667</v>
      </c>
      <c r="AK951" s="133">
        <v>0.902408894379246</v>
      </c>
      <c r="AL951" s="133">
        <v>0.870713305898491</v>
      </c>
      <c r="AM951" s="133">
        <v>0.911604206570055</v>
      </c>
      <c r="AN951" s="132">
        <v>0.99</v>
      </c>
      <c r="AO951" s="137">
        <v>1</v>
      </c>
      <c r="AP951" s="137">
        <v>1</v>
      </c>
      <c r="AQ951" s="137">
        <v>1</v>
      </c>
      <c r="AR951" s="137">
        <v>1</v>
      </c>
      <c r="AS951" s="158">
        <v>0.0656418488929858</v>
      </c>
      <c r="AT951" s="141">
        <v>0</v>
      </c>
      <c r="AU951" s="141">
        <v>0</v>
      </c>
      <c r="AV951" s="141">
        <v>0.285714285714286</v>
      </c>
      <c r="AW951" s="141">
        <v>0.0318181818181818</v>
      </c>
      <c r="AX951" s="95"/>
      <c r="AY951" s="93"/>
    </row>
    <row r="952" ht="15" spans="1:51">
      <c r="A952" s="91"/>
      <c r="B952" s="95"/>
      <c r="C952" s="180" t="s">
        <v>927</v>
      </c>
      <c r="D952" s="181" t="s">
        <v>25</v>
      </c>
      <c r="E952" s="130" t="s">
        <v>928</v>
      </c>
      <c r="F952" s="190" t="s">
        <v>981</v>
      </c>
      <c r="G952" s="191" t="s">
        <v>981</v>
      </c>
      <c r="H952" s="191" t="s">
        <v>981</v>
      </c>
      <c r="I952" s="191" t="s">
        <v>981</v>
      </c>
      <c r="J952" s="132">
        <v>0.9</v>
      </c>
      <c r="K952" s="133">
        <v>0.894736842105263</v>
      </c>
      <c r="L952" s="133">
        <v>0.928571428571429</v>
      </c>
      <c r="M952" s="134">
        <v>0.909090909090909</v>
      </c>
      <c r="N952" s="133">
        <v>0.919614147909968</v>
      </c>
      <c r="O952" s="135">
        <v>0.9</v>
      </c>
      <c r="P952" s="133">
        <v>0.974970202622169</v>
      </c>
      <c r="Q952" s="133">
        <v>0.725053078556263</v>
      </c>
      <c r="R952" s="133">
        <v>0.443010752688172</v>
      </c>
      <c r="S952" s="133">
        <v>0.860772711451445</v>
      </c>
      <c r="T952" s="135">
        <v>0.9</v>
      </c>
      <c r="U952" s="133">
        <v>0.856972586412396</v>
      </c>
      <c r="V952" s="133">
        <v>0.581740976645435</v>
      </c>
      <c r="W952" s="133">
        <v>0.381362007168459</v>
      </c>
      <c r="X952" s="133">
        <v>0.778384963452837</v>
      </c>
      <c r="Y952" s="135">
        <v>0.92</v>
      </c>
      <c r="Z952" s="135" t="s">
        <v>35</v>
      </c>
      <c r="AA952" s="135" t="s">
        <v>35</v>
      </c>
      <c r="AB952" s="135" t="s">
        <v>35</v>
      </c>
      <c r="AC952" s="135">
        <v>0</v>
      </c>
      <c r="AD952" s="135">
        <v>0.92</v>
      </c>
      <c r="AE952" s="133">
        <v>1</v>
      </c>
      <c r="AF952" s="133">
        <v>0.985074626865672</v>
      </c>
      <c r="AG952" s="133">
        <v>1</v>
      </c>
      <c r="AH952" s="133">
        <v>0.971688574317492</v>
      </c>
      <c r="AI952" s="135">
        <v>0.92</v>
      </c>
      <c r="AJ952" s="133">
        <v>0.954707985697259</v>
      </c>
      <c r="AK952" s="133">
        <v>0.76963906581741</v>
      </c>
      <c r="AL952" s="133">
        <v>0.544086021505376</v>
      </c>
      <c r="AM952" s="133">
        <v>0.859985389779803</v>
      </c>
      <c r="AN952" s="132">
        <v>0.99</v>
      </c>
      <c r="AO952" s="137">
        <v>1</v>
      </c>
      <c r="AP952" s="137" t="s">
        <v>35</v>
      </c>
      <c r="AQ952" s="137">
        <v>1</v>
      </c>
      <c r="AR952" s="137">
        <v>1</v>
      </c>
      <c r="AS952" s="158">
        <v>0.0656418488929858</v>
      </c>
      <c r="AT952" s="141">
        <v>0.166666666666667</v>
      </c>
      <c r="AU952" s="141">
        <v>0</v>
      </c>
      <c r="AV952" s="141">
        <v>0</v>
      </c>
      <c r="AW952" s="141">
        <v>0.0769230769230769</v>
      </c>
      <c r="AX952" s="95"/>
      <c r="AY952" s="93"/>
    </row>
    <row r="953" ht="15" spans="1:51">
      <c r="A953" s="91"/>
      <c r="B953" s="95"/>
      <c r="C953" s="180" t="s">
        <v>927</v>
      </c>
      <c r="D953" s="181" t="s">
        <v>25</v>
      </c>
      <c r="E953" s="130" t="s">
        <v>928</v>
      </c>
      <c r="F953" s="184" t="s">
        <v>982</v>
      </c>
      <c r="G953" s="185" t="s">
        <v>982</v>
      </c>
      <c r="H953" s="185" t="s">
        <v>982</v>
      </c>
      <c r="I953" s="185" t="s">
        <v>982</v>
      </c>
      <c r="J953" s="132">
        <v>0.9</v>
      </c>
      <c r="K953" s="133">
        <v>0.96</v>
      </c>
      <c r="L953" s="133">
        <v>0.958333333333333</v>
      </c>
      <c r="M953" s="134">
        <v>0.925925925925926</v>
      </c>
      <c r="N953" s="133">
        <v>0.947916666666667</v>
      </c>
      <c r="O953" s="135">
        <v>0.9</v>
      </c>
      <c r="P953" s="133">
        <v>0.985413290113452</v>
      </c>
      <c r="Q953" s="133">
        <v>0.985537190082645</v>
      </c>
      <c r="R953" s="133">
        <v>0.987441860465116</v>
      </c>
      <c r="S953" s="133">
        <v>0.977409747947992</v>
      </c>
      <c r="T953" s="135">
        <v>0.9</v>
      </c>
      <c r="U953" s="133">
        <v>0.937601296596434</v>
      </c>
      <c r="V953" s="133">
        <v>0.915977961432507</v>
      </c>
      <c r="W953" s="133">
        <v>0.897674418604651</v>
      </c>
      <c r="X953" s="133">
        <v>0.90295634488269</v>
      </c>
      <c r="Y953" s="135">
        <v>0.92</v>
      </c>
      <c r="Z953" s="135">
        <v>0</v>
      </c>
      <c r="AA953" s="135">
        <v>0</v>
      </c>
      <c r="AB953" s="135" t="s">
        <v>35</v>
      </c>
      <c r="AC953" s="135">
        <v>0</v>
      </c>
      <c r="AD953" s="135">
        <v>0.92</v>
      </c>
      <c r="AE953" s="133">
        <v>0.993774319066148</v>
      </c>
      <c r="AF953" s="133">
        <v>0.993386243386243</v>
      </c>
      <c r="AG953" s="133">
        <v>0.97787610619469</v>
      </c>
      <c r="AH953" s="133">
        <v>0.987811533563762</v>
      </c>
      <c r="AI953" s="135">
        <v>0.92</v>
      </c>
      <c r="AJ953" s="133">
        <v>0.952265372168285</v>
      </c>
      <c r="AK953" s="133">
        <v>0.969717825189264</v>
      </c>
      <c r="AL953" s="133">
        <v>0.966511627906977</v>
      </c>
      <c r="AM953" s="133">
        <v>0.96840882132223</v>
      </c>
      <c r="AN953" s="132">
        <v>0.99</v>
      </c>
      <c r="AO953" s="137">
        <v>1</v>
      </c>
      <c r="AP953" s="137">
        <v>1</v>
      </c>
      <c r="AQ953" s="137">
        <v>1</v>
      </c>
      <c r="AR953" s="137">
        <v>1</v>
      </c>
      <c r="AS953" s="158">
        <v>0.0656418488929858</v>
      </c>
      <c r="AT953" s="141">
        <v>0</v>
      </c>
      <c r="AU953" s="141">
        <v>0</v>
      </c>
      <c r="AV953" s="141">
        <v>0</v>
      </c>
      <c r="AW953" s="141">
        <v>0.0639269406392694</v>
      </c>
      <c r="AX953" s="95"/>
      <c r="AY953" s="93"/>
    </row>
    <row r="954" ht="15" spans="1:51">
      <c r="A954" s="91"/>
      <c r="B954" s="95"/>
      <c r="C954" s="180" t="s">
        <v>927</v>
      </c>
      <c r="D954" s="181" t="s">
        <v>25</v>
      </c>
      <c r="E954" s="130" t="s">
        <v>928</v>
      </c>
      <c r="F954" s="186" t="s">
        <v>983</v>
      </c>
      <c r="G954" s="187" t="s">
        <v>983</v>
      </c>
      <c r="H954" s="187" t="s">
        <v>983</v>
      </c>
      <c r="I954" s="187" t="s">
        <v>983</v>
      </c>
      <c r="J954" s="132">
        <v>0.9</v>
      </c>
      <c r="K954" s="133">
        <v>0.931034482758621</v>
      </c>
      <c r="L954" s="133">
        <v>0.9375</v>
      </c>
      <c r="M954" s="134">
        <v>0.961538461538462</v>
      </c>
      <c r="N954" s="133">
        <v>0.952380952380952</v>
      </c>
      <c r="O954" s="135">
        <v>0.9</v>
      </c>
      <c r="P954" s="133">
        <v>0.937296416938111</v>
      </c>
      <c r="Q954" s="133">
        <v>0.91545793617903</v>
      </c>
      <c r="R954" s="133">
        <v>0.930685358255452</v>
      </c>
      <c r="S954" s="133">
        <v>0.937531136107397</v>
      </c>
      <c r="T954" s="135">
        <v>0.9</v>
      </c>
      <c r="U954" s="133">
        <v>0.9185667752443</v>
      </c>
      <c r="V954" s="133">
        <v>0.903439701616245</v>
      </c>
      <c r="W954" s="133">
        <v>0.908618899273105</v>
      </c>
      <c r="X954" s="133">
        <v>0.910773748656231</v>
      </c>
      <c r="Y954" s="135">
        <v>0.92</v>
      </c>
      <c r="Z954" s="135">
        <v>0.870481927710843</v>
      </c>
      <c r="AA954" s="135">
        <v>0.634297520661157</v>
      </c>
      <c r="AB954" s="135">
        <v>0.713671539122958</v>
      </c>
      <c r="AC954" s="135">
        <v>0.80671491538336</v>
      </c>
      <c r="AD954" s="135">
        <v>0.92</v>
      </c>
      <c r="AE954" s="133">
        <v>0.98043308113749</v>
      </c>
      <c r="AF954" s="133">
        <v>0.978576445797237</v>
      </c>
      <c r="AG954" s="133">
        <v>0.985491588208057</v>
      </c>
      <c r="AH954" s="133">
        <v>0.971247767219799</v>
      </c>
      <c r="AI954" s="135">
        <v>0.92</v>
      </c>
      <c r="AJ954" s="133">
        <v>0.946794871794872</v>
      </c>
      <c r="AK954" s="133">
        <v>0.895409043838454</v>
      </c>
      <c r="AL954" s="133">
        <v>0.896510468594217</v>
      </c>
      <c r="AM954" s="133">
        <v>0.929990069513406</v>
      </c>
      <c r="AN954" s="132">
        <v>0.99</v>
      </c>
      <c r="AO954" s="137">
        <v>1</v>
      </c>
      <c r="AP954" s="137">
        <v>1</v>
      </c>
      <c r="AQ954" s="137">
        <v>1</v>
      </c>
      <c r="AR954" s="137">
        <v>1</v>
      </c>
      <c r="AS954" s="158">
        <v>0.0656418488929858</v>
      </c>
      <c r="AT954" s="141">
        <v>0.0833333333333333</v>
      </c>
      <c r="AU954" s="141">
        <v>0.157894736842105</v>
      </c>
      <c r="AV954" s="141">
        <v>0.0357142857142857</v>
      </c>
      <c r="AW954" s="141">
        <v>0.0414201183431953</v>
      </c>
      <c r="AX954" s="95"/>
      <c r="AY954" s="93"/>
    </row>
    <row r="955" ht="15" spans="1:51">
      <c r="A955" s="91"/>
      <c r="B955" s="95"/>
      <c r="C955" s="180" t="s">
        <v>927</v>
      </c>
      <c r="D955" s="181" t="s">
        <v>25</v>
      </c>
      <c r="E955" s="130" t="s">
        <v>928</v>
      </c>
      <c r="F955" s="184" t="s">
        <v>984</v>
      </c>
      <c r="G955" s="185" t="s">
        <v>984</v>
      </c>
      <c r="H955" s="185" t="s">
        <v>984</v>
      </c>
      <c r="I955" s="185" t="s">
        <v>984</v>
      </c>
      <c r="J955" s="132">
        <v>0.9</v>
      </c>
      <c r="K955" s="133">
        <v>1</v>
      </c>
      <c r="L955" s="133">
        <v>1</v>
      </c>
      <c r="M955" s="134">
        <v>0.96969696969697</v>
      </c>
      <c r="N955" s="133">
        <v>0.985413290113452</v>
      </c>
      <c r="O955" s="135">
        <v>0.9</v>
      </c>
      <c r="P955" s="133">
        <v>0.978021978021978</v>
      </c>
      <c r="Q955" s="133">
        <v>0.966425619834711</v>
      </c>
      <c r="R955" s="133">
        <v>0.957405236420477</v>
      </c>
      <c r="S955" s="133">
        <v>0.965581664098613</v>
      </c>
      <c r="T955" s="135">
        <v>0.9</v>
      </c>
      <c r="U955" s="133">
        <v>0.945054945054945</v>
      </c>
      <c r="V955" s="133">
        <v>0.920971074380165</v>
      </c>
      <c r="W955" s="133">
        <v>0.907776475185619</v>
      </c>
      <c r="X955" s="133">
        <v>0.911267334360555</v>
      </c>
      <c r="Y955" s="135">
        <v>0.92</v>
      </c>
      <c r="Z955" s="135" t="s">
        <v>35</v>
      </c>
      <c r="AA955" s="135">
        <v>0.2</v>
      </c>
      <c r="AB955" s="135" t="s">
        <v>35</v>
      </c>
      <c r="AC955" s="135">
        <v>0.107142857142857</v>
      </c>
      <c r="AD955" s="135">
        <v>0.92</v>
      </c>
      <c r="AE955" s="133">
        <v>0.992481203007519</v>
      </c>
      <c r="AF955" s="133">
        <v>0.965601965601966</v>
      </c>
      <c r="AG955" s="133">
        <v>0.96969696969697</v>
      </c>
      <c r="AH955" s="133">
        <v>0.969035777314295</v>
      </c>
      <c r="AI955" s="135">
        <v>0.92</v>
      </c>
      <c r="AJ955" s="133">
        <v>0.962225274725275</v>
      </c>
      <c r="AK955" s="133">
        <v>0.951571354971664</v>
      </c>
      <c r="AL955" s="133">
        <v>0.94294646346229</v>
      </c>
      <c r="AM955" s="133">
        <v>0.966524860921288</v>
      </c>
      <c r="AN955" s="132">
        <v>0.99</v>
      </c>
      <c r="AO955" s="137">
        <v>1</v>
      </c>
      <c r="AP955" s="137">
        <v>1</v>
      </c>
      <c r="AQ955" s="137">
        <v>1</v>
      </c>
      <c r="AR955" s="137">
        <v>1</v>
      </c>
      <c r="AS955" s="158">
        <v>0.0656418488929858</v>
      </c>
      <c r="AT955" s="141">
        <v>0.142857142857143</v>
      </c>
      <c r="AU955" s="141">
        <v>0.125</v>
      </c>
      <c r="AV955" s="141">
        <v>0.25</v>
      </c>
      <c r="AW955" s="141">
        <v>0.0697674418604651</v>
      </c>
      <c r="AX955" s="95"/>
      <c r="AY955" s="93"/>
    </row>
    <row r="956" ht="15" spans="1:51">
      <c r="A956" s="91"/>
      <c r="B956" s="95"/>
      <c r="C956" s="180" t="s">
        <v>927</v>
      </c>
      <c r="D956" s="181" t="s">
        <v>25</v>
      </c>
      <c r="E956" s="130" t="s">
        <v>928</v>
      </c>
      <c r="F956" s="184" t="s">
        <v>985</v>
      </c>
      <c r="G956" s="185" t="s">
        <v>985</v>
      </c>
      <c r="H956" s="185" t="s">
        <v>985</v>
      </c>
      <c r="I956" s="185" t="s">
        <v>985</v>
      </c>
      <c r="J956" s="132">
        <v>0.9</v>
      </c>
      <c r="K956" s="133">
        <v>0.952380952380952</v>
      </c>
      <c r="L956" s="133">
        <v>0.948717948717949</v>
      </c>
      <c r="M956" s="134">
        <v>0.948717948717949</v>
      </c>
      <c r="N956" s="133">
        <v>0.948905109489051</v>
      </c>
      <c r="O956" s="135">
        <v>0.9</v>
      </c>
      <c r="P956" s="133">
        <v>0.953305351521511</v>
      </c>
      <c r="Q956" s="133">
        <v>0.94468085106383</v>
      </c>
      <c r="R956" s="133">
        <v>0.921598077500751</v>
      </c>
      <c r="S956" s="133">
        <v>0.927655030542862</v>
      </c>
      <c r="T956" s="135">
        <v>0.9</v>
      </c>
      <c r="U956" s="133">
        <v>0.919202518363064</v>
      </c>
      <c r="V956" s="133">
        <v>0.922553191489362</v>
      </c>
      <c r="W956" s="133">
        <v>0.881345749474317</v>
      </c>
      <c r="X956" s="133">
        <v>0.915343666085646</v>
      </c>
      <c r="Y956" s="135">
        <v>0.92</v>
      </c>
      <c r="Z956" s="135">
        <v>0</v>
      </c>
      <c r="AA956" s="135">
        <v>0</v>
      </c>
      <c r="AB956" s="135">
        <v>0</v>
      </c>
      <c r="AC956" s="135">
        <v>0.0588235294117647</v>
      </c>
      <c r="AD956" s="135">
        <v>0.92</v>
      </c>
      <c r="AE956" s="133">
        <v>0.99893730074389</v>
      </c>
      <c r="AF956" s="133">
        <v>0.970776255707763</v>
      </c>
      <c r="AG956" s="133">
        <v>0.883910386965377</v>
      </c>
      <c r="AH956" s="133">
        <v>0.983863662099422</v>
      </c>
      <c r="AI956" s="135">
        <v>0.92</v>
      </c>
      <c r="AJ956" s="133">
        <v>0.935044525929806</v>
      </c>
      <c r="AK956" s="133">
        <v>0.946428571428571</v>
      </c>
      <c r="AL956" s="133">
        <v>0.94024024024024</v>
      </c>
      <c r="AM956" s="133">
        <v>0.955348034214863</v>
      </c>
      <c r="AN956" s="132">
        <v>0.99</v>
      </c>
      <c r="AO956" s="137">
        <v>1</v>
      </c>
      <c r="AP956" s="137">
        <v>1</v>
      </c>
      <c r="AQ956" s="137">
        <v>1</v>
      </c>
      <c r="AR956" s="137">
        <v>1</v>
      </c>
      <c r="AS956" s="158">
        <v>0.0656418488929858</v>
      </c>
      <c r="AT956" s="141">
        <v>0.142857142857143</v>
      </c>
      <c r="AU956" s="141">
        <v>0.0769230769230769</v>
      </c>
      <c r="AV956" s="141">
        <v>0</v>
      </c>
      <c r="AW956" s="141">
        <v>0.0286624203821656</v>
      </c>
      <c r="AX956" s="95"/>
      <c r="AY956" s="93"/>
    </row>
    <row r="957" ht="15" spans="1:51">
      <c r="A957" s="91"/>
      <c r="B957" s="95"/>
      <c r="C957" s="180" t="s">
        <v>927</v>
      </c>
      <c r="D957" s="181" t="s">
        <v>25</v>
      </c>
      <c r="E957" s="130" t="s">
        <v>928</v>
      </c>
      <c r="F957" s="184" t="s">
        <v>986</v>
      </c>
      <c r="G957" s="185" t="s">
        <v>986</v>
      </c>
      <c r="H957" s="185" t="s">
        <v>986</v>
      </c>
      <c r="I957" s="185" t="s">
        <v>986</v>
      </c>
      <c r="J957" s="132">
        <v>0.9</v>
      </c>
      <c r="K957" s="133">
        <v>0.941176470588235</v>
      </c>
      <c r="L957" s="133">
        <v>0.92</v>
      </c>
      <c r="M957" s="134">
        <v>0.91304347826087</v>
      </c>
      <c r="N957" s="133">
        <v>0.926565874730022</v>
      </c>
      <c r="O957" s="135">
        <v>0.9</v>
      </c>
      <c r="P957" s="133">
        <v>0.936570086139389</v>
      </c>
      <c r="Q957" s="133">
        <v>0.941436840313245</v>
      </c>
      <c r="R957" s="133">
        <v>0.872513779055835</v>
      </c>
      <c r="S957" s="133">
        <v>0.916738712776177</v>
      </c>
      <c r="T957" s="135">
        <v>0.9</v>
      </c>
      <c r="U957" s="133">
        <v>0.941660140955364</v>
      </c>
      <c r="V957" s="133">
        <v>0.930541368743616</v>
      </c>
      <c r="W957" s="133">
        <v>0.872034507548526</v>
      </c>
      <c r="X957" s="133">
        <v>0.903674351585014</v>
      </c>
      <c r="Y957" s="135">
        <v>0.92</v>
      </c>
      <c r="Z957" s="135">
        <v>0</v>
      </c>
      <c r="AA957" s="135">
        <v>0</v>
      </c>
      <c r="AB957" s="135">
        <v>0</v>
      </c>
      <c r="AC957" s="135">
        <v>0</v>
      </c>
      <c r="AD957" s="135">
        <v>0.92</v>
      </c>
      <c r="AE957" s="133">
        <v>0.957174231332357</v>
      </c>
      <c r="AF957" s="133">
        <v>0.982847341337907</v>
      </c>
      <c r="AG957" s="133">
        <v>0.938775510204082</v>
      </c>
      <c r="AH957" s="133">
        <v>0.972964098073555</v>
      </c>
      <c r="AI957" s="135">
        <v>0.92</v>
      </c>
      <c r="AJ957" s="133">
        <v>0.953852170512319</v>
      </c>
      <c r="AK957" s="133">
        <v>0.953061224489796</v>
      </c>
      <c r="AL957" s="133">
        <v>0.89125748502994</v>
      </c>
      <c r="AM957" s="133">
        <v>0.935848966022156</v>
      </c>
      <c r="AN957" s="132">
        <v>0.99</v>
      </c>
      <c r="AO957" s="137">
        <v>1</v>
      </c>
      <c r="AP957" s="137">
        <v>1</v>
      </c>
      <c r="AQ957" s="137">
        <v>1</v>
      </c>
      <c r="AR957" s="137">
        <v>1</v>
      </c>
      <c r="AS957" s="158">
        <v>0.0656418488929858</v>
      </c>
      <c r="AT957" s="141">
        <v>0</v>
      </c>
      <c r="AU957" s="141">
        <v>0.166666666666667</v>
      </c>
      <c r="AV957" s="141">
        <v>0.0454545454545455</v>
      </c>
      <c r="AW957" s="141">
        <v>0.063013698630137</v>
      </c>
      <c r="AX957" s="95"/>
      <c r="AY957" s="93"/>
    </row>
    <row r="958" ht="15" spans="1:51">
      <c r="A958" s="91"/>
      <c r="B958" s="95"/>
      <c r="C958" s="180" t="s">
        <v>927</v>
      </c>
      <c r="D958" s="181" t="s">
        <v>25</v>
      </c>
      <c r="E958" s="130" t="s">
        <v>928</v>
      </c>
      <c r="F958" s="184" t="s">
        <v>987</v>
      </c>
      <c r="G958" s="185" t="s">
        <v>987</v>
      </c>
      <c r="H958" s="185" t="s">
        <v>987</v>
      </c>
      <c r="I958" s="185" t="s">
        <v>987</v>
      </c>
      <c r="J958" s="132">
        <v>0.9</v>
      </c>
      <c r="K958" s="133">
        <v>0.914285714285714</v>
      </c>
      <c r="L958" s="133">
        <v>0.882352941176471</v>
      </c>
      <c r="M958" s="134">
        <v>0.942857142857143</v>
      </c>
      <c r="N958" s="133">
        <v>0.926793557833089</v>
      </c>
      <c r="O958" s="135">
        <v>0.9</v>
      </c>
      <c r="P958" s="133">
        <v>0.97554347826087</v>
      </c>
      <c r="Q958" s="133">
        <v>0.96234309623431</v>
      </c>
      <c r="R958" s="133">
        <v>0.911734866418668</v>
      </c>
      <c r="S958" s="133">
        <v>0.950985633144003</v>
      </c>
      <c r="T958" s="135">
        <v>0.9</v>
      </c>
      <c r="U958" s="133">
        <v>0.942934782608696</v>
      </c>
      <c r="V958" s="133">
        <v>0.919107391910739</v>
      </c>
      <c r="W958" s="133">
        <v>0.892458572877917</v>
      </c>
      <c r="X958" s="133">
        <v>0.920180420982292</v>
      </c>
      <c r="Y958" s="135">
        <v>0.92</v>
      </c>
      <c r="Z958" s="135">
        <v>0</v>
      </c>
      <c r="AA958" s="135">
        <v>0</v>
      </c>
      <c r="AB958" s="135">
        <v>0</v>
      </c>
      <c r="AC958" s="135">
        <v>0.0882352941176471</v>
      </c>
      <c r="AD958" s="135">
        <v>0.92</v>
      </c>
      <c r="AE958" s="133">
        <v>0.981481481481482</v>
      </c>
      <c r="AF958" s="133">
        <v>0.983981693363844</v>
      </c>
      <c r="AG958" s="133">
        <v>0.983282674772036</v>
      </c>
      <c r="AH958" s="133">
        <v>0.982524532867321</v>
      </c>
      <c r="AI958" s="135">
        <v>0.92</v>
      </c>
      <c r="AJ958" s="133">
        <v>0.959305480195334</v>
      </c>
      <c r="AK958" s="133">
        <v>0.957831325301205</v>
      </c>
      <c r="AL958" s="133">
        <v>0.942548158161541</v>
      </c>
      <c r="AM958" s="133">
        <v>0.958043242340763</v>
      </c>
      <c r="AN958" s="132">
        <v>0.99</v>
      </c>
      <c r="AO958" s="137">
        <v>1</v>
      </c>
      <c r="AP958" s="137">
        <v>1</v>
      </c>
      <c r="AQ958" s="137">
        <v>1</v>
      </c>
      <c r="AR958" s="137">
        <v>1</v>
      </c>
      <c r="AS958" s="158">
        <v>0.0656418488929858</v>
      </c>
      <c r="AT958" s="141">
        <v>0</v>
      </c>
      <c r="AU958" s="141">
        <v>0</v>
      </c>
      <c r="AV958" s="141">
        <v>0</v>
      </c>
      <c r="AW958" s="141">
        <v>0.0297619047619048</v>
      </c>
      <c r="AX958" s="95"/>
      <c r="AY958" s="93"/>
    </row>
    <row r="959" ht="15" spans="1:51">
      <c r="A959" s="91"/>
      <c r="B959" s="95"/>
      <c r="C959" s="180" t="s">
        <v>927</v>
      </c>
      <c r="D959" s="181" t="s">
        <v>25</v>
      </c>
      <c r="E959" s="130" t="s">
        <v>928</v>
      </c>
      <c r="F959" s="192" t="s">
        <v>988</v>
      </c>
      <c r="G959" s="193" t="s">
        <v>988</v>
      </c>
      <c r="H959" s="193" t="s">
        <v>988</v>
      </c>
      <c r="I959" s="193" t="s">
        <v>988</v>
      </c>
      <c r="J959" s="132">
        <v>0.9</v>
      </c>
      <c r="K959" s="133">
        <v>1</v>
      </c>
      <c r="L959" s="133">
        <v>0.918918918918919</v>
      </c>
      <c r="M959" s="134">
        <v>0.948717948717949</v>
      </c>
      <c r="N959" s="133">
        <v>0.954301075268817</v>
      </c>
      <c r="O959" s="135">
        <v>0.9</v>
      </c>
      <c r="P959" s="133">
        <v>0.94752358490566</v>
      </c>
      <c r="Q959" s="133">
        <v>0.961654135338346</v>
      </c>
      <c r="R959" s="133">
        <v>0.980304955527319</v>
      </c>
      <c r="S959" s="133">
        <v>0.964890030502488</v>
      </c>
      <c r="T959" s="135">
        <v>0.9</v>
      </c>
      <c r="U959" s="133">
        <v>0.943985849056604</v>
      </c>
      <c r="V959" s="133">
        <v>0.933458646616541</v>
      </c>
      <c r="W959" s="133">
        <v>0.926302414231258</v>
      </c>
      <c r="X959" s="133">
        <v>0.922186546797239</v>
      </c>
      <c r="Y959" s="135">
        <v>0.92</v>
      </c>
      <c r="Z959" s="135">
        <v>0</v>
      </c>
      <c r="AA959" s="135">
        <v>0</v>
      </c>
      <c r="AB959" s="135">
        <v>0</v>
      </c>
      <c r="AC959" s="135">
        <v>0.0294117647058824</v>
      </c>
      <c r="AD959" s="135">
        <v>0.92</v>
      </c>
      <c r="AE959" s="133">
        <v>0.971074380165289</v>
      </c>
      <c r="AF959" s="133">
        <v>0.723529411764706</v>
      </c>
      <c r="AG959" s="133">
        <v>0.727272727272727</v>
      </c>
      <c r="AH959" s="133">
        <v>0.91639467737886</v>
      </c>
      <c r="AI959" s="135">
        <v>0.92</v>
      </c>
      <c r="AJ959" s="133">
        <v>0.956444967628016</v>
      </c>
      <c r="AK959" s="133">
        <v>0.957926371149512</v>
      </c>
      <c r="AL959" s="133">
        <v>0.957142857142857</v>
      </c>
      <c r="AM959" s="133">
        <v>0.962470918572002</v>
      </c>
      <c r="AN959" s="132">
        <v>0.99</v>
      </c>
      <c r="AO959" s="137">
        <v>1</v>
      </c>
      <c r="AP959" s="137">
        <v>1</v>
      </c>
      <c r="AQ959" s="137">
        <v>1</v>
      </c>
      <c r="AR959" s="137">
        <v>1</v>
      </c>
      <c r="AS959" s="158">
        <v>0.0656418488929858</v>
      </c>
      <c r="AT959" s="141">
        <v>0</v>
      </c>
      <c r="AU959" s="141">
        <v>0</v>
      </c>
      <c r="AV959" s="141">
        <v>0</v>
      </c>
      <c r="AW959" s="141">
        <v>0.0204081632653061</v>
      </c>
      <c r="AX959" s="95"/>
      <c r="AY959" s="93"/>
    </row>
    <row r="960" ht="15" spans="1:51">
      <c r="A960" s="91"/>
      <c r="B960" s="95"/>
      <c r="C960" s="180" t="s">
        <v>927</v>
      </c>
      <c r="D960" s="181" t="s">
        <v>25</v>
      </c>
      <c r="E960" s="130" t="s">
        <v>928</v>
      </c>
      <c r="F960" s="182" t="s">
        <v>989</v>
      </c>
      <c r="G960" s="183" t="s">
        <v>989</v>
      </c>
      <c r="H960" s="183" t="s">
        <v>989</v>
      </c>
      <c r="I960" s="183" t="s">
        <v>989</v>
      </c>
      <c r="J960" s="132">
        <v>0.9</v>
      </c>
      <c r="K960" s="133">
        <v>1</v>
      </c>
      <c r="L960" s="133">
        <v>1</v>
      </c>
      <c r="M960" s="134">
        <v>1</v>
      </c>
      <c r="N960" s="133">
        <v>0.969788519637462</v>
      </c>
      <c r="O960" s="135">
        <v>0.9</v>
      </c>
      <c r="P960" s="133">
        <v>0.986539984164687</v>
      </c>
      <c r="Q960" s="133">
        <v>0.934131736526946</v>
      </c>
      <c r="R960" s="133">
        <v>0.974926253687316</v>
      </c>
      <c r="S960" s="133">
        <v>0.968599600892123</v>
      </c>
      <c r="T960" s="135">
        <v>0.9</v>
      </c>
      <c r="U960" s="133">
        <v>0.92874109263658</v>
      </c>
      <c r="V960" s="133">
        <v>0.904191616766467</v>
      </c>
      <c r="W960" s="133">
        <v>0.921828908554572</v>
      </c>
      <c r="X960" s="133">
        <v>0.931095198967015</v>
      </c>
      <c r="Y960" s="135">
        <v>0.92</v>
      </c>
      <c r="Z960" s="135" t="s">
        <v>35</v>
      </c>
      <c r="AA960" s="135" t="s">
        <v>35</v>
      </c>
      <c r="AB960" s="135" t="s">
        <v>35</v>
      </c>
      <c r="AC960" s="135" t="s">
        <v>35</v>
      </c>
      <c r="AD960" s="135">
        <v>0.92</v>
      </c>
      <c r="AE960" s="133">
        <v>0.994708994708995</v>
      </c>
      <c r="AF960" s="133">
        <v>1</v>
      </c>
      <c r="AG960" s="133">
        <v>0.982905982905983</v>
      </c>
      <c r="AH960" s="133">
        <v>0.995677731673582</v>
      </c>
      <c r="AI960" s="135">
        <v>0.92</v>
      </c>
      <c r="AJ960" s="133">
        <v>0.939825811559778</v>
      </c>
      <c r="AK960" s="133">
        <v>0.922155688622755</v>
      </c>
      <c r="AL960" s="133">
        <v>0.940511307767945</v>
      </c>
      <c r="AM960" s="133">
        <v>0.949407207418711</v>
      </c>
      <c r="AN960" s="132">
        <v>0.99</v>
      </c>
      <c r="AO960" s="137">
        <v>1</v>
      </c>
      <c r="AP960" s="137">
        <v>1</v>
      </c>
      <c r="AQ960" s="137">
        <v>1</v>
      </c>
      <c r="AR960" s="137">
        <v>1</v>
      </c>
      <c r="AS960" s="158">
        <v>0.0656418488929858</v>
      </c>
      <c r="AT960" s="141">
        <v>0</v>
      </c>
      <c r="AU960" s="141">
        <v>0</v>
      </c>
      <c r="AV960" s="141">
        <v>0</v>
      </c>
      <c r="AW960" s="141">
        <v>0.040133779264214</v>
      </c>
      <c r="AX960" s="95"/>
      <c r="AY960" s="93"/>
    </row>
    <row r="961" ht="15" spans="1:51">
      <c r="A961" s="91"/>
      <c r="B961" s="95"/>
      <c r="C961" s="180" t="s">
        <v>927</v>
      </c>
      <c r="D961" s="181" t="s">
        <v>25</v>
      </c>
      <c r="E961" s="130" t="s">
        <v>928</v>
      </c>
      <c r="F961" s="182" t="s">
        <v>990</v>
      </c>
      <c r="G961" s="183" t="s">
        <v>990</v>
      </c>
      <c r="H961" s="183" t="s">
        <v>990</v>
      </c>
      <c r="I961" s="183" t="s">
        <v>990</v>
      </c>
      <c r="J961" s="132">
        <v>0.9</v>
      </c>
      <c r="K961" s="133">
        <v>1</v>
      </c>
      <c r="L961" s="133">
        <v>0.923076923076923</v>
      </c>
      <c r="M961" s="134">
        <v>1</v>
      </c>
      <c r="N961" s="133">
        <v>0.956953642384106</v>
      </c>
      <c r="O961" s="135">
        <v>0.9</v>
      </c>
      <c r="P961" s="133">
        <v>0.993896236012208</v>
      </c>
      <c r="Q961" s="133">
        <v>0.998567335243553</v>
      </c>
      <c r="R961" s="133">
        <v>0.98160237388724</v>
      </c>
      <c r="S961" s="133">
        <v>0.980626741893821</v>
      </c>
      <c r="T961" s="135">
        <v>0.9</v>
      </c>
      <c r="U961" s="133">
        <v>0.966429298067141</v>
      </c>
      <c r="V961" s="133">
        <v>0.924068767908309</v>
      </c>
      <c r="W961" s="133">
        <v>0.929376854599407</v>
      </c>
      <c r="X961" s="133">
        <v>0.933349194480321</v>
      </c>
      <c r="Y961" s="135">
        <v>0.92</v>
      </c>
      <c r="Z961" s="135" t="s">
        <v>35</v>
      </c>
      <c r="AA961" s="135" t="s">
        <v>35</v>
      </c>
      <c r="AB961" s="135" t="s">
        <v>35</v>
      </c>
      <c r="AC961" s="135" t="s">
        <v>35</v>
      </c>
      <c r="AD961" s="135">
        <v>0.92</v>
      </c>
      <c r="AE961" s="133">
        <v>0.993464052287582</v>
      </c>
      <c r="AF961" s="133">
        <v>1</v>
      </c>
      <c r="AG961" s="133">
        <v>1</v>
      </c>
      <c r="AH961" s="133">
        <v>0.995225464190981</v>
      </c>
      <c r="AI961" s="135">
        <v>0.92</v>
      </c>
      <c r="AJ961" s="133">
        <v>0.979654120040692</v>
      </c>
      <c r="AK961" s="133">
        <v>0.967048710601719</v>
      </c>
      <c r="AL961" s="133">
        <v>0.960830860534125</v>
      </c>
      <c r="AM961" s="133">
        <v>0.973625178437904</v>
      </c>
      <c r="AN961" s="132">
        <v>0.99</v>
      </c>
      <c r="AO961" s="137">
        <v>1</v>
      </c>
      <c r="AP961" s="137">
        <v>1</v>
      </c>
      <c r="AQ961" s="137">
        <v>1</v>
      </c>
      <c r="AR961" s="137">
        <v>1</v>
      </c>
      <c r="AS961" s="158">
        <v>0.0656418488929858</v>
      </c>
      <c r="AT961" s="141">
        <v>0.0714285714285714</v>
      </c>
      <c r="AU961" s="141">
        <v>0</v>
      </c>
      <c r="AV961" s="141">
        <v>0</v>
      </c>
      <c r="AW961" s="141">
        <v>0.0526315789473684</v>
      </c>
      <c r="AX961" s="95"/>
      <c r="AY961" s="93"/>
    </row>
    <row r="962" ht="15" spans="1:51">
      <c r="A962" s="91"/>
      <c r="B962" s="95"/>
      <c r="C962" s="180" t="s">
        <v>927</v>
      </c>
      <c r="D962" s="181" t="s">
        <v>25</v>
      </c>
      <c r="E962" s="130" t="s">
        <v>928</v>
      </c>
      <c r="F962" s="182" t="s">
        <v>991</v>
      </c>
      <c r="G962" s="183" t="s">
        <v>991</v>
      </c>
      <c r="H962" s="183" t="s">
        <v>991</v>
      </c>
      <c r="I962" s="183" t="s">
        <v>991</v>
      </c>
      <c r="J962" s="132">
        <v>0.9</v>
      </c>
      <c r="K962" s="133">
        <v>0.904761904761905</v>
      </c>
      <c r="L962" s="133">
        <v>0.96969696969697</v>
      </c>
      <c r="M962" s="134">
        <v>0.904761904761905</v>
      </c>
      <c r="N962" s="133">
        <v>0.930232558139535</v>
      </c>
      <c r="O962" s="135">
        <v>0.9</v>
      </c>
      <c r="P962" s="133">
        <v>0.98133695283339</v>
      </c>
      <c r="Q962" s="133">
        <v>0.986798679867987</v>
      </c>
      <c r="R962" s="133">
        <v>0.929098966026588</v>
      </c>
      <c r="S962" s="133">
        <v>0.932686187141948</v>
      </c>
      <c r="T962" s="135">
        <v>0.9</v>
      </c>
      <c r="U962" s="133">
        <v>0.937902952154734</v>
      </c>
      <c r="V962" s="133">
        <v>0.943344334433443</v>
      </c>
      <c r="W962" s="133">
        <v>0.926988816205951</v>
      </c>
      <c r="X962" s="133">
        <v>0.933322724379376</v>
      </c>
      <c r="Y962" s="135">
        <v>0.92</v>
      </c>
      <c r="Z962" s="135" t="s">
        <v>35</v>
      </c>
      <c r="AA962" s="135" t="s">
        <v>35</v>
      </c>
      <c r="AB962" s="135">
        <v>1</v>
      </c>
      <c r="AC962" s="135">
        <v>1</v>
      </c>
      <c r="AD962" s="135">
        <v>0.92</v>
      </c>
      <c r="AE962" s="133">
        <v>0.994173016584491</v>
      </c>
      <c r="AF962" s="133">
        <v>0.997714285714286</v>
      </c>
      <c r="AG962" s="133">
        <v>0.974545454545454</v>
      </c>
      <c r="AH962" s="133">
        <v>0.994579401726561</v>
      </c>
      <c r="AI962" s="135">
        <v>0.92</v>
      </c>
      <c r="AJ962" s="133">
        <v>0.946725483542586</v>
      </c>
      <c r="AK962" s="133">
        <v>0.95049504950495</v>
      </c>
      <c r="AL962" s="133">
        <v>0.95168776371308</v>
      </c>
      <c r="AM962" s="133">
        <v>0.95299218967552</v>
      </c>
      <c r="AN962" s="132">
        <v>0.99</v>
      </c>
      <c r="AO962" s="137">
        <v>1</v>
      </c>
      <c r="AP962" s="137">
        <v>1</v>
      </c>
      <c r="AQ962" s="137">
        <v>1</v>
      </c>
      <c r="AR962" s="137">
        <v>1</v>
      </c>
      <c r="AS962" s="158">
        <v>0.0656418488929858</v>
      </c>
      <c r="AT962" s="141">
        <v>0.0303030303030303</v>
      </c>
      <c r="AU962" s="141">
        <v>0</v>
      </c>
      <c r="AV962" s="141">
        <v>0.025</v>
      </c>
      <c r="AW962" s="141">
        <v>0.0319303338171263</v>
      </c>
      <c r="AX962" s="95"/>
      <c r="AY962" s="93"/>
    </row>
    <row r="963" ht="15" spans="1:51">
      <c r="A963" s="91"/>
      <c r="B963" s="95"/>
      <c r="C963" s="180" t="s">
        <v>927</v>
      </c>
      <c r="D963" s="181" t="s">
        <v>25</v>
      </c>
      <c r="E963" s="130" t="s">
        <v>928</v>
      </c>
      <c r="F963" s="184" t="s">
        <v>992</v>
      </c>
      <c r="G963" s="185" t="s">
        <v>992</v>
      </c>
      <c r="H963" s="185" t="s">
        <v>992</v>
      </c>
      <c r="I963" s="185" t="s">
        <v>992</v>
      </c>
      <c r="J963" s="132">
        <v>0.9</v>
      </c>
      <c r="K963" s="133">
        <v>0.7</v>
      </c>
      <c r="L963" s="133">
        <v>0.833333333333333</v>
      </c>
      <c r="M963" s="134">
        <v>0.842105263157895</v>
      </c>
      <c r="N963" s="133">
        <v>0.828254847645429</v>
      </c>
      <c r="O963" s="135">
        <v>0.9</v>
      </c>
      <c r="P963" s="133">
        <v>0.985277463193658</v>
      </c>
      <c r="Q963" s="133">
        <v>0.988235294117647</v>
      </c>
      <c r="R963" s="133">
        <v>0.989539748953975</v>
      </c>
      <c r="S963" s="133">
        <v>0.989520700910496</v>
      </c>
      <c r="T963" s="135">
        <v>0.9</v>
      </c>
      <c r="U963" s="133">
        <v>0.904869762174405</v>
      </c>
      <c r="V963" s="133">
        <v>0.913725490196078</v>
      </c>
      <c r="W963" s="133">
        <v>0.868898186889819</v>
      </c>
      <c r="X963" s="133">
        <v>0.899802439443395</v>
      </c>
      <c r="Y963" s="135">
        <v>0.92</v>
      </c>
      <c r="Z963" s="135" t="s">
        <v>35</v>
      </c>
      <c r="AA963" s="135" t="s">
        <v>35</v>
      </c>
      <c r="AB963" s="135" t="s">
        <v>35</v>
      </c>
      <c r="AC963" s="135" t="s">
        <v>35</v>
      </c>
      <c r="AD963" s="135">
        <v>0.92</v>
      </c>
      <c r="AE963" s="133">
        <v>0.978494623655914</v>
      </c>
      <c r="AF963" s="133">
        <v>0.991596638655462</v>
      </c>
      <c r="AG963" s="133">
        <v>1</v>
      </c>
      <c r="AH963" s="133">
        <v>0.987589498806683</v>
      </c>
      <c r="AI963" s="135">
        <v>0.92</v>
      </c>
      <c r="AJ963" s="133">
        <v>0.960362400906002</v>
      </c>
      <c r="AK963" s="133">
        <v>0.929411764705882</v>
      </c>
      <c r="AL963" s="133">
        <v>0.907252440725244</v>
      </c>
      <c r="AM963" s="133">
        <v>0.937854320563477</v>
      </c>
      <c r="AN963" s="132">
        <v>0.99</v>
      </c>
      <c r="AO963" s="137">
        <v>1</v>
      </c>
      <c r="AP963" s="137">
        <v>1</v>
      </c>
      <c r="AQ963" s="137">
        <v>1</v>
      </c>
      <c r="AR963" s="137">
        <v>1</v>
      </c>
      <c r="AS963" s="158">
        <v>0.0656418488929858</v>
      </c>
      <c r="AT963" s="141">
        <v>0</v>
      </c>
      <c r="AU963" s="141">
        <v>0.25</v>
      </c>
      <c r="AV963" s="141">
        <v>0</v>
      </c>
      <c r="AW963" s="141">
        <v>0.0212765957446809</v>
      </c>
      <c r="AX963" s="95"/>
      <c r="AY963" s="93"/>
    </row>
    <row r="964" ht="15" spans="1:51">
      <c r="A964" s="91"/>
      <c r="B964" s="95"/>
      <c r="C964" s="180" t="s">
        <v>927</v>
      </c>
      <c r="D964" s="181" t="s">
        <v>25</v>
      </c>
      <c r="E964" s="130" t="s">
        <v>928</v>
      </c>
      <c r="F964" s="184" t="s">
        <v>993</v>
      </c>
      <c r="G964" s="185" t="s">
        <v>993</v>
      </c>
      <c r="H964" s="185" t="s">
        <v>993</v>
      </c>
      <c r="I964" s="185" t="s">
        <v>993</v>
      </c>
      <c r="J964" s="132">
        <v>0.9</v>
      </c>
      <c r="K964" s="133">
        <v>0.767441860465116</v>
      </c>
      <c r="L964" s="133">
        <v>0.685714285714286</v>
      </c>
      <c r="M964" s="134">
        <v>0.75</v>
      </c>
      <c r="N964" s="133">
        <v>0.762032085561497</v>
      </c>
      <c r="O964" s="135">
        <v>0.9</v>
      </c>
      <c r="P964" s="133">
        <v>0.98500299940012</v>
      </c>
      <c r="Q964" s="133">
        <v>0.931424766977364</v>
      </c>
      <c r="R964" s="133">
        <v>0.917847025495751</v>
      </c>
      <c r="S964" s="133">
        <v>0.922330285936588</v>
      </c>
      <c r="T964" s="135">
        <v>0.9</v>
      </c>
      <c r="U964" s="133">
        <v>0.928014397120576</v>
      </c>
      <c r="V964" s="133">
        <v>0.915446071904128</v>
      </c>
      <c r="W964" s="133">
        <v>0.876163496560097</v>
      </c>
      <c r="X964" s="133">
        <v>0.853024703365104</v>
      </c>
      <c r="Y964" s="135">
        <v>0.92</v>
      </c>
      <c r="Z964" s="135">
        <v>0.944347826086957</v>
      </c>
      <c r="AA964" s="135">
        <v>0.92896174863388</v>
      </c>
      <c r="AB964" s="135">
        <v>0.936386768447837</v>
      </c>
      <c r="AC964" s="135">
        <v>0.926326815642458</v>
      </c>
      <c r="AD964" s="135">
        <v>0.92</v>
      </c>
      <c r="AE964" s="133">
        <v>0.936456650511578</v>
      </c>
      <c r="AF964" s="133">
        <v>0.998282967032967</v>
      </c>
      <c r="AG964" s="133">
        <v>0.999223602484472</v>
      </c>
      <c r="AH964" s="133">
        <v>0.989449443686562</v>
      </c>
      <c r="AI964" s="135">
        <v>0.92</v>
      </c>
      <c r="AJ964" s="133">
        <v>0.967454302273741</v>
      </c>
      <c r="AK964" s="133">
        <v>0.964151952915998</v>
      </c>
      <c r="AL964" s="133">
        <v>0.967539267015707</v>
      </c>
      <c r="AM964" s="133">
        <v>0.960699176130038</v>
      </c>
      <c r="AN964" s="132">
        <v>0.99</v>
      </c>
      <c r="AO964" s="137">
        <v>1</v>
      </c>
      <c r="AP964" s="137">
        <v>1</v>
      </c>
      <c r="AQ964" s="137">
        <v>1</v>
      </c>
      <c r="AR964" s="137">
        <v>1</v>
      </c>
      <c r="AS964" s="158">
        <v>0.0656418488929858</v>
      </c>
      <c r="AT964" s="141">
        <v>0.111111111111111</v>
      </c>
      <c r="AU964" s="141">
        <v>0</v>
      </c>
      <c r="AV964" s="141">
        <v>0.111111111111111</v>
      </c>
      <c r="AW964" s="141">
        <v>0.034324942791762</v>
      </c>
      <c r="AX964" s="95"/>
      <c r="AY964" s="93"/>
    </row>
    <row r="965" ht="15" spans="1:51">
      <c r="A965" s="91"/>
      <c r="B965" s="95"/>
      <c r="C965" s="180" t="s">
        <v>927</v>
      </c>
      <c r="D965" s="181" t="s">
        <v>25</v>
      </c>
      <c r="E965" s="130" t="s">
        <v>928</v>
      </c>
      <c r="F965" s="184" t="s">
        <v>994</v>
      </c>
      <c r="G965" s="185" t="s">
        <v>994</v>
      </c>
      <c r="H965" s="185" t="s">
        <v>994</v>
      </c>
      <c r="I965" s="185" t="s">
        <v>994</v>
      </c>
      <c r="J965" s="132">
        <v>0.9</v>
      </c>
      <c r="K965" s="133">
        <v>0.911111111111111</v>
      </c>
      <c r="L965" s="133">
        <v>0.731707317073171</v>
      </c>
      <c r="M965" s="134">
        <v>0.761904761904762</v>
      </c>
      <c r="N965" s="133">
        <v>0.823815309842041</v>
      </c>
      <c r="O965" s="135">
        <v>0.9</v>
      </c>
      <c r="P965" s="133">
        <v>0.985390428211587</v>
      </c>
      <c r="Q965" s="133">
        <v>0.992986557568673</v>
      </c>
      <c r="R965" s="133">
        <v>0.991284699806327</v>
      </c>
      <c r="S965" s="133">
        <v>0.98353490885396</v>
      </c>
      <c r="T965" s="135">
        <v>0.9</v>
      </c>
      <c r="U965" s="133">
        <v>0.927455919395466</v>
      </c>
      <c r="V965" s="133">
        <v>0.903565166569258</v>
      </c>
      <c r="W965" s="133">
        <v>0.883795997417689</v>
      </c>
      <c r="X965" s="133">
        <v>0.857074744520907</v>
      </c>
      <c r="Y965" s="135">
        <v>0.92</v>
      </c>
      <c r="Z965" s="135">
        <v>0.896598639455782</v>
      </c>
      <c r="AA965" s="135">
        <v>0.889411764705882</v>
      </c>
      <c r="AB965" s="135">
        <v>0.821752265861027</v>
      </c>
      <c r="AC965" s="135">
        <v>0.86728280961183</v>
      </c>
      <c r="AD965" s="135">
        <v>0.92</v>
      </c>
      <c r="AE965" s="133">
        <v>0.999522445081184</v>
      </c>
      <c r="AF965" s="133">
        <v>0.987580496780129</v>
      </c>
      <c r="AG965" s="133">
        <v>0.956989247311828</v>
      </c>
      <c r="AH965" s="133">
        <v>0.993954461714572</v>
      </c>
      <c r="AI965" s="135">
        <v>0.92</v>
      </c>
      <c r="AJ965" s="133">
        <v>0.953693495038589</v>
      </c>
      <c r="AK965" s="133">
        <v>0.949438202247191</v>
      </c>
      <c r="AL965" s="133">
        <v>0.94808982210557</v>
      </c>
      <c r="AM965" s="133">
        <v>0.949731193344583</v>
      </c>
      <c r="AN965" s="132">
        <v>0.99</v>
      </c>
      <c r="AO965" s="137">
        <v>1</v>
      </c>
      <c r="AP965" s="137">
        <v>1</v>
      </c>
      <c r="AQ965" s="137">
        <v>1</v>
      </c>
      <c r="AR965" s="137">
        <v>1</v>
      </c>
      <c r="AS965" s="158">
        <v>0.0656418488929858</v>
      </c>
      <c r="AT965" s="141">
        <v>0.0952380952380952</v>
      </c>
      <c r="AU965" s="141">
        <v>0.0434782608695652</v>
      </c>
      <c r="AV965" s="141">
        <v>0.0952380952380952</v>
      </c>
      <c r="AW965" s="141">
        <v>0.0452488687782805</v>
      </c>
      <c r="AX965" s="95"/>
      <c r="AY965" s="93"/>
    </row>
    <row r="966" ht="15" spans="1:51">
      <c r="A966" s="91"/>
      <c r="B966" s="95"/>
      <c r="C966" s="180" t="s">
        <v>927</v>
      </c>
      <c r="D966" s="181" t="s">
        <v>25</v>
      </c>
      <c r="E966" s="130" t="s">
        <v>928</v>
      </c>
      <c r="F966" s="184" t="s">
        <v>995</v>
      </c>
      <c r="G966" s="185" t="s">
        <v>995</v>
      </c>
      <c r="H966" s="185" t="s">
        <v>995</v>
      </c>
      <c r="I966" s="185" t="s">
        <v>995</v>
      </c>
      <c r="J966" s="132">
        <v>0.9</v>
      </c>
      <c r="K966" s="133">
        <v>0.954545454545455</v>
      </c>
      <c r="L966" s="133">
        <v>0.85</v>
      </c>
      <c r="M966" s="134">
        <v>0.789473684210526</v>
      </c>
      <c r="N966" s="133">
        <v>0.841432225063939</v>
      </c>
      <c r="O966" s="135">
        <v>0.9</v>
      </c>
      <c r="P966" s="133">
        <v>0.954070981210856</v>
      </c>
      <c r="Q966" s="133">
        <v>0.918328584995252</v>
      </c>
      <c r="R966" s="133">
        <v>0.870425914817037</v>
      </c>
      <c r="S966" s="133">
        <v>0.900952211444336</v>
      </c>
      <c r="T966" s="135">
        <v>0.9</v>
      </c>
      <c r="U966" s="133">
        <v>0.935281837160752</v>
      </c>
      <c r="V966" s="133">
        <v>0.924026590693257</v>
      </c>
      <c r="W966" s="133">
        <v>0.902219556088782</v>
      </c>
      <c r="X966" s="133">
        <v>0.903681290973273</v>
      </c>
      <c r="Y966" s="135">
        <v>0.92</v>
      </c>
      <c r="Z966" s="135">
        <v>0.952164009111617</v>
      </c>
      <c r="AA966" s="135">
        <v>1</v>
      </c>
      <c r="AB966" s="135">
        <v>0.850678733031674</v>
      </c>
      <c r="AC966" s="135">
        <v>0.898243925908107</v>
      </c>
      <c r="AD966" s="135">
        <v>0.92</v>
      </c>
      <c r="AE966" s="133">
        <v>0.980110905730129</v>
      </c>
      <c r="AF966" s="133">
        <v>0.981975714647103</v>
      </c>
      <c r="AG966" s="133">
        <v>0.998392282958199</v>
      </c>
      <c r="AH966" s="133">
        <v>0.982614677970903</v>
      </c>
      <c r="AI966" s="135">
        <v>0.92</v>
      </c>
      <c r="AJ966" s="133">
        <v>0.968617021276596</v>
      </c>
      <c r="AK966" s="133">
        <v>0.96988416988417</v>
      </c>
      <c r="AL966" s="133">
        <v>0.944444444444444</v>
      </c>
      <c r="AM966" s="133">
        <v>0.953897338403042</v>
      </c>
      <c r="AN966" s="132">
        <v>0.99</v>
      </c>
      <c r="AO966" s="137">
        <v>1</v>
      </c>
      <c r="AP966" s="137">
        <v>1</v>
      </c>
      <c r="AQ966" s="137">
        <v>1</v>
      </c>
      <c r="AR966" s="137">
        <v>1</v>
      </c>
      <c r="AS966" s="158">
        <v>0.0656418488929858</v>
      </c>
      <c r="AT966" s="141">
        <v>0.111111111111111</v>
      </c>
      <c r="AU966" s="141">
        <v>0</v>
      </c>
      <c r="AV966" s="141">
        <v>0.0588235294117647</v>
      </c>
      <c r="AW966" s="141">
        <v>0.0387096774193548</v>
      </c>
      <c r="AX966" s="95"/>
      <c r="AY966" s="93"/>
    </row>
    <row r="967" ht="15" spans="1:51">
      <c r="A967" s="91"/>
      <c r="B967" s="95"/>
      <c r="C967" s="180" t="s">
        <v>927</v>
      </c>
      <c r="D967" s="181" t="s">
        <v>25</v>
      </c>
      <c r="E967" s="130" t="s">
        <v>928</v>
      </c>
      <c r="F967" s="184" t="s">
        <v>996</v>
      </c>
      <c r="G967" s="185" t="s">
        <v>996</v>
      </c>
      <c r="H967" s="185" t="s">
        <v>996</v>
      </c>
      <c r="I967" s="185" t="s">
        <v>996</v>
      </c>
      <c r="J967" s="132">
        <v>0.9</v>
      </c>
      <c r="K967" s="133">
        <v>0.818181818181818</v>
      </c>
      <c r="L967" s="133">
        <v>0.848484848484849</v>
      </c>
      <c r="M967" s="134">
        <v>0.78125</v>
      </c>
      <c r="N967" s="133">
        <v>0.853035143769968</v>
      </c>
      <c r="O967" s="135">
        <v>0.9</v>
      </c>
      <c r="P967" s="133">
        <v>0.973182359952324</v>
      </c>
      <c r="Q967" s="133">
        <v>0.919920582395764</v>
      </c>
      <c r="R967" s="133">
        <v>0.854671280276817</v>
      </c>
      <c r="S967" s="133">
        <v>0.888127809828854</v>
      </c>
      <c r="T967" s="135">
        <v>0.9</v>
      </c>
      <c r="U967" s="133">
        <v>0.925506555423123</v>
      </c>
      <c r="V967" s="133">
        <v>0.899404367968233</v>
      </c>
      <c r="W967" s="133">
        <v>0.883506343713956</v>
      </c>
      <c r="X967" s="133">
        <v>0.875489609662917</v>
      </c>
      <c r="Y967" s="135">
        <v>0.92</v>
      </c>
      <c r="Z967" s="135">
        <v>0.87800963081862</v>
      </c>
      <c r="AA967" s="135">
        <v>0.862669245647969</v>
      </c>
      <c r="AB967" s="135">
        <v>0.712074303405573</v>
      </c>
      <c r="AC967" s="135">
        <v>0.876517545318477</v>
      </c>
      <c r="AD967" s="135">
        <v>0.92</v>
      </c>
      <c r="AE967" s="133">
        <v>0.992519108798179</v>
      </c>
      <c r="AF967" s="133">
        <v>0.956603364863889</v>
      </c>
      <c r="AG967" s="133">
        <v>0.999046321525886</v>
      </c>
      <c r="AH967" s="133">
        <v>0.989891381725492</v>
      </c>
      <c r="AI967" s="135">
        <v>0.92</v>
      </c>
      <c r="AJ967" s="133">
        <v>0.940972222222222</v>
      </c>
      <c r="AK967" s="133">
        <v>0.939349112426035</v>
      </c>
      <c r="AL967" s="133">
        <v>0.925521011274342</v>
      </c>
      <c r="AM967" s="133">
        <v>0.948705904457701</v>
      </c>
      <c r="AN967" s="132">
        <v>0.99</v>
      </c>
      <c r="AO967" s="137">
        <v>1</v>
      </c>
      <c r="AP967" s="137">
        <v>1</v>
      </c>
      <c r="AQ967" s="137">
        <v>1</v>
      </c>
      <c r="AR967" s="137">
        <v>1</v>
      </c>
      <c r="AS967" s="158">
        <v>0.0656418488929858</v>
      </c>
      <c r="AT967" s="141">
        <v>0.0333333333333333</v>
      </c>
      <c r="AU967" s="141">
        <v>0.0952380952380952</v>
      </c>
      <c r="AV967" s="141">
        <v>0.0555555555555556</v>
      </c>
      <c r="AW967" s="141">
        <v>0.0542907180385289</v>
      </c>
      <c r="AX967" s="95"/>
      <c r="AY967" s="93"/>
    </row>
    <row r="968" ht="15" spans="1:51">
      <c r="A968" s="91"/>
      <c r="B968" s="95"/>
      <c r="C968" s="180" t="s">
        <v>927</v>
      </c>
      <c r="D968" s="181" t="s">
        <v>25</v>
      </c>
      <c r="E968" s="130" t="s">
        <v>928</v>
      </c>
      <c r="F968" s="184" t="s">
        <v>997</v>
      </c>
      <c r="G968" s="185" t="s">
        <v>997</v>
      </c>
      <c r="H968" s="185" t="s">
        <v>997</v>
      </c>
      <c r="I968" s="185" t="s">
        <v>997</v>
      </c>
      <c r="J968" s="132">
        <v>0.9</v>
      </c>
      <c r="K968" s="133">
        <v>1</v>
      </c>
      <c r="L968" s="133">
        <v>0.95</v>
      </c>
      <c r="M968" s="134">
        <v>0.789473684210526</v>
      </c>
      <c r="N968" s="133">
        <v>0.914209115281501</v>
      </c>
      <c r="O968" s="135">
        <v>0.9</v>
      </c>
      <c r="P968" s="133">
        <v>0.978523489932886</v>
      </c>
      <c r="Q968" s="133">
        <v>0.994038748137109</v>
      </c>
      <c r="R968" s="133">
        <v>0.952502553626149</v>
      </c>
      <c r="S968" s="133">
        <v>0.977228984927638</v>
      </c>
      <c r="T968" s="135">
        <v>0.9</v>
      </c>
      <c r="U968" s="133">
        <v>0.922818791946309</v>
      </c>
      <c r="V968" s="133">
        <v>0.918032786885246</v>
      </c>
      <c r="W968" s="133">
        <v>0.935137895812053</v>
      </c>
      <c r="X968" s="133">
        <v>0.900442422576049</v>
      </c>
      <c r="Y968" s="135">
        <v>0.92</v>
      </c>
      <c r="Z968" s="135">
        <v>0.95136186770428</v>
      </c>
      <c r="AA968" s="135">
        <v>0.952069716775599</v>
      </c>
      <c r="AB968" s="135">
        <v>0.966804979253112</v>
      </c>
      <c r="AC968" s="135">
        <v>0.948121827411167</v>
      </c>
      <c r="AD968" s="135">
        <v>0.92</v>
      </c>
      <c r="AE968" s="133">
        <v>0.986974279721824</v>
      </c>
      <c r="AF968" s="133">
        <v>0.986314760508309</v>
      </c>
      <c r="AG968" s="133">
        <v>0.975617512986325</v>
      </c>
      <c r="AH968" s="133">
        <v>0.972468800924648</v>
      </c>
      <c r="AI968" s="135">
        <v>0.92</v>
      </c>
      <c r="AJ968" s="133">
        <v>0.972554890219561</v>
      </c>
      <c r="AK968" s="133">
        <v>0.971127151582454</v>
      </c>
      <c r="AL968" s="133">
        <v>0.976363636363636</v>
      </c>
      <c r="AM968" s="133">
        <v>0.972503008423586</v>
      </c>
      <c r="AN968" s="132">
        <v>0.99</v>
      </c>
      <c r="AO968" s="137">
        <v>1</v>
      </c>
      <c r="AP968" s="137">
        <v>1</v>
      </c>
      <c r="AQ968" s="137">
        <v>1</v>
      </c>
      <c r="AR968" s="137">
        <v>1</v>
      </c>
      <c r="AS968" s="158">
        <v>0.0656418488929858</v>
      </c>
      <c r="AT968" s="141">
        <v>0.166666666666667</v>
      </c>
      <c r="AU968" s="141">
        <v>0.0833333333333333</v>
      </c>
      <c r="AV968" s="141">
        <v>0</v>
      </c>
      <c r="AW968" s="141">
        <v>0.0303030303030303</v>
      </c>
      <c r="AX968" s="95"/>
      <c r="AY968" s="93"/>
    </row>
    <row r="969" ht="15" spans="1:51">
      <c r="A969" s="91"/>
      <c r="B969" s="95"/>
      <c r="C969" s="180" t="s">
        <v>927</v>
      </c>
      <c r="D969" s="181" t="s">
        <v>25</v>
      </c>
      <c r="E969" s="130" t="s">
        <v>928</v>
      </c>
      <c r="F969" s="184" t="s">
        <v>998</v>
      </c>
      <c r="G969" s="185" t="s">
        <v>998</v>
      </c>
      <c r="H969" s="185" t="s">
        <v>998</v>
      </c>
      <c r="I969" s="185" t="s">
        <v>998</v>
      </c>
      <c r="J969" s="132">
        <v>0.9</v>
      </c>
      <c r="K969" s="133" t="s">
        <v>35</v>
      </c>
      <c r="L969" s="133" t="s">
        <v>35</v>
      </c>
      <c r="M969" s="134" t="s">
        <v>35</v>
      </c>
      <c r="N969" s="133" t="s">
        <v>35</v>
      </c>
      <c r="O969" s="135">
        <v>0.9</v>
      </c>
      <c r="P969" s="133" t="s">
        <v>35</v>
      </c>
      <c r="Q969" s="133" t="s">
        <v>35</v>
      </c>
      <c r="R969" s="133" t="s">
        <v>35</v>
      </c>
      <c r="S969" s="133" t="s">
        <v>35</v>
      </c>
      <c r="T969" s="135">
        <v>0.9</v>
      </c>
      <c r="U969" s="133" t="s">
        <v>35</v>
      </c>
      <c r="V969" s="133" t="s">
        <v>35</v>
      </c>
      <c r="W969" s="133" t="s">
        <v>35</v>
      </c>
      <c r="X969" s="133" t="s">
        <v>35</v>
      </c>
      <c r="Y969" s="135">
        <v>0.92</v>
      </c>
      <c r="Z969" s="135" t="s">
        <v>35</v>
      </c>
      <c r="AA969" s="135" t="s">
        <v>35</v>
      </c>
      <c r="AB969" s="135" t="s">
        <v>35</v>
      </c>
      <c r="AC969" s="135" t="s">
        <v>35</v>
      </c>
      <c r="AD969" s="135">
        <v>0.92</v>
      </c>
      <c r="AE969" s="133" t="s">
        <v>35</v>
      </c>
      <c r="AF969" s="133" t="s">
        <v>35</v>
      </c>
      <c r="AG969" s="133" t="s">
        <v>35</v>
      </c>
      <c r="AH969" s="133" t="s">
        <v>35</v>
      </c>
      <c r="AI969" s="135">
        <v>0.92</v>
      </c>
      <c r="AJ969" s="133" t="s">
        <v>35</v>
      </c>
      <c r="AK969" s="133" t="s">
        <v>35</v>
      </c>
      <c r="AL969" s="133" t="s">
        <v>35</v>
      </c>
      <c r="AM969" s="133" t="s">
        <v>35</v>
      </c>
      <c r="AN969" s="132">
        <v>0.99</v>
      </c>
      <c r="AO969" s="137" t="s">
        <v>35</v>
      </c>
      <c r="AP969" s="137" t="s">
        <v>35</v>
      </c>
      <c r="AQ969" s="137" t="s">
        <v>35</v>
      </c>
      <c r="AR969" s="137" t="s">
        <v>35</v>
      </c>
      <c r="AS969" s="158">
        <v>0.0656418488929858</v>
      </c>
      <c r="AT969" s="141" t="s">
        <v>35</v>
      </c>
      <c r="AU969" s="141" t="s">
        <v>35</v>
      </c>
      <c r="AV969" s="141" t="s">
        <v>35</v>
      </c>
      <c r="AW969" s="141" t="s">
        <v>35</v>
      </c>
      <c r="AX969" s="95"/>
      <c r="AY969" s="93"/>
    </row>
    <row r="970" ht="15" spans="1:51">
      <c r="A970" s="91"/>
      <c r="B970" s="95"/>
      <c r="C970" s="180" t="s">
        <v>927</v>
      </c>
      <c r="D970" s="181" t="s">
        <v>25</v>
      </c>
      <c r="E970" s="130" t="s">
        <v>928</v>
      </c>
      <c r="F970" s="184" t="s">
        <v>999</v>
      </c>
      <c r="G970" s="185" t="s">
        <v>999</v>
      </c>
      <c r="H970" s="185" t="s">
        <v>999</v>
      </c>
      <c r="I970" s="185" t="s">
        <v>999</v>
      </c>
      <c r="J970" s="132">
        <v>0.9</v>
      </c>
      <c r="K970" s="133">
        <v>0.774193548387097</v>
      </c>
      <c r="L970" s="133">
        <v>0.84</v>
      </c>
      <c r="M970" s="134">
        <v>0.769230769230769</v>
      </c>
      <c r="N970" s="133">
        <v>0.859405940594059</v>
      </c>
      <c r="O970" s="135">
        <v>0.9</v>
      </c>
      <c r="P970" s="133">
        <v>0.952656496580747</v>
      </c>
      <c r="Q970" s="133">
        <v>0.76006711409396</v>
      </c>
      <c r="R970" s="133">
        <v>0.928507596067918</v>
      </c>
      <c r="S970" s="133">
        <v>0.85547334977449</v>
      </c>
      <c r="T970" s="135">
        <v>0.9</v>
      </c>
      <c r="U970" s="133">
        <v>0.920568122041031</v>
      </c>
      <c r="V970" s="133">
        <v>0.737136465324385</v>
      </c>
      <c r="W970" s="133">
        <v>0.924932975871314</v>
      </c>
      <c r="X970" s="133">
        <v>0.886244973227577</v>
      </c>
      <c r="Y970" s="135">
        <v>0.92</v>
      </c>
      <c r="Z970" s="135">
        <v>0.960380348652932</v>
      </c>
      <c r="AA970" s="135">
        <v>0.958691910499139</v>
      </c>
      <c r="AB970" s="135">
        <v>0.945762711864407</v>
      </c>
      <c r="AC970" s="135">
        <v>0.940947377954895</v>
      </c>
      <c r="AD970" s="135">
        <v>0.92</v>
      </c>
      <c r="AE970" s="133">
        <v>0.82709038182697</v>
      </c>
      <c r="AF970" s="133">
        <v>0.927954456223007</v>
      </c>
      <c r="AG970" s="133">
        <v>0.994910941475827</v>
      </c>
      <c r="AH970" s="133">
        <v>0.783695105671042</v>
      </c>
      <c r="AI970" s="135">
        <v>0.92</v>
      </c>
      <c r="AJ970" s="133">
        <v>0.981854043392505</v>
      </c>
      <c r="AK970" s="133">
        <v>0.979324894514768</v>
      </c>
      <c r="AL970" s="133">
        <v>0.979470983024082</v>
      </c>
      <c r="AM970" s="133">
        <v>0.975655430711611</v>
      </c>
      <c r="AN970" s="132">
        <v>0.99</v>
      </c>
      <c r="AO970" s="137">
        <v>1</v>
      </c>
      <c r="AP970" s="137">
        <v>1</v>
      </c>
      <c r="AQ970" s="137">
        <v>1</v>
      </c>
      <c r="AR970" s="137">
        <v>1</v>
      </c>
      <c r="AS970" s="158">
        <v>0.0656418488929858</v>
      </c>
      <c r="AT970" s="141">
        <v>0</v>
      </c>
      <c r="AU970" s="141">
        <v>0</v>
      </c>
      <c r="AV970" s="141">
        <v>0</v>
      </c>
      <c r="AW970" s="141">
        <v>0.0182926829268293</v>
      </c>
      <c r="AX970" s="95"/>
      <c r="AY970" s="93"/>
    </row>
    <row r="971" ht="15" spans="1:51">
      <c r="A971" s="91"/>
      <c r="B971" s="95"/>
      <c r="C971" s="180" t="s">
        <v>927</v>
      </c>
      <c r="D971" s="181" t="s">
        <v>125</v>
      </c>
      <c r="E971" s="130" t="s">
        <v>928</v>
      </c>
      <c r="F971" s="184" t="s">
        <v>1000</v>
      </c>
      <c r="G971" s="185" t="s">
        <v>1000</v>
      </c>
      <c r="H971" s="185" t="s">
        <v>1000</v>
      </c>
      <c r="I971" s="185" t="s">
        <v>1000</v>
      </c>
      <c r="J971" s="132">
        <v>0.9</v>
      </c>
      <c r="K971" s="133" t="s">
        <v>35</v>
      </c>
      <c r="L971" s="133" t="s">
        <v>35</v>
      </c>
      <c r="M971" s="134" t="s">
        <v>35</v>
      </c>
      <c r="N971" s="133" t="s">
        <v>35</v>
      </c>
      <c r="O971" s="135">
        <v>0.9</v>
      </c>
      <c r="P971" s="133" t="s">
        <v>35</v>
      </c>
      <c r="Q971" s="133" t="s">
        <v>35</v>
      </c>
      <c r="R971" s="133" t="s">
        <v>35</v>
      </c>
      <c r="S971" s="133" t="s">
        <v>35</v>
      </c>
      <c r="T971" s="135">
        <v>0.9</v>
      </c>
      <c r="U971" s="133" t="s">
        <v>35</v>
      </c>
      <c r="V971" s="133" t="s">
        <v>35</v>
      </c>
      <c r="W971" s="133" t="s">
        <v>35</v>
      </c>
      <c r="X971" s="133" t="s">
        <v>35</v>
      </c>
      <c r="Y971" s="135">
        <v>0.92</v>
      </c>
      <c r="Z971" s="135" t="s">
        <v>35</v>
      </c>
      <c r="AA971" s="135" t="s">
        <v>35</v>
      </c>
      <c r="AB971" s="135" t="s">
        <v>35</v>
      </c>
      <c r="AC971" s="135" t="s">
        <v>35</v>
      </c>
      <c r="AD971" s="135">
        <v>0.92</v>
      </c>
      <c r="AE971" s="133" t="s">
        <v>35</v>
      </c>
      <c r="AF971" s="133" t="s">
        <v>35</v>
      </c>
      <c r="AG971" s="133" t="s">
        <v>35</v>
      </c>
      <c r="AH971" s="133" t="s">
        <v>35</v>
      </c>
      <c r="AI971" s="135">
        <v>0.92</v>
      </c>
      <c r="AJ971" s="133" t="s">
        <v>35</v>
      </c>
      <c r="AK971" s="133" t="s">
        <v>35</v>
      </c>
      <c r="AL971" s="133" t="s">
        <v>35</v>
      </c>
      <c r="AM971" s="133" t="s">
        <v>35</v>
      </c>
      <c r="AN971" s="132">
        <v>0.99</v>
      </c>
      <c r="AO971" s="137" t="s">
        <v>35</v>
      </c>
      <c r="AP971" s="137" t="s">
        <v>35</v>
      </c>
      <c r="AQ971" s="137" t="s">
        <v>35</v>
      </c>
      <c r="AR971" s="137" t="s">
        <v>35</v>
      </c>
      <c r="AS971" s="158">
        <v>0.0656418488929858</v>
      </c>
      <c r="AT971" s="141" t="s">
        <v>35</v>
      </c>
      <c r="AU971" s="141" t="s">
        <v>35</v>
      </c>
      <c r="AV971" s="141" t="s">
        <v>35</v>
      </c>
      <c r="AW971" s="141" t="s">
        <v>35</v>
      </c>
      <c r="AX971" s="95"/>
      <c r="AY971" s="93"/>
    </row>
    <row r="972" ht="15" spans="1:51">
      <c r="A972" s="91"/>
      <c r="B972" s="95"/>
      <c r="C972" s="180" t="s">
        <v>927</v>
      </c>
      <c r="D972" s="181" t="s">
        <v>25</v>
      </c>
      <c r="E972" s="130" t="s">
        <v>928</v>
      </c>
      <c r="F972" s="184" t="s">
        <v>1001</v>
      </c>
      <c r="G972" s="185" t="s">
        <v>1001</v>
      </c>
      <c r="H972" s="185" t="s">
        <v>1001</v>
      </c>
      <c r="I972" s="185" t="s">
        <v>1001</v>
      </c>
      <c r="J972" s="132">
        <v>0.9</v>
      </c>
      <c r="K972" s="133">
        <v>1</v>
      </c>
      <c r="L972" s="133">
        <v>1</v>
      </c>
      <c r="M972" s="134">
        <v>0.842105263157895</v>
      </c>
      <c r="N972" s="133">
        <v>0.876513317191283</v>
      </c>
      <c r="O972" s="135">
        <v>0.9</v>
      </c>
      <c r="P972" s="133">
        <v>0.96716630977873</v>
      </c>
      <c r="Q972" s="133">
        <v>0.903979238754325</v>
      </c>
      <c r="R972" s="133">
        <v>0.965394402035623</v>
      </c>
      <c r="S972" s="133">
        <v>0.899138355489907</v>
      </c>
      <c r="T972" s="135">
        <v>0.9</v>
      </c>
      <c r="U972" s="133">
        <v>0.903640256959315</v>
      </c>
      <c r="V972" s="133">
        <v>0.895328719723183</v>
      </c>
      <c r="W972" s="133">
        <v>0.83765903307888</v>
      </c>
      <c r="X972" s="133">
        <v>0.835450516986706</v>
      </c>
      <c r="Y972" s="135">
        <v>0.92</v>
      </c>
      <c r="Z972" s="135">
        <v>0.9272030651341</v>
      </c>
      <c r="AA972" s="135">
        <v>0.903061224489796</v>
      </c>
      <c r="AB972" s="135">
        <v>0.822878228782288</v>
      </c>
      <c r="AC972" s="135">
        <v>0.878650977096029</v>
      </c>
      <c r="AD972" s="135">
        <v>0.92</v>
      </c>
      <c r="AE972" s="133">
        <v>0.998126463700234</v>
      </c>
      <c r="AF972" s="133">
        <v>0.998425610076096</v>
      </c>
      <c r="AG972" s="133">
        <v>0.999736286919831</v>
      </c>
      <c r="AH972" s="133">
        <v>0.988705667650537</v>
      </c>
      <c r="AI972" s="135">
        <v>0.92</v>
      </c>
      <c r="AJ972" s="133">
        <v>0.959438377535101</v>
      </c>
      <c r="AK972" s="133">
        <v>0.954134366925065</v>
      </c>
      <c r="AL972" s="133">
        <v>0.934257602862254</v>
      </c>
      <c r="AM972" s="133">
        <v>0.948034856128736</v>
      </c>
      <c r="AN972" s="132">
        <v>0.99</v>
      </c>
      <c r="AO972" s="137">
        <v>1</v>
      </c>
      <c r="AP972" s="137">
        <v>1</v>
      </c>
      <c r="AQ972" s="137">
        <v>1</v>
      </c>
      <c r="AR972" s="137">
        <v>1</v>
      </c>
      <c r="AS972" s="158">
        <v>0.0656418488929858</v>
      </c>
      <c r="AT972" s="141">
        <v>0</v>
      </c>
      <c r="AU972" s="141">
        <v>0.25</v>
      </c>
      <c r="AV972" s="141">
        <v>0.111111111111111</v>
      </c>
      <c r="AW972" s="141">
        <v>0.053125</v>
      </c>
      <c r="AX972" s="95"/>
      <c r="AY972" s="93"/>
    </row>
    <row r="973" ht="15" spans="1:51">
      <c r="A973" s="91"/>
      <c r="B973" s="95"/>
      <c r="C973" s="180" t="s">
        <v>927</v>
      </c>
      <c r="D973" s="181" t="s">
        <v>25</v>
      </c>
      <c r="E973" s="130" t="s">
        <v>928</v>
      </c>
      <c r="F973" s="184" t="s">
        <v>1002</v>
      </c>
      <c r="G973" s="185" t="s">
        <v>1002</v>
      </c>
      <c r="H973" s="185" t="s">
        <v>1002</v>
      </c>
      <c r="I973" s="185" t="s">
        <v>1002</v>
      </c>
      <c r="J973" s="132">
        <v>0.9</v>
      </c>
      <c r="K973" s="133">
        <v>0.85</v>
      </c>
      <c r="L973" s="133">
        <v>0.8</v>
      </c>
      <c r="M973" s="134">
        <v>0.95</v>
      </c>
      <c r="N973" s="133">
        <v>0.88659793814433</v>
      </c>
      <c r="O973" s="135">
        <v>0.9</v>
      </c>
      <c r="P973" s="133">
        <v>0.92807881773399</v>
      </c>
      <c r="Q973" s="133">
        <v>0.914841849148418</v>
      </c>
      <c r="R973" s="133">
        <v>0.943272727272727</v>
      </c>
      <c r="S973" s="133">
        <v>0.930060524546066</v>
      </c>
      <c r="T973" s="135">
        <v>0.9</v>
      </c>
      <c r="U973" s="133">
        <v>0.910344827586207</v>
      </c>
      <c r="V973" s="133">
        <v>0.920924574209246</v>
      </c>
      <c r="W973" s="133">
        <v>0.894545454545455</v>
      </c>
      <c r="X973" s="133">
        <v>0.878066046083602</v>
      </c>
      <c r="Y973" s="135">
        <v>0.92</v>
      </c>
      <c r="Z973" s="135">
        <v>0.922480620155039</v>
      </c>
      <c r="AA973" s="135">
        <v>0.952898550724638</v>
      </c>
      <c r="AB973" s="135">
        <v>0.922535211267606</v>
      </c>
      <c r="AC973" s="135">
        <v>0.916546347097892</v>
      </c>
      <c r="AD973" s="135">
        <v>0.92</v>
      </c>
      <c r="AE973" s="133">
        <v>0.999823290333981</v>
      </c>
      <c r="AF973" s="133">
        <v>0.999547715965626</v>
      </c>
      <c r="AG973" s="133">
        <v>0.99904912836767</v>
      </c>
      <c r="AH973" s="133">
        <v>0.990708381871637</v>
      </c>
      <c r="AI973" s="135">
        <v>0.92</v>
      </c>
      <c r="AJ973" s="133">
        <v>0.953637660485021</v>
      </c>
      <c r="AK973" s="133">
        <v>0.97179253867152</v>
      </c>
      <c r="AL973" s="133">
        <v>0.970336189848385</v>
      </c>
      <c r="AM973" s="133">
        <v>0.964586175534334</v>
      </c>
      <c r="AN973" s="132">
        <v>0.99</v>
      </c>
      <c r="AO973" s="137">
        <v>1</v>
      </c>
      <c r="AP973" s="137">
        <v>1</v>
      </c>
      <c r="AQ973" s="137">
        <v>1</v>
      </c>
      <c r="AR973" s="137">
        <v>1</v>
      </c>
      <c r="AS973" s="158">
        <v>0.0656418488929858</v>
      </c>
      <c r="AT973" s="141">
        <v>0</v>
      </c>
      <c r="AU973" s="141">
        <v>0.0909090909090909</v>
      </c>
      <c r="AV973" s="141">
        <v>0.181818181818182</v>
      </c>
      <c r="AW973" s="141">
        <v>0.0588235294117647</v>
      </c>
      <c r="AX973" s="95"/>
      <c r="AY973" s="93"/>
    </row>
    <row r="974" ht="15" spans="1:51">
      <c r="A974" s="91"/>
      <c r="B974" s="95"/>
      <c r="C974" s="180" t="s">
        <v>927</v>
      </c>
      <c r="D974" s="181" t="s">
        <v>25</v>
      </c>
      <c r="E974" s="130" t="s">
        <v>928</v>
      </c>
      <c r="F974" s="186" t="s">
        <v>1003</v>
      </c>
      <c r="G974" s="187" t="s">
        <v>1003</v>
      </c>
      <c r="H974" s="187" t="s">
        <v>1003</v>
      </c>
      <c r="I974" s="187" t="s">
        <v>1003</v>
      </c>
      <c r="J974" s="132">
        <v>0.9</v>
      </c>
      <c r="K974" s="133">
        <v>0.9375</v>
      </c>
      <c r="L974" s="133">
        <v>0.8</v>
      </c>
      <c r="M974" s="134">
        <v>1</v>
      </c>
      <c r="N974" s="133">
        <v>0.884892086330935</v>
      </c>
      <c r="O974" s="135">
        <v>0.9</v>
      </c>
      <c r="P974" s="133">
        <v>0.897872340425532</v>
      </c>
      <c r="Q974" s="133">
        <v>0.908474576271186</v>
      </c>
      <c r="R974" s="133">
        <v>0.955841766329347</v>
      </c>
      <c r="S974" s="133">
        <v>0.910382744766335</v>
      </c>
      <c r="T974" s="135">
        <v>0.9</v>
      </c>
      <c r="U974" s="133">
        <v>0.909219858156028</v>
      </c>
      <c r="V974" s="133">
        <v>0.910169491525424</v>
      </c>
      <c r="W974" s="133">
        <v>0.925482980680773</v>
      </c>
      <c r="X974" s="133">
        <v>0.922351448509199</v>
      </c>
      <c r="Y974" s="135">
        <v>0.92</v>
      </c>
      <c r="Z974" s="135">
        <v>0.897810218978102</v>
      </c>
      <c r="AA974" s="135">
        <v>0.944444444444444</v>
      </c>
      <c r="AB974" s="135">
        <v>0.909836065573771</v>
      </c>
      <c r="AC974" s="135">
        <v>0.935523759053171</v>
      </c>
      <c r="AD974" s="135">
        <v>0.92</v>
      </c>
      <c r="AE974" s="133">
        <v>0.999464954521134</v>
      </c>
      <c r="AF974" s="133">
        <v>0.998908296943231</v>
      </c>
      <c r="AG974" s="133">
        <v>0.99922600619195</v>
      </c>
      <c r="AH974" s="133">
        <v>0.999691773145035</v>
      </c>
      <c r="AI974" s="135">
        <v>0.92</v>
      </c>
      <c r="AJ974" s="133">
        <v>0.947906026557712</v>
      </c>
      <c r="AK974" s="133">
        <v>0.963197969543147</v>
      </c>
      <c r="AL974" s="133">
        <v>0.967741935483871</v>
      </c>
      <c r="AM974" s="133">
        <v>0.97222980349345</v>
      </c>
      <c r="AN974" s="132">
        <v>0.99</v>
      </c>
      <c r="AO974" s="137">
        <v>1</v>
      </c>
      <c r="AP974" s="137">
        <v>1</v>
      </c>
      <c r="AQ974" s="137">
        <v>1</v>
      </c>
      <c r="AR974" s="137">
        <v>1</v>
      </c>
      <c r="AS974" s="158">
        <v>0.0656418488929858</v>
      </c>
      <c r="AT974" s="141">
        <v>0</v>
      </c>
      <c r="AU974" s="141">
        <v>0</v>
      </c>
      <c r="AV974" s="141">
        <v>0.25</v>
      </c>
      <c r="AW974" s="141">
        <v>0.0368421052631579</v>
      </c>
      <c r="AX974" s="95"/>
      <c r="AY974" s="93"/>
    </row>
    <row r="975" ht="15" spans="1:51">
      <c r="A975" s="91"/>
      <c r="B975" s="95"/>
      <c r="C975" s="180" t="s">
        <v>927</v>
      </c>
      <c r="D975" s="181" t="s">
        <v>25</v>
      </c>
      <c r="E975" s="130" t="s">
        <v>928</v>
      </c>
      <c r="F975" s="192" t="s">
        <v>1004</v>
      </c>
      <c r="G975" s="193" t="s">
        <v>1004</v>
      </c>
      <c r="H975" s="193" t="s">
        <v>1004</v>
      </c>
      <c r="I975" s="193" t="s">
        <v>1004</v>
      </c>
      <c r="J975" s="132">
        <v>0.9</v>
      </c>
      <c r="K975" s="133">
        <v>0.846153846153846</v>
      </c>
      <c r="L975" s="133">
        <v>0.846153846153846</v>
      </c>
      <c r="M975" s="134">
        <v>1</v>
      </c>
      <c r="N975" s="133">
        <v>0.89344262295082</v>
      </c>
      <c r="O975" s="135">
        <v>0.9</v>
      </c>
      <c r="P975" s="133">
        <v>0.954022988505747</v>
      </c>
      <c r="Q975" s="133">
        <v>0.963756177924217</v>
      </c>
      <c r="R975" s="133">
        <v>0.90595009596929</v>
      </c>
      <c r="S975" s="133">
        <v>0.965297132068687</v>
      </c>
      <c r="T975" s="135">
        <v>0.9</v>
      </c>
      <c r="U975" s="133">
        <v>0.905172413793103</v>
      </c>
      <c r="V975" s="133">
        <v>0.911037891268534</v>
      </c>
      <c r="W975" s="133">
        <v>0.843570057581574</v>
      </c>
      <c r="X975" s="133">
        <v>0.854985165872516</v>
      </c>
      <c r="Y975" s="135">
        <v>0.92</v>
      </c>
      <c r="Z975" s="135">
        <v>0.897810218978102</v>
      </c>
      <c r="AA975" s="135">
        <v>0.957345971563981</v>
      </c>
      <c r="AB975" s="135">
        <v>0.826666666666667</v>
      </c>
      <c r="AC975" s="135">
        <v>0.867382881296231</v>
      </c>
      <c r="AD975" s="135">
        <v>0.92</v>
      </c>
      <c r="AE975" s="133">
        <v>1</v>
      </c>
      <c r="AF975" s="133">
        <v>1</v>
      </c>
      <c r="AG975" s="133">
        <v>1</v>
      </c>
      <c r="AH975" s="133">
        <v>0.999091110073939</v>
      </c>
      <c r="AI975" s="135">
        <v>0.92</v>
      </c>
      <c r="AJ975" s="133">
        <v>0.9435318275154</v>
      </c>
      <c r="AK975" s="133">
        <v>0.969437652811736</v>
      </c>
      <c r="AL975" s="133">
        <v>0.930369127516778</v>
      </c>
      <c r="AM975" s="133">
        <v>0.949627667191751</v>
      </c>
      <c r="AN975" s="132">
        <v>0.99</v>
      </c>
      <c r="AO975" s="137">
        <v>1</v>
      </c>
      <c r="AP975" s="137">
        <v>1</v>
      </c>
      <c r="AQ975" s="137">
        <v>1</v>
      </c>
      <c r="AR975" s="137">
        <v>1</v>
      </c>
      <c r="AS975" s="158">
        <v>0.0656418488929858</v>
      </c>
      <c r="AT975" s="141">
        <v>0.222222222222222</v>
      </c>
      <c r="AU975" s="141">
        <v>0</v>
      </c>
      <c r="AV975" s="141">
        <v>0</v>
      </c>
      <c r="AW975" s="141">
        <v>0.0427807486631016</v>
      </c>
      <c r="AX975" s="95"/>
      <c r="AY975" s="93"/>
    </row>
    <row r="976" ht="15" spans="1:51">
      <c r="A976" s="91"/>
      <c r="B976" s="95"/>
      <c r="C976" s="180" t="s">
        <v>927</v>
      </c>
      <c r="D976" s="181" t="s">
        <v>25</v>
      </c>
      <c r="E976" s="130" t="s">
        <v>928</v>
      </c>
      <c r="F976" s="182" t="s">
        <v>1005</v>
      </c>
      <c r="G976" s="183" t="s">
        <v>1005</v>
      </c>
      <c r="H976" s="183" t="s">
        <v>1005</v>
      </c>
      <c r="I976" s="183" t="s">
        <v>1005</v>
      </c>
      <c r="J976" s="132">
        <v>0.9</v>
      </c>
      <c r="K976" s="133">
        <v>0.948717948717949</v>
      </c>
      <c r="L976" s="133">
        <v>0.918918918918919</v>
      </c>
      <c r="M976" s="134">
        <v>0.888888888888889</v>
      </c>
      <c r="N976" s="133">
        <v>0.913916786226686</v>
      </c>
      <c r="O976" s="135">
        <v>0.9</v>
      </c>
      <c r="P976" s="133">
        <v>0.953497164461248</v>
      </c>
      <c r="Q976" s="133">
        <v>0.953887399463807</v>
      </c>
      <c r="R976" s="133">
        <v>0.888676083313383</v>
      </c>
      <c r="S976" s="133">
        <v>0.920078588700813</v>
      </c>
      <c r="T976" s="135">
        <v>0.9</v>
      </c>
      <c r="U976" s="133">
        <v>0.916446124763705</v>
      </c>
      <c r="V976" s="133">
        <v>0.908847184986595</v>
      </c>
      <c r="W976" s="133">
        <v>0.851807517356955</v>
      </c>
      <c r="X976" s="133">
        <v>0.873763464497692</v>
      </c>
      <c r="Y976" s="135">
        <v>0.92</v>
      </c>
      <c r="Z976" s="135" t="s">
        <v>35</v>
      </c>
      <c r="AA976" s="135" t="s">
        <v>35</v>
      </c>
      <c r="AB976" s="135" t="s">
        <v>35</v>
      </c>
      <c r="AC976" s="135" t="s">
        <v>35</v>
      </c>
      <c r="AD976" s="135">
        <v>0.92</v>
      </c>
      <c r="AE976" s="133">
        <v>0.982404692082111</v>
      </c>
      <c r="AF976" s="133">
        <v>0.927117531188444</v>
      </c>
      <c r="AG976" s="133">
        <v>0.988773747841105</v>
      </c>
      <c r="AH976" s="133">
        <v>0.979855968476119</v>
      </c>
      <c r="AI976" s="135">
        <v>0.92</v>
      </c>
      <c r="AJ976" s="133">
        <v>0.934971644612476</v>
      </c>
      <c r="AK976" s="133">
        <v>0.934584450402145</v>
      </c>
      <c r="AL976" s="133">
        <v>0.897055302848935</v>
      </c>
      <c r="AM976" s="133">
        <v>0.923075866238013</v>
      </c>
      <c r="AN976" s="132">
        <v>0.99</v>
      </c>
      <c r="AO976" s="137">
        <v>1</v>
      </c>
      <c r="AP976" s="137">
        <v>1</v>
      </c>
      <c r="AQ976" s="137">
        <v>1</v>
      </c>
      <c r="AR976" s="137">
        <v>1</v>
      </c>
      <c r="AS976" s="158">
        <v>0.0656418488929858</v>
      </c>
      <c r="AT976" s="141">
        <v>0.0416666666666667</v>
      </c>
      <c r="AU976" s="141">
        <v>0.111111111111111</v>
      </c>
      <c r="AV976" s="141">
        <v>0</v>
      </c>
      <c r="AW976" s="141">
        <v>0.0398406374501992</v>
      </c>
      <c r="AX976" s="95"/>
      <c r="AY976" s="93"/>
    </row>
    <row r="977" ht="15" spans="1:51">
      <c r="A977" s="91"/>
      <c r="B977" s="95"/>
      <c r="C977" s="180" t="s">
        <v>927</v>
      </c>
      <c r="D977" s="181" t="s">
        <v>25</v>
      </c>
      <c r="E977" s="130" t="s">
        <v>928</v>
      </c>
      <c r="F977" s="182" t="s">
        <v>1006</v>
      </c>
      <c r="G977" s="183" t="s">
        <v>1006</v>
      </c>
      <c r="H977" s="183" t="s">
        <v>1006</v>
      </c>
      <c r="I977" s="183" t="s">
        <v>1006</v>
      </c>
      <c r="J977" s="132">
        <v>0.9</v>
      </c>
      <c r="K977" s="133">
        <v>0.976190476190476</v>
      </c>
      <c r="L977" s="133">
        <v>0.926829268292683</v>
      </c>
      <c r="M977" s="134">
        <v>0.923076923076923</v>
      </c>
      <c r="N977" s="133">
        <v>0.951127819548872</v>
      </c>
      <c r="O977" s="135">
        <v>0.9</v>
      </c>
      <c r="P977" s="133">
        <v>0.977698128235763</v>
      </c>
      <c r="Q977" s="133">
        <v>0.965281730221969</v>
      </c>
      <c r="R977" s="133">
        <v>0.908327333813295</v>
      </c>
      <c r="S977" s="133">
        <v>0.951742059400907</v>
      </c>
      <c r="T977" s="135">
        <v>0.9</v>
      </c>
      <c r="U977" s="133">
        <v>0.91915571485464</v>
      </c>
      <c r="V977" s="133">
        <v>0.910073989755265</v>
      </c>
      <c r="W977" s="133">
        <v>0.890328773698104</v>
      </c>
      <c r="X977" s="133">
        <v>0.907749233832813</v>
      </c>
      <c r="Y977" s="135">
        <v>0.92</v>
      </c>
      <c r="Z977" s="135" t="s">
        <v>35</v>
      </c>
      <c r="AA977" s="135" t="s">
        <v>35</v>
      </c>
      <c r="AB977" s="135" t="s">
        <v>35</v>
      </c>
      <c r="AC977" s="135" t="s">
        <v>35</v>
      </c>
      <c r="AD977" s="135">
        <v>0.92</v>
      </c>
      <c r="AE977" s="133">
        <v>0.979108075532342</v>
      </c>
      <c r="AF977" s="133">
        <v>0.991544532130778</v>
      </c>
      <c r="AG977" s="133">
        <v>0.982646420824295</v>
      </c>
      <c r="AH977" s="133">
        <v>0.989111097478682</v>
      </c>
      <c r="AI977" s="135">
        <v>0.92</v>
      </c>
      <c r="AJ977" s="133">
        <v>0.945063694267516</v>
      </c>
      <c r="AK977" s="133">
        <v>0.936254980079681</v>
      </c>
      <c r="AL977" s="133">
        <v>0.925605951523878</v>
      </c>
      <c r="AM977" s="133">
        <v>0.945274545249124</v>
      </c>
      <c r="AN977" s="132">
        <v>0.99</v>
      </c>
      <c r="AO977" s="137">
        <v>1</v>
      </c>
      <c r="AP977" s="137">
        <v>1</v>
      </c>
      <c r="AQ977" s="137">
        <v>1</v>
      </c>
      <c r="AR977" s="137">
        <v>1</v>
      </c>
      <c r="AS977" s="158">
        <v>0.0656418488929858</v>
      </c>
      <c r="AT977" s="141">
        <v>0</v>
      </c>
      <c r="AU977" s="141">
        <v>0.133333333333333</v>
      </c>
      <c r="AV977" s="141">
        <v>0.0555555555555556</v>
      </c>
      <c r="AW977" s="141">
        <v>0.0512048192771084</v>
      </c>
      <c r="AX977" s="95"/>
      <c r="AY977" s="93"/>
    </row>
    <row r="978" ht="15" spans="1:51">
      <c r="A978" s="91"/>
      <c r="B978" s="95"/>
      <c r="C978" s="180" t="s">
        <v>927</v>
      </c>
      <c r="D978" s="181" t="s">
        <v>25</v>
      </c>
      <c r="E978" s="130" t="s">
        <v>928</v>
      </c>
      <c r="F978" s="184" t="s">
        <v>1007</v>
      </c>
      <c r="G978" s="185" t="s">
        <v>1007</v>
      </c>
      <c r="H978" s="185" t="s">
        <v>1007</v>
      </c>
      <c r="I978" s="185" t="s">
        <v>1007</v>
      </c>
      <c r="J978" s="132">
        <v>0.9</v>
      </c>
      <c r="K978" s="133">
        <v>0.943396226415094</v>
      </c>
      <c r="L978" s="133">
        <v>0.959183673469388</v>
      </c>
      <c r="M978" s="134">
        <v>0.961538461538462</v>
      </c>
      <c r="N978" s="133">
        <v>0.947731755424063</v>
      </c>
      <c r="O978" s="135">
        <v>0.9</v>
      </c>
      <c r="P978" s="133">
        <v>0.93523396343353</v>
      </c>
      <c r="Q978" s="133">
        <v>0.933743492664458</v>
      </c>
      <c r="R978" s="133">
        <v>0.848705049375815</v>
      </c>
      <c r="S978" s="133">
        <v>0.918892889082529</v>
      </c>
      <c r="T978" s="135">
        <v>0.9</v>
      </c>
      <c r="U978" s="133">
        <v>0.902076231794236</v>
      </c>
      <c r="V978" s="133">
        <v>0.922385234264079</v>
      </c>
      <c r="W978" s="133">
        <v>0.858580212409167</v>
      </c>
      <c r="X978" s="133">
        <v>0.897498222843908</v>
      </c>
      <c r="Y978" s="135">
        <v>0.92</v>
      </c>
      <c r="Z978" s="135">
        <v>0</v>
      </c>
      <c r="AA978" s="135" t="s">
        <v>35</v>
      </c>
      <c r="AB978" s="135" t="s">
        <v>35</v>
      </c>
      <c r="AC978" s="135">
        <v>0.5</v>
      </c>
      <c r="AD978" s="135">
        <v>0.92</v>
      </c>
      <c r="AE978" s="133">
        <v>0.936507936507937</v>
      </c>
      <c r="AF978" s="133">
        <v>0.954063604240283</v>
      </c>
      <c r="AG978" s="133">
        <v>0.986394557823129</v>
      </c>
      <c r="AH978" s="133">
        <v>0.963655244029076</v>
      </c>
      <c r="AI978" s="135">
        <v>0.92</v>
      </c>
      <c r="AJ978" s="133">
        <v>0.922242874845105</v>
      </c>
      <c r="AK978" s="133">
        <v>0.940369143398012</v>
      </c>
      <c r="AL978" s="133">
        <v>0.928265325135085</v>
      </c>
      <c r="AM978" s="133">
        <v>0.940232968746417</v>
      </c>
      <c r="AN978" s="132">
        <v>0.99</v>
      </c>
      <c r="AO978" s="137">
        <v>1</v>
      </c>
      <c r="AP978" s="137">
        <v>1</v>
      </c>
      <c r="AQ978" s="137">
        <v>1</v>
      </c>
      <c r="AR978" s="137">
        <v>1</v>
      </c>
      <c r="AS978" s="158">
        <v>0.0656418488929858</v>
      </c>
      <c r="AT978" s="141">
        <v>0.125</v>
      </c>
      <c r="AU978" s="141">
        <v>0.0714285714285714</v>
      </c>
      <c r="AV978" s="141">
        <v>0.0666666666666667</v>
      </c>
      <c r="AW978" s="141">
        <v>0.0599078341013825</v>
      </c>
      <c r="AX978" s="95"/>
      <c r="AY978" s="93"/>
    </row>
    <row r="979" ht="15" spans="1:51">
      <c r="A979" s="91"/>
      <c r="B979" s="95"/>
      <c r="C979" s="180" t="s">
        <v>927</v>
      </c>
      <c r="D979" s="181" t="s">
        <v>25</v>
      </c>
      <c r="E979" s="130" t="s">
        <v>928</v>
      </c>
      <c r="F979" s="184" t="s">
        <v>1008</v>
      </c>
      <c r="G979" s="185" t="s">
        <v>1008</v>
      </c>
      <c r="H979" s="185" t="s">
        <v>1008</v>
      </c>
      <c r="I979" s="185" t="s">
        <v>1008</v>
      </c>
      <c r="J979" s="132">
        <v>0.9</v>
      </c>
      <c r="K979" s="133">
        <v>0.967741935483871</v>
      </c>
      <c r="L979" s="133">
        <v>0.857142857142857</v>
      </c>
      <c r="M979" s="134">
        <v>0.75</v>
      </c>
      <c r="N979" s="133">
        <v>0.915110356536503</v>
      </c>
      <c r="O979" s="135">
        <v>0.9</v>
      </c>
      <c r="P979" s="133">
        <v>0.941456449309853</v>
      </c>
      <c r="Q979" s="133">
        <v>0.916909620991254</v>
      </c>
      <c r="R979" s="133">
        <v>0.774594907407407</v>
      </c>
      <c r="S979" s="133">
        <v>0.908971876440756</v>
      </c>
      <c r="T979" s="135">
        <v>0.9</v>
      </c>
      <c r="U979" s="133">
        <v>0.920514040932889</v>
      </c>
      <c r="V979" s="133">
        <v>0.924927113702624</v>
      </c>
      <c r="W979" s="133">
        <v>0.916087962962963</v>
      </c>
      <c r="X979" s="133">
        <v>0.919354541263255</v>
      </c>
      <c r="Y979" s="135">
        <v>0.92</v>
      </c>
      <c r="Z979" s="135" t="s">
        <v>35</v>
      </c>
      <c r="AA979" s="135" t="s">
        <v>35</v>
      </c>
      <c r="AB979" s="135" t="s">
        <v>35</v>
      </c>
      <c r="AC979" s="135" t="s">
        <v>35</v>
      </c>
      <c r="AD979" s="135">
        <v>0.92</v>
      </c>
      <c r="AE979" s="133">
        <v>0.996136509980683</v>
      </c>
      <c r="AF979" s="133">
        <v>0.927272727272727</v>
      </c>
      <c r="AG979" s="133">
        <v>0.976038338658147</v>
      </c>
      <c r="AH979" s="133">
        <v>0.97732369798156</v>
      </c>
      <c r="AI979" s="135">
        <v>0.92</v>
      </c>
      <c r="AJ979" s="133">
        <v>0.954804947668887</v>
      </c>
      <c r="AK979" s="133">
        <v>0.943877551020408</v>
      </c>
      <c r="AL979" s="133">
        <v>0.963262944749783</v>
      </c>
      <c r="AM979" s="133">
        <v>0.957976065350077</v>
      </c>
      <c r="AN979" s="132">
        <v>0.99</v>
      </c>
      <c r="AO979" s="137">
        <v>1</v>
      </c>
      <c r="AP979" s="137">
        <v>1</v>
      </c>
      <c r="AQ979" s="137">
        <v>1</v>
      </c>
      <c r="AR979" s="137">
        <v>1</v>
      </c>
      <c r="AS979" s="158">
        <v>0.0656418488929858</v>
      </c>
      <c r="AT979" s="141">
        <v>0.0416666666666667</v>
      </c>
      <c r="AU979" s="141">
        <v>0</v>
      </c>
      <c r="AV979" s="141">
        <v>0</v>
      </c>
      <c r="AW979" s="141">
        <v>0.0397553516819572</v>
      </c>
      <c r="AX979" s="95"/>
      <c r="AY979" s="93"/>
    </row>
    <row r="980" ht="15" spans="1:51">
      <c r="A980" s="91"/>
      <c r="B980" s="95"/>
      <c r="C980" s="180" t="s">
        <v>927</v>
      </c>
      <c r="D980" s="181" t="s">
        <v>25</v>
      </c>
      <c r="E980" s="130" t="s">
        <v>928</v>
      </c>
      <c r="F980" s="184" t="s">
        <v>1009</v>
      </c>
      <c r="G980" s="185" t="s">
        <v>1009</v>
      </c>
      <c r="H980" s="185" t="s">
        <v>1009</v>
      </c>
      <c r="I980" s="185" t="s">
        <v>1009</v>
      </c>
      <c r="J980" s="132">
        <v>0.9</v>
      </c>
      <c r="K980" s="133">
        <v>0.934782608695652</v>
      </c>
      <c r="L980" s="133">
        <v>0.86046511627907</v>
      </c>
      <c r="M980" s="134">
        <v>0.883720930232558</v>
      </c>
      <c r="N980" s="133">
        <v>0.892733564013841</v>
      </c>
      <c r="O980" s="135">
        <v>0.9</v>
      </c>
      <c r="P980" s="133">
        <v>0.950582750582751</v>
      </c>
      <c r="Q980" s="133">
        <v>0.927260812581914</v>
      </c>
      <c r="R980" s="133">
        <v>0.855233853006682</v>
      </c>
      <c r="S980" s="133">
        <v>0.935435308445677</v>
      </c>
      <c r="T980" s="135">
        <v>0.9</v>
      </c>
      <c r="U980" s="133">
        <v>0.905827505827506</v>
      </c>
      <c r="V980" s="133">
        <v>0.90956749672346</v>
      </c>
      <c r="W980" s="133">
        <v>0.888919821826281</v>
      </c>
      <c r="X980" s="133">
        <v>0.895380503729765</v>
      </c>
      <c r="Y980" s="135">
        <v>0.92</v>
      </c>
      <c r="Z980" s="135" t="s">
        <v>35</v>
      </c>
      <c r="AA980" s="135" t="s">
        <v>35</v>
      </c>
      <c r="AB980" s="135" t="s">
        <v>35</v>
      </c>
      <c r="AC980" s="135">
        <v>1</v>
      </c>
      <c r="AD980" s="135">
        <v>0.92</v>
      </c>
      <c r="AE980" s="133">
        <v>0.982231698649609</v>
      </c>
      <c r="AF980" s="133">
        <v>0.984462399005594</v>
      </c>
      <c r="AG980" s="133">
        <v>0.988906497622821</v>
      </c>
      <c r="AH980" s="133">
        <v>0.974668275030157</v>
      </c>
      <c r="AI980" s="135">
        <v>0.92</v>
      </c>
      <c r="AJ980" s="133">
        <v>0.945454545454545</v>
      </c>
      <c r="AK980" s="133">
        <v>0.955439056356488</v>
      </c>
      <c r="AL980" s="133">
        <v>0.950167037861915</v>
      </c>
      <c r="AM980" s="133">
        <v>0.955693098608222</v>
      </c>
      <c r="AN980" s="132">
        <v>0.99</v>
      </c>
      <c r="AO980" s="137">
        <v>1</v>
      </c>
      <c r="AP980" s="137">
        <v>1</v>
      </c>
      <c r="AQ980" s="137">
        <v>1</v>
      </c>
      <c r="AR980" s="137">
        <v>1</v>
      </c>
      <c r="AS980" s="158">
        <v>0.0656418488929858</v>
      </c>
      <c r="AT980" s="141">
        <v>0</v>
      </c>
      <c r="AU980" s="141">
        <v>0.142857142857143</v>
      </c>
      <c r="AV980" s="141">
        <v>0.153846153846154</v>
      </c>
      <c r="AW980" s="141">
        <v>0.037037037037037</v>
      </c>
      <c r="AX980" s="95"/>
      <c r="AY980" s="93"/>
    </row>
    <row r="981" ht="15" spans="1:51">
      <c r="A981" s="91"/>
      <c r="B981" s="95"/>
      <c r="C981" s="180" t="s">
        <v>927</v>
      </c>
      <c r="D981" s="181" t="s">
        <v>25</v>
      </c>
      <c r="E981" s="130" t="s">
        <v>928</v>
      </c>
      <c r="F981" s="184" t="s">
        <v>1010</v>
      </c>
      <c r="G981" s="185" t="s">
        <v>1010</v>
      </c>
      <c r="H981" s="185" t="s">
        <v>1010</v>
      </c>
      <c r="I981" s="185" t="s">
        <v>1010</v>
      </c>
      <c r="J981" s="132">
        <v>0.9</v>
      </c>
      <c r="K981" s="133">
        <v>1</v>
      </c>
      <c r="L981" s="133">
        <v>0.892857142857143</v>
      </c>
      <c r="M981" s="134">
        <v>0.966666666666667</v>
      </c>
      <c r="N981" s="133">
        <v>0.952714535901926</v>
      </c>
      <c r="O981" s="135">
        <v>0.9</v>
      </c>
      <c r="P981" s="133">
        <v>0.968201233981965</v>
      </c>
      <c r="Q981" s="133">
        <v>0.964876033057851</v>
      </c>
      <c r="R981" s="133">
        <v>0.91976911976912</v>
      </c>
      <c r="S981" s="133">
        <v>0.932423395462885</v>
      </c>
      <c r="T981" s="135">
        <v>0.9</v>
      </c>
      <c r="U981" s="133">
        <v>0.925011865211201</v>
      </c>
      <c r="V981" s="133">
        <v>0.923553719008264</v>
      </c>
      <c r="W981" s="133">
        <v>0.910822510822511</v>
      </c>
      <c r="X981" s="133">
        <v>0.909480615236887</v>
      </c>
      <c r="Y981" s="135">
        <v>0.92</v>
      </c>
      <c r="Z981" s="135" t="s">
        <v>35</v>
      </c>
      <c r="AA981" s="135" t="s">
        <v>35</v>
      </c>
      <c r="AB981" s="135" t="s">
        <v>35</v>
      </c>
      <c r="AC981" s="135">
        <v>1</v>
      </c>
      <c r="AD981" s="135">
        <v>0.92</v>
      </c>
      <c r="AE981" s="133">
        <v>0.988476312419974</v>
      </c>
      <c r="AF981" s="133">
        <v>0.969047619047619</v>
      </c>
      <c r="AG981" s="133">
        <v>0.967391304347826</v>
      </c>
      <c r="AH981" s="133">
        <v>0.979791666666667</v>
      </c>
      <c r="AI981" s="135">
        <v>0.92</v>
      </c>
      <c r="AJ981" s="133">
        <v>0.953058321479374</v>
      </c>
      <c r="AK981" s="133">
        <v>0.940771349862259</v>
      </c>
      <c r="AL981" s="133">
        <v>0.942873629544143</v>
      </c>
      <c r="AM981" s="133">
        <v>0.950930132876125</v>
      </c>
      <c r="AN981" s="132">
        <v>0.99</v>
      </c>
      <c r="AO981" s="137">
        <v>1</v>
      </c>
      <c r="AP981" s="137">
        <v>1</v>
      </c>
      <c r="AQ981" s="137">
        <v>1</v>
      </c>
      <c r="AR981" s="137">
        <v>1</v>
      </c>
      <c r="AS981" s="158">
        <v>0.0656418488929858</v>
      </c>
      <c r="AT981" s="141">
        <v>0.0909090909090909</v>
      </c>
      <c r="AU981" s="141">
        <v>0.111111111111111</v>
      </c>
      <c r="AV981" s="141">
        <v>0.0666666666666667</v>
      </c>
      <c r="AW981" s="141">
        <v>0.053639846743295</v>
      </c>
      <c r="AX981" s="95"/>
      <c r="AY981" s="93"/>
    </row>
    <row r="982" ht="15" spans="1:51">
      <c r="A982" s="91"/>
      <c r="B982" s="95"/>
      <c r="C982" s="180" t="s">
        <v>927</v>
      </c>
      <c r="D982" s="181" t="s">
        <v>125</v>
      </c>
      <c r="E982" s="130" t="s">
        <v>928</v>
      </c>
      <c r="F982" s="184" t="s">
        <v>1011</v>
      </c>
      <c r="G982" s="185" t="s">
        <v>1011</v>
      </c>
      <c r="H982" s="185" t="s">
        <v>1011</v>
      </c>
      <c r="I982" s="185" t="s">
        <v>1011</v>
      </c>
      <c r="J982" s="132">
        <v>0.9</v>
      </c>
      <c r="K982" s="133" t="s">
        <v>35</v>
      </c>
      <c r="L982" s="133" t="s">
        <v>35</v>
      </c>
      <c r="M982" s="134" t="s">
        <v>35</v>
      </c>
      <c r="N982" s="133" t="s">
        <v>35</v>
      </c>
      <c r="O982" s="135">
        <v>0.9</v>
      </c>
      <c r="P982" s="133" t="s">
        <v>35</v>
      </c>
      <c r="Q982" s="133" t="s">
        <v>35</v>
      </c>
      <c r="R982" s="133" t="s">
        <v>35</v>
      </c>
      <c r="S982" s="133">
        <v>0</v>
      </c>
      <c r="T982" s="135">
        <v>0.9</v>
      </c>
      <c r="U982" s="133" t="s">
        <v>35</v>
      </c>
      <c r="V982" s="133" t="s">
        <v>35</v>
      </c>
      <c r="W982" s="133" t="s">
        <v>35</v>
      </c>
      <c r="X982" s="133">
        <v>1</v>
      </c>
      <c r="Y982" s="135">
        <v>0.92</v>
      </c>
      <c r="Z982" s="135" t="s">
        <v>35</v>
      </c>
      <c r="AA982" s="135" t="s">
        <v>35</v>
      </c>
      <c r="AB982" s="135" t="s">
        <v>35</v>
      </c>
      <c r="AC982" s="135" t="s">
        <v>35</v>
      </c>
      <c r="AD982" s="135">
        <v>0.92</v>
      </c>
      <c r="AE982" s="133">
        <v>0.958188153310105</v>
      </c>
      <c r="AF982" s="133">
        <v>0.930348258706468</v>
      </c>
      <c r="AG982" s="133">
        <v>0.906976744186046</v>
      </c>
      <c r="AH982" s="133">
        <v>0.927226858140889</v>
      </c>
      <c r="AI982" s="135">
        <v>0.92</v>
      </c>
      <c r="AJ982" s="133" t="s">
        <v>35</v>
      </c>
      <c r="AK982" s="133" t="s">
        <v>35</v>
      </c>
      <c r="AL982" s="133" t="s">
        <v>35</v>
      </c>
      <c r="AM982" s="133">
        <v>1</v>
      </c>
      <c r="AN982" s="132">
        <v>0.99</v>
      </c>
      <c r="AO982" s="137">
        <v>1</v>
      </c>
      <c r="AP982" s="137">
        <v>1</v>
      </c>
      <c r="AQ982" s="137">
        <v>1</v>
      </c>
      <c r="AR982" s="137">
        <v>1</v>
      </c>
      <c r="AS982" s="158">
        <v>0.0656418488929858</v>
      </c>
      <c r="AT982" s="141" t="s">
        <v>35</v>
      </c>
      <c r="AU982" s="141" t="s">
        <v>35</v>
      </c>
      <c r="AV982" s="141" t="s">
        <v>35</v>
      </c>
      <c r="AW982" s="141" t="s">
        <v>35</v>
      </c>
      <c r="AX982" s="95"/>
      <c r="AY982" s="93"/>
    </row>
    <row r="983" ht="15" spans="1:51">
      <c r="A983" s="91"/>
      <c r="B983" s="95"/>
      <c r="C983" s="180" t="s">
        <v>927</v>
      </c>
      <c r="D983" s="181" t="s">
        <v>25</v>
      </c>
      <c r="E983" s="130" t="s">
        <v>928</v>
      </c>
      <c r="F983" s="184" t="s">
        <v>1012</v>
      </c>
      <c r="G983" s="185" t="s">
        <v>1012</v>
      </c>
      <c r="H983" s="185" t="s">
        <v>1012</v>
      </c>
      <c r="I983" s="185" t="s">
        <v>1012</v>
      </c>
      <c r="J983" s="132">
        <v>0.9</v>
      </c>
      <c r="K983" s="133">
        <v>0.983606557377049</v>
      </c>
      <c r="L983" s="133">
        <v>0.95</v>
      </c>
      <c r="M983" s="134">
        <v>0.88</v>
      </c>
      <c r="N983" s="133">
        <v>0.929499072356215</v>
      </c>
      <c r="O983" s="135">
        <v>0.9</v>
      </c>
      <c r="P983" s="133">
        <v>0.956541218637993</v>
      </c>
      <c r="Q983" s="133">
        <v>0.949302915082383</v>
      </c>
      <c r="R983" s="133">
        <v>0.876138952164009</v>
      </c>
      <c r="S983" s="133">
        <v>0.941913666202506</v>
      </c>
      <c r="T983" s="135">
        <v>0.9</v>
      </c>
      <c r="U983" s="133">
        <v>0.930555555555556</v>
      </c>
      <c r="V983" s="133">
        <v>0.903675538656527</v>
      </c>
      <c r="W983" s="133">
        <v>0.887243735763098</v>
      </c>
      <c r="X983" s="133">
        <v>0.918987467674557</v>
      </c>
      <c r="Y983" s="135">
        <v>0.92</v>
      </c>
      <c r="Z983" s="135" t="s">
        <v>35</v>
      </c>
      <c r="AA983" s="135">
        <v>1</v>
      </c>
      <c r="AB983" s="135" t="s">
        <v>35</v>
      </c>
      <c r="AC983" s="135">
        <v>1</v>
      </c>
      <c r="AD983" s="135">
        <v>0.92</v>
      </c>
      <c r="AE983" s="133">
        <v>0.990627928772259</v>
      </c>
      <c r="AF983" s="133">
        <v>0.986463620981388</v>
      </c>
      <c r="AG983" s="133">
        <v>0.99163179916318</v>
      </c>
      <c r="AH983" s="133">
        <v>0.982427273923917</v>
      </c>
      <c r="AI983" s="135">
        <v>0.92</v>
      </c>
      <c r="AJ983" s="133">
        <v>0.959229390681004</v>
      </c>
      <c r="AK983" s="133">
        <v>0.951868271057631</v>
      </c>
      <c r="AL983" s="133">
        <v>0.920558086560364</v>
      </c>
      <c r="AM983" s="133">
        <v>0.955840668357452</v>
      </c>
      <c r="AN983" s="132">
        <v>0.99</v>
      </c>
      <c r="AO983" s="137">
        <v>1</v>
      </c>
      <c r="AP983" s="137">
        <v>1</v>
      </c>
      <c r="AQ983" s="137">
        <v>1</v>
      </c>
      <c r="AR983" s="137">
        <v>1</v>
      </c>
      <c r="AS983" s="158">
        <v>0.0656418488929858</v>
      </c>
      <c r="AT983" s="141">
        <v>0</v>
      </c>
      <c r="AU983" s="141">
        <v>0</v>
      </c>
      <c r="AV983" s="141">
        <v>0</v>
      </c>
      <c r="AW983" s="141">
        <v>0.0336134453781513</v>
      </c>
      <c r="AX983" s="95"/>
      <c r="AY983" s="93"/>
    </row>
    <row r="984" ht="15" spans="1:51">
      <c r="A984" s="91"/>
      <c r="B984" s="95"/>
      <c r="C984" s="180" t="s">
        <v>927</v>
      </c>
      <c r="D984" s="181" t="s">
        <v>25</v>
      </c>
      <c r="E984" s="130" t="s">
        <v>928</v>
      </c>
      <c r="F984" s="184" t="s">
        <v>1013</v>
      </c>
      <c r="G984" s="185" t="s">
        <v>1013</v>
      </c>
      <c r="H984" s="185" t="s">
        <v>1013</v>
      </c>
      <c r="I984" s="185" t="s">
        <v>1013</v>
      </c>
      <c r="J984" s="132">
        <v>0.9</v>
      </c>
      <c r="K984" s="133">
        <v>1</v>
      </c>
      <c r="L984" s="133">
        <v>1</v>
      </c>
      <c r="M984" s="134">
        <v>0.980392156862745</v>
      </c>
      <c r="N984" s="133">
        <v>0.986653956148713</v>
      </c>
      <c r="O984" s="135">
        <v>0.9</v>
      </c>
      <c r="P984" s="133">
        <v>0.966646813579512</v>
      </c>
      <c r="Q984" s="133">
        <v>0.96079258010118</v>
      </c>
      <c r="R984" s="133">
        <v>0.935904499540863</v>
      </c>
      <c r="S984" s="133">
        <v>0.957898373149957</v>
      </c>
      <c r="T984" s="135">
        <v>0.9</v>
      </c>
      <c r="U984" s="133">
        <v>0.932698034544372</v>
      </c>
      <c r="V984" s="133">
        <v>0.937183811129848</v>
      </c>
      <c r="W984" s="133">
        <v>0.910560146923783</v>
      </c>
      <c r="X984" s="133">
        <v>0.924443772737577</v>
      </c>
      <c r="Y984" s="135">
        <v>0.92</v>
      </c>
      <c r="Z984" s="135" t="s">
        <v>35</v>
      </c>
      <c r="AA984" s="135" t="s">
        <v>35</v>
      </c>
      <c r="AB984" s="135" t="s">
        <v>35</v>
      </c>
      <c r="AC984" s="135" t="s">
        <v>35</v>
      </c>
      <c r="AD984" s="135">
        <v>0.92</v>
      </c>
      <c r="AE984" s="133">
        <v>0.994994994994995</v>
      </c>
      <c r="AF984" s="133">
        <v>0.984635083226633</v>
      </c>
      <c r="AG984" s="133">
        <v>0.992214532871972</v>
      </c>
      <c r="AH984" s="133">
        <v>0.990480084102324</v>
      </c>
      <c r="AI984" s="135">
        <v>0.92</v>
      </c>
      <c r="AJ984" s="133">
        <v>0.972015480797856</v>
      </c>
      <c r="AK984" s="133">
        <v>0.967537942664418</v>
      </c>
      <c r="AL984" s="133">
        <v>0.954820936639118</v>
      </c>
      <c r="AM984" s="133">
        <v>0.971943952674986</v>
      </c>
      <c r="AN984" s="132">
        <v>0.99</v>
      </c>
      <c r="AO984" s="137">
        <v>1</v>
      </c>
      <c r="AP984" s="137">
        <v>1</v>
      </c>
      <c r="AQ984" s="137">
        <v>1</v>
      </c>
      <c r="AR984" s="137">
        <v>1</v>
      </c>
      <c r="AS984" s="158">
        <v>0.0656418488929858</v>
      </c>
      <c r="AT984" s="141">
        <v>0.03125</v>
      </c>
      <c r="AU984" s="141">
        <v>0.0333333333333333</v>
      </c>
      <c r="AV984" s="141">
        <v>0.0540540540540541</v>
      </c>
      <c r="AW984" s="141">
        <v>0.0472972972972973</v>
      </c>
      <c r="AX984" s="95"/>
      <c r="AY984" s="93"/>
    </row>
    <row r="985" ht="15" spans="1:51">
      <c r="A985" s="91"/>
      <c r="B985" s="95"/>
      <c r="C985" s="180" t="s">
        <v>927</v>
      </c>
      <c r="D985" s="181" t="s">
        <v>25</v>
      </c>
      <c r="E985" s="130" t="s">
        <v>928</v>
      </c>
      <c r="F985" s="184" t="s">
        <v>1014</v>
      </c>
      <c r="G985" s="185" t="s">
        <v>1014</v>
      </c>
      <c r="H985" s="185" t="s">
        <v>1014</v>
      </c>
      <c r="I985" s="185" t="s">
        <v>1014</v>
      </c>
      <c r="J985" s="132">
        <v>0.9</v>
      </c>
      <c r="K985" s="133">
        <v>1</v>
      </c>
      <c r="L985" s="133">
        <v>1</v>
      </c>
      <c r="M985" s="134">
        <v>0.923076923076923</v>
      </c>
      <c r="N985" s="133">
        <v>0.958963282937365</v>
      </c>
      <c r="O985" s="135">
        <v>0.9</v>
      </c>
      <c r="P985" s="133">
        <v>0.97556270096463</v>
      </c>
      <c r="Q985" s="133">
        <v>0.923144104803493</v>
      </c>
      <c r="R985" s="133">
        <v>0.961508553654743</v>
      </c>
      <c r="S985" s="133">
        <v>0.949240219851277</v>
      </c>
      <c r="T985" s="135">
        <v>0.9</v>
      </c>
      <c r="U985" s="133">
        <v>0.936334405144695</v>
      </c>
      <c r="V985" s="133">
        <v>0.904803493449782</v>
      </c>
      <c r="W985" s="133">
        <v>0.919129082426128</v>
      </c>
      <c r="X985" s="133">
        <v>0.919310886333195</v>
      </c>
      <c r="Y985" s="135">
        <v>0.92</v>
      </c>
      <c r="Z985" s="135" t="s">
        <v>35</v>
      </c>
      <c r="AA985" s="135" t="s">
        <v>35</v>
      </c>
      <c r="AB985" s="135" t="s">
        <v>35</v>
      </c>
      <c r="AC985" s="135">
        <v>1</v>
      </c>
      <c r="AD985" s="135">
        <v>0.92</v>
      </c>
      <c r="AE985" s="133">
        <v>0.976</v>
      </c>
      <c r="AF985" s="133">
        <v>0.89568345323741</v>
      </c>
      <c r="AG985" s="133">
        <v>0.951724137931034</v>
      </c>
      <c r="AH985" s="133">
        <v>0.962732919254658</v>
      </c>
      <c r="AI985" s="135">
        <v>0.92</v>
      </c>
      <c r="AJ985" s="133">
        <v>0.954370179948586</v>
      </c>
      <c r="AK985" s="133">
        <v>0.948471615720524</v>
      </c>
      <c r="AL985" s="133">
        <v>0.962286158631415</v>
      </c>
      <c r="AM985" s="133">
        <v>0.968179194088442</v>
      </c>
      <c r="AN985" s="132">
        <v>0.99</v>
      </c>
      <c r="AO985" s="137">
        <v>1</v>
      </c>
      <c r="AP985" s="137">
        <v>1</v>
      </c>
      <c r="AQ985" s="137">
        <v>1</v>
      </c>
      <c r="AR985" s="137">
        <v>1</v>
      </c>
      <c r="AS985" s="158">
        <v>0.0656418488929858</v>
      </c>
      <c r="AT985" s="141">
        <v>0.133333333333333</v>
      </c>
      <c r="AU985" s="141">
        <v>0.111111111111111</v>
      </c>
      <c r="AV985" s="141">
        <v>0</v>
      </c>
      <c r="AW985" s="141">
        <v>0.0571428571428571</v>
      </c>
      <c r="AX985" s="95"/>
      <c r="AY985" s="93"/>
    </row>
    <row r="986" ht="15" spans="1:51">
      <c r="A986" s="91"/>
      <c r="B986" s="95"/>
      <c r="C986" s="180" t="s">
        <v>927</v>
      </c>
      <c r="D986" s="181" t="s">
        <v>25</v>
      </c>
      <c r="E986" s="130" t="s">
        <v>928</v>
      </c>
      <c r="F986" s="184" t="s">
        <v>1015</v>
      </c>
      <c r="G986" s="185" t="s">
        <v>1015</v>
      </c>
      <c r="H986" s="185" t="s">
        <v>1015</v>
      </c>
      <c r="I986" s="185" t="s">
        <v>1015</v>
      </c>
      <c r="J986" s="132">
        <v>0.9</v>
      </c>
      <c r="K986" s="133">
        <v>1</v>
      </c>
      <c r="L986" s="133">
        <v>0.9</v>
      </c>
      <c r="M986" s="134">
        <v>1</v>
      </c>
      <c r="N986" s="133">
        <v>0.945205479452055</v>
      </c>
      <c r="O986" s="135">
        <v>0.9</v>
      </c>
      <c r="P986" s="133">
        <v>0.959193470955353</v>
      </c>
      <c r="Q986" s="133">
        <v>0.962264150943396</v>
      </c>
      <c r="R986" s="133">
        <v>0.946350043975374</v>
      </c>
      <c r="S986" s="133">
        <v>0.944144726765262</v>
      </c>
      <c r="T986" s="135">
        <v>0.9</v>
      </c>
      <c r="U986" s="133">
        <v>0.924147863658185</v>
      </c>
      <c r="V986" s="133">
        <v>0.93033381712627</v>
      </c>
      <c r="W986" s="133">
        <v>0.886543535620053</v>
      </c>
      <c r="X986" s="133">
        <v>0.906142037815484</v>
      </c>
      <c r="Y986" s="135">
        <v>0.92</v>
      </c>
      <c r="Z986" s="135" t="s">
        <v>35</v>
      </c>
      <c r="AA986" s="135" t="s">
        <v>35</v>
      </c>
      <c r="AB986" s="135" t="s">
        <v>35</v>
      </c>
      <c r="AC986" s="135" t="s">
        <v>35</v>
      </c>
      <c r="AD986" s="135">
        <v>0.92</v>
      </c>
      <c r="AE986" s="133">
        <v>0.989462592202318</v>
      </c>
      <c r="AF986" s="133">
        <v>0.991256830601093</v>
      </c>
      <c r="AG986" s="133">
        <v>0.972972972972973</v>
      </c>
      <c r="AH986" s="133">
        <v>0.982010436693216</v>
      </c>
      <c r="AI986" s="135">
        <v>0.92</v>
      </c>
      <c r="AJ986" s="133">
        <v>0.950552088334134</v>
      </c>
      <c r="AK986" s="133">
        <v>0.95355587808418</v>
      </c>
      <c r="AL986" s="133">
        <v>0.944884198182351</v>
      </c>
      <c r="AM986" s="133">
        <v>0.957742643680117</v>
      </c>
      <c r="AN986" s="132">
        <v>0.99</v>
      </c>
      <c r="AO986" s="137">
        <v>1</v>
      </c>
      <c r="AP986" s="137">
        <v>1</v>
      </c>
      <c r="AQ986" s="137">
        <v>1</v>
      </c>
      <c r="AR986" s="137">
        <v>1</v>
      </c>
      <c r="AS986" s="158">
        <v>0.0656418488929858</v>
      </c>
      <c r="AT986" s="141">
        <v>0</v>
      </c>
      <c r="AU986" s="141">
        <v>0</v>
      </c>
      <c r="AV986" s="141">
        <v>0.0555555555555556</v>
      </c>
      <c r="AW986" s="141">
        <v>0.0352112676056338</v>
      </c>
      <c r="AX986" s="95"/>
      <c r="AY986" s="93"/>
    </row>
    <row r="987" ht="15" spans="1:51">
      <c r="A987" s="91"/>
      <c r="B987" s="95"/>
      <c r="C987" s="180" t="s">
        <v>927</v>
      </c>
      <c r="D987" s="181" t="s">
        <v>25</v>
      </c>
      <c r="E987" s="130" t="s">
        <v>928</v>
      </c>
      <c r="F987" s="184" t="s">
        <v>1016</v>
      </c>
      <c r="G987" s="185" t="s">
        <v>1016</v>
      </c>
      <c r="H987" s="185" t="s">
        <v>1016</v>
      </c>
      <c r="I987" s="185" t="s">
        <v>1016</v>
      </c>
      <c r="J987" s="132">
        <v>0.9</v>
      </c>
      <c r="K987" s="133">
        <v>0.942857142857143</v>
      </c>
      <c r="L987" s="133">
        <v>1</v>
      </c>
      <c r="M987" s="134">
        <v>0.911764705882353</v>
      </c>
      <c r="N987" s="133">
        <v>0.93953488372093</v>
      </c>
      <c r="O987" s="135">
        <v>0.9</v>
      </c>
      <c r="P987" s="133">
        <v>0.9625</v>
      </c>
      <c r="Q987" s="133">
        <v>0.956856702619414</v>
      </c>
      <c r="R987" s="133">
        <v>0.944852941176471</v>
      </c>
      <c r="S987" s="133">
        <v>0.960155598777438</v>
      </c>
      <c r="T987" s="135">
        <v>0.9</v>
      </c>
      <c r="U987" s="133">
        <v>0.906875</v>
      </c>
      <c r="V987" s="133">
        <v>0.895737031330252</v>
      </c>
      <c r="W987" s="133">
        <v>0.900735294117647</v>
      </c>
      <c r="X987" s="133">
        <v>0.897323330554784</v>
      </c>
      <c r="Y987" s="135">
        <v>0.92</v>
      </c>
      <c r="Z987" s="135" t="s">
        <v>35</v>
      </c>
      <c r="AA987" s="135" t="s">
        <v>35</v>
      </c>
      <c r="AB987" s="135" t="s">
        <v>35</v>
      </c>
      <c r="AC987" s="135">
        <v>0</v>
      </c>
      <c r="AD987" s="135">
        <v>0.92</v>
      </c>
      <c r="AE987" s="133">
        <v>0.996594778660613</v>
      </c>
      <c r="AF987" s="133">
        <v>0.985207100591716</v>
      </c>
      <c r="AG987" s="133">
        <v>0.931958762886598</v>
      </c>
      <c r="AH987" s="133">
        <v>0.975014318442153</v>
      </c>
      <c r="AI987" s="135">
        <v>0.92</v>
      </c>
      <c r="AJ987" s="133">
        <v>0.953125</v>
      </c>
      <c r="AK987" s="133">
        <v>0.942475603492553</v>
      </c>
      <c r="AL987" s="133">
        <v>0.952590959206174</v>
      </c>
      <c r="AM987" s="133">
        <v>0.958065531867603</v>
      </c>
      <c r="AN987" s="132">
        <v>0.99</v>
      </c>
      <c r="AO987" s="137">
        <v>1</v>
      </c>
      <c r="AP987" s="137">
        <v>1</v>
      </c>
      <c r="AQ987" s="137">
        <v>1</v>
      </c>
      <c r="AR987" s="137">
        <v>1</v>
      </c>
      <c r="AS987" s="158">
        <v>0.0656418488929858</v>
      </c>
      <c r="AT987" s="141">
        <v>0.125</v>
      </c>
      <c r="AU987" s="141">
        <v>0</v>
      </c>
      <c r="AV987" s="141">
        <v>0</v>
      </c>
      <c r="AW987" s="141">
        <v>0.0422535211267606</v>
      </c>
      <c r="AX987" s="95"/>
      <c r="AY987" s="93"/>
    </row>
    <row r="988" ht="15" spans="1:51">
      <c r="A988" s="91"/>
      <c r="B988" s="95"/>
      <c r="C988" s="180" t="s">
        <v>927</v>
      </c>
      <c r="D988" s="181" t="s">
        <v>25</v>
      </c>
      <c r="E988" s="130" t="s">
        <v>928</v>
      </c>
      <c r="F988" s="184" t="s">
        <v>1017</v>
      </c>
      <c r="G988" s="185" t="s">
        <v>1017</v>
      </c>
      <c r="H988" s="185" t="s">
        <v>1017</v>
      </c>
      <c r="I988" s="185" t="s">
        <v>1017</v>
      </c>
      <c r="J988" s="132">
        <v>0.9</v>
      </c>
      <c r="K988" s="133">
        <v>0.96</v>
      </c>
      <c r="L988" s="133">
        <v>0.958333333333333</v>
      </c>
      <c r="M988" s="134">
        <v>0.961538461538462</v>
      </c>
      <c r="N988" s="133">
        <v>0.921104536489152</v>
      </c>
      <c r="O988" s="135">
        <v>0.9</v>
      </c>
      <c r="P988" s="133">
        <v>0.962635201573255</v>
      </c>
      <c r="Q988" s="133">
        <v>0.976568405139834</v>
      </c>
      <c r="R988" s="133">
        <v>0.964693101575231</v>
      </c>
      <c r="S988" s="133">
        <v>0.967290914774503</v>
      </c>
      <c r="T988" s="135">
        <v>0.9</v>
      </c>
      <c r="U988" s="133">
        <v>0.891838741396264</v>
      </c>
      <c r="V988" s="133">
        <v>0.91005291005291</v>
      </c>
      <c r="W988" s="133">
        <v>0.898424769147203</v>
      </c>
      <c r="X988" s="133">
        <v>0.916166984000682</v>
      </c>
      <c r="Y988" s="135">
        <v>0.92</v>
      </c>
      <c r="Z988" s="135" t="s">
        <v>35</v>
      </c>
      <c r="AA988" s="135" t="s">
        <v>35</v>
      </c>
      <c r="AB988" s="135" t="s">
        <v>35</v>
      </c>
      <c r="AC988" s="135">
        <v>0</v>
      </c>
      <c r="AD988" s="135">
        <v>0.92</v>
      </c>
      <c r="AE988" s="133">
        <v>0.997395833333333</v>
      </c>
      <c r="AF988" s="133">
        <v>0.985200845665962</v>
      </c>
      <c r="AG988" s="133">
        <v>0.979865771812081</v>
      </c>
      <c r="AH988" s="133">
        <v>0.990843507214206</v>
      </c>
      <c r="AI988" s="135">
        <v>0.92</v>
      </c>
      <c r="AJ988" s="133">
        <v>0.925270403146509</v>
      </c>
      <c r="AK988" s="133">
        <v>0.944066515495087</v>
      </c>
      <c r="AL988" s="133">
        <v>0.939706681151548</v>
      </c>
      <c r="AM988" s="133">
        <v>0.953399823828602</v>
      </c>
      <c r="AN988" s="132">
        <v>0.99</v>
      </c>
      <c r="AO988" s="137">
        <v>1</v>
      </c>
      <c r="AP988" s="137">
        <v>1</v>
      </c>
      <c r="AQ988" s="137">
        <v>1</v>
      </c>
      <c r="AR988" s="137">
        <v>1</v>
      </c>
      <c r="AS988" s="158">
        <v>0.0656418488929858</v>
      </c>
      <c r="AT988" s="141">
        <v>0</v>
      </c>
      <c r="AU988" s="141">
        <v>0</v>
      </c>
      <c r="AV988" s="141">
        <v>0</v>
      </c>
      <c r="AW988" s="141">
        <v>0.0469798657718121</v>
      </c>
      <c r="AX988" s="95"/>
      <c r="AY988" s="93"/>
    </row>
    <row r="989" ht="15" spans="1:51">
      <c r="A989" s="91"/>
      <c r="B989" s="95"/>
      <c r="C989" s="180" t="s">
        <v>927</v>
      </c>
      <c r="D989" s="181" t="s">
        <v>25</v>
      </c>
      <c r="E989" s="130" t="s">
        <v>928</v>
      </c>
      <c r="F989" s="184" t="s">
        <v>1018</v>
      </c>
      <c r="G989" s="185" t="s">
        <v>1018</v>
      </c>
      <c r="H989" s="185" t="s">
        <v>1018</v>
      </c>
      <c r="I989" s="185" t="s">
        <v>1018</v>
      </c>
      <c r="J989" s="132">
        <v>0.9</v>
      </c>
      <c r="K989" s="133">
        <v>0.944444444444444</v>
      </c>
      <c r="L989" s="133">
        <v>0.862068965517241</v>
      </c>
      <c r="M989" s="134">
        <v>0.970588235294118</v>
      </c>
      <c r="N989" s="133">
        <v>0.92845786963434</v>
      </c>
      <c r="O989" s="135">
        <v>0.9</v>
      </c>
      <c r="P989" s="133">
        <v>0.948391420911528</v>
      </c>
      <c r="Q989" s="133">
        <v>0.934991520633126</v>
      </c>
      <c r="R989" s="133">
        <v>0.954121863799283</v>
      </c>
      <c r="S989" s="133">
        <v>0.955778816501484</v>
      </c>
      <c r="T989" s="135">
        <v>0.9</v>
      </c>
      <c r="U989" s="133">
        <v>0.915549597855228</v>
      </c>
      <c r="V989" s="133">
        <v>0.902769926512154</v>
      </c>
      <c r="W989" s="133">
        <v>0.928673835125448</v>
      </c>
      <c r="X989" s="133">
        <v>0.910180569832619</v>
      </c>
      <c r="Y989" s="135">
        <v>0.92</v>
      </c>
      <c r="Z989" s="135">
        <v>0.333333333333333</v>
      </c>
      <c r="AA989" s="135" t="s">
        <v>35</v>
      </c>
      <c r="AB989" s="135" t="s">
        <v>35</v>
      </c>
      <c r="AC989" s="135">
        <v>0.2</v>
      </c>
      <c r="AD989" s="135">
        <v>0.92</v>
      </c>
      <c r="AE989" s="133">
        <v>0.854606931530008</v>
      </c>
      <c r="AF989" s="133">
        <v>0.990632318501171</v>
      </c>
      <c r="AG989" s="133">
        <v>0.989520958083832</v>
      </c>
      <c r="AH989" s="133">
        <v>0.978109452736318</v>
      </c>
      <c r="AI989" s="135">
        <v>0.92</v>
      </c>
      <c r="AJ989" s="133">
        <v>0.949163879598662</v>
      </c>
      <c r="AK989" s="133">
        <v>0.94855850763143</v>
      </c>
      <c r="AL989" s="133">
        <v>0.951971326164875</v>
      </c>
      <c r="AM989" s="133">
        <v>0.953050459605166</v>
      </c>
      <c r="AN989" s="132">
        <v>0.99</v>
      </c>
      <c r="AO989" s="137">
        <v>1</v>
      </c>
      <c r="AP989" s="137">
        <v>1</v>
      </c>
      <c r="AQ989" s="137">
        <v>1</v>
      </c>
      <c r="AR989" s="137">
        <v>1</v>
      </c>
      <c r="AS989" s="158">
        <v>0.0656418488929858</v>
      </c>
      <c r="AT989" s="141">
        <v>0</v>
      </c>
      <c r="AU989" s="141">
        <v>0.0909090909090909</v>
      </c>
      <c r="AV989" s="141">
        <v>0</v>
      </c>
      <c r="AW989" s="141">
        <v>0.0646766169154229</v>
      </c>
      <c r="AX989" s="95"/>
      <c r="AY989" s="93"/>
    </row>
    <row r="990" ht="15" spans="1:51">
      <c r="A990" s="91"/>
      <c r="B990" s="95"/>
      <c r="C990" s="180" t="s">
        <v>927</v>
      </c>
      <c r="D990" s="181" t="s">
        <v>25</v>
      </c>
      <c r="E990" s="130" t="s">
        <v>928</v>
      </c>
      <c r="F990" s="188" t="s">
        <v>1019</v>
      </c>
      <c r="G990" s="189" t="s">
        <v>1019</v>
      </c>
      <c r="H990" s="189" t="s">
        <v>1019</v>
      </c>
      <c r="I990" s="189" t="s">
        <v>1019</v>
      </c>
      <c r="J990" s="132">
        <v>0.9</v>
      </c>
      <c r="K990" s="133">
        <v>0.966666666666667</v>
      </c>
      <c r="L990" s="133">
        <v>0.962962962962963</v>
      </c>
      <c r="M990" s="134">
        <v>0.9</v>
      </c>
      <c r="N990" s="133">
        <v>0.96085409252669</v>
      </c>
      <c r="O990" s="135">
        <v>0.9</v>
      </c>
      <c r="P990" s="133">
        <v>0.965004374453193</v>
      </c>
      <c r="Q990" s="133">
        <v>0.900274473924977</v>
      </c>
      <c r="R990" s="133">
        <v>0.978658536585366</v>
      </c>
      <c r="S990" s="133">
        <v>0.961026952052</v>
      </c>
      <c r="T990" s="135">
        <v>0.9</v>
      </c>
      <c r="U990" s="133">
        <v>0.917760279965004</v>
      </c>
      <c r="V990" s="133">
        <v>0.87740164684355</v>
      </c>
      <c r="W990" s="133">
        <v>0.948678861788618</v>
      </c>
      <c r="X990" s="133">
        <v>0.931899154178792</v>
      </c>
      <c r="Y990" s="135">
        <v>0.92</v>
      </c>
      <c r="Z990" s="135">
        <v>0.906015037593985</v>
      </c>
      <c r="AA990" s="135">
        <v>0.850515463917526</v>
      </c>
      <c r="AB990" s="135">
        <v>0.869565217391304</v>
      </c>
      <c r="AC990" s="135">
        <v>0.898182665424045</v>
      </c>
      <c r="AD990" s="135">
        <v>0.92</v>
      </c>
      <c r="AE990" s="133">
        <v>0.997118155619596</v>
      </c>
      <c r="AF990" s="133">
        <v>0.990253411306043</v>
      </c>
      <c r="AG990" s="133">
        <v>0.991304347826087</v>
      </c>
      <c r="AH990" s="133">
        <v>0.985054347826087</v>
      </c>
      <c r="AI990" s="135">
        <v>0.92</v>
      </c>
      <c r="AJ990" s="133">
        <v>0.964513839602555</v>
      </c>
      <c r="AK990" s="133">
        <v>0.937062937062937</v>
      </c>
      <c r="AL990" s="133">
        <v>0.96160064672595</v>
      </c>
      <c r="AM990" s="133">
        <v>0.965737719375606</v>
      </c>
      <c r="AN990" s="132">
        <v>0.99</v>
      </c>
      <c r="AO990" s="137">
        <v>1</v>
      </c>
      <c r="AP990" s="137">
        <v>1</v>
      </c>
      <c r="AQ990" s="137">
        <v>1</v>
      </c>
      <c r="AR990" s="137">
        <v>1</v>
      </c>
      <c r="AS990" s="158">
        <v>0.0656418488929858</v>
      </c>
      <c r="AT990" s="141">
        <v>0.0833333333333333</v>
      </c>
      <c r="AU990" s="141">
        <v>0.2</v>
      </c>
      <c r="AV990" s="141">
        <v>0</v>
      </c>
      <c r="AW990" s="141">
        <v>0.0546218487394958</v>
      </c>
      <c r="AX990" s="95"/>
      <c r="AY990" s="93"/>
    </row>
    <row r="991" ht="15" spans="1:51">
      <c r="A991" s="91"/>
      <c r="B991" s="95"/>
      <c r="C991" s="180" t="s">
        <v>927</v>
      </c>
      <c r="D991" s="181" t="s">
        <v>25</v>
      </c>
      <c r="E991" s="130" t="s">
        <v>928</v>
      </c>
      <c r="F991" s="184" t="s">
        <v>1020</v>
      </c>
      <c r="G991" s="185" t="s">
        <v>1020</v>
      </c>
      <c r="H991" s="185" t="s">
        <v>1020</v>
      </c>
      <c r="I991" s="185" t="s">
        <v>1020</v>
      </c>
      <c r="J991" s="132">
        <v>0.9</v>
      </c>
      <c r="K991" s="133">
        <v>0.885714285714286</v>
      </c>
      <c r="L991" s="133">
        <v>0.870967741935484</v>
      </c>
      <c r="M991" s="134">
        <v>0.857142857142857</v>
      </c>
      <c r="N991" s="133">
        <v>0.928237129485179</v>
      </c>
      <c r="O991" s="135">
        <v>0.9</v>
      </c>
      <c r="P991" s="133">
        <v>0.973662551440329</v>
      </c>
      <c r="Q991" s="133">
        <v>0.954090150250417</v>
      </c>
      <c r="R991" s="133">
        <v>0.98345498783455</v>
      </c>
      <c r="S991" s="133">
        <v>0.952294620629938</v>
      </c>
      <c r="T991" s="135">
        <v>0.9</v>
      </c>
      <c r="U991" s="133">
        <v>0.922633744855967</v>
      </c>
      <c r="V991" s="133">
        <v>0.882303839732888</v>
      </c>
      <c r="W991" s="133">
        <v>0.913868613138686</v>
      </c>
      <c r="X991" s="133">
        <v>0.910542266479056</v>
      </c>
      <c r="Y991" s="135">
        <v>0.92</v>
      </c>
      <c r="Z991" s="135">
        <v>0.689895470383275</v>
      </c>
      <c r="AA991" s="135">
        <v>0.396946564885496</v>
      </c>
      <c r="AB991" s="135">
        <v>0.379721669980119</v>
      </c>
      <c r="AC991" s="135">
        <v>0.391421856639248</v>
      </c>
      <c r="AD991" s="135">
        <v>0.92</v>
      </c>
      <c r="AE991" s="133">
        <v>0.978978978978979</v>
      </c>
      <c r="AF991" s="133">
        <v>0.996655518394649</v>
      </c>
      <c r="AG991" s="133">
        <v>0.95364238410596</v>
      </c>
      <c r="AH991" s="133">
        <v>0.982125124131082</v>
      </c>
      <c r="AI991" s="135">
        <v>0.92</v>
      </c>
      <c r="AJ991" s="133">
        <v>0.906790945406125</v>
      </c>
      <c r="AK991" s="133">
        <v>0.857787810383747</v>
      </c>
      <c r="AL991" s="133">
        <v>0.836264165689723</v>
      </c>
      <c r="AM991" s="133">
        <v>0.84700811470543</v>
      </c>
      <c r="AN991" s="132">
        <v>0.99</v>
      </c>
      <c r="AO991" s="137">
        <v>1</v>
      </c>
      <c r="AP991" s="137">
        <v>1</v>
      </c>
      <c r="AQ991" s="137">
        <v>1</v>
      </c>
      <c r="AR991" s="137">
        <v>1</v>
      </c>
      <c r="AS991" s="158">
        <v>0.0656418488929858</v>
      </c>
      <c r="AT991" s="141">
        <v>0</v>
      </c>
      <c r="AU991" s="141">
        <v>0.25</v>
      </c>
      <c r="AV991" s="141">
        <v>0</v>
      </c>
      <c r="AW991" s="141">
        <v>0.0617977528089888</v>
      </c>
      <c r="AX991" s="95"/>
      <c r="AY991" s="93"/>
    </row>
    <row r="992" ht="15" spans="1:51">
      <c r="A992" s="91"/>
      <c r="B992" s="95"/>
      <c r="C992" s="180" t="s">
        <v>927</v>
      </c>
      <c r="D992" s="181" t="s">
        <v>25</v>
      </c>
      <c r="E992" s="130" t="s">
        <v>928</v>
      </c>
      <c r="F992" s="188" t="s">
        <v>1021</v>
      </c>
      <c r="G992" s="189" t="s">
        <v>1021</v>
      </c>
      <c r="H992" s="189" t="s">
        <v>1021</v>
      </c>
      <c r="I992" s="189" t="s">
        <v>1021</v>
      </c>
      <c r="J992" s="132">
        <v>0.9</v>
      </c>
      <c r="K992" s="133">
        <v>0.976190476190476</v>
      </c>
      <c r="L992" s="133">
        <v>0.902439024390244</v>
      </c>
      <c r="M992" s="134">
        <v>0.928571428571429</v>
      </c>
      <c r="N992" s="133">
        <v>0.956521739130435</v>
      </c>
      <c r="O992" s="135">
        <v>0.9</v>
      </c>
      <c r="P992" s="133">
        <v>0.98109640831758</v>
      </c>
      <c r="Q992" s="133">
        <v>0.989795918367347</v>
      </c>
      <c r="R992" s="133">
        <v>0.992348440258976</v>
      </c>
      <c r="S992" s="133">
        <v>0.984998159283348</v>
      </c>
      <c r="T992" s="135">
        <v>0.9</v>
      </c>
      <c r="U992" s="133">
        <v>0.919187145557656</v>
      </c>
      <c r="V992" s="133">
        <v>0.926141885325559</v>
      </c>
      <c r="W992" s="133">
        <v>0.924072984108299</v>
      </c>
      <c r="X992" s="133">
        <v>0.918747699104185</v>
      </c>
      <c r="Y992" s="135">
        <v>0.92</v>
      </c>
      <c r="Z992" s="135">
        <v>0.893333333333333</v>
      </c>
      <c r="AA992" s="135">
        <v>0.869451697127937</v>
      </c>
      <c r="AB992" s="135">
        <v>0.864835164835165</v>
      </c>
      <c r="AC992" s="135">
        <v>0.901641479937467</v>
      </c>
      <c r="AD992" s="135">
        <v>0.92</v>
      </c>
      <c r="AE992" s="133">
        <v>0.994140625</v>
      </c>
      <c r="AF992" s="133">
        <v>0.990666666666667</v>
      </c>
      <c r="AG992" s="133">
        <v>0.990118577075099</v>
      </c>
      <c r="AH992" s="133">
        <v>0.990094448283806</v>
      </c>
      <c r="AI992" s="135">
        <v>0.92</v>
      </c>
      <c r="AJ992" s="133">
        <v>0.949640287769784</v>
      </c>
      <c r="AK992" s="133">
        <v>0.950839819746006</v>
      </c>
      <c r="AL992" s="133">
        <v>0.944289693593315</v>
      </c>
      <c r="AM992" s="133">
        <v>0.960695220360025</v>
      </c>
      <c r="AN992" s="132">
        <v>0.99</v>
      </c>
      <c r="AO992" s="137">
        <v>1</v>
      </c>
      <c r="AP992" s="137">
        <v>1</v>
      </c>
      <c r="AQ992" s="137">
        <v>1</v>
      </c>
      <c r="AR992" s="137">
        <v>1</v>
      </c>
      <c r="AS992" s="158">
        <v>0.0656418488929858</v>
      </c>
      <c r="AT992" s="141">
        <v>0.0625</v>
      </c>
      <c r="AU992" s="141">
        <v>0.181818181818182</v>
      </c>
      <c r="AV992" s="141">
        <v>0.0526315789473684</v>
      </c>
      <c r="AW992" s="141">
        <v>0.037037037037037</v>
      </c>
      <c r="AX992" s="95"/>
      <c r="AY992" s="93"/>
    </row>
    <row r="993" ht="15" spans="1:51">
      <c r="A993" s="91"/>
      <c r="B993" s="95"/>
      <c r="C993" s="180" t="s">
        <v>927</v>
      </c>
      <c r="D993" s="181" t="s">
        <v>25</v>
      </c>
      <c r="E993" s="130" t="s">
        <v>928</v>
      </c>
      <c r="F993" s="192" t="s">
        <v>1022</v>
      </c>
      <c r="G993" s="193" t="s">
        <v>1022</v>
      </c>
      <c r="H993" s="193" t="s">
        <v>1022</v>
      </c>
      <c r="I993" s="193" t="s">
        <v>1022</v>
      </c>
      <c r="J993" s="132">
        <v>0.9</v>
      </c>
      <c r="K993" s="133">
        <v>0.972972972972973</v>
      </c>
      <c r="L993" s="133">
        <v>0.928571428571429</v>
      </c>
      <c r="M993" s="134">
        <v>1</v>
      </c>
      <c r="N993" s="133">
        <v>0.934328358208955</v>
      </c>
      <c r="O993" s="135">
        <v>0.9</v>
      </c>
      <c r="P993" s="133">
        <v>0.985115766262403</v>
      </c>
      <c r="Q993" s="133">
        <v>0.979214780600462</v>
      </c>
      <c r="R993" s="133">
        <v>0.98493543758967</v>
      </c>
      <c r="S993" s="133">
        <v>0.982312338222606</v>
      </c>
      <c r="T993" s="135">
        <v>0.9</v>
      </c>
      <c r="U993" s="133">
        <v>0.949834619625138</v>
      </c>
      <c r="V993" s="133">
        <v>0.933795227097768</v>
      </c>
      <c r="W993" s="133">
        <v>0.947991391678623</v>
      </c>
      <c r="X993" s="133">
        <v>0.943091870803166</v>
      </c>
      <c r="Y993" s="135">
        <v>0.92</v>
      </c>
      <c r="Z993" s="135">
        <v>0.943137254901961</v>
      </c>
      <c r="AA993" s="135">
        <v>0.918149466192171</v>
      </c>
      <c r="AB993" s="135">
        <v>0.940898345153664</v>
      </c>
      <c r="AC993" s="135">
        <v>0.944634053849071</v>
      </c>
      <c r="AD993" s="135">
        <v>0.92</v>
      </c>
      <c r="AE993" s="133">
        <v>0.997006548175865</v>
      </c>
      <c r="AF993" s="133">
        <v>0.99640088593577</v>
      </c>
      <c r="AG993" s="133">
        <v>0.953246753246753</v>
      </c>
      <c r="AH993" s="133">
        <v>0.953380349068687</v>
      </c>
      <c r="AI993" s="135">
        <v>0.92</v>
      </c>
      <c r="AJ993" s="133">
        <v>0.969018932874355</v>
      </c>
      <c r="AK993" s="133">
        <v>0.951638903815153</v>
      </c>
      <c r="AL993" s="133">
        <v>0.969791342260978</v>
      </c>
      <c r="AM993" s="133">
        <v>0.9720626710372</v>
      </c>
      <c r="AN993" s="132">
        <v>0.99</v>
      </c>
      <c r="AO993" s="137">
        <v>1</v>
      </c>
      <c r="AP993" s="137">
        <v>1</v>
      </c>
      <c r="AQ993" s="137">
        <v>1</v>
      </c>
      <c r="AR993" s="137">
        <v>1</v>
      </c>
      <c r="AS993" s="158">
        <v>0.0656418488929858</v>
      </c>
      <c r="AT993" s="141">
        <v>0</v>
      </c>
      <c r="AU993" s="141">
        <v>0</v>
      </c>
      <c r="AV993" s="141">
        <v>0.0285714285714286</v>
      </c>
      <c r="AW993" s="141">
        <v>0.0348525469168901</v>
      </c>
      <c r="AX993" s="95"/>
      <c r="AY993" s="93"/>
    </row>
    <row r="994" ht="15" spans="1:51">
      <c r="A994" s="91"/>
      <c r="B994" s="95"/>
      <c r="C994" s="180" t="s">
        <v>927</v>
      </c>
      <c r="D994" s="181" t="s">
        <v>25</v>
      </c>
      <c r="E994" s="130" t="s">
        <v>928</v>
      </c>
      <c r="F994" s="182" t="s">
        <v>1023</v>
      </c>
      <c r="G994" s="183" t="s">
        <v>1023</v>
      </c>
      <c r="H994" s="183" t="s">
        <v>1023</v>
      </c>
      <c r="I994" s="183" t="s">
        <v>1023</v>
      </c>
      <c r="J994" s="132">
        <v>0.9</v>
      </c>
      <c r="K994" s="133">
        <v>0.772727272727273</v>
      </c>
      <c r="L994" s="133">
        <v>0.727272727272727</v>
      </c>
      <c r="M994" s="134">
        <v>0.761904761904762</v>
      </c>
      <c r="N994" s="133">
        <v>0.841849148418491</v>
      </c>
      <c r="O994" s="135">
        <v>0.9</v>
      </c>
      <c r="P994" s="133">
        <v>0.97877358490566</v>
      </c>
      <c r="Q994" s="133">
        <v>0.968397291196388</v>
      </c>
      <c r="R994" s="133">
        <v>0.969820081253627</v>
      </c>
      <c r="S994" s="133">
        <v>0.884834889321413</v>
      </c>
      <c r="T994" s="135">
        <v>0.9</v>
      </c>
      <c r="U994" s="133">
        <v>0.937106918238994</v>
      </c>
      <c r="V994" s="133">
        <v>0.94469525959368</v>
      </c>
      <c r="W994" s="133">
        <v>0.903076030179919</v>
      </c>
      <c r="X994" s="133">
        <v>0.904001583479035</v>
      </c>
      <c r="Y994" s="135">
        <v>0.92</v>
      </c>
      <c r="Z994" s="135">
        <v>0.804347826086957</v>
      </c>
      <c r="AA994" s="135">
        <v>0.726153846153846</v>
      </c>
      <c r="AB994" s="135">
        <v>0.695652173913043</v>
      </c>
      <c r="AC994" s="135">
        <v>0.739706639217705</v>
      </c>
      <c r="AD994" s="135">
        <v>0.92</v>
      </c>
      <c r="AE994" s="133">
        <v>0.996319018404908</v>
      </c>
      <c r="AF994" s="133">
        <v>0.890909090909091</v>
      </c>
      <c r="AG994" s="133">
        <v>0.468354430379747</v>
      </c>
      <c r="AH994" s="133">
        <v>0.885923573404364</v>
      </c>
      <c r="AI994" s="135">
        <v>0.92</v>
      </c>
      <c r="AJ994" s="133">
        <v>0.936692506459948</v>
      </c>
      <c r="AK994" s="133">
        <v>0.903385631709331</v>
      </c>
      <c r="AL994" s="133">
        <v>0.917004048582996</v>
      </c>
      <c r="AM994" s="133">
        <v>0.923200126030562</v>
      </c>
      <c r="AN994" s="132">
        <v>0.99</v>
      </c>
      <c r="AO994" s="137">
        <v>1</v>
      </c>
      <c r="AP994" s="137">
        <v>1</v>
      </c>
      <c r="AQ994" s="137">
        <v>1</v>
      </c>
      <c r="AR994" s="137">
        <v>1</v>
      </c>
      <c r="AS994" s="158">
        <v>0.0656418488929858</v>
      </c>
      <c r="AT994" s="141">
        <v>0</v>
      </c>
      <c r="AU994" s="141">
        <v>0</v>
      </c>
      <c r="AV994" s="141">
        <v>0</v>
      </c>
      <c r="AW994" s="141">
        <v>0.0382775119617225</v>
      </c>
      <c r="AX994" s="95"/>
      <c r="AY994" s="93"/>
    </row>
    <row r="995" ht="15" spans="1:51">
      <c r="A995" s="91"/>
      <c r="B995" s="95"/>
      <c r="C995" s="180" t="s">
        <v>927</v>
      </c>
      <c r="D995" s="181" t="s">
        <v>25</v>
      </c>
      <c r="E995" s="130" t="s">
        <v>928</v>
      </c>
      <c r="F995" s="182" t="s">
        <v>1024</v>
      </c>
      <c r="G995" s="183" t="s">
        <v>1024</v>
      </c>
      <c r="H995" s="183" t="s">
        <v>1024</v>
      </c>
      <c r="I995" s="183" t="s">
        <v>1024</v>
      </c>
      <c r="J995" s="132">
        <v>0.9</v>
      </c>
      <c r="K995" s="133">
        <v>0.954545454545455</v>
      </c>
      <c r="L995" s="133">
        <v>0.894736842105263</v>
      </c>
      <c r="M995" s="134">
        <v>1</v>
      </c>
      <c r="N995" s="133">
        <v>0.91578947368421</v>
      </c>
      <c r="O995" s="135">
        <v>0.9</v>
      </c>
      <c r="P995" s="133">
        <v>0.981783317353787</v>
      </c>
      <c r="Q995" s="133">
        <v>0.984419263456091</v>
      </c>
      <c r="R995" s="133">
        <v>0.965030262273033</v>
      </c>
      <c r="S995" s="133">
        <v>0.948186351526744</v>
      </c>
      <c r="T995" s="135">
        <v>0.9</v>
      </c>
      <c r="U995" s="133">
        <v>0.946308724832215</v>
      </c>
      <c r="V995" s="133">
        <v>0.941926345609065</v>
      </c>
      <c r="W995" s="133">
        <v>0.919300605245461</v>
      </c>
      <c r="X995" s="133">
        <v>0.913313750939272</v>
      </c>
      <c r="Y995" s="135">
        <v>0.92</v>
      </c>
      <c r="Z995" s="135">
        <v>0.949324324324324</v>
      </c>
      <c r="AA995" s="135">
        <v>0.927492447129909</v>
      </c>
      <c r="AB995" s="135">
        <v>0.872659176029963</v>
      </c>
      <c r="AC995" s="135">
        <v>0.921209599112221</v>
      </c>
      <c r="AD995" s="135">
        <v>0.92</v>
      </c>
      <c r="AE995" s="133">
        <v>0.991237677984666</v>
      </c>
      <c r="AF995" s="133">
        <v>0.77255985267035</v>
      </c>
      <c r="AG995" s="133">
        <v>0.936962750716332</v>
      </c>
      <c r="AH995" s="133">
        <v>0.807794138139254</v>
      </c>
      <c r="AI995" s="135">
        <v>0.92</v>
      </c>
      <c r="AJ995" s="133">
        <v>0.964899178491411</v>
      </c>
      <c r="AK995" s="133">
        <v>0.953712632594021</v>
      </c>
      <c r="AL995" s="133">
        <v>0.944729344729345</v>
      </c>
      <c r="AM995" s="133">
        <v>0.957900791585636</v>
      </c>
      <c r="AN995" s="132">
        <v>0.99</v>
      </c>
      <c r="AO995" s="137">
        <v>1</v>
      </c>
      <c r="AP995" s="137">
        <v>1</v>
      </c>
      <c r="AQ995" s="137">
        <v>1</v>
      </c>
      <c r="AR995" s="137">
        <v>1</v>
      </c>
      <c r="AS995" s="158">
        <v>0.0656418488929858</v>
      </c>
      <c r="AT995" s="141">
        <v>0.105263157894737</v>
      </c>
      <c r="AU995" s="141">
        <v>0</v>
      </c>
      <c r="AV995" s="141">
        <v>0.0434782608695652</v>
      </c>
      <c r="AW995" s="141">
        <v>0.0386363636363636</v>
      </c>
      <c r="AX995" s="95"/>
      <c r="AY995" s="93"/>
    </row>
    <row r="996" ht="15" spans="1:51">
      <c r="A996" s="91"/>
      <c r="B996" s="95"/>
      <c r="C996" s="180" t="s">
        <v>927</v>
      </c>
      <c r="D996" s="181" t="s">
        <v>25</v>
      </c>
      <c r="E996" s="130" t="s">
        <v>928</v>
      </c>
      <c r="F996" s="192" t="s">
        <v>1025</v>
      </c>
      <c r="G996" s="193" t="s">
        <v>1025</v>
      </c>
      <c r="H996" s="193" t="s">
        <v>1025</v>
      </c>
      <c r="I996" s="193" t="s">
        <v>1025</v>
      </c>
      <c r="J996" s="132">
        <v>0.9</v>
      </c>
      <c r="K996" s="133">
        <v>0.9</v>
      </c>
      <c r="L996" s="133">
        <v>0.714285714285714</v>
      </c>
      <c r="M996" s="134">
        <v>0.9</v>
      </c>
      <c r="N996" s="133">
        <v>0.77720207253886</v>
      </c>
      <c r="O996" s="135">
        <v>0.9</v>
      </c>
      <c r="P996" s="133">
        <v>0.955094991364421</v>
      </c>
      <c r="Q996" s="133">
        <v>0.853932584269663</v>
      </c>
      <c r="R996" s="133">
        <v>0.934077079107505</v>
      </c>
      <c r="S996" s="133">
        <v>0.942900162149641</v>
      </c>
      <c r="T996" s="135">
        <v>0.9</v>
      </c>
      <c r="U996" s="133">
        <v>0.913644214162349</v>
      </c>
      <c r="V996" s="133">
        <v>0.903370786516854</v>
      </c>
      <c r="W996" s="133">
        <v>0.795131845841785</v>
      </c>
      <c r="X996" s="133">
        <v>0.914408153810517</v>
      </c>
      <c r="Y996" s="135">
        <v>0.92</v>
      </c>
      <c r="Z996" s="135">
        <v>0.939189189189189</v>
      </c>
      <c r="AA996" s="135">
        <v>0.905882352941176</v>
      </c>
      <c r="AB996" s="135">
        <v>0.917910447761194</v>
      </c>
      <c r="AC996" s="135">
        <v>0.897376364058509</v>
      </c>
      <c r="AD996" s="135">
        <v>0.92</v>
      </c>
      <c r="AE996" s="133">
        <v>0.987569060773481</v>
      </c>
      <c r="AF996" s="133">
        <v>0.849829351535836</v>
      </c>
      <c r="AG996" s="133">
        <v>0.757009345794392</v>
      </c>
      <c r="AH996" s="133">
        <v>0.881167167836062</v>
      </c>
      <c r="AI996" s="135">
        <v>0.92</v>
      </c>
      <c r="AJ996" s="133">
        <v>0.946354883081155</v>
      </c>
      <c r="AK996" s="133">
        <v>0.952845528455285</v>
      </c>
      <c r="AL996" s="133">
        <v>0.942857142857143</v>
      </c>
      <c r="AM996" s="133">
        <v>0.954949944382647</v>
      </c>
      <c r="AN996" s="132">
        <v>0.99</v>
      </c>
      <c r="AO996" s="137">
        <v>1</v>
      </c>
      <c r="AP996" s="137">
        <v>1</v>
      </c>
      <c r="AQ996" s="137">
        <v>1</v>
      </c>
      <c r="AR996" s="137">
        <v>1</v>
      </c>
      <c r="AS996" s="158">
        <v>0.0656418488929858</v>
      </c>
      <c r="AT996" s="141">
        <v>0</v>
      </c>
      <c r="AU996" s="141">
        <v>0</v>
      </c>
      <c r="AV996" s="141">
        <v>0</v>
      </c>
      <c r="AW996" s="141">
        <v>0.0297872340425532</v>
      </c>
      <c r="AX996" s="95"/>
      <c r="AY996" s="93"/>
    </row>
    <row r="997" ht="15" spans="1:51">
      <c r="A997" s="91"/>
      <c r="B997" s="95"/>
      <c r="C997" s="180" t="s">
        <v>927</v>
      </c>
      <c r="D997" s="181" t="s">
        <v>125</v>
      </c>
      <c r="E997" s="130" t="s">
        <v>928</v>
      </c>
      <c r="F997" s="182" t="s">
        <v>1026</v>
      </c>
      <c r="G997" s="183" t="s">
        <v>1026</v>
      </c>
      <c r="H997" s="183" t="s">
        <v>1026</v>
      </c>
      <c r="I997" s="183" t="s">
        <v>1026</v>
      </c>
      <c r="J997" s="132">
        <v>0.9</v>
      </c>
      <c r="K997" s="133" t="s">
        <v>35</v>
      </c>
      <c r="L997" s="133" t="s">
        <v>35</v>
      </c>
      <c r="M997" s="134" t="s">
        <v>35</v>
      </c>
      <c r="N997" s="133" t="s">
        <v>35</v>
      </c>
      <c r="O997" s="135">
        <v>0.9</v>
      </c>
      <c r="P997" s="133" t="s">
        <v>35</v>
      </c>
      <c r="Q997" s="133" t="s">
        <v>35</v>
      </c>
      <c r="R997" s="133" t="s">
        <v>35</v>
      </c>
      <c r="S997" s="133">
        <v>0</v>
      </c>
      <c r="T997" s="135">
        <v>0.9</v>
      </c>
      <c r="U997" s="133" t="s">
        <v>35</v>
      </c>
      <c r="V997" s="133" t="s">
        <v>35</v>
      </c>
      <c r="W997" s="133" t="s">
        <v>35</v>
      </c>
      <c r="X997" s="133">
        <v>0.666666666666667</v>
      </c>
      <c r="Y997" s="135">
        <v>0.92</v>
      </c>
      <c r="Z997" s="135" t="s">
        <v>35</v>
      </c>
      <c r="AA997" s="135" t="s">
        <v>35</v>
      </c>
      <c r="AB997" s="135" t="s">
        <v>35</v>
      </c>
      <c r="AC997" s="135" t="s">
        <v>35</v>
      </c>
      <c r="AD997" s="135">
        <v>0.92</v>
      </c>
      <c r="AE997" s="133">
        <v>0.967462039045553</v>
      </c>
      <c r="AF997" s="133">
        <v>0.909090909090909</v>
      </c>
      <c r="AG997" s="133">
        <v>0.734806629834254</v>
      </c>
      <c r="AH997" s="133">
        <v>0.789821882951654</v>
      </c>
      <c r="AI997" s="135">
        <v>0.92</v>
      </c>
      <c r="AJ997" s="133" t="s">
        <v>35</v>
      </c>
      <c r="AK997" s="133" t="s">
        <v>35</v>
      </c>
      <c r="AL997" s="133" t="s">
        <v>35</v>
      </c>
      <c r="AM997" s="133">
        <v>0.833333333333333</v>
      </c>
      <c r="AN997" s="132">
        <v>0.99</v>
      </c>
      <c r="AO997" s="137">
        <v>1</v>
      </c>
      <c r="AP997" s="137">
        <v>1</v>
      </c>
      <c r="AQ997" s="137">
        <v>1</v>
      </c>
      <c r="AR997" s="137">
        <v>1</v>
      </c>
      <c r="AS997" s="158">
        <v>0.0656418488929858</v>
      </c>
      <c r="AT997" s="141" t="s">
        <v>35</v>
      </c>
      <c r="AU997" s="141" t="s">
        <v>35</v>
      </c>
      <c r="AV997" s="141" t="s">
        <v>35</v>
      </c>
      <c r="AW997" s="141" t="s">
        <v>35</v>
      </c>
      <c r="AX997" s="95"/>
      <c r="AY997" s="93"/>
    </row>
    <row r="998" ht="15" spans="1:51">
      <c r="A998" s="91"/>
      <c r="B998" s="95"/>
      <c r="C998" s="180" t="s">
        <v>927</v>
      </c>
      <c r="D998" s="181" t="s">
        <v>25</v>
      </c>
      <c r="E998" s="130" t="s">
        <v>928</v>
      </c>
      <c r="F998" s="182" t="s">
        <v>1027</v>
      </c>
      <c r="G998" s="183" t="s">
        <v>1027</v>
      </c>
      <c r="H998" s="183" t="s">
        <v>1027</v>
      </c>
      <c r="I998" s="183" t="s">
        <v>1027</v>
      </c>
      <c r="J998" s="132">
        <v>0.9</v>
      </c>
      <c r="K998" s="133">
        <v>0.921052631578947</v>
      </c>
      <c r="L998" s="133">
        <v>0.933333333333333</v>
      </c>
      <c r="M998" s="134">
        <v>0.818181818181818</v>
      </c>
      <c r="N998" s="133">
        <v>0.85031847133758</v>
      </c>
      <c r="O998" s="135">
        <v>0.9</v>
      </c>
      <c r="P998" s="133">
        <v>0.958173076923077</v>
      </c>
      <c r="Q998" s="133">
        <v>0.946516537649543</v>
      </c>
      <c r="R998" s="133">
        <v>0.930683624801272</v>
      </c>
      <c r="S998" s="133">
        <v>0.941403588462412</v>
      </c>
      <c r="T998" s="135">
        <v>0.9</v>
      </c>
      <c r="U998" s="133">
        <v>0.921634615384615</v>
      </c>
      <c r="V998" s="133">
        <v>0.913441238564391</v>
      </c>
      <c r="W998" s="133">
        <v>0.859777424483307</v>
      </c>
      <c r="X998" s="133">
        <v>0.875312287076993</v>
      </c>
      <c r="Y998" s="135">
        <v>0.92</v>
      </c>
      <c r="Z998" s="135">
        <v>0.922570016474465</v>
      </c>
      <c r="AA998" s="135">
        <v>0.905228758169935</v>
      </c>
      <c r="AB998" s="135">
        <v>0.886315789473684</v>
      </c>
      <c r="AC998" s="135">
        <v>0.89453125</v>
      </c>
      <c r="AD998" s="135">
        <v>0.92</v>
      </c>
      <c r="AE998" s="133">
        <v>0.990914189568144</v>
      </c>
      <c r="AF998" s="133">
        <v>0.942455015143417</v>
      </c>
      <c r="AG998" s="133">
        <v>0.98087255534064</v>
      </c>
      <c r="AH998" s="133">
        <v>0.928162436548223</v>
      </c>
      <c r="AI998" s="135">
        <v>0.92</v>
      </c>
      <c r="AJ998" s="133">
        <v>0.952044609665427</v>
      </c>
      <c r="AK998" s="133">
        <v>0.938083538083538</v>
      </c>
      <c r="AL998" s="133">
        <v>0.922651933701657</v>
      </c>
      <c r="AM998" s="133">
        <v>0.942414091040002</v>
      </c>
      <c r="AN998" s="132">
        <v>0.99</v>
      </c>
      <c r="AO998" s="137">
        <v>1</v>
      </c>
      <c r="AP998" s="137">
        <v>1</v>
      </c>
      <c r="AQ998" s="137">
        <v>1</v>
      </c>
      <c r="AR998" s="137">
        <v>1</v>
      </c>
      <c r="AS998" s="158">
        <v>0.0656418488929858</v>
      </c>
      <c r="AT998" s="141">
        <v>0.0769230769230769</v>
      </c>
      <c r="AU998" s="141">
        <v>0</v>
      </c>
      <c r="AV998" s="141">
        <v>0.0465116279069767</v>
      </c>
      <c r="AW998" s="141">
        <v>0.0369897959183673</v>
      </c>
      <c r="AX998" s="95"/>
      <c r="AY998" s="93"/>
    </row>
    <row r="999" ht="15" spans="1:51">
      <c r="A999" s="91"/>
      <c r="B999" s="95"/>
      <c r="C999" s="180" t="s">
        <v>927</v>
      </c>
      <c r="D999" s="181" t="s">
        <v>125</v>
      </c>
      <c r="E999" s="130" t="s">
        <v>928</v>
      </c>
      <c r="F999" s="182" t="s">
        <v>1028</v>
      </c>
      <c r="G999" s="183" t="s">
        <v>1028</v>
      </c>
      <c r="H999" s="183" t="s">
        <v>1028</v>
      </c>
      <c r="I999" s="183" t="s">
        <v>1028</v>
      </c>
      <c r="J999" s="132">
        <v>0.9</v>
      </c>
      <c r="K999" s="133" t="s">
        <v>35</v>
      </c>
      <c r="L999" s="133" t="s">
        <v>35</v>
      </c>
      <c r="M999" s="134" t="s">
        <v>35</v>
      </c>
      <c r="N999" s="133" t="s">
        <v>35</v>
      </c>
      <c r="O999" s="135">
        <v>0.9</v>
      </c>
      <c r="P999" s="133" t="s">
        <v>35</v>
      </c>
      <c r="Q999" s="133" t="s">
        <v>35</v>
      </c>
      <c r="R999" s="133" t="s">
        <v>35</v>
      </c>
      <c r="S999" s="133">
        <v>0</v>
      </c>
      <c r="T999" s="135">
        <v>0.9</v>
      </c>
      <c r="U999" s="133" t="s">
        <v>35</v>
      </c>
      <c r="V999" s="133" t="s">
        <v>35</v>
      </c>
      <c r="W999" s="133" t="s">
        <v>35</v>
      </c>
      <c r="X999" s="133">
        <v>1</v>
      </c>
      <c r="Y999" s="135">
        <v>0.92</v>
      </c>
      <c r="Z999" s="135" t="s">
        <v>35</v>
      </c>
      <c r="AA999" s="135" t="s">
        <v>35</v>
      </c>
      <c r="AB999" s="135" t="s">
        <v>35</v>
      </c>
      <c r="AC999" s="135" t="s">
        <v>35</v>
      </c>
      <c r="AD999" s="135">
        <v>0.92</v>
      </c>
      <c r="AE999" s="133">
        <v>0.988505747126437</v>
      </c>
      <c r="AF999" s="133">
        <v>0.984848484848485</v>
      </c>
      <c r="AG999" s="133">
        <v>1</v>
      </c>
      <c r="AH999" s="133">
        <v>0.90302613480055</v>
      </c>
      <c r="AI999" s="135">
        <v>0.92</v>
      </c>
      <c r="AJ999" s="133" t="s">
        <v>35</v>
      </c>
      <c r="AK999" s="133" t="s">
        <v>35</v>
      </c>
      <c r="AL999" s="133" t="s">
        <v>35</v>
      </c>
      <c r="AM999" s="133">
        <v>1</v>
      </c>
      <c r="AN999" s="132">
        <v>0.99</v>
      </c>
      <c r="AO999" s="137">
        <v>1</v>
      </c>
      <c r="AP999" s="137">
        <v>1</v>
      </c>
      <c r="AQ999" s="137" t="s">
        <v>35</v>
      </c>
      <c r="AR999" s="137">
        <v>1</v>
      </c>
      <c r="AS999" s="158">
        <v>0.0656418488929858</v>
      </c>
      <c r="AT999" s="141" t="s">
        <v>35</v>
      </c>
      <c r="AU999" s="141" t="s">
        <v>35</v>
      </c>
      <c r="AV999" s="141" t="s">
        <v>35</v>
      </c>
      <c r="AW999" s="141" t="s">
        <v>35</v>
      </c>
      <c r="AX999" s="95"/>
      <c r="AY999" s="93"/>
    </row>
    <row r="1000" ht="15" spans="1:51">
      <c r="A1000" s="91"/>
      <c r="B1000" s="95"/>
      <c r="C1000" s="180" t="s">
        <v>927</v>
      </c>
      <c r="D1000" s="181" t="s">
        <v>25</v>
      </c>
      <c r="E1000" s="130" t="s">
        <v>928</v>
      </c>
      <c r="F1000" s="182" t="s">
        <v>1029</v>
      </c>
      <c r="G1000" s="183" t="s">
        <v>1029</v>
      </c>
      <c r="H1000" s="183" t="s">
        <v>1029</v>
      </c>
      <c r="I1000" s="183" t="s">
        <v>1029</v>
      </c>
      <c r="J1000" s="132">
        <v>0.9</v>
      </c>
      <c r="K1000" s="133" t="s">
        <v>35</v>
      </c>
      <c r="L1000" s="133" t="s">
        <v>35</v>
      </c>
      <c r="M1000" s="134" t="s">
        <v>35</v>
      </c>
      <c r="N1000" s="133">
        <v>1</v>
      </c>
      <c r="O1000" s="135">
        <v>0.9</v>
      </c>
      <c r="P1000" s="133">
        <v>0</v>
      </c>
      <c r="Q1000" s="133">
        <v>0</v>
      </c>
      <c r="R1000" s="133">
        <v>0</v>
      </c>
      <c r="S1000" s="133">
        <v>0.265682044473946</v>
      </c>
      <c r="T1000" s="135">
        <v>0.9</v>
      </c>
      <c r="U1000" s="133">
        <v>0.993243243243243</v>
      </c>
      <c r="V1000" s="133">
        <v>1</v>
      </c>
      <c r="W1000" s="133">
        <v>1</v>
      </c>
      <c r="X1000" s="133">
        <v>0.963159641553269</v>
      </c>
      <c r="Y1000" s="135">
        <v>0.92</v>
      </c>
      <c r="Z1000" s="135">
        <v>1</v>
      </c>
      <c r="AA1000" s="135">
        <v>1</v>
      </c>
      <c r="AB1000" s="135">
        <v>1</v>
      </c>
      <c r="AC1000" s="135">
        <v>0.965092402464066</v>
      </c>
      <c r="AD1000" s="135">
        <v>0.92</v>
      </c>
      <c r="AE1000" s="133">
        <v>0.990909090909091</v>
      </c>
      <c r="AF1000" s="133">
        <v>1</v>
      </c>
      <c r="AG1000" s="133">
        <v>0.96875</v>
      </c>
      <c r="AH1000" s="133">
        <v>0.953231722742221</v>
      </c>
      <c r="AI1000" s="135">
        <v>0.92</v>
      </c>
      <c r="AJ1000" s="133">
        <v>0.994652406417112</v>
      </c>
      <c r="AK1000" s="133">
        <v>1</v>
      </c>
      <c r="AL1000" s="133">
        <v>1</v>
      </c>
      <c r="AM1000" s="133">
        <v>0.982568196939454</v>
      </c>
      <c r="AN1000" s="132">
        <v>0.99</v>
      </c>
      <c r="AO1000" s="137">
        <v>1</v>
      </c>
      <c r="AP1000" s="137" t="s">
        <v>35</v>
      </c>
      <c r="AQ1000" s="137">
        <v>1</v>
      </c>
      <c r="AR1000" s="137">
        <v>1</v>
      </c>
      <c r="AS1000" s="158">
        <v>0.0656418488929858</v>
      </c>
      <c r="AT1000" s="141" t="s">
        <v>35</v>
      </c>
      <c r="AU1000" s="141" t="s">
        <v>35</v>
      </c>
      <c r="AV1000" s="141" t="s">
        <v>35</v>
      </c>
      <c r="AW1000" s="141">
        <v>0.0454545454545455</v>
      </c>
      <c r="AX1000" s="95"/>
      <c r="AY1000" s="93"/>
    </row>
    <row r="1001" ht="15" spans="1:51">
      <c r="A1001" s="91"/>
      <c r="B1001" s="95"/>
      <c r="C1001" s="180" t="s">
        <v>927</v>
      </c>
      <c r="D1001" s="181" t="s">
        <v>25</v>
      </c>
      <c r="E1001" s="130" t="s">
        <v>928</v>
      </c>
      <c r="F1001" s="182" t="s">
        <v>1030</v>
      </c>
      <c r="G1001" s="183" t="s">
        <v>1030</v>
      </c>
      <c r="H1001" s="183" t="s">
        <v>1030</v>
      </c>
      <c r="I1001" s="183" t="s">
        <v>1030</v>
      </c>
      <c r="J1001" s="132">
        <v>0.9</v>
      </c>
      <c r="K1001" s="133">
        <v>0.80952380952381</v>
      </c>
      <c r="L1001" s="133">
        <v>0.9375</v>
      </c>
      <c r="M1001" s="134">
        <v>1</v>
      </c>
      <c r="N1001" s="133">
        <v>0.938028169014084</v>
      </c>
      <c r="O1001" s="135">
        <v>0.9</v>
      </c>
      <c r="P1001" s="133">
        <v>0.934043970686209</v>
      </c>
      <c r="Q1001" s="133">
        <v>0.93631100082713</v>
      </c>
      <c r="R1001" s="133">
        <v>0.807776321537789</v>
      </c>
      <c r="S1001" s="133">
        <v>0.850865850257346</v>
      </c>
      <c r="T1001" s="135">
        <v>0.9</v>
      </c>
      <c r="U1001" s="133">
        <v>0.937375083277815</v>
      </c>
      <c r="V1001" s="133">
        <v>0.933829611248966</v>
      </c>
      <c r="W1001" s="133">
        <v>0.897771952817824</v>
      </c>
      <c r="X1001" s="133">
        <v>0.922669303516645</v>
      </c>
      <c r="Y1001" s="135">
        <v>0.92</v>
      </c>
      <c r="Z1001" s="135">
        <v>0.953161592505855</v>
      </c>
      <c r="AA1001" s="135">
        <v>0.937919463087248</v>
      </c>
      <c r="AB1001" s="135">
        <v>0.926701570680628</v>
      </c>
      <c r="AC1001" s="135">
        <v>0.931148526758869</v>
      </c>
      <c r="AD1001" s="135">
        <v>0.92</v>
      </c>
      <c r="AE1001" s="133">
        <v>0.98794022546535</v>
      </c>
      <c r="AF1001" s="133">
        <v>0.976504002065582</v>
      </c>
      <c r="AG1001" s="133">
        <v>0.991168205539944</v>
      </c>
      <c r="AH1001" s="133">
        <v>0.974000937448025</v>
      </c>
      <c r="AI1001" s="135">
        <v>0.92</v>
      </c>
      <c r="AJ1001" s="133">
        <v>0.972510373443983</v>
      </c>
      <c r="AK1001" s="133">
        <v>0.959690778575373</v>
      </c>
      <c r="AL1001" s="133">
        <v>0.959985041136874</v>
      </c>
      <c r="AM1001" s="133">
        <v>0.967294631306598</v>
      </c>
      <c r="AN1001" s="132">
        <v>0.99</v>
      </c>
      <c r="AO1001" s="137">
        <v>1</v>
      </c>
      <c r="AP1001" s="137">
        <v>0.895652173913044</v>
      </c>
      <c r="AQ1001" s="137">
        <v>1</v>
      </c>
      <c r="AR1001" s="137">
        <v>0.99636803874092</v>
      </c>
      <c r="AS1001" s="158">
        <v>0.0656418488929858</v>
      </c>
      <c r="AT1001" s="141">
        <v>0.0377358490566038</v>
      </c>
      <c r="AU1001" s="141">
        <v>0</v>
      </c>
      <c r="AV1001" s="141">
        <v>0.0169491525423729</v>
      </c>
      <c r="AW1001" s="141">
        <v>0.0268972142170989</v>
      </c>
      <c r="AX1001" s="95"/>
      <c r="AY1001" s="93"/>
    </row>
    <row r="1002" ht="15" spans="1:51">
      <c r="A1002" s="91"/>
      <c r="B1002" s="95"/>
      <c r="C1002" s="180" t="s">
        <v>927</v>
      </c>
      <c r="D1002" s="181" t="s">
        <v>125</v>
      </c>
      <c r="E1002" s="130" t="s">
        <v>928</v>
      </c>
      <c r="F1002" s="192" t="s">
        <v>1031</v>
      </c>
      <c r="G1002" s="193" t="s">
        <v>1031</v>
      </c>
      <c r="H1002" s="193" t="s">
        <v>1031</v>
      </c>
      <c r="I1002" s="193" t="s">
        <v>1031</v>
      </c>
      <c r="J1002" s="132">
        <v>0.9</v>
      </c>
      <c r="K1002" s="133" t="s">
        <v>35</v>
      </c>
      <c r="L1002" s="133" t="s">
        <v>35</v>
      </c>
      <c r="M1002" s="134" t="s">
        <v>35</v>
      </c>
      <c r="N1002" s="133" t="s">
        <v>35</v>
      </c>
      <c r="O1002" s="135">
        <v>0.9</v>
      </c>
      <c r="P1002" s="133" t="s">
        <v>35</v>
      </c>
      <c r="Q1002" s="133" t="s">
        <v>35</v>
      </c>
      <c r="R1002" s="133" t="s">
        <v>35</v>
      </c>
      <c r="S1002" s="133">
        <v>0</v>
      </c>
      <c r="T1002" s="135">
        <v>0.9</v>
      </c>
      <c r="U1002" s="133" t="s">
        <v>35</v>
      </c>
      <c r="V1002" s="133" t="s">
        <v>35</v>
      </c>
      <c r="W1002" s="133" t="s">
        <v>35</v>
      </c>
      <c r="X1002" s="133">
        <v>0.666666666666667</v>
      </c>
      <c r="Y1002" s="135">
        <v>0.92</v>
      </c>
      <c r="Z1002" s="135" t="s">
        <v>35</v>
      </c>
      <c r="AA1002" s="135" t="s">
        <v>35</v>
      </c>
      <c r="AB1002" s="135" t="s">
        <v>35</v>
      </c>
      <c r="AC1002" s="135">
        <v>0</v>
      </c>
      <c r="AD1002" s="135">
        <v>0.92</v>
      </c>
      <c r="AE1002" s="133">
        <v>0.995555555555556</v>
      </c>
      <c r="AF1002" s="133">
        <v>0.572992700729927</v>
      </c>
      <c r="AG1002" s="133">
        <v>0.890909090909091</v>
      </c>
      <c r="AH1002" s="133">
        <v>0.918814983620567</v>
      </c>
      <c r="AI1002" s="135">
        <v>0.92</v>
      </c>
      <c r="AJ1002" s="133" t="s">
        <v>35</v>
      </c>
      <c r="AK1002" s="133" t="s">
        <v>35</v>
      </c>
      <c r="AL1002" s="133" t="s">
        <v>35</v>
      </c>
      <c r="AM1002" s="133">
        <v>0.625</v>
      </c>
      <c r="AN1002" s="132">
        <v>0.99</v>
      </c>
      <c r="AO1002" s="137">
        <v>1</v>
      </c>
      <c r="AP1002" s="137">
        <v>1</v>
      </c>
      <c r="AQ1002" s="137">
        <v>1</v>
      </c>
      <c r="AR1002" s="137">
        <v>1</v>
      </c>
      <c r="AS1002" s="158">
        <v>0.0656418488929858</v>
      </c>
      <c r="AT1002" s="141" t="s">
        <v>35</v>
      </c>
      <c r="AU1002" s="141" t="s">
        <v>35</v>
      </c>
      <c r="AV1002" s="141" t="s">
        <v>35</v>
      </c>
      <c r="AW1002" s="141" t="s">
        <v>35</v>
      </c>
      <c r="AX1002" s="95"/>
      <c r="AY1002" s="93"/>
    </row>
    <row r="1003" ht="15" spans="1:51">
      <c r="A1003" s="91"/>
      <c r="B1003" s="95"/>
      <c r="C1003" s="180" t="s">
        <v>927</v>
      </c>
      <c r="D1003" s="181" t="s">
        <v>25</v>
      </c>
      <c r="E1003" s="130" t="s">
        <v>928</v>
      </c>
      <c r="F1003" s="192" t="s">
        <v>1032</v>
      </c>
      <c r="G1003" s="193" t="s">
        <v>1032</v>
      </c>
      <c r="H1003" s="193" t="s">
        <v>1032</v>
      </c>
      <c r="I1003" s="193" t="s">
        <v>1032</v>
      </c>
      <c r="J1003" s="132">
        <v>0.9</v>
      </c>
      <c r="K1003" s="133">
        <v>0.866666666666667</v>
      </c>
      <c r="L1003" s="133">
        <v>0.846153846153846</v>
      </c>
      <c r="M1003" s="134">
        <v>0.692307692307692</v>
      </c>
      <c r="N1003" s="133">
        <v>0.758741258741259</v>
      </c>
      <c r="O1003" s="135">
        <v>0.9</v>
      </c>
      <c r="P1003" s="133">
        <v>0.982116244411326</v>
      </c>
      <c r="Q1003" s="133">
        <v>0.933194154488518</v>
      </c>
      <c r="R1003" s="133">
        <v>0.84932735426009</v>
      </c>
      <c r="S1003" s="133">
        <v>0.961496569001198</v>
      </c>
      <c r="T1003" s="135">
        <v>0.9</v>
      </c>
      <c r="U1003" s="133">
        <v>0.921013412816691</v>
      </c>
      <c r="V1003" s="133">
        <v>0.910229645093946</v>
      </c>
      <c r="W1003" s="133">
        <v>0.77219730941704</v>
      </c>
      <c r="X1003" s="133">
        <v>0.877791090295175</v>
      </c>
      <c r="Y1003" s="135">
        <v>0.92</v>
      </c>
      <c r="Z1003" s="135">
        <v>0.746376811594203</v>
      </c>
      <c r="AA1003" s="135">
        <v>0.592178770949721</v>
      </c>
      <c r="AB1003" s="135">
        <v>0.568345323741007</v>
      </c>
      <c r="AC1003" s="135">
        <v>0.694249341527656</v>
      </c>
      <c r="AD1003" s="135">
        <v>0.92</v>
      </c>
      <c r="AE1003" s="133">
        <v>0.997666277712952</v>
      </c>
      <c r="AF1003" s="133">
        <v>0.926534557757371</v>
      </c>
      <c r="AG1003" s="133">
        <v>0.835329341317365</v>
      </c>
      <c r="AH1003" s="133">
        <v>0.889648033126294</v>
      </c>
      <c r="AI1003" s="135">
        <v>0.92</v>
      </c>
      <c r="AJ1003" s="133">
        <v>0.915945611866502</v>
      </c>
      <c r="AK1003" s="133">
        <v>0.846504559270517</v>
      </c>
      <c r="AL1003" s="133">
        <v>0.880382775119617</v>
      </c>
      <c r="AM1003" s="133">
        <v>0.906151832460733</v>
      </c>
      <c r="AN1003" s="132">
        <v>0.99</v>
      </c>
      <c r="AO1003" s="137">
        <v>1</v>
      </c>
      <c r="AP1003" s="137">
        <v>1</v>
      </c>
      <c r="AQ1003" s="137">
        <v>1</v>
      </c>
      <c r="AR1003" s="137">
        <v>1</v>
      </c>
      <c r="AS1003" s="158">
        <v>0.0656418488929858</v>
      </c>
      <c r="AT1003" s="141">
        <v>0</v>
      </c>
      <c r="AU1003" s="141">
        <v>0</v>
      </c>
      <c r="AV1003" s="141">
        <v>0.0317460317460317</v>
      </c>
      <c r="AW1003" s="141">
        <v>0.0240641711229947</v>
      </c>
      <c r="AX1003" s="95"/>
      <c r="AY1003" s="93"/>
    </row>
    <row r="1004" ht="15" spans="1:51">
      <c r="A1004" s="91"/>
      <c r="B1004" s="95"/>
      <c r="C1004" s="180" t="s">
        <v>927</v>
      </c>
      <c r="D1004" s="181" t="s">
        <v>25</v>
      </c>
      <c r="E1004" s="130" t="s">
        <v>928</v>
      </c>
      <c r="F1004" s="182" t="s">
        <v>1033</v>
      </c>
      <c r="G1004" s="183" t="s">
        <v>1033</v>
      </c>
      <c r="H1004" s="183" t="s">
        <v>1033</v>
      </c>
      <c r="I1004" s="183" t="s">
        <v>1033</v>
      </c>
      <c r="J1004" s="132">
        <v>0.9</v>
      </c>
      <c r="K1004" s="133">
        <v>0.896551724137931</v>
      </c>
      <c r="L1004" s="133">
        <v>0.958333333333333</v>
      </c>
      <c r="M1004" s="134">
        <v>1</v>
      </c>
      <c r="N1004" s="133">
        <v>0.942418426103647</v>
      </c>
      <c r="O1004" s="135">
        <v>0.9</v>
      </c>
      <c r="P1004" s="133">
        <v>0.973219373219373</v>
      </c>
      <c r="Q1004" s="133">
        <v>0.976855546687949</v>
      </c>
      <c r="R1004" s="133">
        <v>0.970488081725312</v>
      </c>
      <c r="S1004" s="133">
        <v>0.970513212937455</v>
      </c>
      <c r="T1004" s="135">
        <v>0.9</v>
      </c>
      <c r="U1004" s="133">
        <v>0.925356125356125</v>
      </c>
      <c r="V1004" s="133">
        <v>0.918595371109338</v>
      </c>
      <c r="W1004" s="133">
        <v>0.920166477487703</v>
      </c>
      <c r="X1004" s="133">
        <v>0.918498112437506</v>
      </c>
      <c r="Y1004" s="135">
        <v>0.92</v>
      </c>
      <c r="Z1004" s="135">
        <v>0.933747412008282</v>
      </c>
      <c r="AA1004" s="135">
        <v>0.942056074766355</v>
      </c>
      <c r="AB1004" s="135">
        <v>0.914027149321267</v>
      </c>
      <c r="AC1004" s="135">
        <v>0.918821897691115</v>
      </c>
      <c r="AD1004" s="135">
        <v>0.92</v>
      </c>
      <c r="AE1004" s="133">
        <v>0.984391819160388</v>
      </c>
      <c r="AF1004" s="133">
        <v>0.931791907514451</v>
      </c>
      <c r="AG1004" s="133">
        <v>0.941422594142259</v>
      </c>
      <c r="AH1004" s="133">
        <v>0.928493050475494</v>
      </c>
      <c r="AI1004" s="135">
        <v>0.92</v>
      </c>
      <c r="AJ1004" s="133">
        <v>0.950402144772118</v>
      </c>
      <c r="AK1004" s="133">
        <v>0.953579418344519</v>
      </c>
      <c r="AL1004" s="133">
        <v>0.950405186385737</v>
      </c>
      <c r="AM1004" s="133">
        <v>0.954569931952808</v>
      </c>
      <c r="AN1004" s="132">
        <v>0.99</v>
      </c>
      <c r="AO1004" s="137">
        <v>1</v>
      </c>
      <c r="AP1004" s="137">
        <v>1</v>
      </c>
      <c r="AQ1004" s="137">
        <v>1</v>
      </c>
      <c r="AR1004" s="137">
        <v>1</v>
      </c>
      <c r="AS1004" s="158">
        <v>0.0656418488929858</v>
      </c>
      <c r="AT1004" s="141">
        <v>0.0333333333333333</v>
      </c>
      <c r="AU1004" s="141">
        <v>0.0294117647058824</v>
      </c>
      <c r="AV1004" s="141">
        <v>0.0256410256410256</v>
      </c>
      <c r="AW1004" s="141">
        <v>0.03397341211226</v>
      </c>
      <c r="AX1004" s="95"/>
      <c r="AY1004" s="93"/>
    </row>
    <row r="1005" ht="15" spans="1:51">
      <c r="A1005" s="91"/>
      <c r="B1005" s="95"/>
      <c r="C1005" s="180" t="s">
        <v>927</v>
      </c>
      <c r="D1005" s="181" t="s">
        <v>25</v>
      </c>
      <c r="E1005" s="130" t="s">
        <v>928</v>
      </c>
      <c r="F1005" s="182" t="s">
        <v>1034</v>
      </c>
      <c r="G1005" s="183" t="s">
        <v>1034</v>
      </c>
      <c r="H1005" s="183" t="s">
        <v>1034</v>
      </c>
      <c r="I1005" s="183" t="s">
        <v>1034</v>
      </c>
      <c r="J1005" s="132">
        <v>0.9</v>
      </c>
      <c r="K1005" s="133">
        <v>0.647058823529412</v>
      </c>
      <c r="L1005" s="133">
        <v>0.846153846153846</v>
      </c>
      <c r="M1005" s="134">
        <v>0.75</v>
      </c>
      <c r="N1005" s="133">
        <v>0.798657718120805</v>
      </c>
      <c r="O1005" s="135">
        <v>0.9</v>
      </c>
      <c r="P1005" s="133">
        <v>0.991794871794872</v>
      </c>
      <c r="Q1005" s="133">
        <v>0.985855728429986</v>
      </c>
      <c r="R1005" s="133">
        <v>0.984214138641043</v>
      </c>
      <c r="S1005" s="133">
        <v>0.958525700215451</v>
      </c>
      <c r="T1005" s="135">
        <v>0.9</v>
      </c>
      <c r="U1005" s="133">
        <v>0.915897435897436</v>
      </c>
      <c r="V1005" s="133">
        <v>0.909476661951909</v>
      </c>
      <c r="W1005" s="133">
        <v>0.861358956760467</v>
      </c>
      <c r="X1005" s="133">
        <v>0.915743305632502</v>
      </c>
      <c r="Y1005" s="135">
        <v>0.92</v>
      </c>
      <c r="Z1005" s="135" t="s">
        <v>35</v>
      </c>
      <c r="AA1005" s="135">
        <v>1</v>
      </c>
      <c r="AB1005" s="135" t="s">
        <v>35</v>
      </c>
      <c r="AC1005" s="135">
        <v>0.25</v>
      </c>
      <c r="AD1005" s="135">
        <v>0.92</v>
      </c>
      <c r="AE1005" s="133">
        <v>0.941896024464832</v>
      </c>
      <c r="AF1005" s="133">
        <v>0.975961538461538</v>
      </c>
      <c r="AG1005" s="133">
        <v>1</v>
      </c>
      <c r="AH1005" s="133">
        <v>0.969703924718843</v>
      </c>
      <c r="AI1005" s="135">
        <v>0.92</v>
      </c>
      <c r="AJ1005" s="133">
        <v>0.94672131147541</v>
      </c>
      <c r="AK1005" s="133">
        <v>0.949224259520451</v>
      </c>
      <c r="AL1005" s="133">
        <v>0.945092656142759</v>
      </c>
      <c r="AM1005" s="133">
        <v>0.959424637513942</v>
      </c>
      <c r="AN1005" s="132">
        <v>0.99</v>
      </c>
      <c r="AO1005" s="137">
        <v>1</v>
      </c>
      <c r="AP1005" s="137">
        <v>1</v>
      </c>
      <c r="AQ1005" s="137">
        <v>1</v>
      </c>
      <c r="AR1005" s="137">
        <v>1</v>
      </c>
      <c r="AS1005" s="158">
        <v>0.0656418488929858</v>
      </c>
      <c r="AT1005" s="141">
        <v>0</v>
      </c>
      <c r="AU1005" s="141">
        <v>0.0588235294117647</v>
      </c>
      <c r="AV1005" s="141">
        <v>0.0526315789473684</v>
      </c>
      <c r="AW1005" s="141">
        <v>0.0347826086956522</v>
      </c>
      <c r="AX1005" s="95"/>
      <c r="AY1005" s="93"/>
    </row>
    <row r="1006" ht="15" spans="1:51">
      <c r="A1006" s="91"/>
      <c r="B1006" s="95"/>
      <c r="C1006" s="180" t="s">
        <v>927</v>
      </c>
      <c r="D1006" s="181" t="s">
        <v>25</v>
      </c>
      <c r="E1006" s="130" t="s">
        <v>928</v>
      </c>
      <c r="F1006" s="192" t="s">
        <v>1035</v>
      </c>
      <c r="G1006" s="193" t="s">
        <v>1035</v>
      </c>
      <c r="H1006" s="193" t="s">
        <v>1035</v>
      </c>
      <c r="I1006" s="193" t="s">
        <v>1035</v>
      </c>
      <c r="J1006" s="132">
        <v>0.9</v>
      </c>
      <c r="K1006" s="133">
        <v>1</v>
      </c>
      <c r="L1006" s="133">
        <v>0.9</v>
      </c>
      <c r="M1006" s="134">
        <v>1</v>
      </c>
      <c r="N1006" s="133">
        <v>0.915254237288136</v>
      </c>
      <c r="O1006" s="135">
        <v>0.9</v>
      </c>
      <c r="P1006" s="133">
        <v>0.968865826538176</v>
      </c>
      <c r="Q1006" s="133">
        <v>0.986998916576381</v>
      </c>
      <c r="R1006" s="133">
        <v>0.972235752557233</v>
      </c>
      <c r="S1006" s="133">
        <v>0.973880699067363</v>
      </c>
      <c r="T1006" s="135">
        <v>0.9</v>
      </c>
      <c r="U1006" s="133">
        <v>0.948109710896961</v>
      </c>
      <c r="V1006" s="133">
        <v>0.931744312026002</v>
      </c>
      <c r="W1006" s="133">
        <v>0.924500730638091</v>
      </c>
      <c r="X1006" s="133">
        <v>0.934469272215081</v>
      </c>
      <c r="Y1006" s="135">
        <v>0.92</v>
      </c>
      <c r="Z1006" s="135">
        <v>0.890957446808511</v>
      </c>
      <c r="AA1006" s="135">
        <v>0.856481481481482</v>
      </c>
      <c r="AB1006" s="135">
        <v>0.876506024096386</v>
      </c>
      <c r="AC1006" s="135">
        <v>0.888383181621153</v>
      </c>
      <c r="AD1006" s="135">
        <v>0.92</v>
      </c>
      <c r="AE1006" s="133">
        <v>0.994090441932169</v>
      </c>
      <c r="AF1006" s="133">
        <v>0.980385525870815</v>
      </c>
      <c r="AG1006" s="133">
        <v>0.964679911699779</v>
      </c>
      <c r="AH1006" s="133">
        <v>0.983818302976455</v>
      </c>
      <c r="AI1006" s="135">
        <v>0.92</v>
      </c>
      <c r="AJ1006" s="133">
        <v>0.951332560834299</v>
      </c>
      <c r="AK1006" s="133">
        <v>0.941002949852507</v>
      </c>
      <c r="AL1006" s="133">
        <v>0.950125733445096</v>
      </c>
      <c r="AM1006" s="133">
        <v>0.953939182256762</v>
      </c>
      <c r="AN1006" s="132">
        <v>0.99</v>
      </c>
      <c r="AO1006" s="137">
        <v>1</v>
      </c>
      <c r="AP1006" s="137">
        <v>1</v>
      </c>
      <c r="AQ1006" s="137">
        <v>1</v>
      </c>
      <c r="AR1006" s="137">
        <v>0.999692023406221</v>
      </c>
      <c r="AS1006" s="158">
        <v>0.0656418488929858</v>
      </c>
      <c r="AT1006" s="141">
        <v>0.0434782608695652</v>
      </c>
      <c r="AU1006" s="141">
        <v>0.105263157894737</v>
      </c>
      <c r="AV1006" s="141">
        <v>0.032258064516129</v>
      </c>
      <c r="AW1006" s="141">
        <v>0.0497335701598579</v>
      </c>
      <c r="AX1006" s="95"/>
      <c r="AY1006" s="93"/>
    </row>
    <row r="1007" ht="15" spans="1:51">
      <c r="A1007" s="91"/>
      <c r="B1007" s="95"/>
      <c r="C1007" s="180" t="s">
        <v>927</v>
      </c>
      <c r="D1007" s="181" t="s">
        <v>25</v>
      </c>
      <c r="E1007" s="130" t="s">
        <v>928</v>
      </c>
      <c r="F1007" s="182" t="s">
        <v>1036</v>
      </c>
      <c r="G1007" s="183" t="s">
        <v>1036</v>
      </c>
      <c r="H1007" s="183" t="s">
        <v>1036</v>
      </c>
      <c r="I1007" s="183" t="s">
        <v>1036</v>
      </c>
      <c r="J1007" s="132">
        <v>0.9</v>
      </c>
      <c r="K1007" s="133">
        <v>0.846153846153846</v>
      </c>
      <c r="L1007" s="133">
        <v>0.76</v>
      </c>
      <c r="M1007" s="134">
        <v>0.782608695652174</v>
      </c>
      <c r="N1007" s="133">
        <v>0.783938814531549</v>
      </c>
      <c r="O1007" s="135">
        <v>0.9</v>
      </c>
      <c r="P1007" s="133">
        <v>0.884615384615385</v>
      </c>
      <c r="Q1007" s="133">
        <v>0.943950177935943</v>
      </c>
      <c r="R1007" s="133">
        <v>0.845076060848679</v>
      </c>
      <c r="S1007" s="133">
        <v>0.85482679184596</v>
      </c>
      <c r="T1007" s="135">
        <v>0.9</v>
      </c>
      <c r="U1007" s="133">
        <v>0.865058670143416</v>
      </c>
      <c r="V1007" s="133">
        <v>0.808718861209964</v>
      </c>
      <c r="W1007" s="133">
        <v>0.72738190552442</v>
      </c>
      <c r="X1007" s="133">
        <v>0.834202633980962</v>
      </c>
      <c r="Y1007" s="135">
        <v>0.92</v>
      </c>
      <c r="Z1007" s="135">
        <v>0.860050890585242</v>
      </c>
      <c r="AA1007" s="135">
        <v>0.737634408602151</v>
      </c>
      <c r="AB1007" s="135">
        <v>0.603580562659846</v>
      </c>
      <c r="AC1007" s="135">
        <v>0.769613947696139</v>
      </c>
      <c r="AD1007" s="135">
        <v>0.92</v>
      </c>
      <c r="AE1007" s="133">
        <v>0.977920227920228</v>
      </c>
      <c r="AF1007" s="133">
        <v>0.905457340507302</v>
      </c>
      <c r="AG1007" s="133">
        <v>0.791593695271454</v>
      </c>
      <c r="AH1007" s="133">
        <v>0.837812189966786</v>
      </c>
      <c r="AI1007" s="135">
        <v>0.92</v>
      </c>
      <c r="AJ1007" s="133">
        <v>0.920643153526971</v>
      </c>
      <c r="AK1007" s="133">
        <v>0.815607300188798</v>
      </c>
      <c r="AL1007" s="133">
        <v>0.789546555901696</v>
      </c>
      <c r="AM1007" s="133">
        <v>0.890789156419</v>
      </c>
      <c r="AN1007" s="132">
        <v>0.99</v>
      </c>
      <c r="AO1007" s="137">
        <v>1</v>
      </c>
      <c r="AP1007" s="137">
        <v>1</v>
      </c>
      <c r="AQ1007" s="137">
        <v>1</v>
      </c>
      <c r="AR1007" s="137">
        <v>1</v>
      </c>
      <c r="AS1007" s="158">
        <v>0.0656418488929858</v>
      </c>
      <c r="AT1007" s="141">
        <v>0</v>
      </c>
      <c r="AU1007" s="141">
        <v>0.0967741935483871</v>
      </c>
      <c r="AV1007" s="141">
        <v>0</v>
      </c>
      <c r="AW1007" s="141">
        <v>0.0319829424307036</v>
      </c>
      <c r="AX1007" s="95"/>
      <c r="AY1007" s="93"/>
    </row>
    <row r="1008" ht="15" spans="1:51">
      <c r="A1008" s="91"/>
      <c r="B1008" s="95"/>
      <c r="C1008" s="180" t="s">
        <v>927</v>
      </c>
      <c r="D1008" s="181" t="s">
        <v>25</v>
      </c>
      <c r="E1008" s="130" t="s">
        <v>928</v>
      </c>
      <c r="F1008" s="182" t="s">
        <v>1037</v>
      </c>
      <c r="G1008" s="183" t="s">
        <v>1037</v>
      </c>
      <c r="H1008" s="183" t="s">
        <v>1037</v>
      </c>
      <c r="I1008" s="183" t="s">
        <v>1037</v>
      </c>
      <c r="J1008" s="132">
        <v>0.9</v>
      </c>
      <c r="K1008" s="133">
        <v>0.966666666666667</v>
      </c>
      <c r="L1008" s="133">
        <v>0.964285714285714</v>
      </c>
      <c r="M1008" s="134">
        <v>0.888888888888889</v>
      </c>
      <c r="N1008" s="133">
        <v>0.919921875</v>
      </c>
      <c r="O1008" s="135">
        <v>0.9</v>
      </c>
      <c r="P1008" s="133">
        <v>0.962365591397849</v>
      </c>
      <c r="Q1008" s="133">
        <v>0.963488843813387</v>
      </c>
      <c r="R1008" s="133">
        <v>0.966682761950748</v>
      </c>
      <c r="S1008" s="133">
        <v>0.957727577723104</v>
      </c>
      <c r="T1008" s="135">
        <v>0.9</v>
      </c>
      <c r="U1008" s="133">
        <v>0.898617511520737</v>
      </c>
      <c r="V1008" s="133">
        <v>0.869168356997972</v>
      </c>
      <c r="W1008" s="133">
        <v>0.845002414292612</v>
      </c>
      <c r="X1008" s="133">
        <v>0.834041601431447</v>
      </c>
      <c r="Y1008" s="135">
        <v>0.92</v>
      </c>
      <c r="Z1008" s="135">
        <v>0.890625</v>
      </c>
      <c r="AA1008" s="135">
        <v>0.776623376623377</v>
      </c>
      <c r="AB1008" s="135">
        <v>0.616613418530351</v>
      </c>
      <c r="AC1008" s="135">
        <v>0.66024713347434</v>
      </c>
      <c r="AD1008" s="135">
        <v>0.92</v>
      </c>
      <c r="AE1008" s="133">
        <v>0.98899217221135</v>
      </c>
      <c r="AF1008" s="133">
        <v>0.0689391037916507</v>
      </c>
      <c r="AG1008" s="133">
        <v>0.850505050505051</v>
      </c>
      <c r="AH1008" s="133">
        <v>0.659984951091046</v>
      </c>
      <c r="AI1008" s="135">
        <v>0.92</v>
      </c>
      <c r="AJ1008" s="133">
        <v>0.935881627620222</v>
      </c>
      <c r="AK1008" s="133">
        <v>0.886214442013129</v>
      </c>
      <c r="AL1008" s="133">
        <v>0.876413908671973</v>
      </c>
      <c r="AM1008" s="133">
        <v>0.865033278241837</v>
      </c>
      <c r="AN1008" s="132">
        <v>0.99</v>
      </c>
      <c r="AO1008" s="137">
        <v>1</v>
      </c>
      <c r="AP1008" s="137">
        <v>1</v>
      </c>
      <c r="AQ1008" s="137">
        <v>1</v>
      </c>
      <c r="AR1008" s="137">
        <v>1</v>
      </c>
      <c r="AS1008" s="158">
        <v>0.0656418488929858</v>
      </c>
      <c r="AT1008" s="141">
        <v>0.0526315789473684</v>
      </c>
      <c r="AU1008" s="141">
        <v>0.130434782608696</v>
      </c>
      <c r="AV1008" s="141">
        <v>0</v>
      </c>
      <c r="AW1008" s="141">
        <v>0.0366568914956012</v>
      </c>
      <c r="AX1008" s="95"/>
      <c r="AY1008" s="93"/>
    </row>
    <row r="1009" ht="15" spans="1:51">
      <c r="A1009" s="91"/>
      <c r="B1009" s="95"/>
      <c r="C1009" s="180" t="s">
        <v>927</v>
      </c>
      <c r="D1009" s="181" t="s">
        <v>25</v>
      </c>
      <c r="E1009" s="130" t="s">
        <v>928</v>
      </c>
      <c r="F1009" s="182" t="s">
        <v>1038</v>
      </c>
      <c r="G1009" s="183" t="s">
        <v>1038</v>
      </c>
      <c r="H1009" s="183" t="s">
        <v>1038</v>
      </c>
      <c r="I1009" s="183" t="s">
        <v>1038</v>
      </c>
      <c r="J1009" s="132">
        <v>0.9</v>
      </c>
      <c r="K1009" s="133">
        <v>0.866666666666667</v>
      </c>
      <c r="L1009" s="133">
        <v>0.714285714285714</v>
      </c>
      <c r="M1009" s="134">
        <v>0.846153846153846</v>
      </c>
      <c r="N1009" s="133">
        <v>0.792592592592593</v>
      </c>
      <c r="O1009" s="135">
        <v>0.9</v>
      </c>
      <c r="P1009" s="133">
        <v>0.878472222222222</v>
      </c>
      <c r="Q1009" s="133">
        <v>0.795275590551181</v>
      </c>
      <c r="R1009" s="133">
        <v>0.612749003984064</v>
      </c>
      <c r="S1009" s="133">
        <v>0.80026365028066</v>
      </c>
      <c r="T1009" s="135">
        <v>0.9</v>
      </c>
      <c r="U1009" s="133">
        <v>0.881944444444444</v>
      </c>
      <c r="V1009" s="133">
        <v>0.861417322834646</v>
      </c>
      <c r="W1009" s="133">
        <v>0.842231075697211</v>
      </c>
      <c r="X1009" s="133">
        <v>0.855502636502807</v>
      </c>
      <c r="Y1009" s="135">
        <v>0.92</v>
      </c>
      <c r="Z1009" s="135">
        <v>0.94017094017094</v>
      </c>
      <c r="AA1009" s="135">
        <v>0.903780068728522</v>
      </c>
      <c r="AB1009" s="135">
        <v>0.849397590361446</v>
      </c>
      <c r="AC1009" s="135">
        <v>0.850419614941583</v>
      </c>
      <c r="AD1009" s="135">
        <v>0.92</v>
      </c>
      <c r="AE1009" s="133">
        <v>0.989233850776164</v>
      </c>
      <c r="AF1009" s="133">
        <v>0.912405513561583</v>
      </c>
      <c r="AG1009" s="133">
        <v>0.775030902348579</v>
      </c>
      <c r="AH1009" s="133">
        <v>0.883983065796437</v>
      </c>
      <c r="AI1009" s="135">
        <v>0.92</v>
      </c>
      <c r="AJ1009" s="133">
        <v>0.92896174863388</v>
      </c>
      <c r="AK1009" s="133">
        <v>0.920086393088553</v>
      </c>
      <c r="AL1009" s="133">
        <v>0.894440534834623</v>
      </c>
      <c r="AM1009" s="133">
        <v>0.907005810025672</v>
      </c>
      <c r="AN1009" s="132">
        <v>0.99</v>
      </c>
      <c r="AO1009" s="137">
        <v>1</v>
      </c>
      <c r="AP1009" s="137">
        <v>1</v>
      </c>
      <c r="AQ1009" s="137">
        <v>1</v>
      </c>
      <c r="AR1009" s="137">
        <v>1</v>
      </c>
      <c r="AS1009" s="158">
        <v>0.0656418488929858</v>
      </c>
      <c r="AT1009" s="141">
        <v>0</v>
      </c>
      <c r="AU1009" s="141">
        <v>0</v>
      </c>
      <c r="AV1009" s="141">
        <v>0</v>
      </c>
      <c r="AW1009" s="141">
        <v>0.0260521042084168</v>
      </c>
      <c r="AX1009" s="95"/>
      <c r="AY1009" s="93"/>
    </row>
    <row r="1010" ht="15" spans="1:51">
      <c r="A1010" s="91"/>
      <c r="B1010" s="95"/>
      <c r="C1010" s="180" t="s">
        <v>927</v>
      </c>
      <c r="D1010" s="181" t="s">
        <v>25</v>
      </c>
      <c r="E1010" s="130" t="s">
        <v>928</v>
      </c>
      <c r="F1010" s="182" t="s">
        <v>1039</v>
      </c>
      <c r="G1010" s="183" t="s">
        <v>1039</v>
      </c>
      <c r="H1010" s="183" t="s">
        <v>1039</v>
      </c>
      <c r="I1010" s="183" t="s">
        <v>1039</v>
      </c>
      <c r="J1010" s="132">
        <v>0.9</v>
      </c>
      <c r="K1010" s="133">
        <v>0.777777777777778</v>
      </c>
      <c r="L1010" s="133">
        <v>0.625</v>
      </c>
      <c r="M1010" s="134">
        <v>0.555555555555556</v>
      </c>
      <c r="N1010" s="133">
        <v>0.714285714285714</v>
      </c>
      <c r="O1010" s="135">
        <v>0.9</v>
      </c>
      <c r="P1010" s="133">
        <v>0.624708624708625</v>
      </c>
      <c r="Q1010" s="133">
        <v>0.559027777777778</v>
      </c>
      <c r="R1010" s="133">
        <v>0.360060514372163</v>
      </c>
      <c r="S1010" s="133">
        <v>0.48121030345801</v>
      </c>
      <c r="T1010" s="135">
        <v>0.9</v>
      </c>
      <c r="U1010" s="133">
        <v>0.916083916083916</v>
      </c>
      <c r="V1010" s="133">
        <v>0.899305555555556</v>
      </c>
      <c r="W1010" s="133">
        <v>0.910741301059002</v>
      </c>
      <c r="X1010" s="133">
        <v>0.884438955539873</v>
      </c>
      <c r="Y1010" s="135">
        <v>0.92</v>
      </c>
      <c r="Z1010" s="135" t="s">
        <v>35</v>
      </c>
      <c r="AA1010" s="135" t="s">
        <v>35</v>
      </c>
      <c r="AB1010" s="135" t="s">
        <v>35</v>
      </c>
      <c r="AC1010" s="135" t="s">
        <v>35</v>
      </c>
      <c r="AD1010" s="135">
        <v>0.92</v>
      </c>
      <c r="AE1010" s="133">
        <v>1</v>
      </c>
      <c r="AF1010" s="133">
        <v>0.941176470588235</v>
      </c>
      <c r="AG1010" s="133">
        <v>1</v>
      </c>
      <c r="AH1010" s="133">
        <v>0.8</v>
      </c>
      <c r="AI1010" s="135">
        <v>0.92</v>
      </c>
      <c r="AJ1010" s="133">
        <v>0.965034965034965</v>
      </c>
      <c r="AK1010" s="133">
        <v>0.954861111111111</v>
      </c>
      <c r="AL1010" s="133">
        <v>0.954614220877458</v>
      </c>
      <c r="AM1010" s="133">
        <v>0.959424891946723</v>
      </c>
      <c r="AN1010" s="132">
        <v>0.99</v>
      </c>
      <c r="AO1010" s="137" t="s">
        <v>35</v>
      </c>
      <c r="AP1010" s="137">
        <v>1</v>
      </c>
      <c r="AQ1010" s="137">
        <v>1</v>
      </c>
      <c r="AR1010" s="137">
        <v>1</v>
      </c>
      <c r="AS1010" s="158">
        <v>0.0656418488929858</v>
      </c>
      <c r="AT1010" s="141">
        <v>0</v>
      </c>
      <c r="AU1010" s="141">
        <v>0</v>
      </c>
      <c r="AV1010" s="141">
        <v>0</v>
      </c>
      <c r="AW1010" s="141">
        <v>0.0222222222222222</v>
      </c>
      <c r="AX1010" s="95"/>
      <c r="AY1010" s="93"/>
    </row>
    <row r="1011" ht="15" spans="1:51">
      <c r="A1011" s="91"/>
      <c r="B1011" s="95"/>
      <c r="C1011" s="180" t="s">
        <v>927</v>
      </c>
      <c r="D1011" s="181" t="s">
        <v>25</v>
      </c>
      <c r="E1011" s="130" t="s">
        <v>928</v>
      </c>
      <c r="F1011" s="184" t="s">
        <v>1040</v>
      </c>
      <c r="G1011" s="185" t="s">
        <v>1040</v>
      </c>
      <c r="H1011" s="185" t="s">
        <v>1040</v>
      </c>
      <c r="I1011" s="185" t="s">
        <v>1040</v>
      </c>
      <c r="J1011" s="132">
        <v>0.9</v>
      </c>
      <c r="K1011" s="133">
        <v>0.888888888888889</v>
      </c>
      <c r="L1011" s="133">
        <v>0.761904761904762</v>
      </c>
      <c r="M1011" s="134">
        <v>0.869565217391304</v>
      </c>
      <c r="N1011" s="133">
        <v>0.8215859030837</v>
      </c>
      <c r="O1011" s="135">
        <v>0.9</v>
      </c>
      <c r="P1011" s="133">
        <v>0.962174940898345</v>
      </c>
      <c r="Q1011" s="133">
        <v>0.974798387096774</v>
      </c>
      <c r="R1011" s="133">
        <v>0.960849645980841</v>
      </c>
      <c r="S1011" s="133">
        <v>0.941845659298224</v>
      </c>
      <c r="T1011" s="135">
        <v>0.9</v>
      </c>
      <c r="U1011" s="133">
        <v>0.934988179669031</v>
      </c>
      <c r="V1011" s="133">
        <v>0.942036290322581</v>
      </c>
      <c r="W1011" s="133">
        <v>0.868804664723032</v>
      </c>
      <c r="X1011" s="133">
        <v>0.891289373160498</v>
      </c>
      <c r="Y1011" s="135">
        <v>0.92</v>
      </c>
      <c r="Z1011" s="135">
        <v>0.975504322766571</v>
      </c>
      <c r="AA1011" s="135">
        <v>0.979547900968784</v>
      </c>
      <c r="AB1011" s="135">
        <v>0.900584795321637</v>
      </c>
      <c r="AC1011" s="135">
        <v>0.943913767417404</v>
      </c>
      <c r="AD1011" s="135">
        <v>0.92</v>
      </c>
      <c r="AE1011" s="133">
        <v>0.998830003899987</v>
      </c>
      <c r="AF1011" s="133">
        <v>0.962150153079195</v>
      </c>
      <c r="AG1011" s="133">
        <v>0.999214207134999</v>
      </c>
      <c r="AH1011" s="133">
        <v>0.994199070066309</v>
      </c>
      <c r="AI1011" s="135">
        <v>0.92</v>
      </c>
      <c r="AJ1011" s="133">
        <v>0.967768940979489</v>
      </c>
      <c r="AK1011" s="133">
        <v>0.977709190672154</v>
      </c>
      <c r="AL1011" s="133">
        <v>0.935120435120435</v>
      </c>
      <c r="AM1011" s="133">
        <v>0.957609848931404</v>
      </c>
      <c r="AN1011" s="132">
        <v>0.99</v>
      </c>
      <c r="AO1011" s="137">
        <v>1</v>
      </c>
      <c r="AP1011" s="137">
        <v>1</v>
      </c>
      <c r="AQ1011" s="137">
        <v>1</v>
      </c>
      <c r="AR1011" s="137">
        <v>1</v>
      </c>
      <c r="AS1011" s="158">
        <v>0.0656418488929858</v>
      </c>
      <c r="AT1011" s="141">
        <v>0.0285714285714286</v>
      </c>
      <c r="AU1011" s="141">
        <v>0.115384615384615</v>
      </c>
      <c r="AV1011" s="141">
        <v>0.0526315789473684</v>
      </c>
      <c r="AW1011" s="141">
        <v>0.0431778929188256</v>
      </c>
      <c r="AX1011" s="95"/>
      <c r="AY1011" s="93"/>
    </row>
    <row r="1012" ht="15" spans="1:51">
      <c r="A1012" s="91"/>
      <c r="B1012" s="95"/>
      <c r="C1012" s="180" t="s">
        <v>927</v>
      </c>
      <c r="D1012" s="181" t="s">
        <v>125</v>
      </c>
      <c r="E1012" s="130" t="s">
        <v>928</v>
      </c>
      <c r="F1012" s="184" t="s">
        <v>1041</v>
      </c>
      <c r="G1012" s="185" t="s">
        <v>1041</v>
      </c>
      <c r="H1012" s="185" t="s">
        <v>1041</v>
      </c>
      <c r="I1012" s="185" t="s">
        <v>1041</v>
      </c>
      <c r="J1012" s="132">
        <v>0.9</v>
      </c>
      <c r="K1012" s="133" t="s">
        <v>35</v>
      </c>
      <c r="L1012" s="133" t="s">
        <v>35</v>
      </c>
      <c r="M1012" s="134" t="s">
        <v>35</v>
      </c>
      <c r="N1012" s="133" t="s">
        <v>35</v>
      </c>
      <c r="O1012" s="135">
        <v>0.9</v>
      </c>
      <c r="P1012" s="133" t="s">
        <v>35</v>
      </c>
      <c r="Q1012" s="133" t="s">
        <v>35</v>
      </c>
      <c r="R1012" s="133" t="s">
        <v>35</v>
      </c>
      <c r="S1012" s="133" t="s">
        <v>35</v>
      </c>
      <c r="T1012" s="135">
        <v>0.9</v>
      </c>
      <c r="U1012" s="133" t="s">
        <v>35</v>
      </c>
      <c r="V1012" s="133" t="s">
        <v>35</v>
      </c>
      <c r="W1012" s="133" t="s">
        <v>35</v>
      </c>
      <c r="X1012" s="133" t="s">
        <v>35</v>
      </c>
      <c r="Y1012" s="135">
        <v>0.92</v>
      </c>
      <c r="Z1012" s="135" t="s">
        <v>35</v>
      </c>
      <c r="AA1012" s="135" t="s">
        <v>35</v>
      </c>
      <c r="AB1012" s="135" t="s">
        <v>35</v>
      </c>
      <c r="AC1012" s="135" t="s">
        <v>35</v>
      </c>
      <c r="AD1012" s="135">
        <v>0.92</v>
      </c>
      <c r="AE1012" s="133" t="s">
        <v>35</v>
      </c>
      <c r="AF1012" s="133" t="s">
        <v>35</v>
      </c>
      <c r="AG1012" s="133" t="s">
        <v>35</v>
      </c>
      <c r="AH1012" s="133" t="s">
        <v>35</v>
      </c>
      <c r="AI1012" s="135">
        <v>0.92</v>
      </c>
      <c r="AJ1012" s="133" t="s">
        <v>35</v>
      </c>
      <c r="AK1012" s="133" t="s">
        <v>35</v>
      </c>
      <c r="AL1012" s="133" t="s">
        <v>35</v>
      </c>
      <c r="AM1012" s="133" t="s">
        <v>35</v>
      </c>
      <c r="AN1012" s="132">
        <v>0.99</v>
      </c>
      <c r="AO1012" s="137" t="s">
        <v>35</v>
      </c>
      <c r="AP1012" s="137" t="s">
        <v>35</v>
      </c>
      <c r="AQ1012" s="137" t="s">
        <v>35</v>
      </c>
      <c r="AR1012" s="137" t="s">
        <v>35</v>
      </c>
      <c r="AS1012" s="158">
        <v>0.0656418488929858</v>
      </c>
      <c r="AT1012" s="141" t="s">
        <v>35</v>
      </c>
      <c r="AU1012" s="141" t="s">
        <v>35</v>
      </c>
      <c r="AV1012" s="141" t="s">
        <v>35</v>
      </c>
      <c r="AW1012" s="141" t="s">
        <v>35</v>
      </c>
      <c r="AX1012" s="95"/>
      <c r="AY1012" s="93"/>
    </row>
    <row r="1013" ht="15" spans="1:51">
      <c r="A1013" s="91"/>
      <c r="B1013" s="95"/>
      <c r="C1013" s="180" t="s">
        <v>927</v>
      </c>
      <c r="D1013" s="181" t="s">
        <v>125</v>
      </c>
      <c r="E1013" s="130" t="s">
        <v>928</v>
      </c>
      <c r="F1013" s="186" t="s">
        <v>1042</v>
      </c>
      <c r="G1013" s="187" t="s">
        <v>1042</v>
      </c>
      <c r="H1013" s="187" t="s">
        <v>1042</v>
      </c>
      <c r="I1013" s="187" t="s">
        <v>1042</v>
      </c>
      <c r="J1013" s="132">
        <v>0.9</v>
      </c>
      <c r="K1013" s="133" t="s">
        <v>35</v>
      </c>
      <c r="L1013" s="133" t="s">
        <v>35</v>
      </c>
      <c r="M1013" s="134" t="s">
        <v>35</v>
      </c>
      <c r="N1013" s="133" t="s">
        <v>35</v>
      </c>
      <c r="O1013" s="135">
        <v>0.9</v>
      </c>
      <c r="P1013" s="133" t="s">
        <v>35</v>
      </c>
      <c r="Q1013" s="133" t="s">
        <v>35</v>
      </c>
      <c r="R1013" s="133" t="s">
        <v>35</v>
      </c>
      <c r="S1013" s="133">
        <v>0</v>
      </c>
      <c r="T1013" s="135">
        <v>0.9</v>
      </c>
      <c r="U1013" s="133" t="s">
        <v>35</v>
      </c>
      <c r="V1013" s="133" t="s">
        <v>35</v>
      </c>
      <c r="W1013" s="133" t="s">
        <v>35</v>
      </c>
      <c r="X1013" s="133">
        <v>0.333333333333333</v>
      </c>
      <c r="Y1013" s="135">
        <v>0.92</v>
      </c>
      <c r="Z1013" s="135" t="s">
        <v>35</v>
      </c>
      <c r="AA1013" s="135" t="s">
        <v>35</v>
      </c>
      <c r="AB1013" s="135" t="s">
        <v>35</v>
      </c>
      <c r="AC1013" s="135" t="s">
        <v>35</v>
      </c>
      <c r="AD1013" s="135">
        <v>0.92</v>
      </c>
      <c r="AE1013" s="133">
        <v>0.969026548672566</v>
      </c>
      <c r="AF1013" s="133">
        <v>0.993684210526316</v>
      </c>
      <c r="AG1013" s="133">
        <v>0.988023952095808</v>
      </c>
      <c r="AH1013" s="133">
        <v>0.990910649974275</v>
      </c>
      <c r="AI1013" s="135">
        <v>0.92</v>
      </c>
      <c r="AJ1013" s="133" t="s">
        <v>35</v>
      </c>
      <c r="AK1013" s="133" t="s">
        <v>35</v>
      </c>
      <c r="AL1013" s="133" t="s">
        <v>35</v>
      </c>
      <c r="AM1013" s="133">
        <v>0.666666666666667</v>
      </c>
      <c r="AN1013" s="132">
        <v>0.99</v>
      </c>
      <c r="AO1013" s="137">
        <v>1</v>
      </c>
      <c r="AP1013" s="137" t="s">
        <v>35</v>
      </c>
      <c r="AQ1013" s="137" t="s">
        <v>35</v>
      </c>
      <c r="AR1013" s="137">
        <v>1</v>
      </c>
      <c r="AS1013" s="158">
        <v>0.0656418488929858</v>
      </c>
      <c r="AT1013" s="141" t="s">
        <v>35</v>
      </c>
      <c r="AU1013" s="141" t="s">
        <v>35</v>
      </c>
      <c r="AV1013" s="141" t="s">
        <v>35</v>
      </c>
      <c r="AW1013" s="141" t="s">
        <v>35</v>
      </c>
      <c r="AX1013" s="95"/>
      <c r="AY1013" s="93"/>
    </row>
    <row r="1014" ht="15" spans="1:51">
      <c r="A1014" s="91"/>
      <c r="B1014" s="95"/>
      <c r="C1014" s="180" t="s">
        <v>927</v>
      </c>
      <c r="D1014" s="181" t="s">
        <v>125</v>
      </c>
      <c r="E1014" s="130" t="s">
        <v>928</v>
      </c>
      <c r="F1014" s="186" t="s">
        <v>1043</v>
      </c>
      <c r="G1014" s="187" t="s">
        <v>1043</v>
      </c>
      <c r="H1014" s="187" t="s">
        <v>1043</v>
      </c>
      <c r="I1014" s="187" t="s">
        <v>1043</v>
      </c>
      <c r="J1014" s="132">
        <v>0.9</v>
      </c>
      <c r="K1014" s="133" t="s">
        <v>35</v>
      </c>
      <c r="L1014" s="133" t="s">
        <v>35</v>
      </c>
      <c r="M1014" s="134" t="s">
        <v>35</v>
      </c>
      <c r="N1014" s="133" t="s">
        <v>35</v>
      </c>
      <c r="O1014" s="135">
        <v>0.9</v>
      </c>
      <c r="P1014" s="133" t="s">
        <v>35</v>
      </c>
      <c r="Q1014" s="133">
        <v>0</v>
      </c>
      <c r="R1014" s="133" t="s">
        <v>35</v>
      </c>
      <c r="S1014" s="133">
        <v>0</v>
      </c>
      <c r="T1014" s="135">
        <v>0.9</v>
      </c>
      <c r="U1014" s="133" t="s">
        <v>35</v>
      </c>
      <c r="V1014" s="133">
        <v>1</v>
      </c>
      <c r="W1014" s="133" t="s">
        <v>35</v>
      </c>
      <c r="X1014" s="133">
        <v>1</v>
      </c>
      <c r="Y1014" s="135">
        <v>0.92</v>
      </c>
      <c r="Z1014" s="135" t="s">
        <v>35</v>
      </c>
      <c r="AA1014" s="135" t="s">
        <v>35</v>
      </c>
      <c r="AB1014" s="135" t="s">
        <v>35</v>
      </c>
      <c r="AC1014" s="135" t="s">
        <v>35</v>
      </c>
      <c r="AD1014" s="135">
        <v>0.92</v>
      </c>
      <c r="AE1014" s="133">
        <v>1</v>
      </c>
      <c r="AF1014" s="133">
        <v>1</v>
      </c>
      <c r="AG1014" s="133">
        <v>0.995049504950495</v>
      </c>
      <c r="AH1014" s="133">
        <v>0.993080116869137</v>
      </c>
      <c r="AI1014" s="135">
        <v>0.92</v>
      </c>
      <c r="AJ1014" s="133" t="s">
        <v>35</v>
      </c>
      <c r="AK1014" s="133">
        <v>1</v>
      </c>
      <c r="AL1014" s="133" t="s">
        <v>35</v>
      </c>
      <c r="AM1014" s="133">
        <v>1</v>
      </c>
      <c r="AN1014" s="132">
        <v>0.99</v>
      </c>
      <c r="AO1014" s="137">
        <v>1</v>
      </c>
      <c r="AP1014" s="137">
        <v>1</v>
      </c>
      <c r="AQ1014" s="137">
        <v>1</v>
      </c>
      <c r="AR1014" s="137">
        <v>1</v>
      </c>
      <c r="AS1014" s="158">
        <v>0.0656418488929858</v>
      </c>
      <c r="AT1014" s="141" t="s">
        <v>35</v>
      </c>
      <c r="AU1014" s="141" t="s">
        <v>35</v>
      </c>
      <c r="AV1014" s="141" t="s">
        <v>35</v>
      </c>
      <c r="AW1014" s="141" t="s">
        <v>35</v>
      </c>
      <c r="AX1014" s="95"/>
      <c r="AY1014" s="93"/>
    </row>
    <row r="1015" ht="15" spans="1:51">
      <c r="A1015" s="91"/>
      <c r="B1015" s="95"/>
      <c r="C1015" s="180" t="s">
        <v>927</v>
      </c>
      <c r="D1015" s="181" t="s">
        <v>25</v>
      </c>
      <c r="E1015" s="130" t="s">
        <v>928</v>
      </c>
      <c r="F1015" s="184" t="s">
        <v>1044</v>
      </c>
      <c r="G1015" s="185" t="s">
        <v>1044</v>
      </c>
      <c r="H1015" s="185" t="s">
        <v>1044</v>
      </c>
      <c r="I1015" s="185" t="s">
        <v>1044</v>
      </c>
      <c r="J1015" s="132">
        <v>0.9</v>
      </c>
      <c r="K1015" s="133">
        <v>0.930232558139535</v>
      </c>
      <c r="L1015" s="133">
        <v>0.878787878787879</v>
      </c>
      <c r="M1015" s="134">
        <v>0.842105263157895</v>
      </c>
      <c r="N1015" s="133">
        <v>0.881879194630872</v>
      </c>
      <c r="O1015" s="135">
        <v>0.9</v>
      </c>
      <c r="P1015" s="133">
        <v>0.943779108449767</v>
      </c>
      <c r="Q1015" s="133">
        <v>0.935091277890467</v>
      </c>
      <c r="R1015" s="133">
        <v>0.930260617760618</v>
      </c>
      <c r="S1015" s="133">
        <v>0.917236603943197</v>
      </c>
      <c r="T1015" s="135">
        <v>0.9</v>
      </c>
      <c r="U1015" s="133">
        <v>0.92315369261477</v>
      </c>
      <c r="V1015" s="133">
        <v>0.933400946585531</v>
      </c>
      <c r="W1015" s="133">
        <v>0.891650579150579</v>
      </c>
      <c r="X1015" s="133">
        <v>0.890377677085485</v>
      </c>
      <c r="Y1015" s="135">
        <v>0.92</v>
      </c>
      <c r="Z1015" s="135">
        <v>0.926020408163265</v>
      </c>
      <c r="AA1015" s="135">
        <v>0.928262748487468</v>
      </c>
      <c r="AB1015" s="135">
        <v>0.870860927152318</v>
      </c>
      <c r="AC1015" s="135">
        <v>0.900984485335807</v>
      </c>
      <c r="AD1015" s="135">
        <v>0.92</v>
      </c>
      <c r="AE1015" s="133">
        <v>0.996281606346059</v>
      </c>
      <c r="AF1015" s="133">
        <v>0.985939949354878</v>
      </c>
      <c r="AG1015" s="133">
        <v>0.990969887029131</v>
      </c>
      <c r="AH1015" s="133">
        <v>0.991974893239665</v>
      </c>
      <c r="AI1015" s="135">
        <v>0.92</v>
      </c>
      <c r="AJ1015" s="133">
        <v>0.946326335877863</v>
      </c>
      <c r="AK1015" s="133">
        <v>0.948568655992237</v>
      </c>
      <c r="AL1015" s="133">
        <v>0.921296296296296</v>
      </c>
      <c r="AM1015" s="133">
        <v>0.944442261600723</v>
      </c>
      <c r="AN1015" s="132">
        <v>0.99</v>
      </c>
      <c r="AO1015" s="137">
        <v>1</v>
      </c>
      <c r="AP1015" s="137">
        <v>1</v>
      </c>
      <c r="AQ1015" s="137">
        <v>1</v>
      </c>
      <c r="AR1015" s="137">
        <v>1</v>
      </c>
      <c r="AS1015" s="158">
        <v>0.0656418488929858</v>
      </c>
      <c r="AT1015" s="141">
        <v>0.03125</v>
      </c>
      <c r="AU1015" s="141">
        <v>0.04</v>
      </c>
      <c r="AV1015" s="141">
        <v>0.117647058823529</v>
      </c>
      <c r="AW1015" s="141">
        <v>0.0632911392405063</v>
      </c>
      <c r="AX1015" s="95"/>
      <c r="AY1015" s="93"/>
    </row>
    <row r="1016" ht="15" spans="1:51">
      <c r="A1016" s="91"/>
      <c r="B1016" s="95"/>
      <c r="C1016" s="180" t="s">
        <v>927</v>
      </c>
      <c r="D1016" s="181" t="s">
        <v>125</v>
      </c>
      <c r="E1016" s="130" t="s">
        <v>928</v>
      </c>
      <c r="F1016" s="186" t="s">
        <v>1045</v>
      </c>
      <c r="G1016" s="187" t="s">
        <v>1045</v>
      </c>
      <c r="H1016" s="187" t="s">
        <v>1045</v>
      </c>
      <c r="I1016" s="187" t="s">
        <v>1045</v>
      </c>
      <c r="J1016" s="132">
        <v>0.9</v>
      </c>
      <c r="K1016" s="133" t="s">
        <v>35</v>
      </c>
      <c r="L1016" s="133" t="s">
        <v>35</v>
      </c>
      <c r="M1016" s="134" t="s">
        <v>35</v>
      </c>
      <c r="N1016" s="133" t="s">
        <v>35</v>
      </c>
      <c r="O1016" s="135">
        <v>0.9</v>
      </c>
      <c r="P1016" s="133" t="s">
        <v>35</v>
      </c>
      <c r="Q1016" s="133" t="s">
        <v>35</v>
      </c>
      <c r="R1016" s="133">
        <v>0</v>
      </c>
      <c r="S1016" s="133">
        <v>0</v>
      </c>
      <c r="T1016" s="135">
        <v>0.9</v>
      </c>
      <c r="U1016" s="133" t="s">
        <v>35</v>
      </c>
      <c r="V1016" s="133" t="s">
        <v>35</v>
      </c>
      <c r="W1016" s="133">
        <v>1</v>
      </c>
      <c r="X1016" s="133">
        <v>1</v>
      </c>
      <c r="Y1016" s="135">
        <v>0.92</v>
      </c>
      <c r="Z1016" s="135" t="s">
        <v>35</v>
      </c>
      <c r="AA1016" s="135" t="s">
        <v>35</v>
      </c>
      <c r="AB1016" s="135">
        <v>1</v>
      </c>
      <c r="AC1016" s="135">
        <v>1</v>
      </c>
      <c r="AD1016" s="135">
        <v>0.92</v>
      </c>
      <c r="AE1016" s="133">
        <v>1</v>
      </c>
      <c r="AF1016" s="133">
        <v>1</v>
      </c>
      <c r="AG1016" s="133">
        <v>1</v>
      </c>
      <c r="AH1016" s="133">
        <v>0.999837951709609</v>
      </c>
      <c r="AI1016" s="135">
        <v>0.92</v>
      </c>
      <c r="AJ1016" s="133" t="s">
        <v>35</v>
      </c>
      <c r="AK1016" s="133" t="s">
        <v>35</v>
      </c>
      <c r="AL1016" s="133">
        <v>1</v>
      </c>
      <c r="AM1016" s="133">
        <v>1</v>
      </c>
      <c r="AN1016" s="132">
        <v>0.99</v>
      </c>
      <c r="AO1016" s="137">
        <v>1</v>
      </c>
      <c r="AP1016" s="137">
        <v>1</v>
      </c>
      <c r="AQ1016" s="137">
        <v>1</v>
      </c>
      <c r="AR1016" s="137">
        <v>1</v>
      </c>
      <c r="AS1016" s="158">
        <v>0.0656418488929858</v>
      </c>
      <c r="AT1016" s="141" t="s">
        <v>35</v>
      </c>
      <c r="AU1016" s="141" t="s">
        <v>35</v>
      </c>
      <c r="AV1016" s="141" t="s">
        <v>35</v>
      </c>
      <c r="AW1016" s="141" t="s">
        <v>35</v>
      </c>
      <c r="AX1016" s="95"/>
      <c r="AY1016" s="93"/>
    </row>
    <row r="1017" ht="15" spans="1:51">
      <c r="A1017" s="91"/>
      <c r="B1017" s="95"/>
      <c r="C1017" s="180" t="s">
        <v>927</v>
      </c>
      <c r="D1017" s="181" t="s">
        <v>25</v>
      </c>
      <c r="E1017" s="130" t="s">
        <v>928</v>
      </c>
      <c r="F1017" s="186" t="s">
        <v>1046</v>
      </c>
      <c r="G1017" s="187" t="s">
        <v>1046</v>
      </c>
      <c r="H1017" s="187" t="s">
        <v>1046</v>
      </c>
      <c r="I1017" s="187" t="s">
        <v>1046</v>
      </c>
      <c r="J1017" s="132">
        <v>0.9</v>
      </c>
      <c r="K1017" s="133">
        <v>0.972972972972973</v>
      </c>
      <c r="L1017" s="133">
        <v>0.9</v>
      </c>
      <c r="M1017" s="134">
        <v>0.941176470588235</v>
      </c>
      <c r="N1017" s="133">
        <v>0.924071082390953</v>
      </c>
      <c r="O1017" s="135">
        <v>0.9</v>
      </c>
      <c r="P1017" s="133">
        <v>0.944575471698113</v>
      </c>
      <c r="Q1017" s="133">
        <v>0.937907077724707</v>
      </c>
      <c r="R1017" s="133">
        <v>0.944795385882999</v>
      </c>
      <c r="S1017" s="133">
        <v>0.930070914002701</v>
      </c>
      <c r="T1017" s="135">
        <v>0.9</v>
      </c>
      <c r="U1017" s="133">
        <v>0.935927672955975</v>
      </c>
      <c r="V1017" s="133">
        <v>0.91272253582284</v>
      </c>
      <c r="W1017" s="133">
        <v>0.89288656962373</v>
      </c>
      <c r="X1017" s="133">
        <v>0.905856033318325</v>
      </c>
      <c r="Y1017" s="135">
        <v>0.92</v>
      </c>
      <c r="Z1017" s="135">
        <v>0.90249187432286</v>
      </c>
      <c r="AA1017" s="135">
        <v>0.927654609101517</v>
      </c>
      <c r="AB1017" s="135">
        <v>0.796498905908096</v>
      </c>
      <c r="AC1017" s="135">
        <v>0.85026312568841</v>
      </c>
      <c r="AD1017" s="135">
        <v>0.92</v>
      </c>
      <c r="AE1017" s="133">
        <v>0.983126110124334</v>
      </c>
      <c r="AF1017" s="133">
        <v>0.997626314004747</v>
      </c>
      <c r="AG1017" s="133">
        <v>0.993559017375674</v>
      </c>
      <c r="AH1017" s="133">
        <v>0.977363605557438</v>
      </c>
      <c r="AI1017" s="135">
        <v>0.92</v>
      </c>
      <c r="AJ1017" s="133">
        <v>0.95197008915732</v>
      </c>
      <c r="AK1017" s="133">
        <v>0.949179292929293</v>
      </c>
      <c r="AL1017" s="133">
        <v>0.922289890377588</v>
      </c>
      <c r="AM1017" s="133">
        <v>0.937278768640526</v>
      </c>
      <c r="AN1017" s="132">
        <v>0.99</v>
      </c>
      <c r="AO1017" s="137">
        <v>1</v>
      </c>
      <c r="AP1017" s="137">
        <v>1</v>
      </c>
      <c r="AQ1017" s="137">
        <v>1</v>
      </c>
      <c r="AR1017" s="137">
        <v>1</v>
      </c>
      <c r="AS1017" s="158">
        <v>0.0656418488929858</v>
      </c>
      <c r="AT1017" s="141">
        <v>0</v>
      </c>
      <c r="AU1017" s="141">
        <v>0.0714285714285714</v>
      </c>
      <c r="AV1017" s="141">
        <v>0.0882352941176471</v>
      </c>
      <c r="AW1017" s="141">
        <v>0.0646766169154229</v>
      </c>
      <c r="AX1017" s="95"/>
      <c r="AY1017" s="93"/>
    </row>
    <row r="1018" ht="15" spans="1:51">
      <c r="A1018" s="91"/>
      <c r="B1018" s="95"/>
      <c r="C1018" s="180" t="s">
        <v>927</v>
      </c>
      <c r="D1018" s="181" t="s">
        <v>125</v>
      </c>
      <c r="E1018" s="130" t="s">
        <v>928</v>
      </c>
      <c r="F1018" s="186" t="s">
        <v>1047</v>
      </c>
      <c r="G1018" s="187" t="s">
        <v>1047</v>
      </c>
      <c r="H1018" s="187" t="s">
        <v>1047</v>
      </c>
      <c r="I1018" s="187" t="s">
        <v>1047</v>
      </c>
      <c r="J1018" s="132">
        <v>0.9</v>
      </c>
      <c r="K1018" s="133" t="s">
        <v>35</v>
      </c>
      <c r="L1018" s="133" t="s">
        <v>35</v>
      </c>
      <c r="M1018" s="134" t="s">
        <v>35</v>
      </c>
      <c r="N1018" s="133" t="s">
        <v>35</v>
      </c>
      <c r="O1018" s="135">
        <v>0.9</v>
      </c>
      <c r="P1018" s="133">
        <v>0</v>
      </c>
      <c r="Q1018" s="133" t="s">
        <v>35</v>
      </c>
      <c r="R1018" s="133" t="s">
        <v>35</v>
      </c>
      <c r="S1018" s="133">
        <v>0</v>
      </c>
      <c r="T1018" s="135">
        <v>0.9</v>
      </c>
      <c r="U1018" s="133">
        <v>1</v>
      </c>
      <c r="V1018" s="133" t="s">
        <v>35</v>
      </c>
      <c r="W1018" s="133" t="s">
        <v>35</v>
      </c>
      <c r="X1018" s="133">
        <v>1</v>
      </c>
      <c r="Y1018" s="135">
        <v>0.92</v>
      </c>
      <c r="Z1018" s="135" t="s">
        <v>35</v>
      </c>
      <c r="AA1018" s="135" t="s">
        <v>35</v>
      </c>
      <c r="AB1018" s="135" t="s">
        <v>35</v>
      </c>
      <c r="AC1018" s="135">
        <v>1</v>
      </c>
      <c r="AD1018" s="135">
        <v>0.92</v>
      </c>
      <c r="AE1018" s="133">
        <v>1</v>
      </c>
      <c r="AF1018" s="133">
        <v>1</v>
      </c>
      <c r="AG1018" s="133">
        <v>1</v>
      </c>
      <c r="AH1018" s="133">
        <v>0.999123114696598</v>
      </c>
      <c r="AI1018" s="135">
        <v>0.92</v>
      </c>
      <c r="AJ1018" s="133">
        <v>1</v>
      </c>
      <c r="AK1018" s="133" t="s">
        <v>35</v>
      </c>
      <c r="AL1018" s="133" t="s">
        <v>35</v>
      </c>
      <c r="AM1018" s="133">
        <v>1</v>
      </c>
      <c r="AN1018" s="132">
        <v>0.99</v>
      </c>
      <c r="AO1018" s="137">
        <v>1</v>
      </c>
      <c r="AP1018" s="137">
        <v>1</v>
      </c>
      <c r="AQ1018" s="137">
        <v>1</v>
      </c>
      <c r="AR1018" s="137">
        <v>1</v>
      </c>
      <c r="AS1018" s="158">
        <v>0.0656418488929858</v>
      </c>
      <c r="AT1018" s="141" t="s">
        <v>35</v>
      </c>
      <c r="AU1018" s="141" t="s">
        <v>35</v>
      </c>
      <c r="AV1018" s="141" t="s">
        <v>35</v>
      </c>
      <c r="AW1018" s="141" t="s">
        <v>35</v>
      </c>
      <c r="AX1018" s="95"/>
      <c r="AY1018" s="93"/>
    </row>
    <row r="1019" ht="15" spans="1:51">
      <c r="A1019" s="91"/>
      <c r="B1019" s="95"/>
      <c r="C1019" s="180" t="s">
        <v>927</v>
      </c>
      <c r="D1019" s="181" t="s">
        <v>125</v>
      </c>
      <c r="E1019" s="130" t="s">
        <v>928</v>
      </c>
      <c r="F1019" s="186" t="s">
        <v>1048</v>
      </c>
      <c r="G1019" s="187" t="s">
        <v>1048</v>
      </c>
      <c r="H1019" s="187" t="s">
        <v>1048</v>
      </c>
      <c r="I1019" s="187" t="s">
        <v>1048</v>
      </c>
      <c r="J1019" s="132">
        <v>0.9</v>
      </c>
      <c r="K1019" s="133" t="s">
        <v>35</v>
      </c>
      <c r="L1019" s="133" t="s">
        <v>35</v>
      </c>
      <c r="M1019" s="134" t="s">
        <v>35</v>
      </c>
      <c r="N1019" s="133" t="s">
        <v>35</v>
      </c>
      <c r="O1019" s="135">
        <v>0.9</v>
      </c>
      <c r="P1019" s="133" t="s">
        <v>35</v>
      </c>
      <c r="Q1019" s="133">
        <v>0</v>
      </c>
      <c r="R1019" s="133" t="s">
        <v>35</v>
      </c>
      <c r="S1019" s="133">
        <v>0</v>
      </c>
      <c r="T1019" s="135">
        <v>0.9</v>
      </c>
      <c r="U1019" s="133" t="s">
        <v>35</v>
      </c>
      <c r="V1019" s="133">
        <v>1</v>
      </c>
      <c r="W1019" s="133" t="s">
        <v>35</v>
      </c>
      <c r="X1019" s="133">
        <v>1</v>
      </c>
      <c r="Y1019" s="135">
        <v>0.92</v>
      </c>
      <c r="Z1019" s="135" t="s">
        <v>35</v>
      </c>
      <c r="AA1019" s="135" t="s">
        <v>35</v>
      </c>
      <c r="AB1019" s="135" t="s">
        <v>35</v>
      </c>
      <c r="AC1019" s="135" t="s">
        <v>35</v>
      </c>
      <c r="AD1019" s="135">
        <v>0.92</v>
      </c>
      <c r="AE1019" s="133">
        <v>1</v>
      </c>
      <c r="AF1019" s="133">
        <v>0.992307692307692</v>
      </c>
      <c r="AG1019" s="133">
        <v>1</v>
      </c>
      <c r="AH1019" s="133">
        <v>0.99951690821256</v>
      </c>
      <c r="AI1019" s="135">
        <v>0.92</v>
      </c>
      <c r="AJ1019" s="133" t="s">
        <v>35</v>
      </c>
      <c r="AK1019" s="133">
        <v>1</v>
      </c>
      <c r="AL1019" s="133">
        <v>1</v>
      </c>
      <c r="AM1019" s="133">
        <v>1</v>
      </c>
      <c r="AN1019" s="132">
        <v>0.99</v>
      </c>
      <c r="AO1019" s="137">
        <v>1</v>
      </c>
      <c r="AP1019" s="137">
        <v>1</v>
      </c>
      <c r="AQ1019" s="137">
        <v>1</v>
      </c>
      <c r="AR1019" s="137">
        <v>1</v>
      </c>
      <c r="AS1019" s="158">
        <v>0.0656418488929858</v>
      </c>
      <c r="AT1019" s="141" t="s">
        <v>35</v>
      </c>
      <c r="AU1019" s="141" t="s">
        <v>35</v>
      </c>
      <c r="AV1019" s="141" t="s">
        <v>35</v>
      </c>
      <c r="AW1019" s="141" t="s">
        <v>35</v>
      </c>
      <c r="AX1019" s="95"/>
      <c r="AY1019" s="93"/>
    </row>
    <row r="1020" ht="15" spans="1:51">
      <c r="A1020" s="91"/>
      <c r="B1020" s="95"/>
      <c r="C1020" s="180" t="s">
        <v>927</v>
      </c>
      <c r="D1020" s="181" t="s">
        <v>125</v>
      </c>
      <c r="E1020" s="130" t="s">
        <v>928</v>
      </c>
      <c r="F1020" s="186" t="s">
        <v>1049</v>
      </c>
      <c r="G1020" s="187" t="s">
        <v>1049</v>
      </c>
      <c r="H1020" s="187" t="s">
        <v>1049</v>
      </c>
      <c r="I1020" s="187" t="s">
        <v>1049</v>
      </c>
      <c r="J1020" s="132">
        <v>0.9</v>
      </c>
      <c r="K1020" s="133" t="s">
        <v>35</v>
      </c>
      <c r="L1020" s="133" t="s">
        <v>35</v>
      </c>
      <c r="M1020" s="134" t="s">
        <v>35</v>
      </c>
      <c r="N1020" s="133" t="s">
        <v>35</v>
      </c>
      <c r="O1020" s="135">
        <v>0.9</v>
      </c>
      <c r="P1020" s="133" t="s">
        <v>35</v>
      </c>
      <c r="Q1020" s="133" t="s">
        <v>35</v>
      </c>
      <c r="R1020" s="133" t="s">
        <v>35</v>
      </c>
      <c r="S1020" s="133">
        <v>0</v>
      </c>
      <c r="T1020" s="135">
        <v>0.9</v>
      </c>
      <c r="U1020" s="133" t="s">
        <v>35</v>
      </c>
      <c r="V1020" s="133" t="s">
        <v>35</v>
      </c>
      <c r="W1020" s="133" t="s">
        <v>35</v>
      </c>
      <c r="X1020" s="133">
        <v>1</v>
      </c>
      <c r="Y1020" s="135">
        <v>0.92</v>
      </c>
      <c r="Z1020" s="135" t="s">
        <v>35</v>
      </c>
      <c r="AA1020" s="135" t="s">
        <v>35</v>
      </c>
      <c r="AB1020" s="135" t="s">
        <v>35</v>
      </c>
      <c r="AC1020" s="135" t="s">
        <v>35</v>
      </c>
      <c r="AD1020" s="135">
        <v>0.92</v>
      </c>
      <c r="AE1020" s="133">
        <v>1</v>
      </c>
      <c r="AF1020" s="133">
        <v>1</v>
      </c>
      <c r="AG1020" s="133" t="s">
        <v>35</v>
      </c>
      <c r="AH1020" s="133">
        <v>1</v>
      </c>
      <c r="AI1020" s="135">
        <v>0.92</v>
      </c>
      <c r="AJ1020" s="133" t="s">
        <v>35</v>
      </c>
      <c r="AK1020" s="133" t="s">
        <v>35</v>
      </c>
      <c r="AL1020" s="133" t="s">
        <v>35</v>
      </c>
      <c r="AM1020" s="133">
        <v>1</v>
      </c>
      <c r="AN1020" s="132">
        <v>0.99</v>
      </c>
      <c r="AO1020" s="137" t="s">
        <v>35</v>
      </c>
      <c r="AP1020" s="137" t="s">
        <v>35</v>
      </c>
      <c r="AQ1020" s="137" t="s">
        <v>35</v>
      </c>
      <c r="AR1020" s="137" t="s">
        <v>35</v>
      </c>
      <c r="AS1020" s="158">
        <v>0.0656418488929858</v>
      </c>
      <c r="AT1020" s="141" t="s">
        <v>35</v>
      </c>
      <c r="AU1020" s="141" t="s">
        <v>35</v>
      </c>
      <c r="AV1020" s="141" t="s">
        <v>35</v>
      </c>
      <c r="AW1020" s="141" t="s">
        <v>35</v>
      </c>
      <c r="AX1020" s="95"/>
      <c r="AY1020" s="93"/>
    </row>
    <row r="1021" ht="15" spans="1:51">
      <c r="A1021" s="91"/>
      <c r="B1021" s="95"/>
      <c r="C1021" s="180" t="s">
        <v>927</v>
      </c>
      <c r="D1021" s="181" t="s">
        <v>25</v>
      </c>
      <c r="E1021" s="130" t="s">
        <v>928</v>
      </c>
      <c r="F1021" s="186" t="s">
        <v>1050</v>
      </c>
      <c r="G1021" s="187" t="s">
        <v>1050</v>
      </c>
      <c r="H1021" s="187" t="s">
        <v>1050</v>
      </c>
      <c r="I1021" s="187" t="s">
        <v>1050</v>
      </c>
      <c r="J1021" s="132">
        <v>0.9</v>
      </c>
      <c r="K1021" s="133">
        <v>0.866666666666667</v>
      </c>
      <c r="L1021" s="133">
        <v>0.875</v>
      </c>
      <c r="M1021" s="134">
        <v>1</v>
      </c>
      <c r="N1021" s="133">
        <v>0.9419795221843</v>
      </c>
      <c r="O1021" s="135">
        <v>0.9</v>
      </c>
      <c r="P1021" s="133">
        <v>0.957345971563981</v>
      </c>
      <c r="Q1021" s="133">
        <v>0.941952506596306</v>
      </c>
      <c r="R1021" s="133">
        <v>0.957649092480553</v>
      </c>
      <c r="S1021" s="133">
        <v>0.932745167582905</v>
      </c>
      <c r="T1021" s="135">
        <v>0.9</v>
      </c>
      <c r="U1021" s="133">
        <v>0.851895734597156</v>
      </c>
      <c r="V1021" s="133">
        <v>0.893139841688654</v>
      </c>
      <c r="W1021" s="133">
        <v>0.822817631806396</v>
      </c>
      <c r="X1021" s="133">
        <v>0.846027664479518</v>
      </c>
      <c r="Y1021" s="135">
        <v>0.92</v>
      </c>
      <c r="Z1021" s="135">
        <v>0.85459940652819</v>
      </c>
      <c r="AA1021" s="135">
        <v>0.886904761904762</v>
      </c>
      <c r="AB1021" s="135">
        <v>0.745454545454545</v>
      </c>
      <c r="AC1021" s="135">
        <v>0.851225697379544</v>
      </c>
      <c r="AD1021" s="135">
        <v>0.92</v>
      </c>
      <c r="AE1021" s="133">
        <v>0.985268436842341</v>
      </c>
      <c r="AF1021" s="133">
        <v>0.967580531778522</v>
      </c>
      <c r="AG1021" s="133">
        <v>0.987959544068069</v>
      </c>
      <c r="AH1021" s="133">
        <v>0.985736694155834</v>
      </c>
      <c r="AI1021" s="135">
        <v>0.92</v>
      </c>
      <c r="AJ1021" s="133">
        <v>0.87658495350803</v>
      </c>
      <c r="AK1021" s="133">
        <v>0.911334552102377</v>
      </c>
      <c r="AL1021" s="133">
        <v>0.861694424330195</v>
      </c>
      <c r="AM1021" s="133">
        <v>0.912473261563278</v>
      </c>
      <c r="AN1021" s="132">
        <v>0.99</v>
      </c>
      <c r="AO1021" s="137">
        <v>1</v>
      </c>
      <c r="AP1021" s="137">
        <v>1</v>
      </c>
      <c r="AQ1021" s="137">
        <v>1</v>
      </c>
      <c r="AR1021" s="137">
        <v>1</v>
      </c>
      <c r="AS1021" s="158">
        <v>0.0656418488929858</v>
      </c>
      <c r="AT1021" s="141">
        <v>0</v>
      </c>
      <c r="AU1021" s="141">
        <v>0.0714285714285714</v>
      </c>
      <c r="AV1021" s="141">
        <v>0.0833333333333333</v>
      </c>
      <c r="AW1021" s="141">
        <v>0.0393700787401575</v>
      </c>
      <c r="AX1021" s="95"/>
      <c r="AY1021" s="93"/>
    </row>
    <row r="1022" ht="15" spans="1:51">
      <c r="A1022" s="91"/>
      <c r="B1022" s="95"/>
      <c r="C1022" s="180" t="s">
        <v>927</v>
      </c>
      <c r="D1022" s="181" t="s">
        <v>125</v>
      </c>
      <c r="E1022" s="130" t="s">
        <v>928</v>
      </c>
      <c r="F1022" s="184" t="s">
        <v>1051</v>
      </c>
      <c r="G1022" s="185" t="s">
        <v>1051</v>
      </c>
      <c r="H1022" s="185" t="s">
        <v>1051</v>
      </c>
      <c r="I1022" s="185" t="s">
        <v>1051</v>
      </c>
      <c r="J1022" s="132">
        <v>0.9</v>
      </c>
      <c r="K1022" s="133" t="s">
        <v>35</v>
      </c>
      <c r="L1022" s="133" t="s">
        <v>35</v>
      </c>
      <c r="M1022" s="134" t="s">
        <v>35</v>
      </c>
      <c r="N1022" s="133" t="s">
        <v>35</v>
      </c>
      <c r="O1022" s="135">
        <v>0.9</v>
      </c>
      <c r="P1022" s="133">
        <v>1</v>
      </c>
      <c r="Q1022" s="133" t="s">
        <v>35</v>
      </c>
      <c r="R1022" s="133" t="s">
        <v>35</v>
      </c>
      <c r="S1022" s="133">
        <v>0.833333333333333</v>
      </c>
      <c r="T1022" s="135">
        <v>0.9</v>
      </c>
      <c r="U1022" s="133">
        <v>1</v>
      </c>
      <c r="V1022" s="133" t="s">
        <v>35</v>
      </c>
      <c r="W1022" s="133" t="s">
        <v>35</v>
      </c>
      <c r="X1022" s="133">
        <v>1</v>
      </c>
      <c r="Y1022" s="135">
        <v>0.92</v>
      </c>
      <c r="Z1022" s="135" t="s">
        <v>35</v>
      </c>
      <c r="AA1022" s="135" t="s">
        <v>35</v>
      </c>
      <c r="AB1022" s="135" t="s">
        <v>35</v>
      </c>
      <c r="AC1022" s="135">
        <v>0</v>
      </c>
      <c r="AD1022" s="135">
        <v>0.92</v>
      </c>
      <c r="AE1022" s="133">
        <v>1</v>
      </c>
      <c r="AF1022" s="133">
        <v>0.998305084745763</v>
      </c>
      <c r="AG1022" s="133">
        <v>0.991103202846975</v>
      </c>
      <c r="AH1022" s="133">
        <v>0.986185224712439</v>
      </c>
      <c r="AI1022" s="135">
        <v>0.92</v>
      </c>
      <c r="AJ1022" s="133">
        <v>1</v>
      </c>
      <c r="AK1022" s="133" t="s">
        <v>35</v>
      </c>
      <c r="AL1022" s="133" t="s">
        <v>35</v>
      </c>
      <c r="AM1022" s="133">
        <v>0.857142857142857</v>
      </c>
      <c r="AN1022" s="132">
        <v>0.99</v>
      </c>
      <c r="AO1022" s="137">
        <v>1</v>
      </c>
      <c r="AP1022" s="137">
        <v>1</v>
      </c>
      <c r="AQ1022" s="137">
        <v>1</v>
      </c>
      <c r="AR1022" s="137">
        <v>1</v>
      </c>
      <c r="AS1022" s="158">
        <v>0.0656418488929858</v>
      </c>
      <c r="AT1022" s="141" t="s">
        <v>35</v>
      </c>
      <c r="AU1022" s="141" t="s">
        <v>35</v>
      </c>
      <c r="AV1022" s="141" t="s">
        <v>35</v>
      </c>
      <c r="AW1022" s="141">
        <v>0.0645161290322581</v>
      </c>
      <c r="AX1022" s="95"/>
      <c r="AY1022" s="93"/>
    </row>
    <row r="1023" ht="15" spans="1:51">
      <c r="A1023" s="91"/>
      <c r="B1023" s="95"/>
      <c r="C1023" s="180" t="s">
        <v>927</v>
      </c>
      <c r="D1023" s="181" t="s">
        <v>125</v>
      </c>
      <c r="E1023" s="130" t="s">
        <v>928</v>
      </c>
      <c r="F1023" s="184" t="s">
        <v>1052</v>
      </c>
      <c r="G1023" s="185" t="s">
        <v>1052</v>
      </c>
      <c r="H1023" s="185" t="s">
        <v>1052</v>
      </c>
      <c r="I1023" s="185" t="s">
        <v>1052</v>
      </c>
      <c r="J1023" s="132">
        <v>0.9</v>
      </c>
      <c r="K1023" s="133" t="s">
        <v>35</v>
      </c>
      <c r="L1023" s="133" t="s">
        <v>35</v>
      </c>
      <c r="M1023" s="134" t="s">
        <v>35</v>
      </c>
      <c r="N1023" s="133" t="s">
        <v>35</v>
      </c>
      <c r="O1023" s="135">
        <v>0.9</v>
      </c>
      <c r="P1023" s="133" t="s">
        <v>35</v>
      </c>
      <c r="Q1023" s="133" t="s">
        <v>35</v>
      </c>
      <c r="R1023" s="133" t="s">
        <v>35</v>
      </c>
      <c r="S1023" s="133">
        <v>0</v>
      </c>
      <c r="T1023" s="135">
        <v>0.9</v>
      </c>
      <c r="U1023" s="133" t="s">
        <v>35</v>
      </c>
      <c r="V1023" s="133" t="s">
        <v>35</v>
      </c>
      <c r="W1023" s="133" t="s">
        <v>35</v>
      </c>
      <c r="X1023" s="133">
        <v>1</v>
      </c>
      <c r="Y1023" s="135">
        <v>0.92</v>
      </c>
      <c r="Z1023" s="135" t="s">
        <v>35</v>
      </c>
      <c r="AA1023" s="135" t="s">
        <v>35</v>
      </c>
      <c r="AB1023" s="135" t="s">
        <v>35</v>
      </c>
      <c r="AC1023" s="135" t="s">
        <v>35</v>
      </c>
      <c r="AD1023" s="135">
        <v>0.92</v>
      </c>
      <c r="AE1023" s="133">
        <v>0.998498498498498</v>
      </c>
      <c r="AF1023" s="133">
        <v>1</v>
      </c>
      <c r="AG1023" s="133">
        <v>1</v>
      </c>
      <c r="AH1023" s="133">
        <v>0.999451704285845</v>
      </c>
      <c r="AI1023" s="135">
        <v>0.92</v>
      </c>
      <c r="AJ1023" s="133" t="s">
        <v>35</v>
      </c>
      <c r="AK1023" s="133" t="s">
        <v>35</v>
      </c>
      <c r="AL1023" s="133" t="s">
        <v>35</v>
      </c>
      <c r="AM1023" s="133">
        <v>1</v>
      </c>
      <c r="AN1023" s="132">
        <v>0.99</v>
      </c>
      <c r="AO1023" s="137" t="s">
        <v>35</v>
      </c>
      <c r="AP1023" s="137">
        <v>1</v>
      </c>
      <c r="AQ1023" s="137" t="s">
        <v>35</v>
      </c>
      <c r="AR1023" s="137">
        <v>1</v>
      </c>
      <c r="AS1023" s="158">
        <v>0.0656418488929858</v>
      </c>
      <c r="AT1023" s="141" t="s">
        <v>35</v>
      </c>
      <c r="AU1023" s="141" t="s">
        <v>35</v>
      </c>
      <c r="AV1023" s="141" t="s">
        <v>35</v>
      </c>
      <c r="AW1023" s="141" t="s">
        <v>35</v>
      </c>
      <c r="AX1023" s="95"/>
      <c r="AY1023" s="93"/>
    </row>
    <row r="1024" ht="15" spans="1:51">
      <c r="A1024" s="91"/>
      <c r="B1024" s="95"/>
      <c r="C1024" s="180" t="s">
        <v>927</v>
      </c>
      <c r="D1024" s="181" t="s">
        <v>125</v>
      </c>
      <c r="E1024" s="130" t="s">
        <v>928</v>
      </c>
      <c r="F1024" s="184" t="s">
        <v>1053</v>
      </c>
      <c r="G1024" s="185" t="s">
        <v>1053</v>
      </c>
      <c r="H1024" s="185" t="s">
        <v>1053</v>
      </c>
      <c r="I1024" s="185" t="s">
        <v>1053</v>
      </c>
      <c r="J1024" s="132">
        <v>0.9</v>
      </c>
      <c r="K1024" s="133" t="s">
        <v>35</v>
      </c>
      <c r="L1024" s="133" t="s">
        <v>35</v>
      </c>
      <c r="M1024" s="134" t="s">
        <v>35</v>
      </c>
      <c r="N1024" s="133" t="s">
        <v>35</v>
      </c>
      <c r="O1024" s="135">
        <v>0.9</v>
      </c>
      <c r="P1024" s="133" t="s">
        <v>35</v>
      </c>
      <c r="Q1024" s="133" t="s">
        <v>35</v>
      </c>
      <c r="R1024" s="133" t="s">
        <v>35</v>
      </c>
      <c r="S1024" s="133">
        <v>0</v>
      </c>
      <c r="T1024" s="135">
        <v>0.9</v>
      </c>
      <c r="U1024" s="133" t="s">
        <v>35</v>
      </c>
      <c r="V1024" s="133" t="s">
        <v>35</v>
      </c>
      <c r="W1024" s="133" t="s">
        <v>35</v>
      </c>
      <c r="X1024" s="133">
        <v>1</v>
      </c>
      <c r="Y1024" s="135">
        <v>0.92</v>
      </c>
      <c r="Z1024" s="135" t="s">
        <v>35</v>
      </c>
      <c r="AA1024" s="135" t="s">
        <v>35</v>
      </c>
      <c r="AB1024" s="135" t="s">
        <v>35</v>
      </c>
      <c r="AC1024" s="135" t="s">
        <v>35</v>
      </c>
      <c r="AD1024" s="135">
        <v>0.92</v>
      </c>
      <c r="AE1024" s="133">
        <v>1</v>
      </c>
      <c r="AF1024" s="133">
        <v>1</v>
      </c>
      <c r="AG1024" s="133">
        <v>1</v>
      </c>
      <c r="AH1024" s="133">
        <v>0.999889496657274</v>
      </c>
      <c r="AI1024" s="135">
        <v>0.92</v>
      </c>
      <c r="AJ1024" s="133" t="s">
        <v>35</v>
      </c>
      <c r="AK1024" s="133" t="s">
        <v>35</v>
      </c>
      <c r="AL1024" s="133" t="s">
        <v>35</v>
      </c>
      <c r="AM1024" s="133">
        <v>1</v>
      </c>
      <c r="AN1024" s="132">
        <v>0.99</v>
      </c>
      <c r="AO1024" s="137">
        <v>1</v>
      </c>
      <c r="AP1024" s="137">
        <v>1</v>
      </c>
      <c r="AQ1024" s="137">
        <v>1</v>
      </c>
      <c r="AR1024" s="137">
        <v>1</v>
      </c>
      <c r="AS1024" s="158">
        <v>0.0656418488929858</v>
      </c>
      <c r="AT1024" s="141" t="s">
        <v>35</v>
      </c>
      <c r="AU1024" s="141" t="s">
        <v>35</v>
      </c>
      <c r="AV1024" s="141" t="s">
        <v>35</v>
      </c>
      <c r="AW1024" s="141" t="s">
        <v>35</v>
      </c>
      <c r="AX1024" s="95"/>
      <c r="AY1024" s="93"/>
    </row>
    <row r="1025" ht="15" spans="1:51">
      <c r="A1025" s="91"/>
      <c r="B1025" s="95"/>
      <c r="C1025" s="180" t="s">
        <v>927</v>
      </c>
      <c r="D1025" s="181" t="s">
        <v>125</v>
      </c>
      <c r="E1025" s="130" t="s">
        <v>928</v>
      </c>
      <c r="F1025" s="186" t="s">
        <v>1054</v>
      </c>
      <c r="G1025" s="187" t="s">
        <v>1054</v>
      </c>
      <c r="H1025" s="187" t="s">
        <v>1054</v>
      </c>
      <c r="I1025" s="187" t="s">
        <v>1054</v>
      </c>
      <c r="J1025" s="132">
        <v>0.9</v>
      </c>
      <c r="K1025" s="133" t="s">
        <v>35</v>
      </c>
      <c r="L1025" s="133" t="s">
        <v>35</v>
      </c>
      <c r="M1025" s="134" t="s">
        <v>35</v>
      </c>
      <c r="N1025" s="133" t="s">
        <v>35</v>
      </c>
      <c r="O1025" s="135">
        <v>0.9</v>
      </c>
      <c r="P1025" s="133">
        <v>0</v>
      </c>
      <c r="Q1025" s="133" t="s">
        <v>35</v>
      </c>
      <c r="R1025" s="133" t="s">
        <v>35</v>
      </c>
      <c r="S1025" s="133">
        <v>0</v>
      </c>
      <c r="T1025" s="135">
        <v>0.9</v>
      </c>
      <c r="U1025" s="133">
        <v>1</v>
      </c>
      <c r="V1025" s="133" t="s">
        <v>35</v>
      </c>
      <c r="W1025" s="133" t="s">
        <v>35</v>
      </c>
      <c r="X1025" s="133">
        <v>1</v>
      </c>
      <c r="Y1025" s="135">
        <v>0.92</v>
      </c>
      <c r="Z1025" s="135" t="s">
        <v>35</v>
      </c>
      <c r="AA1025" s="135" t="s">
        <v>35</v>
      </c>
      <c r="AB1025" s="135" t="s">
        <v>35</v>
      </c>
      <c r="AC1025" s="135" t="s">
        <v>35</v>
      </c>
      <c r="AD1025" s="135">
        <v>0.92</v>
      </c>
      <c r="AE1025" s="133">
        <v>1</v>
      </c>
      <c r="AF1025" s="133">
        <v>1</v>
      </c>
      <c r="AG1025" s="133">
        <v>1</v>
      </c>
      <c r="AH1025" s="133">
        <v>0.99988321849819</v>
      </c>
      <c r="AI1025" s="135">
        <v>0.92</v>
      </c>
      <c r="AJ1025" s="133">
        <v>1</v>
      </c>
      <c r="AK1025" s="133" t="s">
        <v>35</v>
      </c>
      <c r="AL1025" s="133" t="s">
        <v>35</v>
      </c>
      <c r="AM1025" s="133">
        <v>1</v>
      </c>
      <c r="AN1025" s="132">
        <v>0.99</v>
      </c>
      <c r="AO1025" s="137" t="s">
        <v>35</v>
      </c>
      <c r="AP1025" s="137" t="s">
        <v>35</v>
      </c>
      <c r="AQ1025" s="137" t="s">
        <v>35</v>
      </c>
      <c r="AR1025" s="137">
        <v>1</v>
      </c>
      <c r="AS1025" s="158">
        <v>0.0656418488929858</v>
      </c>
      <c r="AT1025" s="141" t="s">
        <v>35</v>
      </c>
      <c r="AU1025" s="141" t="s">
        <v>35</v>
      </c>
      <c r="AV1025" s="141" t="s">
        <v>35</v>
      </c>
      <c r="AW1025" s="141" t="s">
        <v>35</v>
      </c>
      <c r="AX1025" s="95"/>
      <c r="AY1025" s="93"/>
    </row>
    <row r="1026" ht="15" spans="1:51">
      <c r="A1026" s="91"/>
      <c r="B1026" s="95"/>
      <c r="C1026" s="180" t="s">
        <v>927</v>
      </c>
      <c r="D1026" s="181" t="s">
        <v>25</v>
      </c>
      <c r="E1026" s="130" t="s">
        <v>928</v>
      </c>
      <c r="F1026" s="186" t="s">
        <v>1055</v>
      </c>
      <c r="G1026" s="187" t="s">
        <v>1055</v>
      </c>
      <c r="H1026" s="187" t="s">
        <v>1055</v>
      </c>
      <c r="I1026" s="187" t="s">
        <v>1055</v>
      </c>
      <c r="J1026" s="132">
        <v>0.9</v>
      </c>
      <c r="K1026" s="133">
        <v>1</v>
      </c>
      <c r="L1026" s="133">
        <v>0.9375</v>
      </c>
      <c r="M1026" s="134">
        <v>0.80952380952381</v>
      </c>
      <c r="N1026" s="133">
        <v>0.912328767123288</v>
      </c>
      <c r="O1026" s="135">
        <v>0.9</v>
      </c>
      <c r="P1026" s="133">
        <v>0.973626373626374</v>
      </c>
      <c r="Q1026" s="133">
        <v>0.965645311049211</v>
      </c>
      <c r="R1026" s="133">
        <v>0.97885032537961</v>
      </c>
      <c r="S1026" s="133">
        <v>0.959608771633125</v>
      </c>
      <c r="T1026" s="135">
        <v>0.9</v>
      </c>
      <c r="U1026" s="133">
        <v>0.890842490842491</v>
      </c>
      <c r="V1026" s="133">
        <v>0.901578458681523</v>
      </c>
      <c r="W1026" s="133">
        <v>0.816160520607375</v>
      </c>
      <c r="X1026" s="133">
        <v>0.864874006426518</v>
      </c>
      <c r="Y1026" s="135">
        <v>0.92</v>
      </c>
      <c r="Z1026" s="135">
        <v>0.920303605313093</v>
      </c>
      <c r="AA1026" s="135">
        <v>0.963793103448276</v>
      </c>
      <c r="AB1026" s="135">
        <v>0.924242424242424</v>
      </c>
      <c r="AC1026" s="135">
        <v>0.905964099594673</v>
      </c>
      <c r="AD1026" s="135">
        <v>0.92</v>
      </c>
      <c r="AE1026" s="133">
        <v>0.981440490379704</v>
      </c>
      <c r="AF1026" s="133">
        <v>0.987194702979574</v>
      </c>
      <c r="AG1026" s="133">
        <v>0.992580601645757</v>
      </c>
      <c r="AH1026" s="133">
        <v>0.983230944166534</v>
      </c>
      <c r="AI1026" s="135">
        <v>0.92</v>
      </c>
      <c r="AJ1026" s="133">
        <v>0.935058078141499</v>
      </c>
      <c r="AK1026" s="133">
        <v>0.956574185765983</v>
      </c>
      <c r="AL1026" s="133">
        <v>0.881878557874763</v>
      </c>
      <c r="AM1026" s="133">
        <v>0.929265695448263</v>
      </c>
      <c r="AN1026" s="132">
        <v>0.99</v>
      </c>
      <c r="AO1026" s="137">
        <v>1</v>
      </c>
      <c r="AP1026" s="137">
        <v>1</v>
      </c>
      <c r="AQ1026" s="137">
        <v>1</v>
      </c>
      <c r="AR1026" s="137">
        <v>1</v>
      </c>
      <c r="AS1026" s="158">
        <v>0.0656418488929858</v>
      </c>
      <c r="AT1026" s="141">
        <v>0.0526315789473684</v>
      </c>
      <c r="AU1026" s="141">
        <v>0.0714285714285714</v>
      </c>
      <c r="AV1026" s="141">
        <v>0.0555555555555556</v>
      </c>
      <c r="AW1026" s="141">
        <v>0.0601719197707736</v>
      </c>
      <c r="AX1026" s="95"/>
      <c r="AY1026" s="93"/>
    </row>
    <row r="1027" ht="15" spans="1:51">
      <c r="A1027" s="91"/>
      <c r="B1027" s="95"/>
      <c r="C1027" s="180" t="s">
        <v>927</v>
      </c>
      <c r="D1027" s="181" t="s">
        <v>25</v>
      </c>
      <c r="E1027" s="130" t="s">
        <v>928</v>
      </c>
      <c r="F1027" s="184" t="s">
        <v>1056</v>
      </c>
      <c r="G1027" s="185" t="s">
        <v>1056</v>
      </c>
      <c r="H1027" s="185" t="s">
        <v>1056</v>
      </c>
      <c r="I1027" s="185" t="s">
        <v>1056</v>
      </c>
      <c r="J1027" s="132">
        <v>0.9</v>
      </c>
      <c r="K1027" s="133">
        <v>1</v>
      </c>
      <c r="L1027" s="133">
        <v>0.961538461538462</v>
      </c>
      <c r="M1027" s="134">
        <v>0.962962962962963</v>
      </c>
      <c r="N1027" s="133">
        <v>0.975044563279857</v>
      </c>
      <c r="O1027" s="135">
        <v>0.9</v>
      </c>
      <c r="P1027" s="133">
        <v>0.983070636310566</v>
      </c>
      <c r="Q1027" s="133">
        <v>0.974726775956284</v>
      </c>
      <c r="R1027" s="133">
        <v>0.980349344978166</v>
      </c>
      <c r="S1027" s="133">
        <v>0.979517351416035</v>
      </c>
      <c r="T1027" s="135">
        <v>0.9</v>
      </c>
      <c r="U1027" s="133">
        <v>0.941622883829539</v>
      </c>
      <c r="V1027" s="133">
        <v>0.935109289617486</v>
      </c>
      <c r="W1027" s="133">
        <v>0.912227074235808</v>
      </c>
      <c r="X1027" s="133">
        <v>0.922856003191065</v>
      </c>
      <c r="Y1027" s="135">
        <v>0.92</v>
      </c>
      <c r="Z1027" s="135">
        <v>0.941712204007286</v>
      </c>
      <c r="AA1027" s="135">
        <v>0.939209726443769</v>
      </c>
      <c r="AB1027" s="135">
        <v>0.912698412698413</v>
      </c>
      <c r="AC1027" s="135">
        <v>0.931410127093</v>
      </c>
      <c r="AD1027" s="135">
        <v>0.92</v>
      </c>
      <c r="AE1027" s="133">
        <v>0.998325425620988</v>
      </c>
      <c r="AF1027" s="133">
        <v>0.998556165174704</v>
      </c>
      <c r="AG1027" s="133">
        <v>0.99601593625498</v>
      </c>
      <c r="AH1027" s="133">
        <v>0.993377178155444</v>
      </c>
      <c r="AI1027" s="135">
        <v>0.92</v>
      </c>
      <c r="AJ1027" s="133">
        <v>0.965959328028294</v>
      </c>
      <c r="AK1027" s="133">
        <v>0.96711259754738</v>
      </c>
      <c r="AL1027" s="133">
        <v>0.945733385764845</v>
      </c>
      <c r="AM1027" s="133">
        <v>0.964795765504844</v>
      </c>
      <c r="AN1027" s="132">
        <v>0.99</v>
      </c>
      <c r="AO1027" s="137">
        <v>1</v>
      </c>
      <c r="AP1027" s="137">
        <v>1</v>
      </c>
      <c r="AQ1027" s="137">
        <v>1</v>
      </c>
      <c r="AR1027" s="137">
        <v>1</v>
      </c>
      <c r="AS1027" s="158">
        <v>0.0656418488929858</v>
      </c>
      <c r="AT1027" s="141">
        <v>0.0740740740740741</v>
      </c>
      <c r="AU1027" s="141">
        <v>0</v>
      </c>
      <c r="AV1027" s="141">
        <v>0.0555555555555556</v>
      </c>
      <c r="AW1027" s="141">
        <v>0.0297029702970297</v>
      </c>
      <c r="AX1027" s="95"/>
      <c r="AY1027" s="93"/>
    </row>
    <row r="1028" ht="15" spans="1:51">
      <c r="A1028" s="91"/>
      <c r="B1028" s="95"/>
      <c r="C1028" s="180" t="s">
        <v>927</v>
      </c>
      <c r="D1028" s="181" t="s">
        <v>25</v>
      </c>
      <c r="E1028" s="130" t="s">
        <v>928</v>
      </c>
      <c r="F1028" s="184" t="s">
        <v>1057</v>
      </c>
      <c r="G1028" s="185" t="s">
        <v>1057</v>
      </c>
      <c r="H1028" s="185" t="s">
        <v>1057</v>
      </c>
      <c r="I1028" s="185" t="s">
        <v>1057</v>
      </c>
      <c r="J1028" s="132">
        <v>0.9</v>
      </c>
      <c r="K1028" s="133">
        <v>0.925925925925926</v>
      </c>
      <c r="L1028" s="133">
        <v>0.769230769230769</v>
      </c>
      <c r="M1028" s="134">
        <v>0.846153846153846</v>
      </c>
      <c r="N1028" s="133">
        <v>0.825462012320329</v>
      </c>
      <c r="O1028" s="135">
        <v>0.9</v>
      </c>
      <c r="P1028" s="133">
        <v>0.725858123569794</v>
      </c>
      <c r="Q1028" s="133">
        <v>0.528089887640449</v>
      </c>
      <c r="R1028" s="133">
        <v>0.425581395348837</v>
      </c>
      <c r="S1028" s="133">
        <v>0.411905454780612</v>
      </c>
      <c r="T1028" s="135">
        <v>0.9</v>
      </c>
      <c r="U1028" s="133">
        <v>0.752402745995423</v>
      </c>
      <c r="V1028" s="133">
        <v>0.69050051072523</v>
      </c>
      <c r="W1028" s="133">
        <v>0.552159468438538</v>
      </c>
      <c r="X1028" s="133">
        <v>0.547175607074724</v>
      </c>
      <c r="Y1028" s="135">
        <v>0.92</v>
      </c>
      <c r="Z1028" s="135">
        <v>0.650997150997151</v>
      </c>
      <c r="AA1028" s="135">
        <v>0.779291553133515</v>
      </c>
      <c r="AB1028" s="135">
        <v>0.682888540031397</v>
      </c>
      <c r="AC1028" s="135">
        <v>0.615444557001481</v>
      </c>
      <c r="AD1028" s="135">
        <v>0.92</v>
      </c>
      <c r="AE1028" s="133">
        <v>0.996279208215508</v>
      </c>
      <c r="AF1028" s="133">
        <v>0.989298293145489</v>
      </c>
      <c r="AG1028" s="133">
        <v>0.997290497387265</v>
      </c>
      <c r="AH1028" s="133">
        <v>0.981766892712362</v>
      </c>
      <c r="AI1028" s="135">
        <v>0.92</v>
      </c>
      <c r="AJ1028" s="133">
        <v>0.815789473684211</v>
      </c>
      <c r="AK1028" s="133">
        <v>0.832258064516129</v>
      </c>
      <c r="AL1028" s="133">
        <v>0.770833333333333</v>
      </c>
      <c r="AM1028" s="133">
        <v>0.793467639381568</v>
      </c>
      <c r="AN1028" s="132">
        <v>0.99</v>
      </c>
      <c r="AO1028" s="137">
        <v>1</v>
      </c>
      <c r="AP1028" s="137">
        <v>1</v>
      </c>
      <c r="AQ1028" s="137">
        <v>1</v>
      </c>
      <c r="AR1028" s="137">
        <v>1</v>
      </c>
      <c r="AS1028" s="158">
        <v>0.0656418488929858</v>
      </c>
      <c r="AT1028" s="141">
        <v>0</v>
      </c>
      <c r="AU1028" s="141">
        <v>0.1</v>
      </c>
      <c r="AV1028" s="141">
        <v>0.0625</v>
      </c>
      <c r="AW1028" s="141">
        <v>0.0446735395189003</v>
      </c>
      <c r="AX1028" s="95"/>
      <c r="AY1028" s="93"/>
    </row>
    <row r="1029" ht="15" spans="1:51">
      <c r="A1029" s="91"/>
      <c r="B1029" s="95"/>
      <c r="C1029" s="180" t="s">
        <v>927</v>
      </c>
      <c r="D1029" s="181" t="s">
        <v>25</v>
      </c>
      <c r="E1029" s="130" t="s">
        <v>928</v>
      </c>
      <c r="F1029" s="184" t="s">
        <v>1058</v>
      </c>
      <c r="G1029" s="185" t="s">
        <v>1058</v>
      </c>
      <c r="H1029" s="185" t="s">
        <v>1058</v>
      </c>
      <c r="I1029" s="185" t="s">
        <v>1058</v>
      </c>
      <c r="J1029" s="132">
        <v>0.9</v>
      </c>
      <c r="K1029" s="133">
        <v>0.931034482758621</v>
      </c>
      <c r="L1029" s="133">
        <v>0.88</v>
      </c>
      <c r="M1029" s="134">
        <v>0.884615384615385</v>
      </c>
      <c r="N1029" s="133">
        <v>0.92741935483871</v>
      </c>
      <c r="O1029" s="135">
        <v>0.9</v>
      </c>
      <c r="P1029" s="133">
        <v>0.980815347721823</v>
      </c>
      <c r="Q1029" s="133">
        <v>0.947513812154696</v>
      </c>
      <c r="R1029" s="133">
        <v>0.948290598290598</v>
      </c>
      <c r="S1029" s="133">
        <v>0.900412868739653</v>
      </c>
      <c r="T1029" s="135">
        <v>0.9</v>
      </c>
      <c r="U1029" s="133">
        <v>0.924460431654676</v>
      </c>
      <c r="V1029" s="133">
        <v>0.895718232044199</v>
      </c>
      <c r="W1029" s="133">
        <v>0.899145299145299</v>
      </c>
      <c r="X1029" s="133">
        <v>0.860063426212179</v>
      </c>
      <c r="Y1029" s="135">
        <v>0.92</v>
      </c>
      <c r="Z1029" s="135">
        <v>0.904135338345865</v>
      </c>
      <c r="AA1029" s="135">
        <v>0.890909090909091</v>
      </c>
      <c r="AB1029" s="135">
        <v>0.69047619047619</v>
      </c>
      <c r="AC1029" s="135">
        <v>0.864256548152574</v>
      </c>
      <c r="AD1029" s="135">
        <v>0.92</v>
      </c>
      <c r="AE1029" s="133">
        <v>0.999401018268943</v>
      </c>
      <c r="AF1029" s="133">
        <v>0.998672331386086</v>
      </c>
      <c r="AG1029" s="133">
        <v>0.995955510616785</v>
      </c>
      <c r="AH1029" s="133">
        <v>0.996738095609695</v>
      </c>
      <c r="AI1029" s="135">
        <v>0.92</v>
      </c>
      <c r="AJ1029" s="133">
        <v>0.956818181818182</v>
      </c>
      <c r="AK1029" s="133">
        <v>0.954443194600675</v>
      </c>
      <c r="AL1029" s="133">
        <v>0.920169687620517</v>
      </c>
      <c r="AM1029" s="133">
        <v>0.950186923652073</v>
      </c>
      <c r="AN1029" s="132">
        <v>0.99</v>
      </c>
      <c r="AO1029" s="137">
        <v>1</v>
      </c>
      <c r="AP1029" s="137">
        <v>1</v>
      </c>
      <c r="AQ1029" s="137">
        <v>1</v>
      </c>
      <c r="AR1029" s="137">
        <v>1</v>
      </c>
      <c r="AS1029" s="158">
        <v>0.0656418488929858</v>
      </c>
      <c r="AT1029" s="141">
        <v>0.0833333333333333</v>
      </c>
      <c r="AU1029" s="141">
        <v>0</v>
      </c>
      <c r="AV1029" s="141">
        <v>0</v>
      </c>
      <c r="AW1029" s="141">
        <v>0.0109289617486339</v>
      </c>
      <c r="AX1029" s="95"/>
      <c r="AY1029" s="93"/>
    </row>
    <row r="1030" ht="15" spans="1:51">
      <c r="A1030" s="91"/>
      <c r="B1030" s="95"/>
      <c r="C1030" s="180" t="s">
        <v>927</v>
      </c>
      <c r="D1030" s="181" t="s">
        <v>25</v>
      </c>
      <c r="E1030" s="130" t="s">
        <v>928</v>
      </c>
      <c r="F1030" s="184" t="s">
        <v>1059</v>
      </c>
      <c r="G1030" s="185" t="s">
        <v>1059</v>
      </c>
      <c r="H1030" s="185" t="s">
        <v>1059</v>
      </c>
      <c r="I1030" s="185" t="s">
        <v>1059</v>
      </c>
      <c r="J1030" s="132">
        <v>0.9</v>
      </c>
      <c r="K1030" s="133">
        <v>1</v>
      </c>
      <c r="L1030" s="133">
        <v>1</v>
      </c>
      <c r="M1030" s="134">
        <v>1</v>
      </c>
      <c r="N1030" s="133">
        <v>0.968503937007874</v>
      </c>
      <c r="O1030" s="135">
        <v>0.9</v>
      </c>
      <c r="P1030" s="133">
        <v>0.95952023988006</v>
      </c>
      <c r="Q1030" s="133">
        <v>0.941285537700865</v>
      </c>
      <c r="R1030" s="133">
        <v>0.957081545064378</v>
      </c>
      <c r="S1030" s="133">
        <v>0.942224048768793</v>
      </c>
      <c r="T1030" s="135">
        <v>0.9</v>
      </c>
      <c r="U1030" s="133">
        <v>0.932033983008496</v>
      </c>
      <c r="V1030" s="133">
        <v>0.913473423980222</v>
      </c>
      <c r="W1030" s="133">
        <v>0.914878397711016</v>
      </c>
      <c r="X1030" s="133">
        <v>0.897445117983493</v>
      </c>
      <c r="Y1030" s="135">
        <v>0.92</v>
      </c>
      <c r="Z1030" s="135">
        <v>0.920583468395462</v>
      </c>
      <c r="AA1030" s="135">
        <v>0.903614457831325</v>
      </c>
      <c r="AB1030" s="135">
        <v>0.932673267326733</v>
      </c>
      <c r="AC1030" s="135">
        <v>0.931086901444135</v>
      </c>
      <c r="AD1030" s="135">
        <v>0.92</v>
      </c>
      <c r="AE1030" s="133">
        <v>1</v>
      </c>
      <c r="AF1030" s="133">
        <v>0.986232790988736</v>
      </c>
      <c r="AG1030" s="133">
        <v>1</v>
      </c>
      <c r="AH1030" s="133">
        <v>0.992505854800937</v>
      </c>
      <c r="AI1030" s="135">
        <v>0.92</v>
      </c>
      <c r="AJ1030" s="133">
        <v>0.966004583651642</v>
      </c>
      <c r="AK1030" s="133">
        <v>0.968934118907338</v>
      </c>
      <c r="AL1030" s="133">
        <v>0.973341411693426</v>
      </c>
      <c r="AM1030" s="133">
        <v>0.970915251341771</v>
      </c>
      <c r="AN1030" s="132">
        <v>0.99</v>
      </c>
      <c r="AO1030" s="137">
        <v>1</v>
      </c>
      <c r="AP1030" s="137">
        <v>1</v>
      </c>
      <c r="AQ1030" s="137">
        <v>1</v>
      </c>
      <c r="AR1030" s="137">
        <v>1</v>
      </c>
      <c r="AS1030" s="158">
        <v>0.0656418488929858</v>
      </c>
      <c r="AT1030" s="141">
        <v>0.0769230769230769</v>
      </c>
      <c r="AU1030" s="141">
        <v>0.0769230769230769</v>
      </c>
      <c r="AV1030" s="141">
        <v>0.285714285714286</v>
      </c>
      <c r="AW1030" s="141">
        <v>0.0528455284552846</v>
      </c>
      <c r="AX1030" s="95"/>
      <c r="AY1030" s="93"/>
    </row>
    <row r="1031" ht="15" spans="1:51">
      <c r="A1031" s="91"/>
      <c r="B1031" s="95"/>
      <c r="C1031" s="180" t="s">
        <v>927</v>
      </c>
      <c r="D1031" s="181" t="s">
        <v>25</v>
      </c>
      <c r="E1031" s="130" t="s">
        <v>928</v>
      </c>
      <c r="F1031" s="184" t="s">
        <v>1060</v>
      </c>
      <c r="G1031" s="185" t="s">
        <v>1060</v>
      </c>
      <c r="H1031" s="185" t="s">
        <v>1060</v>
      </c>
      <c r="I1031" s="185" t="s">
        <v>1060</v>
      </c>
      <c r="J1031" s="132">
        <v>0.9</v>
      </c>
      <c r="K1031" s="133">
        <v>0.979591836734694</v>
      </c>
      <c r="L1031" s="133">
        <v>0.868421052631579</v>
      </c>
      <c r="M1031" s="134">
        <v>0.904761904761905</v>
      </c>
      <c r="N1031" s="133">
        <v>0.880195599022005</v>
      </c>
      <c r="O1031" s="135">
        <v>0.9</v>
      </c>
      <c r="P1031" s="133">
        <v>0.988294843403986</v>
      </c>
      <c r="Q1031" s="133">
        <v>0.985576923076923</v>
      </c>
      <c r="R1031" s="133">
        <v>0.970496200268216</v>
      </c>
      <c r="S1031" s="133">
        <v>0.972304072861951</v>
      </c>
      <c r="T1031" s="135">
        <v>0.9</v>
      </c>
      <c r="U1031" s="133">
        <v>0.967731730465043</v>
      </c>
      <c r="V1031" s="133">
        <v>0.955528846153846</v>
      </c>
      <c r="W1031" s="133">
        <v>0.96312025033527</v>
      </c>
      <c r="X1031" s="133">
        <v>0.944957547664248</v>
      </c>
      <c r="Y1031" s="135">
        <v>0.92</v>
      </c>
      <c r="Z1031" s="135">
        <v>1</v>
      </c>
      <c r="AA1031" s="135" t="s">
        <v>35</v>
      </c>
      <c r="AB1031" s="135" t="s">
        <v>35</v>
      </c>
      <c r="AC1031" s="135">
        <v>0.5</v>
      </c>
      <c r="AD1031" s="135">
        <v>0.92</v>
      </c>
      <c r="AE1031" s="133">
        <v>0.999177406087195</v>
      </c>
      <c r="AF1031" s="133">
        <v>0.999107541276216</v>
      </c>
      <c r="AG1031" s="133">
        <v>0.999626587005228</v>
      </c>
      <c r="AH1031" s="133">
        <v>0.995117150051768</v>
      </c>
      <c r="AI1031" s="135">
        <v>0.92</v>
      </c>
      <c r="AJ1031" s="133">
        <v>0.987677725118483</v>
      </c>
      <c r="AK1031" s="133">
        <v>0.9868</v>
      </c>
      <c r="AL1031" s="133">
        <v>0.991512173330355</v>
      </c>
      <c r="AM1031" s="133">
        <v>0.986858187151521</v>
      </c>
      <c r="AN1031" s="132">
        <v>0.99</v>
      </c>
      <c r="AO1031" s="137">
        <v>1</v>
      </c>
      <c r="AP1031" s="137">
        <v>1</v>
      </c>
      <c r="AQ1031" s="137">
        <v>1</v>
      </c>
      <c r="AR1031" s="137">
        <v>1</v>
      </c>
      <c r="AS1031" s="158">
        <v>0.0656418488929858</v>
      </c>
      <c r="AT1031" s="141">
        <v>0.0454545454545455</v>
      </c>
      <c r="AU1031" s="141">
        <v>0</v>
      </c>
      <c r="AV1031" s="141">
        <v>0</v>
      </c>
      <c r="AW1031" s="141">
        <v>0.0666666666666667</v>
      </c>
      <c r="AX1031" s="95"/>
      <c r="AY1031" s="93"/>
    </row>
    <row r="1032" ht="15" spans="1:51">
      <c r="A1032" s="91"/>
      <c r="B1032" s="95"/>
      <c r="C1032" s="180" t="s">
        <v>927</v>
      </c>
      <c r="D1032" s="181" t="s">
        <v>25</v>
      </c>
      <c r="E1032" s="130" t="s">
        <v>928</v>
      </c>
      <c r="F1032" s="184" t="s">
        <v>1061</v>
      </c>
      <c r="G1032" s="185" t="s">
        <v>1061</v>
      </c>
      <c r="H1032" s="185" t="s">
        <v>1061</v>
      </c>
      <c r="I1032" s="185" t="s">
        <v>1061</v>
      </c>
      <c r="J1032" s="132">
        <v>0.9</v>
      </c>
      <c r="K1032" s="133">
        <v>0.947368421052632</v>
      </c>
      <c r="L1032" s="133">
        <v>0.878787878787879</v>
      </c>
      <c r="M1032" s="134">
        <v>0.971428571428571</v>
      </c>
      <c r="N1032" s="133">
        <v>0.893292682926829</v>
      </c>
      <c r="O1032" s="135">
        <v>0.9</v>
      </c>
      <c r="P1032" s="133">
        <v>0.90125885129819</v>
      </c>
      <c r="Q1032" s="133">
        <v>0.923039215686275</v>
      </c>
      <c r="R1032" s="133">
        <v>0.92499323043596</v>
      </c>
      <c r="S1032" s="133">
        <v>0.909663630776108</v>
      </c>
      <c r="T1032" s="135">
        <v>0.9</v>
      </c>
      <c r="U1032" s="133">
        <v>0.903225806451613</v>
      </c>
      <c r="V1032" s="133">
        <v>0.876470588235294</v>
      </c>
      <c r="W1032" s="133">
        <v>0.862713241267262</v>
      </c>
      <c r="X1032" s="133">
        <v>0.8116444096776</v>
      </c>
      <c r="Y1032" s="135">
        <v>0.92</v>
      </c>
      <c r="Z1032" s="135" t="s">
        <v>35</v>
      </c>
      <c r="AA1032" s="135">
        <v>0</v>
      </c>
      <c r="AB1032" s="135" t="s">
        <v>35</v>
      </c>
      <c r="AC1032" s="135">
        <v>0</v>
      </c>
      <c r="AD1032" s="135">
        <v>0.92</v>
      </c>
      <c r="AE1032" s="133">
        <v>0.999691167387276</v>
      </c>
      <c r="AF1032" s="133">
        <v>0.998534261634298</v>
      </c>
      <c r="AG1032" s="133">
        <v>0.998583569405099</v>
      </c>
      <c r="AH1032" s="133">
        <v>0.993662792884276</v>
      </c>
      <c r="AI1032" s="135">
        <v>0.92</v>
      </c>
      <c r="AJ1032" s="133">
        <v>0.967754620526937</v>
      </c>
      <c r="AK1032" s="133">
        <v>0.962763351298383</v>
      </c>
      <c r="AL1032" s="133">
        <v>0.961819658813972</v>
      </c>
      <c r="AM1032" s="133">
        <v>0.96</v>
      </c>
      <c r="AN1032" s="132">
        <v>0.99</v>
      </c>
      <c r="AO1032" s="137">
        <v>1</v>
      </c>
      <c r="AP1032" s="137">
        <v>1</v>
      </c>
      <c r="AQ1032" s="137">
        <v>1</v>
      </c>
      <c r="AR1032" s="137">
        <v>1</v>
      </c>
      <c r="AS1032" s="158">
        <v>0.0656418488929858</v>
      </c>
      <c r="AT1032" s="141">
        <v>0.142857142857143</v>
      </c>
      <c r="AU1032" s="141">
        <v>0</v>
      </c>
      <c r="AV1032" s="141">
        <v>0</v>
      </c>
      <c r="AW1032" s="141">
        <v>0.0262172284644195</v>
      </c>
      <c r="AX1032" s="95"/>
      <c r="AY1032" s="93"/>
    </row>
    <row r="1033" ht="15" spans="1:51">
      <c r="A1033" s="91"/>
      <c r="B1033" s="95"/>
      <c r="C1033" s="180" t="s">
        <v>927</v>
      </c>
      <c r="D1033" s="181" t="s">
        <v>25</v>
      </c>
      <c r="E1033" s="130" t="s">
        <v>928</v>
      </c>
      <c r="F1033" s="188" t="s">
        <v>1062</v>
      </c>
      <c r="G1033" s="189" t="s">
        <v>1062</v>
      </c>
      <c r="H1033" s="189" t="s">
        <v>1062</v>
      </c>
      <c r="I1033" s="189" t="s">
        <v>1062</v>
      </c>
      <c r="J1033" s="132">
        <v>0.9</v>
      </c>
      <c r="K1033" s="133">
        <v>0.961538461538462</v>
      </c>
      <c r="L1033" s="133">
        <v>0.863636363636364</v>
      </c>
      <c r="M1033" s="134">
        <v>0.904761904761905</v>
      </c>
      <c r="N1033" s="133">
        <v>0.940503432494279</v>
      </c>
      <c r="O1033" s="135">
        <v>0.9</v>
      </c>
      <c r="P1033" s="133">
        <v>0.964771322620519</v>
      </c>
      <c r="Q1033" s="133">
        <v>0.923301680058437</v>
      </c>
      <c r="R1033" s="133">
        <v>0.945039590125757</v>
      </c>
      <c r="S1033" s="133">
        <v>0.946567329860815</v>
      </c>
      <c r="T1033" s="135">
        <v>0.9</v>
      </c>
      <c r="U1033" s="133">
        <v>0.933250927070457</v>
      </c>
      <c r="V1033" s="133">
        <v>0.89627465303141</v>
      </c>
      <c r="W1033" s="133">
        <v>0.893339543549138</v>
      </c>
      <c r="X1033" s="133">
        <v>0.896101955426522</v>
      </c>
      <c r="Y1033" s="135">
        <v>0.92</v>
      </c>
      <c r="Z1033" s="135">
        <v>0.952548330404218</v>
      </c>
      <c r="AA1033" s="135">
        <v>0.952015355086372</v>
      </c>
      <c r="AB1033" s="135">
        <v>0.895622895622896</v>
      </c>
      <c r="AC1033" s="135">
        <v>0.905861456483126</v>
      </c>
      <c r="AD1033" s="135">
        <v>0.92</v>
      </c>
      <c r="AE1033" s="133">
        <v>0.996358183376178</v>
      </c>
      <c r="AF1033" s="133">
        <v>0.982285562067128</v>
      </c>
      <c r="AG1033" s="133">
        <v>0.850645054581541</v>
      </c>
      <c r="AH1033" s="133">
        <v>0.935026596485365</v>
      </c>
      <c r="AI1033" s="135">
        <v>0.92</v>
      </c>
      <c r="AJ1033" s="133">
        <v>0.970319634703196</v>
      </c>
      <c r="AK1033" s="133">
        <v>0.953992596509783</v>
      </c>
      <c r="AL1033" s="133">
        <v>0.945990180032733</v>
      </c>
      <c r="AM1033" s="133">
        <v>0.957699528045336</v>
      </c>
      <c r="AN1033" s="132">
        <v>0.99</v>
      </c>
      <c r="AO1033" s="137">
        <v>1</v>
      </c>
      <c r="AP1033" s="137">
        <v>1</v>
      </c>
      <c r="AQ1033" s="137">
        <v>1</v>
      </c>
      <c r="AR1033" s="137">
        <v>1</v>
      </c>
      <c r="AS1033" s="158">
        <v>0.0656418488929858</v>
      </c>
      <c r="AT1033" s="141">
        <v>0</v>
      </c>
      <c r="AU1033" s="141">
        <v>0</v>
      </c>
      <c r="AV1033" s="141">
        <v>0.125</v>
      </c>
      <c r="AW1033" s="141">
        <v>0.0119760479041916</v>
      </c>
      <c r="AX1033" s="95"/>
      <c r="AY1033" s="93"/>
    </row>
    <row r="1034" ht="15" spans="1:51">
      <c r="A1034" s="91"/>
      <c r="B1034" s="95"/>
      <c r="C1034" s="180" t="s">
        <v>927</v>
      </c>
      <c r="D1034" s="181" t="s">
        <v>25</v>
      </c>
      <c r="E1034" s="130" t="s">
        <v>928</v>
      </c>
      <c r="F1034" s="184" t="s">
        <v>1063</v>
      </c>
      <c r="G1034" s="185" t="s">
        <v>1063</v>
      </c>
      <c r="H1034" s="185" t="s">
        <v>1063</v>
      </c>
      <c r="I1034" s="185" t="s">
        <v>1063</v>
      </c>
      <c r="J1034" s="132">
        <v>0.9</v>
      </c>
      <c r="K1034" s="133">
        <v>0.976744186046512</v>
      </c>
      <c r="L1034" s="133">
        <v>0.945945945945946</v>
      </c>
      <c r="M1034" s="134">
        <v>0.971428571428571</v>
      </c>
      <c r="N1034" s="133">
        <v>0.969414893617021</v>
      </c>
      <c r="O1034" s="135">
        <v>0.9</v>
      </c>
      <c r="P1034" s="133">
        <v>0.978080120937264</v>
      </c>
      <c r="Q1034" s="133">
        <v>0.975350410826486</v>
      </c>
      <c r="R1034" s="133">
        <v>0.957206615909688</v>
      </c>
      <c r="S1034" s="133">
        <v>0.945265895069597</v>
      </c>
      <c r="T1034" s="135">
        <v>0.9</v>
      </c>
      <c r="U1034" s="133">
        <v>0.95275888133031</v>
      </c>
      <c r="V1034" s="133">
        <v>0.937651039149348</v>
      </c>
      <c r="W1034" s="133">
        <v>0.928590181149908</v>
      </c>
      <c r="X1034" s="133">
        <v>0.915375006373324</v>
      </c>
      <c r="Y1034" s="135">
        <v>0.92</v>
      </c>
      <c r="Z1034" s="135">
        <v>0</v>
      </c>
      <c r="AA1034" s="135">
        <v>0</v>
      </c>
      <c r="AB1034" s="135" t="s">
        <v>35</v>
      </c>
      <c r="AC1034" s="135">
        <v>0</v>
      </c>
      <c r="AD1034" s="135">
        <v>0.92</v>
      </c>
      <c r="AE1034" s="133">
        <v>0.999734536766658</v>
      </c>
      <c r="AF1034" s="133">
        <v>0.999512789281364</v>
      </c>
      <c r="AG1034" s="133">
        <v>0.998413957176844</v>
      </c>
      <c r="AH1034" s="133">
        <v>0.997328840929442</v>
      </c>
      <c r="AI1034" s="135">
        <v>0.92</v>
      </c>
      <c r="AJ1034" s="133">
        <v>0.977744247453791</v>
      </c>
      <c r="AK1034" s="133">
        <v>0.978271366489619</v>
      </c>
      <c r="AL1034" s="133">
        <v>0.968758204253085</v>
      </c>
      <c r="AM1034" s="133">
        <v>0.974095310907238</v>
      </c>
      <c r="AN1034" s="132">
        <v>0.99</v>
      </c>
      <c r="AO1034" s="137">
        <v>1</v>
      </c>
      <c r="AP1034" s="137">
        <v>1</v>
      </c>
      <c r="AQ1034" s="137">
        <v>1</v>
      </c>
      <c r="AR1034" s="137">
        <v>1</v>
      </c>
      <c r="AS1034" s="158">
        <v>0.0656418488929858</v>
      </c>
      <c r="AT1034" s="141">
        <v>0</v>
      </c>
      <c r="AU1034" s="141">
        <v>0</v>
      </c>
      <c r="AV1034" s="141">
        <v>0</v>
      </c>
      <c r="AW1034" s="141">
        <v>0.0247678018575851</v>
      </c>
      <c r="AX1034" s="95"/>
      <c r="AY1034" s="93"/>
    </row>
    <row r="1035" ht="15" spans="1:51">
      <c r="A1035" s="91"/>
      <c r="B1035" s="95"/>
      <c r="C1035" s="180" t="s">
        <v>927</v>
      </c>
      <c r="D1035" s="181" t="s">
        <v>125</v>
      </c>
      <c r="E1035" s="130" t="s">
        <v>928</v>
      </c>
      <c r="F1035" s="184" t="s">
        <v>1064</v>
      </c>
      <c r="G1035" s="185" t="s">
        <v>1064</v>
      </c>
      <c r="H1035" s="185" t="s">
        <v>1064</v>
      </c>
      <c r="I1035" s="185" t="s">
        <v>1064</v>
      </c>
      <c r="J1035" s="132">
        <v>0.9</v>
      </c>
      <c r="K1035" s="133" t="s">
        <v>35</v>
      </c>
      <c r="L1035" s="133" t="s">
        <v>35</v>
      </c>
      <c r="M1035" s="134" t="s">
        <v>35</v>
      </c>
      <c r="N1035" s="133" t="s">
        <v>35</v>
      </c>
      <c r="O1035" s="135">
        <v>0.9</v>
      </c>
      <c r="P1035" s="133" t="s">
        <v>35</v>
      </c>
      <c r="Q1035" s="133">
        <v>0</v>
      </c>
      <c r="R1035" s="133" t="s">
        <v>35</v>
      </c>
      <c r="S1035" s="133">
        <v>0.222222222222222</v>
      </c>
      <c r="T1035" s="135">
        <v>0.9</v>
      </c>
      <c r="U1035" s="133" t="s">
        <v>35</v>
      </c>
      <c r="V1035" s="133">
        <v>1</v>
      </c>
      <c r="W1035" s="133" t="s">
        <v>35</v>
      </c>
      <c r="X1035" s="133">
        <v>1</v>
      </c>
      <c r="Y1035" s="135">
        <v>0.92</v>
      </c>
      <c r="Z1035" s="135" t="s">
        <v>35</v>
      </c>
      <c r="AA1035" s="135" t="s">
        <v>35</v>
      </c>
      <c r="AB1035" s="135" t="s">
        <v>35</v>
      </c>
      <c r="AC1035" s="135" t="s">
        <v>35</v>
      </c>
      <c r="AD1035" s="135">
        <v>0.92</v>
      </c>
      <c r="AE1035" s="133">
        <v>1</v>
      </c>
      <c r="AF1035" s="133">
        <v>0.998754669987547</v>
      </c>
      <c r="AG1035" s="133">
        <v>1</v>
      </c>
      <c r="AH1035" s="133">
        <v>0.999413007748298</v>
      </c>
      <c r="AI1035" s="135">
        <v>0.92</v>
      </c>
      <c r="AJ1035" s="133">
        <v>1</v>
      </c>
      <c r="AK1035" s="133">
        <v>1</v>
      </c>
      <c r="AL1035" s="133" t="s">
        <v>35</v>
      </c>
      <c r="AM1035" s="133">
        <v>1</v>
      </c>
      <c r="AN1035" s="132">
        <v>0.99</v>
      </c>
      <c r="AO1035" s="137">
        <v>1</v>
      </c>
      <c r="AP1035" s="137">
        <v>1</v>
      </c>
      <c r="AQ1035" s="137" t="s">
        <v>35</v>
      </c>
      <c r="AR1035" s="137">
        <v>1</v>
      </c>
      <c r="AS1035" s="158">
        <v>0.0656418488929858</v>
      </c>
      <c r="AT1035" s="141" t="s">
        <v>35</v>
      </c>
      <c r="AU1035" s="141" t="s">
        <v>35</v>
      </c>
      <c r="AV1035" s="141" t="s">
        <v>35</v>
      </c>
      <c r="AW1035" s="141" t="s">
        <v>35</v>
      </c>
      <c r="AX1035" s="95"/>
      <c r="AY1035" s="93"/>
    </row>
    <row r="1036" ht="15" spans="1:51">
      <c r="A1036" s="91"/>
      <c r="B1036" s="95"/>
      <c r="C1036" s="180" t="s">
        <v>927</v>
      </c>
      <c r="D1036" s="181" t="s">
        <v>25</v>
      </c>
      <c r="E1036" s="130" t="s">
        <v>928</v>
      </c>
      <c r="F1036" s="184" t="s">
        <v>1065</v>
      </c>
      <c r="G1036" s="185" t="s">
        <v>1065</v>
      </c>
      <c r="H1036" s="185" t="s">
        <v>1065</v>
      </c>
      <c r="I1036" s="185" t="s">
        <v>1065</v>
      </c>
      <c r="J1036" s="132">
        <v>0.9</v>
      </c>
      <c r="K1036" s="133">
        <v>1</v>
      </c>
      <c r="L1036" s="133">
        <v>0.909090909090909</v>
      </c>
      <c r="M1036" s="134">
        <v>0.8</v>
      </c>
      <c r="N1036" s="133">
        <v>0.952153110047847</v>
      </c>
      <c r="O1036" s="135">
        <v>0.9</v>
      </c>
      <c r="P1036" s="133">
        <v>0.989917506874427</v>
      </c>
      <c r="Q1036" s="133">
        <v>0.990990990990991</v>
      </c>
      <c r="R1036" s="133">
        <v>0.993403693931398</v>
      </c>
      <c r="S1036" s="133">
        <v>0.992401433691756</v>
      </c>
      <c r="T1036" s="135">
        <v>0.9</v>
      </c>
      <c r="U1036" s="133">
        <v>0.952337305224565</v>
      </c>
      <c r="V1036" s="133">
        <v>0.969594594594595</v>
      </c>
      <c r="W1036" s="133">
        <v>0.946569920844327</v>
      </c>
      <c r="X1036" s="133">
        <v>0.932831541218638</v>
      </c>
      <c r="Y1036" s="135">
        <v>0.92</v>
      </c>
      <c r="Z1036" s="135">
        <v>0.914893617021277</v>
      </c>
      <c r="AA1036" s="135">
        <v>0.969620253164557</v>
      </c>
      <c r="AB1036" s="135">
        <v>0.965174129353234</v>
      </c>
      <c r="AC1036" s="135">
        <v>0.945410142220945</v>
      </c>
      <c r="AD1036" s="135">
        <v>0.92</v>
      </c>
      <c r="AE1036" s="133">
        <v>0.999783033195921</v>
      </c>
      <c r="AF1036" s="133">
        <v>0.999126468019024</v>
      </c>
      <c r="AG1036" s="133">
        <v>0.998478856099787</v>
      </c>
      <c r="AH1036" s="133">
        <v>0.998364393930349</v>
      </c>
      <c r="AI1036" s="135">
        <v>0.92</v>
      </c>
      <c r="AJ1036" s="133">
        <v>0.953764861294584</v>
      </c>
      <c r="AK1036" s="133">
        <v>0.973499610288387</v>
      </c>
      <c r="AL1036" s="133">
        <v>0.976703552708212</v>
      </c>
      <c r="AM1036" s="133">
        <v>0.971118822955803</v>
      </c>
      <c r="AN1036" s="132">
        <v>0.99</v>
      </c>
      <c r="AO1036" s="137">
        <v>1</v>
      </c>
      <c r="AP1036" s="137">
        <v>1</v>
      </c>
      <c r="AQ1036" s="137">
        <v>1</v>
      </c>
      <c r="AR1036" s="137">
        <v>1</v>
      </c>
      <c r="AS1036" s="158">
        <v>0.0656418488929858</v>
      </c>
      <c r="AT1036" s="141">
        <v>0.0416666666666667</v>
      </c>
      <c r="AU1036" s="141">
        <v>0</v>
      </c>
      <c r="AV1036" s="141">
        <v>0</v>
      </c>
      <c r="AW1036" s="141">
        <v>0.0286975717439294</v>
      </c>
      <c r="AX1036" s="95"/>
      <c r="AY1036" s="93"/>
    </row>
    <row r="1037" ht="15" spans="1:51">
      <c r="A1037" s="91"/>
      <c r="B1037" s="95"/>
      <c r="C1037" s="180" t="s">
        <v>927</v>
      </c>
      <c r="D1037" s="181" t="s">
        <v>25</v>
      </c>
      <c r="E1037" s="130" t="s">
        <v>928</v>
      </c>
      <c r="F1037" s="184" t="s">
        <v>1066</v>
      </c>
      <c r="G1037" s="185" t="s">
        <v>1066</v>
      </c>
      <c r="H1037" s="185" t="s">
        <v>1066</v>
      </c>
      <c r="I1037" s="185" t="s">
        <v>1066</v>
      </c>
      <c r="J1037" s="132">
        <v>0.9</v>
      </c>
      <c r="K1037" s="133">
        <v>0.9375</v>
      </c>
      <c r="L1037" s="133">
        <v>0.966666666666667</v>
      </c>
      <c r="M1037" s="134">
        <v>0.84375</v>
      </c>
      <c r="N1037" s="133">
        <v>0.91965811965812</v>
      </c>
      <c r="O1037" s="135">
        <v>0.9</v>
      </c>
      <c r="P1037" s="133">
        <v>0.952229299363057</v>
      </c>
      <c r="Q1037" s="133">
        <v>0.930909090909091</v>
      </c>
      <c r="R1037" s="133">
        <v>0.852477477477477</v>
      </c>
      <c r="S1037" s="133">
        <v>0.854256441432582</v>
      </c>
      <c r="T1037" s="135">
        <v>0.9</v>
      </c>
      <c r="U1037" s="133">
        <v>0.920382165605096</v>
      </c>
      <c r="V1037" s="133">
        <v>0.889090909090909</v>
      </c>
      <c r="W1037" s="133">
        <v>0.846096096096096</v>
      </c>
      <c r="X1037" s="133">
        <v>0.847998283476675</v>
      </c>
      <c r="Y1037" s="135">
        <v>0.92</v>
      </c>
      <c r="Z1037" s="135">
        <v>0.926241134751773</v>
      </c>
      <c r="AA1037" s="135">
        <v>0.946808510638298</v>
      </c>
      <c r="AB1037" s="135">
        <v>0.908011869436202</v>
      </c>
      <c r="AC1037" s="135">
        <v>0.894098179812466</v>
      </c>
      <c r="AD1037" s="135">
        <v>0.92</v>
      </c>
      <c r="AE1037" s="133">
        <v>0.793394000674082</v>
      </c>
      <c r="AF1037" s="133">
        <v>0.978706520301547</v>
      </c>
      <c r="AG1037" s="133">
        <v>0.994959677419355</v>
      </c>
      <c r="AH1037" s="133">
        <v>0.918878266411727</v>
      </c>
      <c r="AI1037" s="135">
        <v>0.92</v>
      </c>
      <c r="AJ1037" s="133">
        <v>0.958735055919784</v>
      </c>
      <c r="AK1037" s="133">
        <v>0.961278703286808</v>
      </c>
      <c r="AL1037" s="133">
        <v>0.955755156353959</v>
      </c>
      <c r="AM1037" s="133">
        <v>0.943557192563584</v>
      </c>
      <c r="AN1037" s="132">
        <v>0.99</v>
      </c>
      <c r="AO1037" s="137">
        <v>1</v>
      </c>
      <c r="AP1037" s="137">
        <v>1</v>
      </c>
      <c r="AQ1037" s="137">
        <v>1</v>
      </c>
      <c r="AR1037" s="137">
        <v>1</v>
      </c>
      <c r="AS1037" s="158">
        <v>0.0656418488929858</v>
      </c>
      <c r="AT1037" s="141">
        <v>0.0384615384615385</v>
      </c>
      <c r="AU1037" s="141">
        <v>0.04</v>
      </c>
      <c r="AV1037" s="141">
        <v>0</v>
      </c>
      <c r="AW1037" s="141">
        <v>0.0283553875236295</v>
      </c>
      <c r="AX1037" s="95"/>
      <c r="AY1037" s="93"/>
    </row>
    <row r="1038" ht="15" spans="1:51">
      <c r="A1038" s="91"/>
      <c r="B1038" s="95"/>
      <c r="C1038" s="180" t="s">
        <v>927</v>
      </c>
      <c r="D1038" s="181" t="s">
        <v>25</v>
      </c>
      <c r="E1038" s="130" t="s">
        <v>928</v>
      </c>
      <c r="F1038" s="184" t="s">
        <v>1067</v>
      </c>
      <c r="G1038" s="185" t="s">
        <v>1067</v>
      </c>
      <c r="H1038" s="185" t="s">
        <v>1067</v>
      </c>
      <c r="I1038" s="185" t="s">
        <v>1067</v>
      </c>
      <c r="J1038" s="132">
        <v>0.9</v>
      </c>
      <c r="K1038" s="133">
        <v>0.964285714285714</v>
      </c>
      <c r="L1038" s="133">
        <v>0.892857142857143</v>
      </c>
      <c r="M1038" s="134">
        <v>0.888888888888889</v>
      </c>
      <c r="N1038" s="133">
        <v>0.943907156673114</v>
      </c>
      <c r="O1038" s="135">
        <v>0.9</v>
      </c>
      <c r="P1038" s="133">
        <v>0.969750889679715</v>
      </c>
      <c r="Q1038" s="133">
        <v>0.966971187631764</v>
      </c>
      <c r="R1038" s="133">
        <v>0.921458625525947</v>
      </c>
      <c r="S1038" s="133">
        <v>0.936026285272516</v>
      </c>
      <c r="T1038" s="135">
        <v>0.9</v>
      </c>
      <c r="U1038" s="133">
        <v>0.930011862396204</v>
      </c>
      <c r="V1038" s="133">
        <v>0.927617709065355</v>
      </c>
      <c r="W1038" s="133">
        <v>0.93080878915381</v>
      </c>
      <c r="X1038" s="133">
        <v>0.868332044839582</v>
      </c>
      <c r="Y1038" s="135">
        <v>0.92</v>
      </c>
      <c r="Z1038" s="135">
        <v>0.949180327868852</v>
      </c>
      <c r="AA1038" s="135">
        <v>0.958466453674121</v>
      </c>
      <c r="AB1038" s="135">
        <v>0.914666666666667</v>
      </c>
      <c r="AC1038" s="135">
        <v>0.896317551410808</v>
      </c>
      <c r="AD1038" s="135">
        <v>0.92</v>
      </c>
      <c r="AE1038" s="133">
        <v>0.990633701797317</v>
      </c>
      <c r="AF1038" s="133">
        <v>0.983429991714996</v>
      </c>
      <c r="AG1038" s="133">
        <v>0.993870560663422</v>
      </c>
      <c r="AH1038" s="133">
        <v>0.976771143013205</v>
      </c>
      <c r="AI1038" s="135">
        <v>0.92</v>
      </c>
      <c r="AJ1038" s="133">
        <v>0.964301262516326</v>
      </c>
      <c r="AK1038" s="133">
        <v>0.961932650073206</v>
      </c>
      <c r="AL1038" s="133">
        <v>0.965393794749403</v>
      </c>
      <c r="AM1038" s="133">
        <v>0.950401110768281</v>
      </c>
      <c r="AN1038" s="132">
        <v>0.99</v>
      </c>
      <c r="AO1038" s="137">
        <v>1</v>
      </c>
      <c r="AP1038" s="137">
        <v>1</v>
      </c>
      <c r="AQ1038" s="137">
        <v>1</v>
      </c>
      <c r="AR1038" s="137">
        <v>1</v>
      </c>
      <c r="AS1038" s="158">
        <v>0.0656418488929858</v>
      </c>
      <c r="AT1038" s="141">
        <v>0</v>
      </c>
      <c r="AU1038" s="141">
        <v>0.0434782608695652</v>
      </c>
      <c r="AV1038" s="141">
        <v>0</v>
      </c>
      <c r="AW1038" s="141">
        <v>0.0138568129330254</v>
      </c>
      <c r="AX1038" s="95"/>
      <c r="AY1038" s="93"/>
    </row>
    <row r="1039" ht="15" spans="1:51">
      <c r="A1039" s="91"/>
      <c r="B1039" s="95"/>
      <c r="C1039" s="180" t="s">
        <v>927</v>
      </c>
      <c r="D1039" s="181" t="s">
        <v>125</v>
      </c>
      <c r="E1039" s="130" t="s">
        <v>928</v>
      </c>
      <c r="F1039" s="184" t="s">
        <v>1068</v>
      </c>
      <c r="G1039" s="185" t="s">
        <v>1068</v>
      </c>
      <c r="H1039" s="185" t="s">
        <v>1068</v>
      </c>
      <c r="I1039" s="185" t="s">
        <v>1068</v>
      </c>
      <c r="J1039" s="132">
        <v>0.9</v>
      </c>
      <c r="K1039" s="133" t="s">
        <v>35</v>
      </c>
      <c r="L1039" s="133" t="s">
        <v>35</v>
      </c>
      <c r="M1039" s="134" t="s">
        <v>35</v>
      </c>
      <c r="N1039" s="133" t="s">
        <v>35</v>
      </c>
      <c r="O1039" s="135">
        <v>0.9</v>
      </c>
      <c r="P1039" s="133" t="s">
        <v>35</v>
      </c>
      <c r="Q1039" s="133" t="s">
        <v>35</v>
      </c>
      <c r="R1039" s="133" t="s">
        <v>35</v>
      </c>
      <c r="S1039" s="133" t="s">
        <v>35</v>
      </c>
      <c r="T1039" s="135">
        <v>0.9</v>
      </c>
      <c r="U1039" s="133" t="s">
        <v>35</v>
      </c>
      <c r="V1039" s="133" t="s">
        <v>35</v>
      </c>
      <c r="W1039" s="133" t="s">
        <v>35</v>
      </c>
      <c r="X1039" s="133" t="s">
        <v>35</v>
      </c>
      <c r="Y1039" s="135">
        <v>0.92</v>
      </c>
      <c r="Z1039" s="135" t="s">
        <v>35</v>
      </c>
      <c r="AA1039" s="135" t="s">
        <v>35</v>
      </c>
      <c r="AB1039" s="135" t="s">
        <v>35</v>
      </c>
      <c r="AC1039" s="135" t="s">
        <v>35</v>
      </c>
      <c r="AD1039" s="135">
        <v>0.92</v>
      </c>
      <c r="AE1039" s="133">
        <v>0.992167101827676</v>
      </c>
      <c r="AF1039" s="133">
        <v>0.991573033707865</v>
      </c>
      <c r="AG1039" s="133">
        <v>1</v>
      </c>
      <c r="AH1039" s="133">
        <v>0.997147871873629</v>
      </c>
      <c r="AI1039" s="135">
        <v>0.92</v>
      </c>
      <c r="AJ1039" s="133" t="s">
        <v>35</v>
      </c>
      <c r="AK1039" s="133" t="s">
        <v>35</v>
      </c>
      <c r="AL1039" s="133" t="s">
        <v>35</v>
      </c>
      <c r="AM1039" s="133" t="s">
        <v>35</v>
      </c>
      <c r="AN1039" s="132">
        <v>0.99</v>
      </c>
      <c r="AO1039" s="137" t="s">
        <v>35</v>
      </c>
      <c r="AP1039" s="137" t="s">
        <v>35</v>
      </c>
      <c r="AQ1039" s="137" t="s">
        <v>35</v>
      </c>
      <c r="AR1039" s="137">
        <v>1</v>
      </c>
      <c r="AS1039" s="158">
        <v>0.0656418488929858</v>
      </c>
      <c r="AT1039" s="141" t="s">
        <v>35</v>
      </c>
      <c r="AU1039" s="141" t="s">
        <v>35</v>
      </c>
      <c r="AV1039" s="141" t="s">
        <v>35</v>
      </c>
      <c r="AW1039" s="141" t="s">
        <v>35</v>
      </c>
      <c r="AX1039" s="95"/>
      <c r="AY1039" s="93"/>
    </row>
    <row r="1040" ht="15" spans="1:51">
      <c r="A1040" s="91"/>
      <c r="B1040" s="95"/>
      <c r="C1040" s="180" t="s">
        <v>927</v>
      </c>
      <c r="D1040" s="181" t="s">
        <v>25</v>
      </c>
      <c r="E1040" s="130" t="s">
        <v>928</v>
      </c>
      <c r="F1040" s="184" t="s">
        <v>1069</v>
      </c>
      <c r="G1040" s="185" t="s">
        <v>1069</v>
      </c>
      <c r="H1040" s="185" t="s">
        <v>1069</v>
      </c>
      <c r="I1040" s="185" t="s">
        <v>1069</v>
      </c>
      <c r="J1040" s="132">
        <v>0.9</v>
      </c>
      <c r="K1040" s="133">
        <v>0.864864864864865</v>
      </c>
      <c r="L1040" s="133">
        <v>0.944444444444444</v>
      </c>
      <c r="M1040" s="134">
        <v>0.735294117647059</v>
      </c>
      <c r="N1040" s="133">
        <v>0.861400894187779</v>
      </c>
      <c r="O1040" s="135">
        <v>0.9</v>
      </c>
      <c r="P1040" s="133">
        <v>0.945553539019964</v>
      </c>
      <c r="Q1040" s="133">
        <v>0.906880496637351</v>
      </c>
      <c r="R1040" s="133">
        <v>0.875743787189359</v>
      </c>
      <c r="S1040" s="133">
        <v>0.815634949840803</v>
      </c>
      <c r="T1040" s="135">
        <v>0.9</v>
      </c>
      <c r="U1040" s="133">
        <v>0.898820326678766</v>
      </c>
      <c r="V1040" s="133">
        <v>0.881531298499741</v>
      </c>
      <c r="W1040" s="133">
        <v>0.803990199509976</v>
      </c>
      <c r="X1040" s="133">
        <v>0.829938720980464</v>
      </c>
      <c r="Y1040" s="135">
        <v>0.92</v>
      </c>
      <c r="Z1040" s="135">
        <v>0.905249679897567</v>
      </c>
      <c r="AA1040" s="135">
        <v>0.93371757925072</v>
      </c>
      <c r="AB1040" s="135">
        <v>0.844387755102041</v>
      </c>
      <c r="AC1040" s="135">
        <v>0.885120044667783</v>
      </c>
      <c r="AD1040" s="135">
        <v>0.92</v>
      </c>
      <c r="AE1040" s="133">
        <v>0.996191034280691</v>
      </c>
      <c r="AF1040" s="133">
        <v>0.996382941485328</v>
      </c>
      <c r="AG1040" s="133">
        <v>0.999535207994423</v>
      </c>
      <c r="AH1040" s="133">
        <v>0.971384383006248</v>
      </c>
      <c r="AI1040" s="135">
        <v>0.92</v>
      </c>
      <c r="AJ1040" s="133">
        <v>0.949815991970559</v>
      </c>
      <c r="AK1040" s="133">
        <v>0.959315589353612</v>
      </c>
      <c r="AL1040" s="133">
        <v>0.91979102642901</v>
      </c>
      <c r="AM1040" s="133">
        <v>0.942456523718474</v>
      </c>
      <c r="AN1040" s="132">
        <v>0.99</v>
      </c>
      <c r="AO1040" s="137">
        <v>1</v>
      </c>
      <c r="AP1040" s="137">
        <v>1</v>
      </c>
      <c r="AQ1040" s="137">
        <v>1</v>
      </c>
      <c r="AR1040" s="137">
        <v>1</v>
      </c>
      <c r="AS1040" s="158">
        <v>0.0656418488929858</v>
      </c>
      <c r="AT1040" s="141">
        <v>0.037037037037037</v>
      </c>
      <c r="AU1040" s="141">
        <v>0.0769230769230769</v>
      </c>
      <c r="AV1040" s="141">
        <v>0.0666666666666667</v>
      </c>
      <c r="AW1040" s="141">
        <v>0.0480132450331126</v>
      </c>
      <c r="AX1040" s="95"/>
      <c r="AY1040" s="93"/>
    </row>
    <row r="1041" ht="15" spans="1:51">
      <c r="A1041" s="91"/>
      <c r="B1041" s="95"/>
      <c r="C1041" s="180" t="s">
        <v>927</v>
      </c>
      <c r="D1041" s="181" t="s">
        <v>25</v>
      </c>
      <c r="E1041" s="130" t="s">
        <v>928</v>
      </c>
      <c r="F1041" s="184" t="s">
        <v>1070</v>
      </c>
      <c r="G1041" s="185" t="s">
        <v>1070</v>
      </c>
      <c r="H1041" s="185" t="s">
        <v>1070</v>
      </c>
      <c r="I1041" s="185" t="s">
        <v>1070</v>
      </c>
      <c r="J1041" s="132">
        <v>0.9</v>
      </c>
      <c r="K1041" s="133">
        <v>0.954545454545455</v>
      </c>
      <c r="L1041" s="133">
        <v>0.947368421052632</v>
      </c>
      <c r="M1041" s="134">
        <v>1</v>
      </c>
      <c r="N1041" s="133">
        <v>0.955</v>
      </c>
      <c r="O1041" s="135">
        <v>0.9</v>
      </c>
      <c r="P1041" s="133">
        <v>0.979414093428345</v>
      </c>
      <c r="Q1041" s="133">
        <v>0.988485385296723</v>
      </c>
      <c r="R1041" s="133">
        <v>0.995582551076753</v>
      </c>
      <c r="S1041" s="133">
        <v>0.990409382364224</v>
      </c>
      <c r="T1041" s="135">
        <v>0.9</v>
      </c>
      <c r="U1041" s="133">
        <v>0.926365795724466</v>
      </c>
      <c r="V1041" s="133">
        <v>0.935341009743135</v>
      </c>
      <c r="W1041" s="133">
        <v>0.926007730535616</v>
      </c>
      <c r="X1041" s="133">
        <v>0.904395243053653</v>
      </c>
      <c r="Y1041" s="135">
        <v>0.92</v>
      </c>
      <c r="Z1041" s="135">
        <v>0.955882352941177</v>
      </c>
      <c r="AA1041" s="135">
        <v>0.936781609195402</v>
      </c>
      <c r="AB1041" s="135">
        <v>0.96</v>
      </c>
      <c r="AC1041" s="135">
        <v>0.926507018992568</v>
      </c>
      <c r="AD1041" s="135">
        <v>0.92</v>
      </c>
      <c r="AE1041" s="133">
        <v>0.995642174070936</v>
      </c>
      <c r="AF1041" s="133">
        <v>0.994219653179191</v>
      </c>
      <c r="AG1041" s="133">
        <v>0.995330220146765</v>
      </c>
      <c r="AH1041" s="133">
        <v>0.961150448023059</v>
      </c>
      <c r="AI1041" s="135">
        <v>0.92</v>
      </c>
      <c r="AJ1041" s="133">
        <v>0.955747126436782</v>
      </c>
      <c r="AK1041" s="133">
        <v>0.956021650879567</v>
      </c>
      <c r="AL1041" s="133">
        <v>0.961689587426326</v>
      </c>
      <c r="AM1041" s="133">
        <v>0.962467203273002</v>
      </c>
      <c r="AN1041" s="132">
        <v>0.99</v>
      </c>
      <c r="AO1041" s="137">
        <v>1</v>
      </c>
      <c r="AP1041" s="137">
        <v>1</v>
      </c>
      <c r="AQ1041" s="137">
        <v>1</v>
      </c>
      <c r="AR1041" s="137">
        <v>1</v>
      </c>
      <c r="AS1041" s="158">
        <v>0.0656418488929858</v>
      </c>
      <c r="AT1041" s="141">
        <v>0.0909090909090909</v>
      </c>
      <c r="AU1041" s="141">
        <v>0</v>
      </c>
      <c r="AV1041" s="141">
        <v>0</v>
      </c>
      <c r="AW1041" s="141">
        <v>0.0307692307692308</v>
      </c>
      <c r="AX1041" s="95"/>
      <c r="AY1041" s="93"/>
    </row>
    <row r="1042" ht="15" spans="1:51">
      <c r="A1042" s="91"/>
      <c r="B1042" s="95"/>
      <c r="C1042" s="180" t="s">
        <v>927</v>
      </c>
      <c r="D1042" s="181" t="s">
        <v>25</v>
      </c>
      <c r="E1042" s="130" t="s">
        <v>928</v>
      </c>
      <c r="F1042" s="184" t="s">
        <v>1071</v>
      </c>
      <c r="G1042" s="185" t="s">
        <v>1071</v>
      </c>
      <c r="H1042" s="185" t="s">
        <v>1071</v>
      </c>
      <c r="I1042" s="185" t="s">
        <v>1071</v>
      </c>
      <c r="J1042" s="132">
        <v>0.9</v>
      </c>
      <c r="K1042" s="133">
        <v>0.928571428571429</v>
      </c>
      <c r="L1042" s="133">
        <v>0.891891891891892</v>
      </c>
      <c r="M1042" s="134">
        <v>0.948717948717949</v>
      </c>
      <c r="N1042" s="133">
        <v>0.961696306429549</v>
      </c>
      <c r="O1042" s="135">
        <v>0.9</v>
      </c>
      <c r="P1042" s="133">
        <v>0.963539532978288</v>
      </c>
      <c r="Q1042" s="133">
        <v>0.955660377358491</v>
      </c>
      <c r="R1042" s="133">
        <v>0.877484522645813</v>
      </c>
      <c r="S1042" s="133">
        <v>0.850402169846614</v>
      </c>
      <c r="T1042" s="135">
        <v>0.9</v>
      </c>
      <c r="U1042" s="133">
        <v>0.925030725112659</v>
      </c>
      <c r="V1042" s="133">
        <v>0.879716981132076</v>
      </c>
      <c r="W1042" s="133">
        <v>0.868686868686869</v>
      </c>
      <c r="X1042" s="133">
        <v>0.846972814565407</v>
      </c>
      <c r="Y1042" s="135">
        <v>0.92</v>
      </c>
      <c r="Z1042" s="135">
        <v>0.932885906040268</v>
      </c>
      <c r="AA1042" s="135">
        <v>0.923175416133163</v>
      </c>
      <c r="AB1042" s="135">
        <v>0.837905236907731</v>
      </c>
      <c r="AC1042" s="135">
        <v>0.877917055607414</v>
      </c>
      <c r="AD1042" s="135">
        <v>0.92</v>
      </c>
      <c r="AE1042" s="133">
        <v>0.996559865092749</v>
      </c>
      <c r="AF1042" s="133">
        <v>0.992074770441627</v>
      </c>
      <c r="AG1042" s="133">
        <v>0.998595176773589</v>
      </c>
      <c r="AH1042" s="133">
        <v>0.982284099483644</v>
      </c>
      <c r="AI1042" s="135">
        <v>0.92</v>
      </c>
      <c r="AJ1042" s="133">
        <v>0.96130773845231</v>
      </c>
      <c r="AK1042" s="133">
        <v>0.95208548776284</v>
      </c>
      <c r="AL1042" s="133">
        <v>0.930835734870317</v>
      </c>
      <c r="AM1042" s="133">
        <v>0.940052051748534</v>
      </c>
      <c r="AN1042" s="132">
        <v>0.99</v>
      </c>
      <c r="AO1042" s="137">
        <v>1</v>
      </c>
      <c r="AP1042" s="137">
        <v>1</v>
      </c>
      <c r="AQ1042" s="137">
        <v>1</v>
      </c>
      <c r="AR1042" s="137">
        <v>0.999604117181314</v>
      </c>
      <c r="AS1042" s="158">
        <v>0.0656418488929858</v>
      </c>
      <c r="AT1042" s="141">
        <v>0.176470588235294</v>
      </c>
      <c r="AU1042" s="141">
        <v>0.19047619047619</v>
      </c>
      <c r="AV1042" s="141">
        <v>0.0740740740740741</v>
      </c>
      <c r="AW1042" s="141">
        <v>0.0601503759398496</v>
      </c>
      <c r="AX1042" s="95"/>
      <c r="AY1042" s="93"/>
    </row>
    <row r="1043" ht="15" spans="1:51">
      <c r="A1043" s="91"/>
      <c r="B1043" s="95"/>
      <c r="C1043" s="180" t="s">
        <v>927</v>
      </c>
      <c r="D1043" s="181" t="s">
        <v>25</v>
      </c>
      <c r="E1043" s="130" t="s">
        <v>928</v>
      </c>
      <c r="F1043" s="184" t="s">
        <v>1072</v>
      </c>
      <c r="G1043" s="185" t="s">
        <v>1072</v>
      </c>
      <c r="H1043" s="185" t="s">
        <v>1072</v>
      </c>
      <c r="I1043" s="185" t="s">
        <v>1072</v>
      </c>
      <c r="J1043" s="132">
        <v>0.9</v>
      </c>
      <c r="K1043" s="133">
        <v>1</v>
      </c>
      <c r="L1043" s="133">
        <v>0.948717948717949</v>
      </c>
      <c r="M1043" s="134">
        <v>0.975609756097561</v>
      </c>
      <c r="N1043" s="133">
        <v>0.969348659003831</v>
      </c>
      <c r="O1043" s="135">
        <v>0.9</v>
      </c>
      <c r="P1043" s="133">
        <v>0.937014314928425</v>
      </c>
      <c r="Q1043" s="133">
        <v>0.948779320248923</v>
      </c>
      <c r="R1043" s="133">
        <v>0.913374304945859</v>
      </c>
      <c r="S1043" s="133">
        <v>0.902646958692692</v>
      </c>
      <c r="T1043" s="135">
        <v>0.9</v>
      </c>
      <c r="U1043" s="133">
        <v>0.878527607361963</v>
      </c>
      <c r="V1043" s="133">
        <v>0.896601244614648</v>
      </c>
      <c r="W1043" s="133">
        <v>0.805677494878548</v>
      </c>
      <c r="X1043" s="133">
        <v>0.782157852927826</v>
      </c>
      <c r="Y1043" s="135">
        <v>0.92</v>
      </c>
      <c r="Z1043" s="135">
        <v>0.933333333333333</v>
      </c>
      <c r="AA1043" s="135">
        <v>0.926023778071334</v>
      </c>
      <c r="AB1043" s="135">
        <v>0.87192118226601</v>
      </c>
      <c r="AC1043" s="135">
        <v>0.859466815117214</v>
      </c>
      <c r="AD1043" s="135">
        <v>0.92</v>
      </c>
      <c r="AE1043" s="133">
        <v>0.995004995004995</v>
      </c>
      <c r="AF1043" s="133">
        <v>0.997581620314389</v>
      </c>
      <c r="AG1043" s="133">
        <v>0.999106584472438</v>
      </c>
      <c r="AH1043" s="133">
        <v>0.988076461310294</v>
      </c>
      <c r="AI1043" s="135">
        <v>0.92</v>
      </c>
      <c r="AJ1043" s="133">
        <v>0.954671600370028</v>
      </c>
      <c r="AK1043" s="133">
        <v>0.958216292134832</v>
      </c>
      <c r="AL1043" s="133">
        <v>0.947712418300654</v>
      </c>
      <c r="AM1043" s="133">
        <v>0.940236010658546</v>
      </c>
      <c r="AN1043" s="132">
        <v>0.99</v>
      </c>
      <c r="AO1043" s="137">
        <v>1</v>
      </c>
      <c r="AP1043" s="137">
        <v>1</v>
      </c>
      <c r="AQ1043" s="137">
        <v>1</v>
      </c>
      <c r="AR1043" s="137">
        <v>1</v>
      </c>
      <c r="AS1043" s="158">
        <v>0.0656418488929858</v>
      </c>
      <c r="AT1043" s="141">
        <v>0</v>
      </c>
      <c r="AU1043" s="141">
        <v>0</v>
      </c>
      <c r="AV1043" s="141">
        <v>0.0384615384615385</v>
      </c>
      <c r="AW1043" s="141">
        <v>0.031858407079646</v>
      </c>
      <c r="AX1043" s="95"/>
      <c r="AY1043" s="93"/>
    </row>
    <row r="1044" ht="15" spans="1:51">
      <c r="A1044" s="91"/>
      <c r="B1044" s="95"/>
      <c r="C1044" s="180" t="s">
        <v>927</v>
      </c>
      <c r="D1044" s="181" t="s">
        <v>25</v>
      </c>
      <c r="E1044" s="130" t="s">
        <v>928</v>
      </c>
      <c r="F1044" s="184" t="s">
        <v>1073</v>
      </c>
      <c r="G1044" s="185" t="s">
        <v>1073</v>
      </c>
      <c r="H1044" s="185" t="s">
        <v>1073</v>
      </c>
      <c r="I1044" s="185" t="s">
        <v>1073</v>
      </c>
      <c r="J1044" s="132">
        <v>0.9</v>
      </c>
      <c r="K1044" s="133">
        <v>0.95</v>
      </c>
      <c r="L1044" s="133">
        <v>1</v>
      </c>
      <c r="M1044" s="134">
        <v>1</v>
      </c>
      <c r="N1044" s="133">
        <v>0.920821114369501</v>
      </c>
      <c r="O1044" s="135">
        <v>0.9</v>
      </c>
      <c r="P1044" s="133">
        <v>0.879211175020542</v>
      </c>
      <c r="Q1044" s="133">
        <v>0.908902691511387</v>
      </c>
      <c r="R1044" s="133">
        <v>0.92749731471536</v>
      </c>
      <c r="S1044" s="133">
        <v>0.897943037974684</v>
      </c>
      <c r="T1044" s="135">
        <v>0.9</v>
      </c>
      <c r="U1044" s="133">
        <v>0.85784716516023</v>
      </c>
      <c r="V1044" s="133">
        <v>0.822981366459627</v>
      </c>
      <c r="W1044" s="133">
        <v>0.865735767991407</v>
      </c>
      <c r="X1044" s="133">
        <v>0.814354232594937</v>
      </c>
      <c r="Y1044" s="135">
        <v>0.92</v>
      </c>
      <c r="Z1044" s="135" t="s">
        <v>35</v>
      </c>
      <c r="AA1044" s="135" t="s">
        <v>35</v>
      </c>
      <c r="AB1044" s="135" t="s">
        <v>35</v>
      </c>
      <c r="AC1044" s="135" t="s">
        <v>35</v>
      </c>
      <c r="AD1044" s="135">
        <v>0.92</v>
      </c>
      <c r="AE1044" s="133">
        <v>0.996610169491525</v>
      </c>
      <c r="AF1044" s="133">
        <v>0.997955010224949</v>
      </c>
      <c r="AG1044" s="133">
        <v>1</v>
      </c>
      <c r="AH1044" s="133">
        <v>0.995740537909213</v>
      </c>
      <c r="AI1044" s="135">
        <v>0.92</v>
      </c>
      <c r="AJ1044" s="133">
        <v>0.967953985209532</v>
      </c>
      <c r="AK1044" s="133">
        <v>0.870600414078675</v>
      </c>
      <c r="AL1044" s="133">
        <v>0.95703544575725</v>
      </c>
      <c r="AM1044" s="133">
        <v>0.950604464881703</v>
      </c>
      <c r="AN1044" s="132">
        <v>0.99</v>
      </c>
      <c r="AO1044" s="137">
        <v>1</v>
      </c>
      <c r="AP1044" s="137">
        <v>1</v>
      </c>
      <c r="AQ1044" s="137">
        <v>1</v>
      </c>
      <c r="AR1044" s="137">
        <v>1</v>
      </c>
      <c r="AS1044" s="158">
        <v>0.0656418488929858</v>
      </c>
      <c r="AT1044" s="141">
        <v>0</v>
      </c>
      <c r="AU1044" s="141">
        <v>0</v>
      </c>
      <c r="AV1044" s="141">
        <v>0</v>
      </c>
      <c r="AW1044" s="141">
        <v>0.0648148148148148</v>
      </c>
      <c r="AX1044" s="95"/>
      <c r="AY1044" s="93"/>
    </row>
    <row r="1045" ht="15" spans="1:51">
      <c r="A1045" s="91"/>
      <c r="B1045" s="95"/>
      <c r="C1045" s="180" t="s">
        <v>927</v>
      </c>
      <c r="D1045" s="181" t="s">
        <v>25</v>
      </c>
      <c r="E1045" s="130" t="s">
        <v>928</v>
      </c>
      <c r="F1045" s="184" t="s">
        <v>1074</v>
      </c>
      <c r="G1045" s="185" t="s">
        <v>1074</v>
      </c>
      <c r="H1045" s="185" t="s">
        <v>1074</v>
      </c>
      <c r="I1045" s="185" t="s">
        <v>1074</v>
      </c>
      <c r="J1045" s="132">
        <v>0.9</v>
      </c>
      <c r="K1045" s="133">
        <v>0.928571428571429</v>
      </c>
      <c r="L1045" s="133">
        <v>0.961538461538462</v>
      </c>
      <c r="M1045" s="134">
        <v>0.962962962962963</v>
      </c>
      <c r="N1045" s="133">
        <v>0.961240310077519</v>
      </c>
      <c r="O1045" s="135">
        <v>0.9</v>
      </c>
      <c r="P1045" s="133">
        <v>0.935103244837758</v>
      </c>
      <c r="Q1045" s="133">
        <v>0.895373665480427</v>
      </c>
      <c r="R1045" s="133">
        <v>0.937720329024677</v>
      </c>
      <c r="S1045" s="133">
        <v>0.956852220262002</v>
      </c>
      <c r="T1045" s="135">
        <v>0.9</v>
      </c>
      <c r="U1045" s="133">
        <v>0.956342182890855</v>
      </c>
      <c r="V1045" s="133">
        <v>0.929537366548043</v>
      </c>
      <c r="W1045" s="133">
        <v>0.946337641989816</v>
      </c>
      <c r="X1045" s="133">
        <v>0.926523028414849</v>
      </c>
      <c r="Y1045" s="135">
        <v>0.92</v>
      </c>
      <c r="Z1045" s="135" t="s">
        <v>35</v>
      </c>
      <c r="AA1045" s="135" t="s">
        <v>35</v>
      </c>
      <c r="AB1045" s="135" t="s">
        <v>35</v>
      </c>
      <c r="AC1045" s="135" t="s">
        <v>35</v>
      </c>
      <c r="AD1045" s="135">
        <v>0.92</v>
      </c>
      <c r="AE1045" s="133">
        <v>1</v>
      </c>
      <c r="AF1045" s="133">
        <v>0.996798292422625</v>
      </c>
      <c r="AG1045" s="133">
        <v>0.988452655889146</v>
      </c>
      <c r="AH1045" s="133">
        <v>0.987464218734577</v>
      </c>
      <c r="AI1045" s="135">
        <v>0.92</v>
      </c>
      <c r="AJ1045" s="133">
        <v>0.968141592920354</v>
      </c>
      <c r="AK1045" s="133">
        <v>0.950889679715302</v>
      </c>
      <c r="AL1045" s="133">
        <v>0.971014492753623</v>
      </c>
      <c r="AM1045" s="133">
        <v>0.966012949235244</v>
      </c>
      <c r="AN1045" s="132">
        <v>0.99</v>
      </c>
      <c r="AO1045" s="137">
        <v>1</v>
      </c>
      <c r="AP1045" s="137">
        <v>1</v>
      </c>
      <c r="AQ1045" s="137">
        <v>1</v>
      </c>
      <c r="AR1045" s="137">
        <v>1</v>
      </c>
      <c r="AS1045" s="158">
        <v>0.0656418488929858</v>
      </c>
      <c r="AT1045" s="141">
        <v>0.111111111111111</v>
      </c>
      <c r="AU1045" s="141">
        <v>0</v>
      </c>
      <c r="AV1045" s="141">
        <v>0</v>
      </c>
      <c r="AW1045" s="141">
        <v>0.0617283950617284</v>
      </c>
      <c r="AX1045" s="95"/>
      <c r="AY1045" s="93"/>
    </row>
    <row r="1046" ht="15" spans="1:51">
      <c r="A1046" s="91"/>
      <c r="B1046" s="95"/>
      <c r="C1046" s="180" t="s">
        <v>927</v>
      </c>
      <c r="D1046" s="181" t="s">
        <v>25</v>
      </c>
      <c r="E1046" s="130" t="s">
        <v>928</v>
      </c>
      <c r="F1046" s="188" t="s">
        <v>1075</v>
      </c>
      <c r="G1046" s="189" t="s">
        <v>1075</v>
      </c>
      <c r="H1046" s="189" t="s">
        <v>1075</v>
      </c>
      <c r="I1046" s="189" t="s">
        <v>1075</v>
      </c>
      <c r="J1046" s="132">
        <v>0.9</v>
      </c>
      <c r="K1046" s="133">
        <v>1</v>
      </c>
      <c r="L1046" s="133">
        <v>1</v>
      </c>
      <c r="M1046" s="134">
        <v>0.966666666666667</v>
      </c>
      <c r="N1046" s="133">
        <v>0.98576512455516</v>
      </c>
      <c r="O1046" s="135">
        <v>0.9</v>
      </c>
      <c r="P1046" s="133">
        <v>0.929468990676936</v>
      </c>
      <c r="Q1046" s="133">
        <v>0.94313832695462</v>
      </c>
      <c r="R1046" s="133">
        <v>0.941109205260149</v>
      </c>
      <c r="S1046" s="133">
        <v>0.951572606390362</v>
      </c>
      <c r="T1046" s="135">
        <v>0.9</v>
      </c>
      <c r="U1046" s="133">
        <v>0.938792055127685</v>
      </c>
      <c r="V1046" s="133">
        <v>0.931109896118097</v>
      </c>
      <c r="W1046" s="133">
        <v>0.920240137221269</v>
      </c>
      <c r="X1046" s="133">
        <v>0.915137551009078</v>
      </c>
      <c r="Y1046" s="135">
        <v>0.92</v>
      </c>
      <c r="Z1046" s="135" t="s">
        <v>35</v>
      </c>
      <c r="AA1046" s="135" t="s">
        <v>35</v>
      </c>
      <c r="AB1046" s="135" t="s">
        <v>35</v>
      </c>
      <c r="AC1046" s="135">
        <v>1</v>
      </c>
      <c r="AD1046" s="135">
        <v>0.92</v>
      </c>
      <c r="AE1046" s="133">
        <v>0.9988</v>
      </c>
      <c r="AF1046" s="133">
        <v>0.999242424242424</v>
      </c>
      <c r="AG1046" s="133">
        <v>1</v>
      </c>
      <c r="AH1046" s="133">
        <v>0.997406704617331</v>
      </c>
      <c r="AI1046" s="135">
        <v>0.92</v>
      </c>
      <c r="AJ1046" s="133">
        <v>0.965168084244633</v>
      </c>
      <c r="AK1046" s="133">
        <v>0.957900492072171</v>
      </c>
      <c r="AL1046" s="133">
        <v>0.966847670763075</v>
      </c>
      <c r="AM1046" s="133">
        <v>0.970424548596172</v>
      </c>
      <c r="AN1046" s="132">
        <v>0.99</v>
      </c>
      <c r="AO1046" s="137">
        <v>1</v>
      </c>
      <c r="AP1046" s="137">
        <v>1</v>
      </c>
      <c r="AQ1046" s="137">
        <v>1</v>
      </c>
      <c r="AR1046" s="137">
        <v>1</v>
      </c>
      <c r="AS1046" s="158">
        <v>0.0656418488929858</v>
      </c>
      <c r="AT1046" s="141">
        <v>0.0769230769230769</v>
      </c>
      <c r="AU1046" s="141">
        <v>0</v>
      </c>
      <c r="AV1046" s="141">
        <v>0.0555555555555556</v>
      </c>
      <c r="AW1046" s="141">
        <v>0.0619047619047619</v>
      </c>
      <c r="AX1046" s="95"/>
      <c r="AY1046" s="93"/>
    </row>
    <row r="1047" ht="15" spans="1:51">
      <c r="A1047" s="91"/>
      <c r="B1047" s="95"/>
      <c r="C1047" s="180" t="s">
        <v>927</v>
      </c>
      <c r="D1047" s="181" t="s">
        <v>25</v>
      </c>
      <c r="E1047" s="130" t="s">
        <v>928</v>
      </c>
      <c r="F1047" s="184" t="s">
        <v>1076</v>
      </c>
      <c r="G1047" s="185" t="s">
        <v>1076</v>
      </c>
      <c r="H1047" s="185" t="s">
        <v>1076</v>
      </c>
      <c r="I1047" s="185" t="s">
        <v>1076</v>
      </c>
      <c r="J1047" s="132">
        <v>0.9</v>
      </c>
      <c r="K1047" s="133">
        <v>1</v>
      </c>
      <c r="L1047" s="133">
        <v>0.857142857142857</v>
      </c>
      <c r="M1047" s="134">
        <v>0.941176470588235</v>
      </c>
      <c r="N1047" s="133">
        <v>0.908794788273616</v>
      </c>
      <c r="O1047" s="135">
        <v>0.9</v>
      </c>
      <c r="P1047" s="133">
        <v>0.967659574468085</v>
      </c>
      <c r="Q1047" s="133">
        <v>0.934010152284264</v>
      </c>
      <c r="R1047" s="133">
        <v>0.952486187845304</v>
      </c>
      <c r="S1047" s="133">
        <v>0.943594474769996</v>
      </c>
      <c r="T1047" s="135">
        <v>0.9</v>
      </c>
      <c r="U1047" s="133">
        <v>0.857872340425532</v>
      </c>
      <c r="V1047" s="133">
        <v>0.850761421319797</v>
      </c>
      <c r="W1047" s="133">
        <v>0.930939226519337</v>
      </c>
      <c r="X1047" s="133">
        <v>0.903077829886471</v>
      </c>
      <c r="Y1047" s="135">
        <v>0.92</v>
      </c>
      <c r="Z1047" s="135" t="s">
        <v>35</v>
      </c>
      <c r="AA1047" s="135" t="s">
        <v>35</v>
      </c>
      <c r="AB1047" s="135" t="s">
        <v>35</v>
      </c>
      <c r="AC1047" s="135" t="s">
        <v>35</v>
      </c>
      <c r="AD1047" s="135">
        <v>0.92</v>
      </c>
      <c r="AE1047" s="133">
        <v>1</v>
      </c>
      <c r="AF1047" s="133">
        <v>1</v>
      </c>
      <c r="AG1047" s="133">
        <v>1</v>
      </c>
      <c r="AH1047" s="133">
        <v>0.9960668633235</v>
      </c>
      <c r="AI1047" s="135">
        <v>0.92</v>
      </c>
      <c r="AJ1047" s="133">
        <v>0.960851063829787</v>
      </c>
      <c r="AK1047" s="133">
        <v>0.9248730964467</v>
      </c>
      <c r="AL1047" s="133">
        <v>0.969613259668508</v>
      </c>
      <c r="AM1047" s="133">
        <v>0.96555700776505</v>
      </c>
      <c r="AN1047" s="132">
        <v>0.99</v>
      </c>
      <c r="AO1047" s="137">
        <v>1</v>
      </c>
      <c r="AP1047" s="137">
        <v>1</v>
      </c>
      <c r="AQ1047" s="137">
        <v>1</v>
      </c>
      <c r="AR1047" s="137">
        <v>1</v>
      </c>
      <c r="AS1047" s="158">
        <v>0.0656418488929858</v>
      </c>
      <c r="AT1047" s="141">
        <v>0</v>
      </c>
      <c r="AU1047" s="141" t="s">
        <v>35</v>
      </c>
      <c r="AV1047" s="141">
        <v>0.666666666666667</v>
      </c>
      <c r="AW1047" s="141">
        <v>0.0363636363636364</v>
      </c>
      <c r="AX1047" s="95"/>
      <c r="AY1047" s="93"/>
    </row>
    <row r="1048" ht="15" spans="1:51">
      <c r="A1048" s="91"/>
      <c r="B1048" s="95"/>
      <c r="C1048" s="180" t="s">
        <v>927</v>
      </c>
      <c r="D1048" s="181" t="s">
        <v>25</v>
      </c>
      <c r="E1048" s="130" t="s">
        <v>928</v>
      </c>
      <c r="F1048" s="184" t="s">
        <v>1077</v>
      </c>
      <c r="G1048" s="185" t="s">
        <v>1077</v>
      </c>
      <c r="H1048" s="185" t="s">
        <v>1077</v>
      </c>
      <c r="I1048" s="185" t="s">
        <v>1077</v>
      </c>
      <c r="J1048" s="132">
        <v>0.9</v>
      </c>
      <c r="K1048" s="133">
        <v>1</v>
      </c>
      <c r="L1048" s="133">
        <v>1</v>
      </c>
      <c r="M1048" s="134">
        <v>0.909090909090909</v>
      </c>
      <c r="N1048" s="133">
        <v>0.966019417475728</v>
      </c>
      <c r="O1048" s="135">
        <v>0.9</v>
      </c>
      <c r="P1048" s="133">
        <v>0.92667145938174</v>
      </c>
      <c r="Q1048" s="133">
        <v>0.911381407471764</v>
      </c>
      <c r="R1048" s="133">
        <v>0.925395256916996</v>
      </c>
      <c r="S1048" s="133">
        <v>0.932938608595298</v>
      </c>
      <c r="T1048" s="135">
        <v>0.9</v>
      </c>
      <c r="U1048" s="133">
        <v>0.90941768511862</v>
      </c>
      <c r="V1048" s="133">
        <v>0.91485664639444</v>
      </c>
      <c r="W1048" s="133">
        <v>0.91699604743083</v>
      </c>
      <c r="X1048" s="133">
        <v>0.898241300584561</v>
      </c>
      <c r="Y1048" s="135">
        <v>0.92</v>
      </c>
      <c r="Z1048" s="135" t="s">
        <v>35</v>
      </c>
      <c r="AA1048" s="135" t="s">
        <v>35</v>
      </c>
      <c r="AB1048" s="135" t="s">
        <v>35</v>
      </c>
      <c r="AC1048" s="135" t="s">
        <v>35</v>
      </c>
      <c r="AD1048" s="135">
        <v>0.92</v>
      </c>
      <c r="AE1048" s="133">
        <v>0.998032270759543</v>
      </c>
      <c r="AF1048" s="133">
        <v>0.945003353454058</v>
      </c>
      <c r="AG1048" s="133">
        <v>0.998262380538662</v>
      </c>
      <c r="AH1048" s="133">
        <v>0.993677859865248</v>
      </c>
      <c r="AI1048" s="135">
        <v>0.92</v>
      </c>
      <c r="AJ1048" s="133">
        <v>0.956146657081236</v>
      </c>
      <c r="AK1048" s="133">
        <v>0.967854039965248</v>
      </c>
      <c r="AL1048" s="133">
        <v>0.964938271604938</v>
      </c>
      <c r="AM1048" s="133">
        <v>0.96442816647016</v>
      </c>
      <c r="AN1048" s="132">
        <v>0.99</v>
      </c>
      <c r="AO1048" s="137">
        <v>1</v>
      </c>
      <c r="AP1048" s="137">
        <v>1</v>
      </c>
      <c r="AQ1048" s="137">
        <v>1</v>
      </c>
      <c r="AR1048" s="137">
        <v>1</v>
      </c>
      <c r="AS1048" s="158">
        <v>0.0656418488929858</v>
      </c>
      <c r="AT1048" s="141">
        <v>0</v>
      </c>
      <c r="AU1048" s="141">
        <v>0.142857142857143</v>
      </c>
      <c r="AV1048" s="141">
        <v>0.428571428571429</v>
      </c>
      <c r="AW1048" s="141">
        <v>0.0652173913043478</v>
      </c>
      <c r="AX1048" s="95"/>
      <c r="AY1048" s="93"/>
    </row>
    <row r="1049" ht="15" spans="1:51">
      <c r="A1049" s="91"/>
      <c r="B1049" s="95"/>
      <c r="C1049" s="180" t="s">
        <v>927</v>
      </c>
      <c r="D1049" s="181" t="s">
        <v>25</v>
      </c>
      <c r="E1049" s="130" t="s">
        <v>928</v>
      </c>
      <c r="F1049" s="184" t="s">
        <v>1078</v>
      </c>
      <c r="G1049" s="185" t="s">
        <v>1078</v>
      </c>
      <c r="H1049" s="185" t="s">
        <v>1078</v>
      </c>
      <c r="I1049" s="185" t="s">
        <v>1078</v>
      </c>
      <c r="J1049" s="132">
        <v>0.9</v>
      </c>
      <c r="K1049" s="133">
        <v>1</v>
      </c>
      <c r="L1049" s="133">
        <v>0.916666666666667</v>
      </c>
      <c r="M1049" s="134">
        <v>0.944444444444444</v>
      </c>
      <c r="N1049" s="133">
        <v>0.967741935483871</v>
      </c>
      <c r="O1049" s="135">
        <v>0.9</v>
      </c>
      <c r="P1049" s="133">
        <v>0.950372208436725</v>
      </c>
      <c r="Q1049" s="133">
        <v>0.929618768328446</v>
      </c>
      <c r="R1049" s="133">
        <v>0.94353562005277</v>
      </c>
      <c r="S1049" s="133">
        <v>0.955630567035449</v>
      </c>
      <c r="T1049" s="135">
        <v>0.9</v>
      </c>
      <c r="U1049" s="133">
        <v>0.941273779983457</v>
      </c>
      <c r="V1049" s="133">
        <v>0.90713587487781</v>
      </c>
      <c r="W1049" s="133">
        <v>0.922691292875989</v>
      </c>
      <c r="X1049" s="133">
        <v>0.925019893728983</v>
      </c>
      <c r="Y1049" s="135">
        <v>0.92</v>
      </c>
      <c r="Z1049" s="135" t="s">
        <v>35</v>
      </c>
      <c r="AA1049" s="135" t="s">
        <v>35</v>
      </c>
      <c r="AB1049" s="135" t="s">
        <v>35</v>
      </c>
      <c r="AC1049" s="135" t="s">
        <v>35</v>
      </c>
      <c r="AD1049" s="135">
        <v>0.92</v>
      </c>
      <c r="AE1049" s="133">
        <v>0.998293515358362</v>
      </c>
      <c r="AF1049" s="133">
        <v>0.996</v>
      </c>
      <c r="AG1049" s="133">
        <v>0.998407643312102</v>
      </c>
      <c r="AH1049" s="133">
        <v>0.995338603818616</v>
      </c>
      <c r="AI1049" s="135">
        <v>0.92</v>
      </c>
      <c r="AJ1049" s="133">
        <v>0.953267162944582</v>
      </c>
      <c r="AK1049" s="133">
        <v>0.929130009775171</v>
      </c>
      <c r="AL1049" s="133">
        <v>0.946701846965699</v>
      </c>
      <c r="AM1049" s="133">
        <v>0.961151466926769</v>
      </c>
      <c r="AN1049" s="132">
        <v>0.99</v>
      </c>
      <c r="AO1049" s="137">
        <v>1</v>
      </c>
      <c r="AP1049" s="137">
        <v>1</v>
      </c>
      <c r="AQ1049" s="137">
        <v>1</v>
      </c>
      <c r="AR1049" s="137">
        <v>1</v>
      </c>
      <c r="AS1049" s="158">
        <v>0.0656418488929858</v>
      </c>
      <c r="AT1049" s="141">
        <v>0</v>
      </c>
      <c r="AU1049" s="141">
        <v>0</v>
      </c>
      <c r="AV1049" s="141">
        <v>0.142857142857143</v>
      </c>
      <c r="AW1049" s="141">
        <v>0.069620253164557</v>
      </c>
      <c r="AX1049" s="95"/>
      <c r="AY1049" s="93"/>
    </row>
    <row r="1050" ht="15" spans="1:51">
      <c r="A1050" s="91"/>
      <c r="B1050" s="95"/>
      <c r="C1050" s="180" t="s">
        <v>927</v>
      </c>
      <c r="D1050" s="181" t="s">
        <v>25</v>
      </c>
      <c r="E1050" s="130" t="s">
        <v>928</v>
      </c>
      <c r="F1050" s="184" t="s">
        <v>1079</v>
      </c>
      <c r="G1050" s="185" t="s">
        <v>1079</v>
      </c>
      <c r="H1050" s="185" t="s">
        <v>1079</v>
      </c>
      <c r="I1050" s="185" t="s">
        <v>1079</v>
      </c>
      <c r="J1050" s="132">
        <v>0.9</v>
      </c>
      <c r="K1050" s="133">
        <v>1</v>
      </c>
      <c r="L1050" s="133">
        <v>1</v>
      </c>
      <c r="M1050" s="134">
        <v>1</v>
      </c>
      <c r="N1050" s="133">
        <v>0.986193293885602</v>
      </c>
      <c r="O1050" s="135">
        <v>0.9</v>
      </c>
      <c r="P1050" s="133">
        <v>0.94969256567915</v>
      </c>
      <c r="Q1050" s="133">
        <v>0.932098765432099</v>
      </c>
      <c r="R1050" s="133">
        <v>0.966030534351145</v>
      </c>
      <c r="S1050" s="133">
        <v>0.957981554779964</v>
      </c>
      <c r="T1050" s="135">
        <v>0.9</v>
      </c>
      <c r="U1050" s="133">
        <v>0.93236444941308</v>
      </c>
      <c r="V1050" s="133">
        <v>0.920438957475994</v>
      </c>
      <c r="W1050" s="133">
        <v>0.909923664122137</v>
      </c>
      <c r="X1050" s="133">
        <v>0.924464289196093</v>
      </c>
      <c r="Y1050" s="135">
        <v>0.92</v>
      </c>
      <c r="Z1050" s="135" t="s">
        <v>35</v>
      </c>
      <c r="AA1050" s="135" t="s">
        <v>35</v>
      </c>
      <c r="AB1050" s="135" t="s">
        <v>35</v>
      </c>
      <c r="AC1050" s="135" t="s">
        <v>35</v>
      </c>
      <c r="AD1050" s="135">
        <v>0.92</v>
      </c>
      <c r="AE1050" s="133">
        <v>0.99933110367893</v>
      </c>
      <c r="AF1050" s="133">
        <v>0.997242140099283</v>
      </c>
      <c r="AG1050" s="133">
        <v>0.997492687003761</v>
      </c>
      <c r="AH1050" s="133">
        <v>0.9958949732786</v>
      </c>
      <c r="AI1050" s="135">
        <v>0.92</v>
      </c>
      <c r="AJ1050" s="133">
        <v>0.954164337618781</v>
      </c>
      <c r="AK1050" s="133">
        <v>0.93278463648834</v>
      </c>
      <c r="AL1050" s="133">
        <v>0.965648854961832</v>
      </c>
      <c r="AM1050" s="133">
        <v>0.965060053033848</v>
      </c>
      <c r="AN1050" s="132">
        <v>0.99</v>
      </c>
      <c r="AO1050" s="137">
        <v>1</v>
      </c>
      <c r="AP1050" s="137">
        <v>1</v>
      </c>
      <c r="AQ1050" s="137">
        <v>1</v>
      </c>
      <c r="AR1050" s="137">
        <v>1</v>
      </c>
      <c r="AS1050" s="158">
        <v>0.0656418488929858</v>
      </c>
      <c r="AT1050" s="141">
        <v>0</v>
      </c>
      <c r="AU1050" s="141">
        <v>0.2</v>
      </c>
      <c r="AV1050" s="141">
        <v>1</v>
      </c>
      <c r="AW1050" s="141">
        <v>0.107142857142857</v>
      </c>
      <c r="AX1050" s="95"/>
      <c r="AY1050" s="93"/>
    </row>
    <row r="1051" ht="15" spans="1:51">
      <c r="A1051" s="91"/>
      <c r="B1051" s="95"/>
      <c r="C1051" s="180" t="s">
        <v>927</v>
      </c>
      <c r="D1051" s="181" t="s">
        <v>25</v>
      </c>
      <c r="E1051" s="130" t="s">
        <v>928</v>
      </c>
      <c r="F1051" s="188" t="s">
        <v>1080</v>
      </c>
      <c r="G1051" s="189" t="s">
        <v>1080</v>
      </c>
      <c r="H1051" s="189" t="s">
        <v>1080</v>
      </c>
      <c r="I1051" s="189" t="s">
        <v>1080</v>
      </c>
      <c r="J1051" s="132">
        <v>0.9</v>
      </c>
      <c r="K1051" s="133">
        <v>0.947368421052632</v>
      </c>
      <c r="L1051" s="133">
        <v>0.875</v>
      </c>
      <c r="M1051" s="134">
        <v>0.888888888888889</v>
      </c>
      <c r="N1051" s="133">
        <v>0.892441860465116</v>
      </c>
      <c r="O1051" s="135">
        <v>0.9</v>
      </c>
      <c r="P1051" s="133">
        <v>0.95817843866171</v>
      </c>
      <c r="Q1051" s="133">
        <v>0.956221198156682</v>
      </c>
      <c r="R1051" s="133">
        <v>0.960188933873144</v>
      </c>
      <c r="S1051" s="133">
        <v>0.947730483385541</v>
      </c>
      <c r="T1051" s="135">
        <v>0.9</v>
      </c>
      <c r="U1051" s="133">
        <v>0.934014869888476</v>
      </c>
      <c r="V1051" s="133">
        <v>0.748847926267281</v>
      </c>
      <c r="W1051" s="133">
        <v>0.93387314439946</v>
      </c>
      <c r="X1051" s="133">
        <v>0.896259443523125</v>
      </c>
      <c r="Y1051" s="135">
        <v>0.92</v>
      </c>
      <c r="Z1051" s="135" t="s">
        <v>35</v>
      </c>
      <c r="AA1051" s="135" t="s">
        <v>35</v>
      </c>
      <c r="AB1051" s="135" t="s">
        <v>35</v>
      </c>
      <c r="AC1051" s="135" t="s">
        <v>35</v>
      </c>
      <c r="AD1051" s="135">
        <v>0.92</v>
      </c>
      <c r="AE1051" s="133">
        <v>0.996770721205597</v>
      </c>
      <c r="AF1051" s="133">
        <v>0.962053571428571</v>
      </c>
      <c r="AG1051" s="133">
        <v>1</v>
      </c>
      <c r="AH1051" s="133">
        <v>0.977212121212121</v>
      </c>
      <c r="AI1051" s="135">
        <v>0.92</v>
      </c>
      <c r="AJ1051" s="133">
        <v>0.955390334572491</v>
      </c>
      <c r="AK1051" s="133">
        <v>0.922811059907834</v>
      </c>
      <c r="AL1051" s="133">
        <v>0.96693657219973</v>
      </c>
      <c r="AM1051" s="133">
        <v>0.944597997665991</v>
      </c>
      <c r="AN1051" s="132">
        <v>0.99</v>
      </c>
      <c r="AO1051" s="137">
        <v>1</v>
      </c>
      <c r="AP1051" s="137">
        <v>1</v>
      </c>
      <c r="AQ1051" s="137">
        <v>1</v>
      </c>
      <c r="AR1051" s="137">
        <v>1</v>
      </c>
      <c r="AS1051" s="158">
        <v>0.0656418488929858</v>
      </c>
      <c r="AT1051" s="141">
        <v>0</v>
      </c>
      <c r="AU1051" s="141">
        <v>0</v>
      </c>
      <c r="AV1051" s="141">
        <v>0</v>
      </c>
      <c r="AW1051" s="141">
        <v>0.0337078651685393</v>
      </c>
      <c r="AX1051" s="95"/>
      <c r="AY1051" s="93"/>
    </row>
    <row r="1052" ht="15" spans="1:51">
      <c r="A1052" s="91"/>
      <c r="B1052" s="95"/>
      <c r="C1052" s="180" t="s">
        <v>927</v>
      </c>
      <c r="D1052" s="181" t="s">
        <v>25</v>
      </c>
      <c r="E1052" s="130" t="s">
        <v>928</v>
      </c>
      <c r="F1052" s="186" t="s">
        <v>1081</v>
      </c>
      <c r="G1052" s="187" t="s">
        <v>1081</v>
      </c>
      <c r="H1052" s="187" t="s">
        <v>1081</v>
      </c>
      <c r="I1052" s="187" t="s">
        <v>1081</v>
      </c>
      <c r="J1052" s="132">
        <v>0.9</v>
      </c>
      <c r="K1052" s="133">
        <v>1</v>
      </c>
      <c r="L1052" s="133">
        <v>1</v>
      </c>
      <c r="M1052" s="134">
        <v>1</v>
      </c>
      <c r="N1052" s="133">
        <v>0.990430622009569</v>
      </c>
      <c r="O1052" s="135">
        <v>0.9</v>
      </c>
      <c r="P1052" s="133">
        <v>0.914461247637051</v>
      </c>
      <c r="Q1052" s="133">
        <v>0.937833037300178</v>
      </c>
      <c r="R1052" s="133">
        <v>0.95209778658738</v>
      </c>
      <c r="S1052" s="133">
        <v>0.958485822486714</v>
      </c>
      <c r="T1052" s="135">
        <v>0.9</v>
      </c>
      <c r="U1052" s="133">
        <v>0.936200378071834</v>
      </c>
      <c r="V1052" s="133">
        <v>0.91651865008881</v>
      </c>
      <c r="W1052" s="133">
        <v>0.907168814007268</v>
      </c>
      <c r="X1052" s="133">
        <v>0.897081755402094</v>
      </c>
      <c r="Y1052" s="135">
        <v>0.92</v>
      </c>
      <c r="Z1052" s="135" t="s">
        <v>35</v>
      </c>
      <c r="AA1052" s="135" t="s">
        <v>35</v>
      </c>
      <c r="AB1052" s="135" t="s">
        <v>35</v>
      </c>
      <c r="AC1052" s="135" t="s">
        <v>35</v>
      </c>
      <c r="AD1052" s="135">
        <v>0.92</v>
      </c>
      <c r="AE1052" s="133">
        <v>0.999270072992701</v>
      </c>
      <c r="AF1052" s="133">
        <v>0.988522238163558</v>
      </c>
      <c r="AG1052" s="133">
        <v>0.996907216494845</v>
      </c>
      <c r="AH1052" s="133">
        <v>0.975935791684634</v>
      </c>
      <c r="AI1052" s="135">
        <v>0.92</v>
      </c>
      <c r="AJ1052" s="133">
        <v>0.977315689981096</v>
      </c>
      <c r="AK1052" s="133">
        <v>0.969804618117229</v>
      </c>
      <c r="AL1052" s="133">
        <v>0.978196233894945</v>
      </c>
      <c r="AM1052" s="133">
        <v>0.976913285600636</v>
      </c>
      <c r="AN1052" s="132">
        <v>0.99</v>
      </c>
      <c r="AO1052" s="137">
        <v>1</v>
      </c>
      <c r="AP1052" s="137">
        <v>1</v>
      </c>
      <c r="AQ1052" s="137">
        <v>1</v>
      </c>
      <c r="AR1052" s="137">
        <v>1</v>
      </c>
      <c r="AS1052" s="158">
        <v>0.0656418488929858</v>
      </c>
      <c r="AT1052" s="141">
        <v>0</v>
      </c>
      <c r="AU1052" s="141">
        <v>0.166666666666667</v>
      </c>
      <c r="AV1052" s="141">
        <v>0</v>
      </c>
      <c r="AW1052" s="141">
        <v>0.0324675324675325</v>
      </c>
      <c r="AX1052" s="95"/>
      <c r="AY1052" s="93"/>
    </row>
    <row r="1053" ht="15" spans="1:51">
      <c r="A1053" s="91"/>
      <c r="B1053" s="95"/>
      <c r="C1053" s="180" t="s">
        <v>927</v>
      </c>
      <c r="D1053" s="181" t="s">
        <v>25</v>
      </c>
      <c r="E1053" s="130" t="s">
        <v>928</v>
      </c>
      <c r="F1053" s="184" t="s">
        <v>1082</v>
      </c>
      <c r="G1053" s="185" t="s">
        <v>1082</v>
      </c>
      <c r="H1053" s="185" t="s">
        <v>1082</v>
      </c>
      <c r="I1053" s="185" t="s">
        <v>1082</v>
      </c>
      <c r="J1053" s="132">
        <v>0.9</v>
      </c>
      <c r="K1053" s="133">
        <v>0.797101449275362</v>
      </c>
      <c r="L1053" s="133">
        <v>0.8125</v>
      </c>
      <c r="M1053" s="134">
        <v>0.833333333333333</v>
      </c>
      <c r="N1053" s="133">
        <v>0.858695652173913</v>
      </c>
      <c r="O1053" s="135">
        <v>0.9</v>
      </c>
      <c r="P1053" s="133">
        <v>0.960509223174851</v>
      </c>
      <c r="Q1053" s="133">
        <v>0.949152542372881</v>
      </c>
      <c r="R1053" s="133">
        <v>0.839082278481013</v>
      </c>
      <c r="S1053" s="133">
        <v>0.926892195917356</v>
      </c>
      <c r="T1053" s="135">
        <v>0.9</v>
      </c>
      <c r="U1053" s="133">
        <v>0.899714211483502</v>
      </c>
      <c r="V1053" s="133">
        <v>0.896728419392984</v>
      </c>
      <c r="W1053" s="133">
        <v>0.900158227848101</v>
      </c>
      <c r="X1053" s="133">
        <v>0.891122623789965</v>
      </c>
      <c r="Y1053" s="135">
        <v>0.92</v>
      </c>
      <c r="Z1053" s="135" t="s">
        <v>35</v>
      </c>
      <c r="AA1053" s="135" t="s">
        <v>35</v>
      </c>
      <c r="AB1053" s="135" t="s">
        <v>35</v>
      </c>
      <c r="AC1053" s="135">
        <v>1</v>
      </c>
      <c r="AD1053" s="135">
        <v>0.92</v>
      </c>
      <c r="AE1053" s="133">
        <v>0.962389380530973</v>
      </c>
      <c r="AF1053" s="133">
        <v>0.9625</v>
      </c>
      <c r="AG1053" s="133">
        <v>0.964150943396226</v>
      </c>
      <c r="AH1053" s="133">
        <v>0.968816334782169</v>
      </c>
      <c r="AI1053" s="135">
        <v>0.92</v>
      </c>
      <c r="AJ1053" s="133">
        <v>0.945180566380878</v>
      </c>
      <c r="AK1053" s="133">
        <v>0.940875049270792</v>
      </c>
      <c r="AL1053" s="133">
        <v>0.949208860759494</v>
      </c>
      <c r="AM1053" s="133">
        <v>0.950010835801488</v>
      </c>
      <c r="AN1053" s="132">
        <v>0.99</v>
      </c>
      <c r="AO1053" s="137">
        <v>1</v>
      </c>
      <c r="AP1053" s="137">
        <v>1</v>
      </c>
      <c r="AQ1053" s="137">
        <v>1</v>
      </c>
      <c r="AR1053" s="137">
        <v>1</v>
      </c>
      <c r="AS1053" s="158">
        <v>0.0656418488929858</v>
      </c>
      <c r="AT1053" s="141">
        <v>0.0357142857142857</v>
      </c>
      <c r="AU1053" s="141">
        <v>0.0476190476190476</v>
      </c>
      <c r="AV1053" s="141">
        <v>0.0454545454545455</v>
      </c>
      <c r="AW1053" s="141">
        <v>0.0304347826086957</v>
      </c>
      <c r="AX1053" s="95"/>
      <c r="AY1053" s="93"/>
    </row>
    <row r="1054" ht="15" spans="1:51">
      <c r="A1054" s="91"/>
      <c r="B1054" s="95"/>
      <c r="C1054" s="180" t="s">
        <v>927</v>
      </c>
      <c r="D1054" s="181" t="s">
        <v>25</v>
      </c>
      <c r="E1054" s="130" t="s">
        <v>928</v>
      </c>
      <c r="F1054" s="184" t="s">
        <v>1083</v>
      </c>
      <c r="G1054" s="185" t="s">
        <v>1083</v>
      </c>
      <c r="H1054" s="185" t="s">
        <v>1083</v>
      </c>
      <c r="I1054" s="185" t="s">
        <v>1083</v>
      </c>
      <c r="J1054" s="132">
        <v>0.9</v>
      </c>
      <c r="K1054" s="133">
        <v>0.956521739130435</v>
      </c>
      <c r="L1054" s="133">
        <v>0.972972972972973</v>
      </c>
      <c r="M1054" s="134">
        <v>1</v>
      </c>
      <c r="N1054" s="133">
        <v>0.980606060606061</v>
      </c>
      <c r="O1054" s="135">
        <v>0.9</v>
      </c>
      <c r="P1054" s="133">
        <v>0.968869123252859</v>
      </c>
      <c r="Q1054" s="133">
        <v>0.927411652340019</v>
      </c>
      <c r="R1054" s="133">
        <v>0.955401387512388</v>
      </c>
      <c r="S1054" s="133">
        <v>0.966194437223811</v>
      </c>
      <c r="T1054" s="135">
        <v>0.9</v>
      </c>
      <c r="U1054" s="133">
        <v>0.936785260482846</v>
      </c>
      <c r="V1054" s="133">
        <v>0.905444126074499</v>
      </c>
      <c r="W1054" s="133">
        <v>0.927254707631318</v>
      </c>
      <c r="X1054" s="133">
        <v>0.928463737977645</v>
      </c>
      <c r="Y1054" s="135">
        <v>0.92</v>
      </c>
      <c r="Z1054" s="135" t="s">
        <v>35</v>
      </c>
      <c r="AA1054" s="135" t="s">
        <v>35</v>
      </c>
      <c r="AB1054" s="135" t="s">
        <v>35</v>
      </c>
      <c r="AC1054" s="135" t="s">
        <v>35</v>
      </c>
      <c r="AD1054" s="135">
        <v>0.92</v>
      </c>
      <c r="AE1054" s="133">
        <v>1</v>
      </c>
      <c r="AF1054" s="133">
        <v>0.996039603960396</v>
      </c>
      <c r="AG1054" s="133">
        <v>0.981566820276498</v>
      </c>
      <c r="AH1054" s="133">
        <v>0.995279228605866</v>
      </c>
      <c r="AI1054" s="135">
        <v>0.92</v>
      </c>
      <c r="AJ1054" s="133">
        <v>0.947268106734435</v>
      </c>
      <c r="AK1054" s="133">
        <v>0.917860553963706</v>
      </c>
      <c r="AL1054" s="133">
        <v>0.961744301288404</v>
      </c>
      <c r="AM1054" s="133">
        <v>0.956513263064866</v>
      </c>
      <c r="AN1054" s="132">
        <v>0.99</v>
      </c>
      <c r="AO1054" s="137">
        <v>1</v>
      </c>
      <c r="AP1054" s="137">
        <v>1</v>
      </c>
      <c r="AQ1054" s="137">
        <v>1</v>
      </c>
      <c r="AR1054" s="137">
        <v>1</v>
      </c>
      <c r="AS1054" s="158">
        <v>0.0656418488929858</v>
      </c>
      <c r="AT1054" s="141">
        <v>0</v>
      </c>
      <c r="AU1054" s="141">
        <v>0.0625</v>
      </c>
      <c r="AV1054" s="141">
        <v>0</v>
      </c>
      <c r="AW1054" s="141">
        <v>0.043010752688172</v>
      </c>
      <c r="AX1054" s="95"/>
      <c r="AY1054" s="93"/>
    </row>
    <row r="1055" ht="15" spans="1:51">
      <c r="A1055" s="91"/>
      <c r="B1055" s="95"/>
      <c r="C1055" s="180" t="s">
        <v>927</v>
      </c>
      <c r="D1055" s="181" t="s">
        <v>25</v>
      </c>
      <c r="E1055" s="130" t="s">
        <v>928</v>
      </c>
      <c r="F1055" s="184" t="s">
        <v>1084</v>
      </c>
      <c r="G1055" s="185" t="s">
        <v>1084</v>
      </c>
      <c r="H1055" s="185" t="s">
        <v>1084</v>
      </c>
      <c r="I1055" s="185" t="s">
        <v>1084</v>
      </c>
      <c r="J1055" s="132">
        <v>0.9</v>
      </c>
      <c r="K1055" s="133">
        <v>1</v>
      </c>
      <c r="L1055" s="133">
        <v>1</v>
      </c>
      <c r="M1055" s="134">
        <v>0.933333333333333</v>
      </c>
      <c r="N1055" s="133">
        <v>0.941278065630397</v>
      </c>
      <c r="O1055" s="135">
        <v>0.9</v>
      </c>
      <c r="P1055" s="133">
        <v>0.966955579631636</v>
      </c>
      <c r="Q1055" s="133">
        <v>0.981178396072013</v>
      </c>
      <c r="R1055" s="133">
        <v>0.8919284025667</v>
      </c>
      <c r="S1055" s="133">
        <v>0.951919836437574</v>
      </c>
      <c r="T1055" s="135">
        <v>0.9</v>
      </c>
      <c r="U1055" s="133">
        <v>0.897074756229686</v>
      </c>
      <c r="V1055" s="133">
        <v>0.927168576104746</v>
      </c>
      <c r="W1055" s="133">
        <v>0.920634920634921</v>
      </c>
      <c r="X1055" s="133">
        <v>0.89644790941158</v>
      </c>
      <c r="Y1055" s="135">
        <v>0.92</v>
      </c>
      <c r="Z1055" s="135" t="s">
        <v>35</v>
      </c>
      <c r="AA1055" s="135" t="s">
        <v>35</v>
      </c>
      <c r="AB1055" s="135" t="s">
        <v>35</v>
      </c>
      <c r="AC1055" s="135" t="s">
        <v>35</v>
      </c>
      <c r="AD1055" s="135">
        <v>0.92</v>
      </c>
      <c r="AE1055" s="133">
        <v>1</v>
      </c>
      <c r="AF1055" s="133">
        <v>0.996296296296296</v>
      </c>
      <c r="AG1055" s="133">
        <v>0.934959349593496</v>
      </c>
      <c r="AH1055" s="133">
        <v>0.980333027402648</v>
      </c>
      <c r="AI1055" s="135">
        <v>0.92</v>
      </c>
      <c r="AJ1055" s="133">
        <v>0.944745395449621</v>
      </c>
      <c r="AK1055" s="133">
        <v>0.946808510638298</v>
      </c>
      <c r="AL1055" s="133">
        <v>0.964876730834178</v>
      </c>
      <c r="AM1055" s="133">
        <v>0.963132708768619</v>
      </c>
      <c r="AN1055" s="132">
        <v>0.99</v>
      </c>
      <c r="AO1055" s="137">
        <v>1</v>
      </c>
      <c r="AP1055" s="137">
        <v>1</v>
      </c>
      <c r="AQ1055" s="137">
        <v>1</v>
      </c>
      <c r="AR1055" s="137">
        <v>1</v>
      </c>
      <c r="AS1055" s="158">
        <v>0.0656418488929858</v>
      </c>
      <c r="AT1055" s="141">
        <v>0</v>
      </c>
      <c r="AU1055" s="141">
        <v>0.25</v>
      </c>
      <c r="AV1055" s="141">
        <v>0</v>
      </c>
      <c r="AW1055" s="141">
        <v>0.0523809523809524</v>
      </c>
      <c r="AX1055" s="95"/>
      <c r="AY1055" s="93"/>
    </row>
    <row r="1056" ht="15" spans="1:51">
      <c r="A1056" s="91"/>
      <c r="B1056" s="95"/>
      <c r="C1056" s="155"/>
      <c r="D1056" s="153"/>
      <c r="E1056" s="156"/>
      <c r="F1056" s="156"/>
      <c r="G1056" s="156"/>
      <c r="H1056" s="156"/>
      <c r="I1056" s="156"/>
      <c r="J1056" s="146"/>
      <c r="K1056" s="194"/>
      <c r="L1056" s="194"/>
      <c r="M1056" s="194"/>
      <c r="N1056" s="194"/>
      <c r="O1056" s="150"/>
      <c r="P1056" s="147"/>
      <c r="Q1056" s="147"/>
      <c r="R1056" s="133"/>
      <c r="S1056" s="147"/>
      <c r="T1056" s="150"/>
      <c r="U1056" s="147"/>
      <c r="V1056" s="147"/>
      <c r="W1056" s="133"/>
      <c r="X1056" s="147"/>
      <c r="Y1056" s="150"/>
      <c r="Z1056" s="150"/>
      <c r="AA1056" s="150"/>
      <c r="AB1056" s="135"/>
      <c r="AC1056" s="150"/>
      <c r="AD1056" s="147"/>
      <c r="AE1056" s="147"/>
      <c r="AF1056" s="147"/>
      <c r="AG1056" s="133"/>
      <c r="AH1056" s="147"/>
      <c r="AI1056" s="147"/>
      <c r="AJ1056" s="147"/>
      <c r="AK1056" s="147"/>
      <c r="AL1056" s="133"/>
      <c r="AM1056" s="147"/>
      <c r="AN1056" s="146"/>
      <c r="AO1056" s="146"/>
      <c r="AP1056" s="146"/>
      <c r="AQ1056" s="137"/>
      <c r="AR1056" s="146"/>
      <c r="AS1056" s="147"/>
      <c r="AT1056" s="146"/>
      <c r="AU1056" s="146"/>
      <c r="AV1056" s="141"/>
      <c r="AW1056" s="146"/>
      <c r="AX1056" s="95"/>
      <c r="AY1056" s="93"/>
    </row>
    <row r="1057" ht="15" spans="1:51">
      <c r="A1057" s="91"/>
      <c r="B1057" s="95"/>
      <c r="C1057" s="152" t="s">
        <v>1085</v>
      </c>
      <c r="D1057" s="153" t="s">
        <v>25</v>
      </c>
      <c r="E1057" s="130" t="s">
        <v>1086</v>
      </c>
      <c r="F1057" s="195" t="s">
        <v>1087</v>
      </c>
      <c r="G1057" s="195" t="s">
        <v>1087</v>
      </c>
      <c r="H1057" s="195" t="s">
        <v>1087</v>
      </c>
      <c r="I1057" s="195" t="s">
        <v>1087</v>
      </c>
      <c r="J1057" s="132">
        <v>0.9</v>
      </c>
      <c r="K1057" s="133">
        <v>0.96551724137931</v>
      </c>
      <c r="L1057" s="133">
        <v>0.961538461538462</v>
      </c>
      <c r="M1057" s="134">
        <v>0.931034482758621</v>
      </c>
      <c r="N1057" s="133">
        <v>0.949532710280374</v>
      </c>
      <c r="O1057" s="135">
        <v>0.9</v>
      </c>
      <c r="P1057" s="133">
        <v>0.991391678622669</v>
      </c>
      <c r="Q1057" s="133">
        <v>0.871116225546605</v>
      </c>
      <c r="R1057" s="133">
        <v>0.913294797687861</v>
      </c>
      <c r="S1057" s="133">
        <v>0.965196591418747</v>
      </c>
      <c r="T1057" s="135">
        <v>0.9</v>
      </c>
      <c r="U1057" s="133">
        <v>0.936154949784792</v>
      </c>
      <c r="V1057" s="133">
        <v>0.833141542002302</v>
      </c>
      <c r="W1057" s="133">
        <v>0.943247503941146</v>
      </c>
      <c r="X1057" s="133">
        <v>0.926356705038122</v>
      </c>
      <c r="Y1057" s="135">
        <v>0.92</v>
      </c>
      <c r="Z1057" s="135">
        <v>0.951412429378531</v>
      </c>
      <c r="AA1057" s="135">
        <v>0.958955223880597</v>
      </c>
      <c r="AB1057" s="135">
        <v>0.960806270996641</v>
      </c>
      <c r="AC1057" s="135">
        <v>0.956153050672182</v>
      </c>
      <c r="AD1057" s="135">
        <v>0.92</v>
      </c>
      <c r="AE1057" s="133">
        <v>0.99862258953168</v>
      </c>
      <c r="AF1057" s="133">
        <v>1</v>
      </c>
      <c r="AG1057" s="133">
        <v>0.999128919860627</v>
      </c>
      <c r="AH1057" s="133">
        <v>0.996800332432994</v>
      </c>
      <c r="AI1057" s="135">
        <v>0.92</v>
      </c>
      <c r="AJ1057" s="133">
        <v>0.972356296621325</v>
      </c>
      <c r="AK1057" s="133">
        <v>0.898932384341637</v>
      </c>
      <c r="AL1057" s="133">
        <v>0.977118341079728</v>
      </c>
      <c r="AM1057" s="133">
        <v>0.970903029040141</v>
      </c>
      <c r="AN1057" s="132">
        <v>0.99</v>
      </c>
      <c r="AO1057" s="137">
        <v>1</v>
      </c>
      <c r="AP1057" s="137">
        <v>1</v>
      </c>
      <c r="AQ1057" s="137">
        <v>1</v>
      </c>
      <c r="AR1057" s="137">
        <v>1</v>
      </c>
      <c r="AS1057" s="158">
        <v>0.0721861525408278</v>
      </c>
      <c r="AT1057" s="141">
        <v>0</v>
      </c>
      <c r="AU1057" s="141">
        <v>0.125</v>
      </c>
      <c r="AV1057" s="141">
        <v>0.111111111111111</v>
      </c>
      <c r="AW1057" s="141">
        <v>0.0816326530612245</v>
      </c>
      <c r="AX1057" s="95"/>
      <c r="AY1057" s="93"/>
    </row>
    <row r="1058" ht="15" spans="1:51">
      <c r="A1058" s="91"/>
      <c r="B1058" s="95"/>
      <c r="C1058" s="152" t="s">
        <v>1085</v>
      </c>
      <c r="D1058" s="153" t="s">
        <v>25</v>
      </c>
      <c r="E1058" s="130" t="s">
        <v>1086</v>
      </c>
      <c r="F1058" s="195" t="s">
        <v>1088</v>
      </c>
      <c r="G1058" s="195" t="s">
        <v>1088</v>
      </c>
      <c r="H1058" s="195" t="s">
        <v>1088</v>
      </c>
      <c r="I1058" s="195" t="s">
        <v>1088</v>
      </c>
      <c r="J1058" s="132">
        <v>0.9</v>
      </c>
      <c r="K1058" s="133">
        <v>0.893617021276596</v>
      </c>
      <c r="L1058" s="133">
        <v>0.894736842105263</v>
      </c>
      <c r="M1058" s="134">
        <v>0.863636363636364</v>
      </c>
      <c r="N1058" s="133">
        <v>0.919261822376009</v>
      </c>
      <c r="O1058" s="135">
        <v>0.9</v>
      </c>
      <c r="P1058" s="133">
        <v>0.991803278688525</v>
      </c>
      <c r="Q1058" s="133">
        <v>0.98705035971223</v>
      </c>
      <c r="R1058" s="133">
        <v>0.961681926076636</v>
      </c>
      <c r="S1058" s="133">
        <v>0.979735665229197</v>
      </c>
      <c r="T1058" s="135">
        <v>0.9</v>
      </c>
      <c r="U1058" s="133">
        <v>0.915444348576359</v>
      </c>
      <c r="V1058" s="133">
        <v>0.941726618705036</v>
      </c>
      <c r="W1058" s="133">
        <v>0.891488640217023</v>
      </c>
      <c r="X1058" s="133">
        <v>0.902132247244849</v>
      </c>
      <c r="Y1058" s="135">
        <v>0.92</v>
      </c>
      <c r="Z1058" s="135">
        <v>0.966463414634146</v>
      </c>
      <c r="AA1058" s="135">
        <v>0.955528846153846</v>
      </c>
      <c r="AB1058" s="135">
        <v>0.944193061840121</v>
      </c>
      <c r="AC1058" s="135">
        <v>0.946647189760712</v>
      </c>
      <c r="AD1058" s="135">
        <v>0.92</v>
      </c>
      <c r="AE1058" s="133">
        <v>0.803223070398643</v>
      </c>
      <c r="AF1058" s="133">
        <v>0.847211611917494</v>
      </c>
      <c r="AG1058" s="133">
        <v>0.980645161290323</v>
      </c>
      <c r="AH1058" s="133">
        <v>0.884562458590286</v>
      </c>
      <c r="AI1058" s="135">
        <v>0.92</v>
      </c>
      <c r="AJ1058" s="133">
        <v>0.976859504132231</v>
      </c>
      <c r="AK1058" s="133">
        <v>0.972997299729973</v>
      </c>
      <c r="AL1058" s="133">
        <v>0.968654970760234</v>
      </c>
      <c r="AM1058" s="133">
        <v>0.967529173008625</v>
      </c>
      <c r="AN1058" s="132">
        <v>0.99</v>
      </c>
      <c r="AO1058" s="137">
        <v>1</v>
      </c>
      <c r="AP1058" s="137">
        <v>1</v>
      </c>
      <c r="AQ1058" s="137">
        <v>1</v>
      </c>
      <c r="AR1058" s="137">
        <v>1</v>
      </c>
      <c r="AS1058" s="158">
        <v>0.0721861525408278</v>
      </c>
      <c r="AT1058" s="141">
        <v>0</v>
      </c>
      <c r="AU1058" s="141">
        <v>0.285714285714286</v>
      </c>
      <c r="AV1058" s="141">
        <v>0.0714285714285714</v>
      </c>
      <c r="AW1058" s="141">
        <v>0.0452488687782805</v>
      </c>
      <c r="AX1058" s="95"/>
      <c r="AY1058" s="93"/>
    </row>
    <row r="1059" ht="15" spans="1:51">
      <c r="A1059" s="91"/>
      <c r="B1059" s="95"/>
      <c r="C1059" s="152" t="s">
        <v>1085</v>
      </c>
      <c r="D1059" s="153" t="s">
        <v>25</v>
      </c>
      <c r="E1059" s="130" t="s">
        <v>1086</v>
      </c>
      <c r="F1059" s="195" t="s">
        <v>1089</v>
      </c>
      <c r="G1059" s="195" t="s">
        <v>1089</v>
      </c>
      <c r="H1059" s="195" t="s">
        <v>1089</v>
      </c>
      <c r="I1059" s="195" t="s">
        <v>1089</v>
      </c>
      <c r="J1059" s="132">
        <v>0.9</v>
      </c>
      <c r="K1059" s="133">
        <v>0.836734693877551</v>
      </c>
      <c r="L1059" s="133">
        <v>0.875</v>
      </c>
      <c r="M1059" s="134">
        <v>0.86046511627907</v>
      </c>
      <c r="N1059" s="133">
        <v>0.838672768878719</v>
      </c>
      <c r="O1059" s="135">
        <v>0.9</v>
      </c>
      <c r="P1059" s="133">
        <v>0.972378516624041</v>
      </c>
      <c r="Q1059" s="133">
        <v>0.950038431975403</v>
      </c>
      <c r="R1059" s="133">
        <v>0.90144596651446</v>
      </c>
      <c r="S1059" s="133">
        <v>0.94967774979726</v>
      </c>
      <c r="T1059" s="135">
        <v>0.9</v>
      </c>
      <c r="U1059" s="133">
        <v>0.953964194373402</v>
      </c>
      <c r="V1059" s="133">
        <v>0.947732513451191</v>
      </c>
      <c r="W1059" s="133">
        <v>0.930365296803653</v>
      </c>
      <c r="X1059" s="133">
        <v>0.943040676085194</v>
      </c>
      <c r="Y1059" s="135">
        <v>0.92</v>
      </c>
      <c r="Z1059" s="135">
        <v>0.94156378600823</v>
      </c>
      <c r="AA1059" s="135">
        <v>0.931787175989086</v>
      </c>
      <c r="AB1059" s="135">
        <v>0.926558497011102</v>
      </c>
      <c r="AC1059" s="135">
        <v>0.956430666108085</v>
      </c>
      <c r="AD1059" s="135">
        <v>0.92</v>
      </c>
      <c r="AE1059" s="133">
        <v>0.991853360488798</v>
      </c>
      <c r="AF1059" s="133">
        <v>0.987988912842624</v>
      </c>
      <c r="AG1059" s="133">
        <v>0.991341991341991</v>
      </c>
      <c r="AH1059" s="133">
        <v>0.979420018709074</v>
      </c>
      <c r="AI1059" s="135">
        <v>0.92</v>
      </c>
      <c r="AJ1059" s="133">
        <v>0.962145110410095</v>
      </c>
      <c r="AK1059" s="133">
        <v>0.96165191740413</v>
      </c>
      <c r="AL1059" s="133">
        <v>0.950513292971835</v>
      </c>
      <c r="AM1059" s="133">
        <v>0.972879455127328</v>
      </c>
      <c r="AN1059" s="132">
        <v>0.99</v>
      </c>
      <c r="AO1059" s="137">
        <v>1</v>
      </c>
      <c r="AP1059" s="137">
        <v>1</v>
      </c>
      <c r="AQ1059" s="137">
        <v>1</v>
      </c>
      <c r="AR1059" s="137">
        <v>1</v>
      </c>
      <c r="AS1059" s="158">
        <v>0.0721861525408278</v>
      </c>
      <c r="AT1059" s="141">
        <v>0</v>
      </c>
      <c r="AU1059" s="141">
        <v>0</v>
      </c>
      <c r="AV1059" s="141">
        <v>0</v>
      </c>
      <c r="AW1059" s="141">
        <v>0.00900900900900901</v>
      </c>
      <c r="AX1059" s="95"/>
      <c r="AY1059" s="93"/>
    </row>
    <row r="1060" ht="15" spans="1:51">
      <c r="A1060" s="91"/>
      <c r="B1060" s="95"/>
      <c r="C1060" s="152" t="s">
        <v>1085</v>
      </c>
      <c r="D1060" s="153" t="s">
        <v>25</v>
      </c>
      <c r="E1060" s="130" t="s">
        <v>1086</v>
      </c>
      <c r="F1060" s="195" t="s">
        <v>1090</v>
      </c>
      <c r="G1060" s="195" t="s">
        <v>1090</v>
      </c>
      <c r="H1060" s="195" t="s">
        <v>1090</v>
      </c>
      <c r="I1060" s="195" t="s">
        <v>1090</v>
      </c>
      <c r="J1060" s="132">
        <v>0.9</v>
      </c>
      <c r="K1060" s="133">
        <v>0.91304347826087</v>
      </c>
      <c r="L1060" s="133">
        <v>0.878787878787879</v>
      </c>
      <c r="M1060" s="134">
        <v>0.934782608695652</v>
      </c>
      <c r="N1060" s="133">
        <v>0.929181929181929</v>
      </c>
      <c r="O1060" s="135">
        <v>0.9</v>
      </c>
      <c r="P1060" s="133">
        <v>0.959718420023465</v>
      </c>
      <c r="Q1060" s="133">
        <v>0.964114832535885</v>
      </c>
      <c r="R1060" s="133">
        <v>0.970579405583909</v>
      </c>
      <c r="S1060" s="133">
        <v>0.95582947206469</v>
      </c>
      <c r="T1060" s="135">
        <v>0.9</v>
      </c>
      <c r="U1060" s="133">
        <v>0.929996089166993</v>
      </c>
      <c r="V1060" s="133">
        <v>0.939593301435407</v>
      </c>
      <c r="W1060" s="133">
        <v>0.943260282197538</v>
      </c>
      <c r="X1060" s="133">
        <v>0.937259602483139</v>
      </c>
      <c r="Y1060" s="135">
        <v>0.92</v>
      </c>
      <c r="Z1060" s="135">
        <v>0.947271612507664</v>
      </c>
      <c r="AA1060" s="135">
        <v>0.947312961011591</v>
      </c>
      <c r="AB1060" s="135">
        <v>0.961594202898551</v>
      </c>
      <c r="AC1060" s="135">
        <v>0.956680434156181</v>
      </c>
      <c r="AD1060" s="135">
        <v>0.92</v>
      </c>
      <c r="AE1060" s="133">
        <v>0.993346007604563</v>
      </c>
      <c r="AF1060" s="133">
        <v>0.993649449618967</v>
      </c>
      <c r="AG1060" s="133">
        <v>0.990811638591118</v>
      </c>
      <c r="AH1060" s="133">
        <v>0.99043123245726</v>
      </c>
      <c r="AI1060" s="135">
        <v>0.92</v>
      </c>
      <c r="AJ1060" s="133">
        <v>0.96251193887297</v>
      </c>
      <c r="AK1060" s="133">
        <v>0.967569629912247</v>
      </c>
      <c r="AL1060" s="133">
        <v>0.977711738484398</v>
      </c>
      <c r="AM1060" s="133">
        <v>0.974695310886181</v>
      </c>
      <c r="AN1060" s="132">
        <v>0.99</v>
      </c>
      <c r="AO1060" s="137">
        <v>1</v>
      </c>
      <c r="AP1060" s="137">
        <v>1</v>
      </c>
      <c r="AQ1060" s="137">
        <v>1</v>
      </c>
      <c r="AR1060" s="137">
        <v>1</v>
      </c>
      <c r="AS1060" s="158">
        <v>0.0721861525408278</v>
      </c>
      <c r="AT1060" s="141">
        <v>0.032258064516129</v>
      </c>
      <c r="AU1060" s="141">
        <v>0</v>
      </c>
      <c r="AV1060" s="141">
        <v>0</v>
      </c>
      <c r="AW1060" s="141">
        <v>0.0205882352941176</v>
      </c>
      <c r="AX1060" s="95"/>
      <c r="AY1060" s="93"/>
    </row>
    <row r="1061" ht="15" spans="1:51">
      <c r="A1061" s="91"/>
      <c r="B1061" s="95"/>
      <c r="C1061" s="152" t="s">
        <v>1085</v>
      </c>
      <c r="D1061" s="153" t="s">
        <v>25</v>
      </c>
      <c r="E1061" s="130" t="s">
        <v>1086</v>
      </c>
      <c r="F1061" s="195" t="s">
        <v>1091</v>
      </c>
      <c r="G1061" s="195" t="s">
        <v>1091</v>
      </c>
      <c r="H1061" s="195" t="s">
        <v>1091</v>
      </c>
      <c r="I1061" s="195" t="s">
        <v>1091</v>
      </c>
      <c r="J1061" s="132">
        <v>0.9</v>
      </c>
      <c r="K1061" s="133">
        <v>0.941176470588235</v>
      </c>
      <c r="L1061" s="133">
        <v>0.911111111111111</v>
      </c>
      <c r="M1061" s="134">
        <v>0.958333333333333</v>
      </c>
      <c r="N1061" s="133">
        <v>0.935738444193912</v>
      </c>
      <c r="O1061" s="135">
        <v>0.9</v>
      </c>
      <c r="P1061" s="133">
        <v>0.954031650339111</v>
      </c>
      <c r="Q1061" s="133">
        <v>0.974416017797553</v>
      </c>
      <c r="R1061" s="133">
        <v>0.924655608658982</v>
      </c>
      <c r="S1061" s="133">
        <v>0.969736761741892</v>
      </c>
      <c r="T1061" s="135">
        <v>0.9</v>
      </c>
      <c r="U1061" s="133">
        <v>0.924642049736247</v>
      </c>
      <c r="V1061" s="133">
        <v>0.906562847608454</v>
      </c>
      <c r="W1061" s="133">
        <v>0.908912004498173</v>
      </c>
      <c r="X1061" s="133">
        <v>0.91673792218897</v>
      </c>
      <c r="Y1061" s="135">
        <v>0.92</v>
      </c>
      <c r="Z1061" s="135">
        <v>0.925061425061425</v>
      </c>
      <c r="AA1061" s="135">
        <v>0.921157684630739</v>
      </c>
      <c r="AB1061" s="135">
        <v>0.907673860911271</v>
      </c>
      <c r="AC1061" s="135">
        <v>0.937870292001693</v>
      </c>
      <c r="AD1061" s="135">
        <v>0.92</v>
      </c>
      <c r="AE1061" s="133">
        <v>0.932811480756686</v>
      </c>
      <c r="AF1061" s="133">
        <v>0.956614509246088</v>
      </c>
      <c r="AG1061" s="133">
        <v>0.991469194312796</v>
      </c>
      <c r="AH1061" s="133">
        <v>0.96812085616542</v>
      </c>
      <c r="AI1061" s="135">
        <v>0.92</v>
      </c>
      <c r="AJ1061" s="133">
        <v>0.948622139187296</v>
      </c>
      <c r="AK1061" s="133">
        <v>0.948571428571429</v>
      </c>
      <c r="AL1061" s="133">
        <v>0.944114832535885</v>
      </c>
      <c r="AM1061" s="133">
        <v>0.961002381090656</v>
      </c>
      <c r="AN1061" s="132">
        <v>0.99</v>
      </c>
      <c r="AO1061" s="137">
        <v>1</v>
      </c>
      <c r="AP1061" s="137">
        <v>1</v>
      </c>
      <c r="AQ1061" s="137">
        <v>1</v>
      </c>
      <c r="AR1061" s="137">
        <v>1</v>
      </c>
      <c r="AS1061" s="158">
        <v>0.0721861525408278</v>
      </c>
      <c r="AT1061" s="141">
        <v>0.0333333333333333</v>
      </c>
      <c r="AU1061" s="141">
        <v>0</v>
      </c>
      <c r="AV1061" s="141">
        <v>0.024390243902439</v>
      </c>
      <c r="AW1061" s="141">
        <v>0.0225694444444444</v>
      </c>
      <c r="AX1061" s="95"/>
      <c r="AY1061" s="93"/>
    </row>
    <row r="1062" ht="15" spans="1:51">
      <c r="A1062" s="91"/>
      <c r="B1062" s="95"/>
      <c r="C1062" s="152" t="s">
        <v>1085</v>
      </c>
      <c r="D1062" s="153" t="s">
        <v>25</v>
      </c>
      <c r="E1062" s="130" t="s">
        <v>1086</v>
      </c>
      <c r="F1062" s="195" t="s">
        <v>1092</v>
      </c>
      <c r="G1062" s="195" t="s">
        <v>1092</v>
      </c>
      <c r="H1062" s="195" t="s">
        <v>1092</v>
      </c>
      <c r="I1062" s="195" t="s">
        <v>1092</v>
      </c>
      <c r="J1062" s="132">
        <v>0.9</v>
      </c>
      <c r="K1062" s="133">
        <v>1</v>
      </c>
      <c r="L1062" s="133">
        <v>1</v>
      </c>
      <c r="M1062" s="134">
        <v>0.947368421052632</v>
      </c>
      <c r="N1062" s="133">
        <v>0.976501305483029</v>
      </c>
      <c r="O1062" s="135">
        <v>0.9</v>
      </c>
      <c r="P1062" s="133">
        <v>0.993934142114385</v>
      </c>
      <c r="Q1062" s="133">
        <v>0.92751677852349</v>
      </c>
      <c r="R1062" s="133">
        <v>0.923285811269518</v>
      </c>
      <c r="S1062" s="133">
        <v>0.953349282296651</v>
      </c>
      <c r="T1062" s="135">
        <v>0.9</v>
      </c>
      <c r="U1062" s="133">
        <v>0.94107452339688</v>
      </c>
      <c r="V1062" s="133">
        <v>0.932885906040268</v>
      </c>
      <c r="W1062" s="133">
        <v>0.947046843177189</v>
      </c>
      <c r="X1062" s="133">
        <v>0.943201111282605</v>
      </c>
      <c r="Y1062" s="135">
        <v>0.92</v>
      </c>
      <c r="Z1062" s="135">
        <v>0.955137481910275</v>
      </c>
      <c r="AA1062" s="135">
        <v>0.942477876106195</v>
      </c>
      <c r="AB1062" s="135">
        <v>0.962790697674419</v>
      </c>
      <c r="AC1062" s="135">
        <v>0.960857220118983</v>
      </c>
      <c r="AD1062" s="135">
        <v>0.92</v>
      </c>
      <c r="AE1062" s="133">
        <v>1</v>
      </c>
      <c r="AF1062" s="133">
        <v>0.998470948012232</v>
      </c>
      <c r="AG1062" s="133">
        <v>0.997524752475248</v>
      </c>
      <c r="AH1062" s="133">
        <v>0.987291849255039</v>
      </c>
      <c r="AI1062" s="135">
        <v>0.92</v>
      </c>
      <c r="AJ1062" s="133">
        <v>0.974525745257453</v>
      </c>
      <c r="AK1062" s="133">
        <v>0.965747702589808</v>
      </c>
      <c r="AL1062" s="133">
        <v>0.978763567720623</v>
      </c>
      <c r="AM1062" s="133">
        <v>0.978139123599921</v>
      </c>
      <c r="AN1062" s="132">
        <v>0.99</v>
      </c>
      <c r="AO1062" s="137">
        <v>1</v>
      </c>
      <c r="AP1062" s="137">
        <v>1</v>
      </c>
      <c r="AQ1062" s="137">
        <v>1</v>
      </c>
      <c r="AR1062" s="137">
        <v>1</v>
      </c>
      <c r="AS1062" s="158">
        <v>0.0721861525408278</v>
      </c>
      <c r="AT1062" s="141">
        <v>0</v>
      </c>
      <c r="AU1062" s="141">
        <v>0.125</v>
      </c>
      <c r="AV1062" s="141">
        <v>0</v>
      </c>
      <c r="AW1062" s="141">
        <v>0.0380952380952381</v>
      </c>
      <c r="AX1062" s="95"/>
      <c r="AY1062" s="93"/>
    </row>
    <row r="1063" ht="15" spans="1:51">
      <c r="A1063" s="91"/>
      <c r="B1063" s="95"/>
      <c r="C1063" s="152" t="s">
        <v>1085</v>
      </c>
      <c r="D1063" s="153" t="s">
        <v>25</v>
      </c>
      <c r="E1063" s="130" t="s">
        <v>1086</v>
      </c>
      <c r="F1063" s="195" t="s">
        <v>1093</v>
      </c>
      <c r="G1063" s="195" t="s">
        <v>1093</v>
      </c>
      <c r="H1063" s="195" t="s">
        <v>1093</v>
      </c>
      <c r="I1063" s="195" t="s">
        <v>1093</v>
      </c>
      <c r="J1063" s="132">
        <v>0.9</v>
      </c>
      <c r="K1063" s="133">
        <v>0.958333333333333</v>
      </c>
      <c r="L1063" s="133">
        <v>0.888888888888889</v>
      </c>
      <c r="M1063" s="134">
        <v>0.976744186046512</v>
      </c>
      <c r="N1063" s="133">
        <v>0.953681710213777</v>
      </c>
      <c r="O1063" s="135">
        <v>0.9</v>
      </c>
      <c r="P1063" s="133">
        <v>0.986827661909989</v>
      </c>
      <c r="Q1063" s="133">
        <v>0.930232558139535</v>
      </c>
      <c r="R1063" s="133">
        <v>0.924651924651925</v>
      </c>
      <c r="S1063" s="133">
        <v>0.94329406599839</v>
      </c>
      <c r="T1063" s="135">
        <v>0.9</v>
      </c>
      <c r="U1063" s="133">
        <v>0.924259055982437</v>
      </c>
      <c r="V1063" s="133">
        <v>0.913006029285099</v>
      </c>
      <c r="W1063" s="133">
        <v>0.917280917280917</v>
      </c>
      <c r="X1063" s="133">
        <v>0.911489963659423</v>
      </c>
      <c r="Y1063" s="135">
        <v>0.92</v>
      </c>
      <c r="Z1063" s="135">
        <v>0.964695498676081</v>
      </c>
      <c r="AA1063" s="135">
        <v>0.962373371924747</v>
      </c>
      <c r="AB1063" s="135">
        <v>0.974336283185841</v>
      </c>
      <c r="AC1063" s="135">
        <v>0.975281091751781</v>
      </c>
      <c r="AD1063" s="135">
        <v>0.92</v>
      </c>
      <c r="AE1063" s="133">
        <v>0.988721804511278</v>
      </c>
      <c r="AF1063" s="133">
        <v>0.997894736842105</v>
      </c>
      <c r="AG1063" s="133">
        <v>0.991031390134529</v>
      </c>
      <c r="AH1063" s="133">
        <v>0.972163539207158</v>
      </c>
      <c r="AI1063" s="135">
        <v>0.92</v>
      </c>
      <c r="AJ1063" s="133">
        <v>0.973604060913706</v>
      </c>
      <c r="AK1063" s="133">
        <v>0.975715056664868</v>
      </c>
      <c r="AL1063" s="133">
        <v>0.984322508398656</v>
      </c>
      <c r="AM1063" s="133">
        <v>0.98389751552795</v>
      </c>
      <c r="AN1063" s="132">
        <v>0.99</v>
      </c>
      <c r="AO1063" s="137">
        <v>1</v>
      </c>
      <c r="AP1063" s="137">
        <v>1</v>
      </c>
      <c r="AQ1063" s="137">
        <v>1</v>
      </c>
      <c r="AR1063" s="137">
        <v>1</v>
      </c>
      <c r="AS1063" s="158">
        <v>0.0721861525408278</v>
      </c>
      <c r="AT1063" s="141">
        <v>0.1</v>
      </c>
      <c r="AU1063" s="141">
        <v>0</v>
      </c>
      <c r="AV1063" s="141">
        <v>0</v>
      </c>
      <c r="AW1063" s="141">
        <v>0.0318471337579618</v>
      </c>
      <c r="AX1063" s="95"/>
      <c r="AY1063" s="93"/>
    </row>
    <row r="1064" ht="15" spans="1:51">
      <c r="A1064" s="91"/>
      <c r="B1064" s="95"/>
      <c r="C1064" s="152" t="s">
        <v>1085</v>
      </c>
      <c r="D1064" s="153" t="s">
        <v>25</v>
      </c>
      <c r="E1064" s="130" t="s">
        <v>1086</v>
      </c>
      <c r="F1064" s="195" t="s">
        <v>1094</v>
      </c>
      <c r="G1064" s="195" t="s">
        <v>1094</v>
      </c>
      <c r="H1064" s="195" t="s">
        <v>1094</v>
      </c>
      <c r="I1064" s="195" t="s">
        <v>1094</v>
      </c>
      <c r="J1064" s="132">
        <v>0.9</v>
      </c>
      <c r="K1064" s="133">
        <v>0.929411764705882</v>
      </c>
      <c r="L1064" s="133">
        <v>0.895522388059702</v>
      </c>
      <c r="M1064" s="134">
        <v>0.88</v>
      </c>
      <c r="N1064" s="133">
        <v>0.888738127544098</v>
      </c>
      <c r="O1064" s="135">
        <v>0.9</v>
      </c>
      <c r="P1064" s="133">
        <v>0.978978388998035</v>
      </c>
      <c r="Q1064" s="133">
        <v>0.964943820224719</v>
      </c>
      <c r="R1064" s="133">
        <v>0.926071022368255</v>
      </c>
      <c r="S1064" s="133">
        <v>0.957466199676119</v>
      </c>
      <c r="T1064" s="135">
        <v>0.9</v>
      </c>
      <c r="U1064" s="133">
        <v>0.87229862475442</v>
      </c>
      <c r="V1064" s="133">
        <v>0.870337078651685</v>
      </c>
      <c r="W1064" s="133">
        <v>0.764059143182105</v>
      </c>
      <c r="X1064" s="133">
        <v>0.813640643241818</v>
      </c>
      <c r="Y1064" s="135">
        <v>0.92</v>
      </c>
      <c r="Z1064" s="135" t="s">
        <v>35</v>
      </c>
      <c r="AA1064" s="135">
        <v>0</v>
      </c>
      <c r="AB1064" s="135" t="s">
        <v>35</v>
      </c>
      <c r="AC1064" s="135">
        <v>0.8</v>
      </c>
      <c r="AD1064" s="135">
        <v>0.92</v>
      </c>
      <c r="AE1064" s="133">
        <v>0.998978288633461</v>
      </c>
      <c r="AF1064" s="133">
        <v>0.985812356979405</v>
      </c>
      <c r="AG1064" s="133">
        <v>0.997421731123389</v>
      </c>
      <c r="AH1064" s="133">
        <v>0.909094464579042</v>
      </c>
      <c r="AI1064" s="135">
        <v>0.92</v>
      </c>
      <c r="AJ1064" s="133">
        <v>0.946561886051081</v>
      </c>
      <c r="AK1064" s="133">
        <v>0.953942934172096</v>
      </c>
      <c r="AL1064" s="133">
        <v>0.936686465310249</v>
      </c>
      <c r="AM1064" s="133">
        <v>0.95429690442118</v>
      </c>
      <c r="AN1064" s="132">
        <v>0.99</v>
      </c>
      <c r="AO1064" s="137">
        <v>1</v>
      </c>
      <c r="AP1064" s="137">
        <v>1</v>
      </c>
      <c r="AQ1064" s="137">
        <v>1</v>
      </c>
      <c r="AR1064" s="137">
        <v>1</v>
      </c>
      <c r="AS1064" s="158">
        <v>0.0721861525408278</v>
      </c>
      <c r="AT1064" s="141">
        <v>0.0769230769230769</v>
      </c>
      <c r="AU1064" s="141">
        <v>0.05</v>
      </c>
      <c r="AV1064" s="141">
        <v>0.0434782608695652</v>
      </c>
      <c r="AW1064" s="141">
        <v>0.05</v>
      </c>
      <c r="AX1064" s="95"/>
      <c r="AY1064" s="93"/>
    </row>
    <row r="1065" ht="15" spans="1:51">
      <c r="A1065" s="91"/>
      <c r="B1065" s="95"/>
      <c r="C1065" s="152" t="s">
        <v>1085</v>
      </c>
      <c r="D1065" s="153" t="s">
        <v>25</v>
      </c>
      <c r="E1065" s="130" t="s">
        <v>1086</v>
      </c>
      <c r="F1065" s="195" t="s">
        <v>1095</v>
      </c>
      <c r="G1065" s="195" t="s">
        <v>1095</v>
      </c>
      <c r="H1065" s="195" t="s">
        <v>1095</v>
      </c>
      <c r="I1065" s="195" t="s">
        <v>1095</v>
      </c>
      <c r="J1065" s="132">
        <v>0.9</v>
      </c>
      <c r="K1065" s="133">
        <v>0.959183673469388</v>
      </c>
      <c r="L1065" s="133">
        <v>0.952380952380952</v>
      </c>
      <c r="M1065" s="134">
        <v>0.955555555555556</v>
      </c>
      <c r="N1065" s="133">
        <v>0.964732650739477</v>
      </c>
      <c r="O1065" s="135">
        <v>0.9</v>
      </c>
      <c r="P1065" s="133">
        <v>0.98414339882799</v>
      </c>
      <c r="Q1065" s="133">
        <v>0.991679667186687</v>
      </c>
      <c r="R1065" s="133">
        <v>0.976286715171113</v>
      </c>
      <c r="S1065" s="133">
        <v>0.972812601143597</v>
      </c>
      <c r="T1065" s="135">
        <v>0.9</v>
      </c>
      <c r="U1065" s="133">
        <v>0.95208548776284</v>
      </c>
      <c r="V1065" s="133">
        <v>0.965158606344254</v>
      </c>
      <c r="W1065" s="133">
        <v>0.946375639989221</v>
      </c>
      <c r="X1065" s="133">
        <v>0.951204475748655</v>
      </c>
      <c r="Y1065" s="135">
        <v>0.92</v>
      </c>
      <c r="Z1065" s="135">
        <v>0.946450060168472</v>
      </c>
      <c r="AA1065" s="135">
        <v>0.965953307392996</v>
      </c>
      <c r="AB1065" s="135">
        <v>0.929383602633154</v>
      </c>
      <c r="AC1065" s="135">
        <v>0.958791741720937</v>
      </c>
      <c r="AD1065" s="135">
        <v>0.92</v>
      </c>
      <c r="AE1065" s="133">
        <v>0.998499624906227</v>
      </c>
      <c r="AF1065" s="133">
        <v>0.992921649987796</v>
      </c>
      <c r="AG1065" s="133">
        <v>0.995584102769972</v>
      </c>
      <c r="AH1065" s="133">
        <v>0.99329088367759</v>
      </c>
      <c r="AI1065" s="135">
        <v>0.92</v>
      </c>
      <c r="AJ1065" s="133">
        <v>0.967346044269121</v>
      </c>
      <c r="AK1065" s="133">
        <v>0.973568281938326</v>
      </c>
      <c r="AL1065" s="133">
        <v>0.965075236856771</v>
      </c>
      <c r="AM1065" s="133">
        <v>0.975994771138268</v>
      </c>
      <c r="AN1065" s="132">
        <v>0.99</v>
      </c>
      <c r="AO1065" s="137">
        <v>1</v>
      </c>
      <c r="AP1065" s="137">
        <v>1</v>
      </c>
      <c r="AQ1065" s="137">
        <v>1</v>
      </c>
      <c r="AR1065" s="137">
        <v>1</v>
      </c>
      <c r="AS1065" s="158">
        <v>0.0721861525408278</v>
      </c>
      <c r="AT1065" s="141">
        <v>0.00568181818181818</v>
      </c>
      <c r="AU1065" s="141">
        <v>0.00735294117647059</v>
      </c>
      <c r="AV1065" s="141">
        <v>0.00706713780918728</v>
      </c>
      <c r="AW1065" s="141">
        <v>0.00366866190384244</v>
      </c>
      <c r="AX1065" s="95"/>
      <c r="AY1065" s="93"/>
    </row>
    <row r="1066" ht="15" spans="1:51">
      <c r="A1066" s="91"/>
      <c r="B1066" s="95"/>
      <c r="C1066" s="152" t="s">
        <v>1085</v>
      </c>
      <c r="D1066" s="153" t="s">
        <v>25</v>
      </c>
      <c r="E1066" s="130" t="s">
        <v>1086</v>
      </c>
      <c r="F1066" s="195" t="s">
        <v>1096</v>
      </c>
      <c r="G1066" s="195" t="s">
        <v>1096</v>
      </c>
      <c r="H1066" s="195" t="s">
        <v>1096</v>
      </c>
      <c r="I1066" s="195" t="s">
        <v>1096</v>
      </c>
      <c r="J1066" s="132">
        <v>0.9</v>
      </c>
      <c r="K1066" s="133">
        <v>0.888888888888889</v>
      </c>
      <c r="L1066" s="133">
        <v>0.833333333333333</v>
      </c>
      <c r="M1066" s="134">
        <v>0.825</v>
      </c>
      <c r="N1066" s="133">
        <v>0.887468030690537</v>
      </c>
      <c r="O1066" s="135">
        <v>0.9</v>
      </c>
      <c r="P1066" s="133">
        <v>0.992992992992993</v>
      </c>
      <c r="Q1066" s="133">
        <v>0.985759493670886</v>
      </c>
      <c r="R1066" s="133">
        <v>0.943458980044346</v>
      </c>
      <c r="S1066" s="133">
        <v>0.958876763375033</v>
      </c>
      <c r="T1066" s="135">
        <v>0.9</v>
      </c>
      <c r="U1066" s="133">
        <v>0.952452452452452</v>
      </c>
      <c r="V1066" s="133">
        <v>0.958860759493671</v>
      </c>
      <c r="W1066" s="133">
        <v>0.920546932742055</v>
      </c>
      <c r="X1066" s="133">
        <v>0.931461272291722</v>
      </c>
      <c r="Y1066" s="135">
        <v>0.92</v>
      </c>
      <c r="Z1066" s="135">
        <v>0.950972104818259</v>
      </c>
      <c r="AA1066" s="135">
        <v>0.945979899497487</v>
      </c>
      <c r="AB1066" s="135">
        <v>0.951599671862182</v>
      </c>
      <c r="AC1066" s="135">
        <v>0.952860006167129</v>
      </c>
      <c r="AD1066" s="135">
        <v>0.92</v>
      </c>
      <c r="AE1066" s="133">
        <v>0.929411764705882</v>
      </c>
      <c r="AF1066" s="133">
        <v>0.986394557823129</v>
      </c>
      <c r="AG1066" s="133">
        <v>0.922330097087379</v>
      </c>
      <c r="AH1066" s="133">
        <v>0.945519019987105</v>
      </c>
      <c r="AI1066" s="135">
        <v>0.92</v>
      </c>
      <c r="AJ1066" s="133">
        <v>0.971078277271298</v>
      </c>
      <c r="AK1066" s="133">
        <v>0.971844660194175</v>
      </c>
      <c r="AL1066" s="133">
        <v>0.975541401273885</v>
      </c>
      <c r="AM1066" s="133">
        <v>0.974925381539674</v>
      </c>
      <c r="AN1066" s="132">
        <v>0.99</v>
      </c>
      <c r="AO1066" s="137">
        <v>1</v>
      </c>
      <c r="AP1066" s="137">
        <v>1</v>
      </c>
      <c r="AQ1066" s="137">
        <v>1</v>
      </c>
      <c r="AR1066" s="137">
        <v>1</v>
      </c>
      <c r="AS1066" s="158">
        <v>0.0721861525408278</v>
      </c>
      <c r="AT1066" s="141">
        <v>0</v>
      </c>
      <c r="AU1066" s="141">
        <v>0</v>
      </c>
      <c r="AV1066" s="141">
        <v>0</v>
      </c>
      <c r="AW1066" s="141">
        <v>0.041958041958042</v>
      </c>
      <c r="AX1066" s="95"/>
      <c r="AY1066" s="93"/>
    </row>
    <row r="1067" ht="15" spans="1:51">
      <c r="A1067" s="91"/>
      <c r="B1067" s="95"/>
      <c r="C1067" s="152" t="s">
        <v>1085</v>
      </c>
      <c r="D1067" s="153" t="s">
        <v>25</v>
      </c>
      <c r="E1067" s="130" t="s">
        <v>1086</v>
      </c>
      <c r="F1067" s="195" t="s">
        <v>1097</v>
      </c>
      <c r="G1067" s="195" t="s">
        <v>1097</v>
      </c>
      <c r="H1067" s="195" t="s">
        <v>1097</v>
      </c>
      <c r="I1067" s="195" t="s">
        <v>1097</v>
      </c>
      <c r="J1067" s="132">
        <v>0.9</v>
      </c>
      <c r="K1067" s="133">
        <v>0.923076923076923</v>
      </c>
      <c r="L1067" s="133">
        <v>0.972972972972973</v>
      </c>
      <c r="M1067" s="134">
        <v>0.973684210526316</v>
      </c>
      <c r="N1067" s="133">
        <v>0.965653896961691</v>
      </c>
      <c r="O1067" s="135">
        <v>0.9</v>
      </c>
      <c r="P1067" s="133">
        <v>0.981188118811881</v>
      </c>
      <c r="Q1067" s="133">
        <v>0.98755832037325</v>
      </c>
      <c r="R1067" s="133">
        <v>0.99016393442623</v>
      </c>
      <c r="S1067" s="133">
        <v>0.980508671007438</v>
      </c>
      <c r="T1067" s="135">
        <v>0.9</v>
      </c>
      <c r="U1067" s="133">
        <v>0.951485148514851</v>
      </c>
      <c r="V1067" s="133">
        <v>0.958786936236392</v>
      </c>
      <c r="W1067" s="133">
        <v>0.958105646630237</v>
      </c>
      <c r="X1067" s="133">
        <v>0.943190677876815</v>
      </c>
      <c r="Y1067" s="135">
        <v>0.92</v>
      </c>
      <c r="Z1067" s="135">
        <v>0.944232238349885</v>
      </c>
      <c r="AA1067" s="135">
        <v>0.941333333333333</v>
      </c>
      <c r="AB1067" s="135">
        <v>0.948657187993681</v>
      </c>
      <c r="AC1067" s="135">
        <v>0.95596570780785</v>
      </c>
      <c r="AD1067" s="135">
        <v>0.92</v>
      </c>
      <c r="AE1067" s="133">
        <v>0.996521739130435</v>
      </c>
      <c r="AF1067" s="133">
        <v>0.997596153846154</v>
      </c>
      <c r="AG1067" s="133">
        <v>0.991745283018868</v>
      </c>
      <c r="AH1067" s="133">
        <v>0.995802934023692</v>
      </c>
      <c r="AI1067" s="135">
        <v>0.92</v>
      </c>
      <c r="AJ1067" s="133">
        <v>0.964553920096125</v>
      </c>
      <c r="AK1067" s="133">
        <v>0.964145383104126</v>
      </c>
      <c r="AL1067" s="133">
        <v>0.974569932685116</v>
      </c>
      <c r="AM1067" s="133">
        <v>0.973432855538675</v>
      </c>
      <c r="AN1067" s="132">
        <v>0.99</v>
      </c>
      <c r="AO1067" s="137">
        <v>1</v>
      </c>
      <c r="AP1067" s="137">
        <v>1</v>
      </c>
      <c r="AQ1067" s="137">
        <v>1</v>
      </c>
      <c r="AR1067" s="137">
        <v>1</v>
      </c>
      <c r="AS1067" s="158">
        <v>0.0721861525408278</v>
      </c>
      <c r="AT1067" s="141">
        <v>0</v>
      </c>
      <c r="AU1067" s="141">
        <v>0</v>
      </c>
      <c r="AV1067" s="141">
        <v>0</v>
      </c>
      <c r="AW1067" s="141">
        <v>0.03125</v>
      </c>
      <c r="AX1067" s="95"/>
      <c r="AY1067" s="93"/>
    </row>
    <row r="1068" ht="15" spans="1:51">
      <c r="A1068" s="91"/>
      <c r="B1068" s="95"/>
      <c r="C1068" s="152" t="s">
        <v>1085</v>
      </c>
      <c r="D1068" s="153" t="s">
        <v>25</v>
      </c>
      <c r="E1068" s="130" t="s">
        <v>1086</v>
      </c>
      <c r="F1068" s="195" t="s">
        <v>1098</v>
      </c>
      <c r="G1068" s="195" t="s">
        <v>1098</v>
      </c>
      <c r="H1068" s="195" t="s">
        <v>1098</v>
      </c>
      <c r="I1068" s="195" t="s">
        <v>1098</v>
      </c>
      <c r="J1068" s="132">
        <v>0.9</v>
      </c>
      <c r="K1068" s="133">
        <v>0.915254237288136</v>
      </c>
      <c r="L1068" s="133">
        <v>0.96078431372549</v>
      </c>
      <c r="M1068" s="134">
        <v>0.909090909090909</v>
      </c>
      <c r="N1068" s="133">
        <v>0.929590865842055</v>
      </c>
      <c r="O1068" s="135">
        <v>0.9</v>
      </c>
      <c r="P1068" s="133">
        <v>0.983359746434231</v>
      </c>
      <c r="Q1068" s="133">
        <v>0.987783595113438</v>
      </c>
      <c r="R1068" s="133">
        <v>0.938532908089301</v>
      </c>
      <c r="S1068" s="133">
        <v>0.976931002567103</v>
      </c>
      <c r="T1068" s="135">
        <v>0.9</v>
      </c>
      <c r="U1068" s="133">
        <v>0.951267828843106</v>
      </c>
      <c r="V1068" s="133">
        <v>0.951134380453752</v>
      </c>
      <c r="W1068" s="133">
        <v>0.925195708901131</v>
      </c>
      <c r="X1068" s="133">
        <v>0.940974101950649</v>
      </c>
      <c r="Y1068" s="135">
        <v>0.92</v>
      </c>
      <c r="Z1068" s="135">
        <v>0.963438101347017</v>
      </c>
      <c r="AA1068" s="135">
        <v>0.96264674493063</v>
      </c>
      <c r="AB1068" s="135">
        <v>0.970965563808238</v>
      </c>
      <c r="AC1068" s="135">
        <v>0.963530912182679</v>
      </c>
      <c r="AD1068" s="135">
        <v>0.92</v>
      </c>
      <c r="AE1068" s="133">
        <v>0.962317210348706</v>
      </c>
      <c r="AF1068" s="133">
        <v>0.999345692475463</v>
      </c>
      <c r="AG1068" s="133">
        <v>0.995859213250518</v>
      </c>
      <c r="AH1068" s="133">
        <v>0.992649592282072</v>
      </c>
      <c r="AI1068" s="135">
        <v>0.92</v>
      </c>
      <c r="AJ1068" s="133">
        <v>0.97599804065638</v>
      </c>
      <c r="AK1068" s="133">
        <v>0.97816265060241</v>
      </c>
      <c r="AL1068" s="133">
        <v>0.982352941176471</v>
      </c>
      <c r="AM1068" s="133">
        <v>0.979733699930154</v>
      </c>
      <c r="AN1068" s="132">
        <v>0.99</v>
      </c>
      <c r="AO1068" s="137">
        <v>1</v>
      </c>
      <c r="AP1068" s="137">
        <v>1</v>
      </c>
      <c r="AQ1068" s="137">
        <v>1</v>
      </c>
      <c r="AR1068" s="137">
        <v>1</v>
      </c>
      <c r="AS1068" s="158">
        <v>0.0721861525408278</v>
      </c>
      <c r="AT1068" s="141">
        <v>0.0588235294117647</v>
      </c>
      <c r="AU1068" s="141">
        <v>0</v>
      </c>
      <c r="AV1068" s="141">
        <v>0</v>
      </c>
      <c r="AW1068" s="141">
        <v>0.0298013245033113</v>
      </c>
      <c r="AX1068" s="95"/>
      <c r="AY1068" s="93"/>
    </row>
    <row r="1069" ht="15" spans="1:51">
      <c r="A1069" s="91"/>
      <c r="B1069" s="95"/>
      <c r="C1069" s="152" t="s">
        <v>1085</v>
      </c>
      <c r="D1069" s="153" t="s">
        <v>25</v>
      </c>
      <c r="E1069" s="130" t="s">
        <v>1086</v>
      </c>
      <c r="F1069" s="195" t="s">
        <v>1099</v>
      </c>
      <c r="G1069" s="195" t="s">
        <v>1099</v>
      </c>
      <c r="H1069" s="195" t="s">
        <v>1099</v>
      </c>
      <c r="I1069" s="195" t="s">
        <v>1099</v>
      </c>
      <c r="J1069" s="132">
        <v>0.9</v>
      </c>
      <c r="K1069" s="133">
        <v>0.96969696969697</v>
      </c>
      <c r="L1069" s="133">
        <v>0.933333333333333</v>
      </c>
      <c r="M1069" s="134">
        <v>1</v>
      </c>
      <c r="N1069" s="133">
        <v>0.898799313893654</v>
      </c>
      <c r="O1069" s="135">
        <v>0.9</v>
      </c>
      <c r="P1069" s="133">
        <v>0.899937067337948</v>
      </c>
      <c r="Q1069" s="133">
        <v>0.87847866419295</v>
      </c>
      <c r="R1069" s="133">
        <v>0.97460757156048</v>
      </c>
      <c r="S1069" s="133">
        <v>0.953465427937187</v>
      </c>
      <c r="T1069" s="135">
        <v>0.9</v>
      </c>
      <c r="U1069" s="133">
        <v>0.89175582127124</v>
      </c>
      <c r="V1069" s="133">
        <v>0.89239332096475</v>
      </c>
      <c r="W1069" s="133">
        <v>0.951523545706371</v>
      </c>
      <c r="X1069" s="133">
        <v>0.938419797747266</v>
      </c>
      <c r="Y1069" s="135">
        <v>0.92</v>
      </c>
      <c r="Z1069" s="135">
        <v>0.955968688845401</v>
      </c>
      <c r="AA1069" s="135">
        <v>0.939721792890263</v>
      </c>
      <c r="AB1069" s="135">
        <v>0.964394710071211</v>
      </c>
      <c r="AC1069" s="135">
        <v>0.949580632863134</v>
      </c>
      <c r="AD1069" s="135">
        <v>0.92</v>
      </c>
      <c r="AE1069" s="133">
        <v>0.975183305132544</v>
      </c>
      <c r="AF1069" s="133">
        <v>0.917700578990902</v>
      </c>
      <c r="AG1069" s="133">
        <v>0.984436898698359</v>
      </c>
      <c r="AH1069" s="133">
        <v>0.791235356102399</v>
      </c>
      <c r="AI1069" s="135">
        <v>0.92</v>
      </c>
      <c r="AJ1069" s="133">
        <v>0.972807353504404</v>
      </c>
      <c r="AK1069" s="133">
        <v>0.969275362318841</v>
      </c>
      <c r="AL1069" s="133">
        <v>0.982216576691013</v>
      </c>
      <c r="AM1069" s="133">
        <v>0.973193473193473</v>
      </c>
      <c r="AN1069" s="132">
        <v>0.99</v>
      </c>
      <c r="AO1069" s="137">
        <v>1</v>
      </c>
      <c r="AP1069" s="137">
        <v>1</v>
      </c>
      <c r="AQ1069" s="137">
        <v>1</v>
      </c>
      <c r="AR1069" s="137">
        <v>1</v>
      </c>
      <c r="AS1069" s="158">
        <v>0.0721861525408278</v>
      </c>
      <c r="AT1069" s="141">
        <v>0.0625</v>
      </c>
      <c r="AU1069" s="141">
        <v>0.0769230769230769</v>
      </c>
      <c r="AV1069" s="141">
        <v>0</v>
      </c>
      <c r="AW1069" s="141">
        <v>0.0365853658536585</v>
      </c>
      <c r="AX1069" s="95"/>
      <c r="AY1069" s="93"/>
    </row>
    <row r="1070" ht="15" spans="1:51">
      <c r="A1070" s="91"/>
      <c r="B1070" s="95"/>
      <c r="C1070" s="152" t="s">
        <v>1085</v>
      </c>
      <c r="D1070" s="153" t="s">
        <v>25</v>
      </c>
      <c r="E1070" s="130" t="s">
        <v>1086</v>
      </c>
      <c r="F1070" s="195" t="s">
        <v>1100</v>
      </c>
      <c r="G1070" s="195" t="s">
        <v>1100</v>
      </c>
      <c r="H1070" s="195" t="s">
        <v>1100</v>
      </c>
      <c r="I1070" s="195" t="s">
        <v>1100</v>
      </c>
      <c r="J1070" s="132">
        <v>0.9</v>
      </c>
      <c r="K1070" s="133">
        <v>1</v>
      </c>
      <c r="L1070" s="133">
        <v>0.975</v>
      </c>
      <c r="M1070" s="134">
        <v>0.976190476190476</v>
      </c>
      <c r="N1070" s="133">
        <v>0.991626794258373</v>
      </c>
      <c r="O1070" s="135">
        <v>0.9</v>
      </c>
      <c r="P1070" s="133">
        <v>0.970966206568301</v>
      </c>
      <c r="Q1070" s="133">
        <v>0.98019801980198</v>
      </c>
      <c r="R1070" s="133">
        <v>0.982944657152802</v>
      </c>
      <c r="S1070" s="133">
        <v>0.983009609486812</v>
      </c>
      <c r="T1070" s="135">
        <v>0.9</v>
      </c>
      <c r="U1070" s="133">
        <v>0.960495002379819</v>
      </c>
      <c r="V1070" s="133">
        <v>0.95973597359736</v>
      </c>
      <c r="W1070" s="133">
        <v>0.963452836756004</v>
      </c>
      <c r="X1070" s="133">
        <v>0.960335309752607</v>
      </c>
      <c r="Y1070" s="135">
        <v>0.92</v>
      </c>
      <c r="Z1070" s="135">
        <v>0.964418087472202</v>
      </c>
      <c r="AA1070" s="135">
        <v>0.963007159904535</v>
      </c>
      <c r="AB1070" s="135">
        <v>0.970171513795675</v>
      </c>
      <c r="AC1070" s="135">
        <v>0.969023090586146</v>
      </c>
      <c r="AD1070" s="135">
        <v>0.92</v>
      </c>
      <c r="AE1070" s="133">
        <v>0.972862957937585</v>
      </c>
      <c r="AF1070" s="133">
        <v>0.999581589958159</v>
      </c>
      <c r="AG1070" s="133">
        <v>0.999172185430464</v>
      </c>
      <c r="AH1070" s="133">
        <v>0.994513603696099</v>
      </c>
      <c r="AI1070" s="135">
        <v>0.92</v>
      </c>
      <c r="AJ1070" s="133">
        <v>0.974789915966387</v>
      </c>
      <c r="AK1070" s="133">
        <v>0.980025499362516</v>
      </c>
      <c r="AL1070" s="133">
        <v>0.982914095870907</v>
      </c>
      <c r="AM1070" s="133">
        <v>0.98279374553948</v>
      </c>
      <c r="AN1070" s="132">
        <v>0.99</v>
      </c>
      <c r="AO1070" s="137">
        <v>1</v>
      </c>
      <c r="AP1070" s="137">
        <v>1</v>
      </c>
      <c r="AQ1070" s="137">
        <v>1</v>
      </c>
      <c r="AR1070" s="137">
        <v>1</v>
      </c>
      <c r="AS1070" s="158">
        <v>0.0721861525408278</v>
      </c>
      <c r="AT1070" s="141">
        <v>0.025974025974026</v>
      </c>
      <c r="AU1070" s="141">
        <v>0.032258064516129</v>
      </c>
      <c r="AV1070" s="141">
        <v>0.0158730158730159</v>
      </c>
      <c r="AW1070" s="141">
        <v>0.0144557823129252</v>
      </c>
      <c r="AX1070" s="95"/>
      <c r="AY1070" s="93"/>
    </row>
    <row r="1071" ht="15" spans="1:51">
      <c r="A1071" s="91"/>
      <c r="B1071" s="95"/>
      <c r="C1071" s="152" t="s">
        <v>1085</v>
      </c>
      <c r="D1071" s="153" t="s">
        <v>25</v>
      </c>
      <c r="E1071" s="130" t="s">
        <v>1086</v>
      </c>
      <c r="F1071" s="195" t="s">
        <v>1101</v>
      </c>
      <c r="G1071" s="195" t="s">
        <v>1101</v>
      </c>
      <c r="H1071" s="195" t="s">
        <v>1101</v>
      </c>
      <c r="I1071" s="195" t="s">
        <v>1101</v>
      </c>
      <c r="J1071" s="132">
        <v>0.9</v>
      </c>
      <c r="K1071" s="133">
        <v>0.958333333333333</v>
      </c>
      <c r="L1071" s="133">
        <v>1</v>
      </c>
      <c r="M1071" s="134">
        <v>0.904761904761905</v>
      </c>
      <c r="N1071" s="133">
        <v>0.940047961630695</v>
      </c>
      <c r="O1071" s="135">
        <v>0.9</v>
      </c>
      <c r="P1071" s="133">
        <v>0.979466119096509</v>
      </c>
      <c r="Q1071" s="133">
        <v>0.974472807991121</v>
      </c>
      <c r="R1071" s="133">
        <v>0.978641840087623</v>
      </c>
      <c r="S1071" s="133">
        <v>0.963811783807413</v>
      </c>
      <c r="T1071" s="135">
        <v>0.9</v>
      </c>
      <c r="U1071" s="133">
        <v>0.956878850102669</v>
      </c>
      <c r="V1071" s="133">
        <v>0.958934517203108</v>
      </c>
      <c r="W1071" s="133">
        <v>0.94578313253012</v>
      </c>
      <c r="X1071" s="133">
        <v>0.937708808193087</v>
      </c>
      <c r="Y1071" s="135">
        <v>0.92</v>
      </c>
      <c r="Z1071" s="135">
        <v>0.960829493087558</v>
      </c>
      <c r="AA1071" s="135">
        <v>0.952554744525547</v>
      </c>
      <c r="AB1071" s="135">
        <v>0.968862275449102</v>
      </c>
      <c r="AC1071" s="135">
        <v>0.955998495675066</v>
      </c>
      <c r="AD1071" s="135">
        <v>0.92</v>
      </c>
      <c r="AE1071" s="133">
        <v>0.99670510708402</v>
      </c>
      <c r="AF1071" s="133">
        <v>0.956204379562044</v>
      </c>
      <c r="AG1071" s="133">
        <v>0.945558739255014</v>
      </c>
      <c r="AH1071" s="133">
        <v>0.939827896223992</v>
      </c>
      <c r="AI1071" s="135">
        <v>0.92</v>
      </c>
      <c r="AJ1071" s="133">
        <v>0.974237870330614</v>
      </c>
      <c r="AK1071" s="133">
        <v>0.973775017253278</v>
      </c>
      <c r="AL1071" s="133">
        <v>0.982337467117625</v>
      </c>
      <c r="AM1071" s="133">
        <v>0.97683740768532</v>
      </c>
      <c r="AN1071" s="132">
        <v>0.99</v>
      </c>
      <c r="AO1071" s="137">
        <v>1</v>
      </c>
      <c r="AP1071" s="137">
        <v>1</v>
      </c>
      <c r="AQ1071" s="137">
        <v>1</v>
      </c>
      <c r="AR1071" s="137">
        <v>1</v>
      </c>
      <c r="AS1071" s="158">
        <v>0.0721861525408278</v>
      </c>
      <c r="AT1071" s="141">
        <v>0</v>
      </c>
      <c r="AU1071" s="141">
        <v>0</v>
      </c>
      <c r="AV1071" s="141">
        <v>0.0833333333333333</v>
      </c>
      <c r="AW1071" s="141">
        <v>0.0440251572327044</v>
      </c>
      <c r="AX1071" s="95"/>
      <c r="AY1071" s="93"/>
    </row>
    <row r="1072" ht="15" spans="1:51">
      <c r="A1072" s="91"/>
      <c r="B1072" s="95"/>
      <c r="C1072" s="152" t="s">
        <v>1085</v>
      </c>
      <c r="D1072" s="153" t="s">
        <v>25</v>
      </c>
      <c r="E1072" s="130" t="s">
        <v>1086</v>
      </c>
      <c r="F1072" s="195" t="s">
        <v>1102</v>
      </c>
      <c r="G1072" s="195" t="s">
        <v>1102</v>
      </c>
      <c r="H1072" s="195" t="s">
        <v>1102</v>
      </c>
      <c r="I1072" s="195" t="s">
        <v>1102</v>
      </c>
      <c r="J1072" s="132">
        <v>0.9</v>
      </c>
      <c r="K1072" s="133">
        <v>0.966666666666667</v>
      </c>
      <c r="L1072" s="133">
        <v>1</v>
      </c>
      <c r="M1072" s="134">
        <v>1</v>
      </c>
      <c r="N1072" s="133">
        <v>0.97508896797153</v>
      </c>
      <c r="O1072" s="135">
        <v>0.9</v>
      </c>
      <c r="P1072" s="133">
        <v>0.967019290603609</v>
      </c>
      <c r="Q1072" s="133">
        <v>0.941122355105796</v>
      </c>
      <c r="R1072" s="133">
        <v>0.968028419182948</v>
      </c>
      <c r="S1072" s="133">
        <v>0.954135862742363</v>
      </c>
      <c r="T1072" s="135">
        <v>0.9</v>
      </c>
      <c r="U1072" s="133">
        <v>0.942750466708152</v>
      </c>
      <c r="V1072" s="133">
        <v>0.954921803127875</v>
      </c>
      <c r="W1072" s="133">
        <v>0.960923623445826</v>
      </c>
      <c r="X1072" s="133">
        <v>0.943227786302134</v>
      </c>
      <c r="Y1072" s="135">
        <v>0.92</v>
      </c>
      <c r="Z1072" s="135">
        <v>0.946257197696737</v>
      </c>
      <c r="AA1072" s="135">
        <v>0.945299145299145</v>
      </c>
      <c r="AB1072" s="135">
        <v>0.955067920585162</v>
      </c>
      <c r="AC1072" s="135">
        <v>0.953364169567498</v>
      </c>
      <c r="AD1072" s="135">
        <v>0.92</v>
      </c>
      <c r="AE1072" s="133">
        <v>0.998164014687883</v>
      </c>
      <c r="AF1072" s="133">
        <v>0.997762863534676</v>
      </c>
      <c r="AG1072" s="133">
        <v>0.999335106382979</v>
      </c>
      <c r="AH1072" s="133">
        <v>0.979370330446419</v>
      </c>
      <c r="AI1072" s="135">
        <v>0.92</v>
      </c>
      <c r="AJ1072" s="133">
        <v>0.963759909399774</v>
      </c>
      <c r="AK1072" s="133">
        <v>0.972488038277512</v>
      </c>
      <c r="AL1072" s="133">
        <v>0.981308411214953</v>
      </c>
      <c r="AM1072" s="133">
        <v>0.973741178127035</v>
      </c>
      <c r="AN1072" s="132">
        <v>0.99</v>
      </c>
      <c r="AO1072" s="137">
        <v>1</v>
      </c>
      <c r="AP1072" s="137">
        <v>1</v>
      </c>
      <c r="AQ1072" s="137">
        <v>1</v>
      </c>
      <c r="AR1072" s="137">
        <v>1</v>
      </c>
      <c r="AS1072" s="158">
        <v>0.0721861525408278</v>
      </c>
      <c r="AT1072" s="141">
        <v>0.1</v>
      </c>
      <c r="AU1072" s="141">
        <v>0</v>
      </c>
      <c r="AV1072" s="141">
        <v>0</v>
      </c>
      <c r="AW1072" s="141">
        <v>0.0227272727272727</v>
      </c>
      <c r="AX1072" s="95"/>
      <c r="AY1072" s="93"/>
    </row>
    <row r="1073" ht="15" spans="1:51">
      <c r="A1073" s="91"/>
      <c r="B1073" s="95"/>
      <c r="C1073" s="152" t="s">
        <v>1085</v>
      </c>
      <c r="D1073" s="153" t="s">
        <v>25</v>
      </c>
      <c r="E1073" s="130" t="s">
        <v>1086</v>
      </c>
      <c r="F1073" s="195" t="s">
        <v>1103</v>
      </c>
      <c r="G1073" s="195" t="s">
        <v>1103</v>
      </c>
      <c r="H1073" s="195" t="s">
        <v>1103</v>
      </c>
      <c r="I1073" s="195" t="s">
        <v>1103</v>
      </c>
      <c r="J1073" s="132">
        <v>0.9</v>
      </c>
      <c r="K1073" s="133">
        <v>0.961538461538462</v>
      </c>
      <c r="L1073" s="133">
        <v>0.914893617021277</v>
      </c>
      <c r="M1073" s="134">
        <v>0.98</v>
      </c>
      <c r="N1073" s="133">
        <v>0.980104712041885</v>
      </c>
      <c r="O1073" s="135">
        <v>0.9</v>
      </c>
      <c r="P1073" s="133">
        <v>0.958149779735683</v>
      </c>
      <c r="Q1073" s="133">
        <v>0.933216168717047</v>
      </c>
      <c r="R1073" s="133">
        <v>0.95509743010449</v>
      </c>
      <c r="S1073" s="133">
        <v>0.963868907507695</v>
      </c>
      <c r="T1073" s="135">
        <v>0.9</v>
      </c>
      <c r="U1073" s="133">
        <v>0.929148311306902</v>
      </c>
      <c r="V1073" s="133">
        <v>0.949033391915642</v>
      </c>
      <c r="W1073" s="133">
        <v>0.939565094606044</v>
      </c>
      <c r="X1073" s="133">
        <v>0.941861039324456</v>
      </c>
      <c r="Y1073" s="135">
        <v>0.92</v>
      </c>
      <c r="Z1073" s="135">
        <v>0.959662853702589</v>
      </c>
      <c r="AA1073" s="135">
        <v>0.970238095238095</v>
      </c>
      <c r="AB1073" s="135">
        <v>0.950099800399202</v>
      </c>
      <c r="AC1073" s="135">
        <v>0.966490402874755</v>
      </c>
      <c r="AD1073" s="135">
        <v>0.92</v>
      </c>
      <c r="AE1073" s="133">
        <v>0.997165991902834</v>
      </c>
      <c r="AF1073" s="133">
        <v>0.998262757871878</v>
      </c>
      <c r="AG1073" s="133">
        <v>0.998252621068397</v>
      </c>
      <c r="AH1073" s="133">
        <v>0.915963400550768</v>
      </c>
      <c r="AI1073" s="135">
        <v>0.92</v>
      </c>
      <c r="AJ1073" s="133">
        <v>0.966932725199544</v>
      </c>
      <c r="AK1073" s="133">
        <v>0.979373848987109</v>
      </c>
      <c r="AL1073" s="133">
        <v>0.974821570182395</v>
      </c>
      <c r="AM1073" s="133">
        <v>0.979734068872583</v>
      </c>
      <c r="AN1073" s="132">
        <v>0.99</v>
      </c>
      <c r="AO1073" s="137">
        <v>1</v>
      </c>
      <c r="AP1073" s="137">
        <v>1</v>
      </c>
      <c r="AQ1073" s="137">
        <v>1</v>
      </c>
      <c r="AR1073" s="137">
        <v>1</v>
      </c>
      <c r="AS1073" s="158">
        <v>0.0721861525408278</v>
      </c>
      <c r="AT1073" s="141">
        <v>0.0526315789473684</v>
      </c>
      <c r="AU1073" s="141">
        <v>0</v>
      </c>
      <c r="AV1073" s="141">
        <v>0</v>
      </c>
      <c r="AW1073" s="141">
        <v>0.036101083032491</v>
      </c>
      <c r="AX1073" s="95"/>
      <c r="AY1073" s="93"/>
    </row>
    <row r="1074" ht="15" spans="1:51">
      <c r="A1074" s="91"/>
      <c r="B1074" s="95"/>
      <c r="C1074" s="152" t="s">
        <v>1085</v>
      </c>
      <c r="D1074" s="153" t="s">
        <v>25</v>
      </c>
      <c r="E1074" s="130" t="s">
        <v>1086</v>
      </c>
      <c r="F1074" s="195" t="s">
        <v>1104</v>
      </c>
      <c r="G1074" s="195" t="s">
        <v>1104</v>
      </c>
      <c r="H1074" s="195" t="s">
        <v>1104</v>
      </c>
      <c r="I1074" s="195" t="s">
        <v>1104</v>
      </c>
      <c r="J1074" s="132">
        <v>0.9</v>
      </c>
      <c r="K1074" s="133">
        <v>0.96969696969697</v>
      </c>
      <c r="L1074" s="133">
        <v>1</v>
      </c>
      <c r="M1074" s="134">
        <v>1</v>
      </c>
      <c r="N1074" s="133">
        <v>0.973941368078176</v>
      </c>
      <c r="O1074" s="135">
        <v>0.9</v>
      </c>
      <c r="P1074" s="133">
        <v>0.972750642673522</v>
      </c>
      <c r="Q1074" s="133">
        <v>0.971843003412969</v>
      </c>
      <c r="R1074" s="133">
        <v>0.982982171799028</v>
      </c>
      <c r="S1074" s="133">
        <v>0.975433526011561</v>
      </c>
      <c r="T1074" s="135">
        <v>0.9</v>
      </c>
      <c r="U1074" s="133">
        <v>0.944987146529563</v>
      </c>
      <c r="V1074" s="133">
        <v>0.965017064846416</v>
      </c>
      <c r="W1074" s="133">
        <v>0.955024311183144</v>
      </c>
      <c r="X1074" s="133">
        <v>0.950200088928413</v>
      </c>
      <c r="Y1074" s="135">
        <v>0.92</v>
      </c>
      <c r="Z1074" s="135">
        <v>0.964754098360656</v>
      </c>
      <c r="AA1074" s="135">
        <v>0.959072305593452</v>
      </c>
      <c r="AB1074" s="135">
        <v>0.965899403239557</v>
      </c>
      <c r="AC1074" s="135">
        <v>0.964639430516868</v>
      </c>
      <c r="AD1074" s="135">
        <v>0.92</v>
      </c>
      <c r="AE1074" s="133">
        <v>0.990344827586207</v>
      </c>
      <c r="AF1074" s="133">
        <v>0.997357992073976</v>
      </c>
      <c r="AG1074" s="133">
        <v>1</v>
      </c>
      <c r="AH1074" s="133">
        <v>0.995733032767088</v>
      </c>
      <c r="AI1074" s="135">
        <v>0.92</v>
      </c>
      <c r="AJ1074" s="133">
        <v>0.974407582938389</v>
      </c>
      <c r="AK1074" s="133">
        <v>0.976377952755906</v>
      </c>
      <c r="AL1074" s="133">
        <v>0.979950563032134</v>
      </c>
      <c r="AM1074" s="133">
        <v>0.979149314623714</v>
      </c>
      <c r="AN1074" s="132">
        <v>0.99</v>
      </c>
      <c r="AO1074" s="137">
        <v>1</v>
      </c>
      <c r="AP1074" s="137">
        <v>1</v>
      </c>
      <c r="AQ1074" s="137">
        <v>1</v>
      </c>
      <c r="AR1074" s="137">
        <v>1</v>
      </c>
      <c r="AS1074" s="158">
        <v>0.0721861525408278</v>
      </c>
      <c r="AT1074" s="141">
        <v>0.142857142857143</v>
      </c>
      <c r="AU1074" s="141">
        <v>0</v>
      </c>
      <c r="AV1074" s="141">
        <v>0</v>
      </c>
      <c r="AW1074" s="141">
        <v>0.0427350427350427</v>
      </c>
      <c r="AX1074" s="95"/>
      <c r="AY1074" s="93"/>
    </row>
    <row r="1075" ht="15" spans="1:51">
      <c r="A1075" s="91"/>
      <c r="B1075" s="95"/>
      <c r="C1075" s="152" t="s">
        <v>1085</v>
      </c>
      <c r="D1075" s="153" t="s">
        <v>25</v>
      </c>
      <c r="E1075" s="130" t="s">
        <v>1086</v>
      </c>
      <c r="F1075" s="195" t="s">
        <v>1105</v>
      </c>
      <c r="G1075" s="195" t="s">
        <v>1105</v>
      </c>
      <c r="H1075" s="195" t="s">
        <v>1105</v>
      </c>
      <c r="I1075" s="195" t="s">
        <v>1105</v>
      </c>
      <c r="J1075" s="132">
        <v>0.9</v>
      </c>
      <c r="K1075" s="133">
        <v>0.941176470588235</v>
      </c>
      <c r="L1075" s="133">
        <v>0.903225806451613</v>
      </c>
      <c r="M1075" s="134">
        <v>0.933333333333333</v>
      </c>
      <c r="N1075" s="133">
        <v>0.971186440677966</v>
      </c>
      <c r="O1075" s="135">
        <v>0.9</v>
      </c>
      <c r="P1075" s="133">
        <v>0.981226533166458</v>
      </c>
      <c r="Q1075" s="133">
        <v>0.986175115207373</v>
      </c>
      <c r="R1075" s="133">
        <v>0.973708068902992</v>
      </c>
      <c r="S1075" s="133">
        <v>0.987632331543826</v>
      </c>
      <c r="T1075" s="135">
        <v>0.9</v>
      </c>
      <c r="U1075" s="133">
        <v>0.928035043804756</v>
      </c>
      <c r="V1075" s="133">
        <v>0.947465437788018</v>
      </c>
      <c r="W1075" s="133">
        <v>0.92248413417951</v>
      </c>
      <c r="X1075" s="133">
        <v>0.939466158245948</v>
      </c>
      <c r="Y1075" s="135">
        <v>0.92</v>
      </c>
      <c r="Z1075" s="135">
        <v>0.963912630579297</v>
      </c>
      <c r="AA1075" s="135">
        <v>0.98125</v>
      </c>
      <c r="AB1075" s="135">
        <v>0.96551724137931</v>
      </c>
      <c r="AC1075" s="135">
        <v>0.975192015443381</v>
      </c>
      <c r="AD1075" s="135">
        <v>0.92</v>
      </c>
      <c r="AE1075" s="133">
        <v>0.996323529411765</v>
      </c>
      <c r="AF1075" s="133">
        <v>0.999117387466902</v>
      </c>
      <c r="AG1075" s="133">
        <v>0.99644128113879</v>
      </c>
      <c r="AH1075" s="133">
        <v>0.97904944331378</v>
      </c>
      <c r="AI1075" s="135">
        <v>0.92</v>
      </c>
      <c r="AJ1075" s="133">
        <v>0.962655601659751</v>
      </c>
      <c r="AK1075" s="133">
        <v>0.980869565217391</v>
      </c>
      <c r="AL1075" s="133">
        <v>0.97981993169823</v>
      </c>
      <c r="AM1075" s="133">
        <v>0.983071963621074</v>
      </c>
      <c r="AN1075" s="132">
        <v>0.99</v>
      </c>
      <c r="AO1075" s="137">
        <v>1</v>
      </c>
      <c r="AP1075" s="137">
        <v>1</v>
      </c>
      <c r="AQ1075" s="137">
        <v>1</v>
      </c>
      <c r="AR1075" s="137">
        <v>1</v>
      </c>
      <c r="AS1075" s="158">
        <v>0.0721861525408278</v>
      </c>
      <c r="AT1075" s="141">
        <v>0.0285714285714286</v>
      </c>
      <c r="AU1075" s="141">
        <v>0</v>
      </c>
      <c r="AV1075" s="141">
        <v>0.0476190476190476</v>
      </c>
      <c r="AW1075" s="141">
        <v>0.0236220472440945</v>
      </c>
      <c r="AX1075" s="95"/>
      <c r="AY1075" s="93"/>
    </row>
    <row r="1076" ht="15" spans="1:51">
      <c r="A1076" s="91"/>
      <c r="B1076" s="95"/>
      <c r="C1076" s="152" t="s">
        <v>1085</v>
      </c>
      <c r="D1076" s="153" t="s">
        <v>25</v>
      </c>
      <c r="E1076" s="130" t="s">
        <v>1086</v>
      </c>
      <c r="F1076" s="195" t="s">
        <v>1106</v>
      </c>
      <c r="G1076" s="195" t="s">
        <v>1106</v>
      </c>
      <c r="H1076" s="195" t="s">
        <v>1106</v>
      </c>
      <c r="I1076" s="195" t="s">
        <v>1106</v>
      </c>
      <c r="J1076" s="132">
        <v>0.9</v>
      </c>
      <c r="K1076" s="133">
        <v>1</v>
      </c>
      <c r="L1076" s="133">
        <v>0.916666666666667</v>
      </c>
      <c r="M1076" s="134">
        <v>1</v>
      </c>
      <c r="N1076" s="133">
        <v>0.965648854961832</v>
      </c>
      <c r="O1076" s="135">
        <v>0.9</v>
      </c>
      <c r="P1076" s="133">
        <v>0.967086834733894</v>
      </c>
      <c r="Q1076" s="133">
        <v>0.934237995824635</v>
      </c>
      <c r="R1076" s="133">
        <v>0.924643584521385</v>
      </c>
      <c r="S1076" s="133">
        <v>0.95746121644915</v>
      </c>
      <c r="T1076" s="135">
        <v>0.9</v>
      </c>
      <c r="U1076" s="133">
        <v>0.934173669467787</v>
      </c>
      <c r="V1076" s="133">
        <v>0.930062630480167</v>
      </c>
      <c r="W1076" s="133">
        <v>0.925152749490835</v>
      </c>
      <c r="X1076" s="133">
        <v>0.930281950258557</v>
      </c>
      <c r="Y1076" s="135">
        <v>0.92</v>
      </c>
      <c r="Z1076" s="135">
        <v>0.933177022274326</v>
      </c>
      <c r="AA1076" s="135">
        <v>0.964705882352941</v>
      </c>
      <c r="AB1076" s="135">
        <v>0.948717948717949</v>
      </c>
      <c r="AC1076" s="135">
        <v>0.945278969957081</v>
      </c>
      <c r="AD1076" s="135">
        <v>0.92</v>
      </c>
      <c r="AE1076" s="133">
        <v>0.99915611814346</v>
      </c>
      <c r="AF1076" s="133">
        <v>0.995981630309989</v>
      </c>
      <c r="AG1076" s="133">
        <v>0.996056782334385</v>
      </c>
      <c r="AH1076" s="133">
        <v>0.994296301678413</v>
      </c>
      <c r="AI1076" s="135">
        <v>0.92</v>
      </c>
      <c r="AJ1076" s="133">
        <v>0.951775537045156</v>
      </c>
      <c r="AK1076" s="133">
        <v>0.956403269754768</v>
      </c>
      <c r="AL1076" s="133">
        <v>0.965862068965517</v>
      </c>
      <c r="AM1076" s="133">
        <v>0.965658185516203</v>
      </c>
      <c r="AN1076" s="132">
        <v>0.99</v>
      </c>
      <c r="AO1076" s="137">
        <v>1</v>
      </c>
      <c r="AP1076" s="137">
        <v>1</v>
      </c>
      <c r="AQ1076" s="137">
        <v>1</v>
      </c>
      <c r="AR1076" s="137">
        <v>1</v>
      </c>
      <c r="AS1076" s="158">
        <v>0.0721861525408278</v>
      </c>
      <c r="AT1076" s="141">
        <v>0</v>
      </c>
      <c r="AU1076" s="141">
        <v>0</v>
      </c>
      <c r="AV1076" s="141">
        <v>0</v>
      </c>
      <c r="AW1076" s="141">
        <v>0.0224719101123595</v>
      </c>
      <c r="AX1076" s="95"/>
      <c r="AY1076" s="93"/>
    </row>
    <row r="1077" ht="15" spans="1:51">
      <c r="A1077" s="91"/>
      <c r="B1077" s="95"/>
      <c r="C1077" s="152" t="s">
        <v>1085</v>
      </c>
      <c r="D1077" s="153" t="s">
        <v>25</v>
      </c>
      <c r="E1077" s="130" t="s">
        <v>1086</v>
      </c>
      <c r="F1077" s="195" t="s">
        <v>1107</v>
      </c>
      <c r="G1077" s="195" t="s">
        <v>1107</v>
      </c>
      <c r="H1077" s="195" t="s">
        <v>1107</v>
      </c>
      <c r="I1077" s="195" t="s">
        <v>1107</v>
      </c>
      <c r="J1077" s="132">
        <v>0.9</v>
      </c>
      <c r="K1077" s="133">
        <v>0.957746478873239</v>
      </c>
      <c r="L1077" s="133">
        <v>0.968253968253968</v>
      </c>
      <c r="M1077" s="134">
        <v>0.892307692307692</v>
      </c>
      <c r="N1077" s="133">
        <v>0.853523357086302</v>
      </c>
      <c r="O1077" s="135">
        <v>0.9</v>
      </c>
      <c r="P1077" s="133">
        <v>0.975849941383353</v>
      </c>
      <c r="Q1077" s="133">
        <v>0.975907288807563</v>
      </c>
      <c r="R1077" s="133">
        <v>0.979426198565496</v>
      </c>
      <c r="S1077" s="133">
        <v>0.926893621395652</v>
      </c>
      <c r="T1077" s="135">
        <v>0.9</v>
      </c>
      <c r="U1077" s="133">
        <v>0.94021101992966</v>
      </c>
      <c r="V1077" s="133">
        <v>0.948459896309851</v>
      </c>
      <c r="W1077" s="133">
        <v>0.908456021140053</v>
      </c>
      <c r="X1077" s="133">
        <v>0.886237086024637</v>
      </c>
      <c r="Y1077" s="135">
        <v>0.92</v>
      </c>
      <c r="Z1077" s="135">
        <v>0.943446440452428</v>
      </c>
      <c r="AA1077" s="135">
        <v>0.940331491712707</v>
      </c>
      <c r="AB1077" s="135">
        <v>0.891666666666667</v>
      </c>
      <c r="AC1077" s="135">
        <v>0.937099811676083</v>
      </c>
      <c r="AD1077" s="135">
        <v>0.92</v>
      </c>
      <c r="AE1077" s="133">
        <v>0.97534366135719</v>
      </c>
      <c r="AF1077" s="133">
        <v>0.94277608635483</v>
      </c>
      <c r="AG1077" s="133">
        <v>0.696045197740113</v>
      </c>
      <c r="AH1077" s="133">
        <v>0.884744953741474</v>
      </c>
      <c r="AI1077" s="135">
        <v>0.92</v>
      </c>
      <c r="AJ1077" s="133">
        <v>0.970873786407767</v>
      </c>
      <c r="AK1077" s="133">
        <v>0.973948374760994</v>
      </c>
      <c r="AL1077" s="133">
        <v>0.958121397083757</v>
      </c>
      <c r="AM1077" s="133">
        <v>0.96930853559698</v>
      </c>
      <c r="AN1077" s="132">
        <v>0.99</v>
      </c>
      <c r="AO1077" s="137">
        <v>1</v>
      </c>
      <c r="AP1077" s="137">
        <v>1</v>
      </c>
      <c r="AQ1077" s="137">
        <v>1</v>
      </c>
      <c r="AR1077" s="137">
        <v>1</v>
      </c>
      <c r="AS1077" s="158">
        <v>0.0721861525408278</v>
      </c>
      <c r="AT1077" s="141">
        <v>0.027027027027027</v>
      </c>
      <c r="AU1077" s="141">
        <v>0</v>
      </c>
      <c r="AV1077" s="141">
        <v>0</v>
      </c>
      <c r="AW1077" s="141">
        <v>0.0271816881258941</v>
      </c>
      <c r="AX1077" s="95"/>
      <c r="AY1077" s="93"/>
    </row>
    <row r="1078" ht="15" spans="1:51">
      <c r="A1078" s="91"/>
      <c r="B1078" s="95"/>
      <c r="C1078" s="152" t="s">
        <v>1085</v>
      </c>
      <c r="D1078" s="153" t="s">
        <v>25</v>
      </c>
      <c r="E1078" s="130" t="s">
        <v>1086</v>
      </c>
      <c r="F1078" s="195" t="s">
        <v>1108</v>
      </c>
      <c r="G1078" s="195" t="s">
        <v>1108</v>
      </c>
      <c r="H1078" s="195" t="s">
        <v>1108</v>
      </c>
      <c r="I1078" s="195" t="s">
        <v>1108</v>
      </c>
      <c r="J1078" s="132">
        <v>0.9</v>
      </c>
      <c r="K1078" s="133">
        <v>0.942857142857143</v>
      </c>
      <c r="L1078" s="133">
        <v>1</v>
      </c>
      <c r="M1078" s="134">
        <v>0.96875</v>
      </c>
      <c r="N1078" s="133">
        <v>0.953333333333333</v>
      </c>
      <c r="O1078" s="135">
        <v>0.9</v>
      </c>
      <c r="P1078" s="133">
        <v>0.98943661971831</v>
      </c>
      <c r="Q1078" s="133">
        <v>0.967684021543986</v>
      </c>
      <c r="R1078" s="133">
        <v>0.948828828828829</v>
      </c>
      <c r="S1078" s="133">
        <v>0.96401899618214</v>
      </c>
      <c r="T1078" s="135">
        <v>0.9</v>
      </c>
      <c r="U1078" s="133">
        <v>0.961267605633803</v>
      </c>
      <c r="V1078" s="133">
        <v>0.961699581089168</v>
      </c>
      <c r="W1078" s="133">
        <v>0.974414414414414</v>
      </c>
      <c r="X1078" s="133">
        <v>0.963516156066673</v>
      </c>
      <c r="Y1078" s="135">
        <v>0.92</v>
      </c>
      <c r="Z1078" s="135">
        <v>0.935049019607843</v>
      </c>
      <c r="AA1078" s="135">
        <v>0.935114503816794</v>
      </c>
      <c r="AB1078" s="135">
        <v>0.951008645533141</v>
      </c>
      <c r="AC1078" s="135">
        <v>0.945514488981433</v>
      </c>
      <c r="AD1078" s="135">
        <v>0.92</v>
      </c>
      <c r="AE1078" s="133">
        <v>0.997106109324759</v>
      </c>
      <c r="AF1078" s="133">
        <v>0.99720195862896</v>
      </c>
      <c r="AG1078" s="133">
        <v>0.997835497835498</v>
      </c>
      <c r="AH1078" s="133">
        <v>0.994949459571159</v>
      </c>
      <c r="AI1078" s="135">
        <v>0.92</v>
      </c>
      <c r="AJ1078" s="133">
        <v>0.968627450980392</v>
      </c>
      <c r="AK1078" s="133">
        <v>0.972665148063781</v>
      </c>
      <c r="AL1078" s="133">
        <v>0.986226777706598</v>
      </c>
      <c r="AM1078" s="133">
        <v>0.980558707184692</v>
      </c>
      <c r="AN1078" s="132">
        <v>0.99</v>
      </c>
      <c r="AO1078" s="137">
        <v>1</v>
      </c>
      <c r="AP1078" s="137">
        <v>1</v>
      </c>
      <c r="AQ1078" s="137">
        <v>1</v>
      </c>
      <c r="AR1078" s="137">
        <v>1</v>
      </c>
      <c r="AS1078" s="158">
        <v>0.0721861525408278</v>
      </c>
      <c r="AT1078" s="141">
        <v>0</v>
      </c>
      <c r="AU1078" s="141">
        <v>0</v>
      </c>
      <c r="AV1078" s="141">
        <v>0.153846153846154</v>
      </c>
      <c r="AW1078" s="141">
        <v>0.0562770562770563</v>
      </c>
      <c r="AX1078" s="95"/>
      <c r="AY1078" s="93"/>
    </row>
    <row r="1079" ht="15" spans="1:51">
      <c r="A1079" s="91"/>
      <c r="B1079" s="95"/>
      <c r="C1079" s="152" t="s">
        <v>1085</v>
      </c>
      <c r="D1079" s="153" t="s">
        <v>25</v>
      </c>
      <c r="E1079" s="130" t="s">
        <v>1086</v>
      </c>
      <c r="F1079" s="195" t="s">
        <v>1109</v>
      </c>
      <c r="G1079" s="195" t="s">
        <v>1109</v>
      </c>
      <c r="H1079" s="195" t="s">
        <v>1109</v>
      </c>
      <c r="I1079" s="195" t="s">
        <v>1109</v>
      </c>
      <c r="J1079" s="132">
        <v>0.9</v>
      </c>
      <c r="K1079" s="133">
        <v>0.958333333333333</v>
      </c>
      <c r="L1079" s="133">
        <v>0.925</v>
      </c>
      <c r="M1079" s="134">
        <v>0.925</v>
      </c>
      <c r="N1079" s="133">
        <v>0.940024479804162</v>
      </c>
      <c r="O1079" s="135">
        <v>0.9</v>
      </c>
      <c r="P1079" s="133">
        <v>0.973535638673253</v>
      </c>
      <c r="Q1079" s="133">
        <v>0.979808177688036</v>
      </c>
      <c r="R1079" s="133">
        <v>0.970251007127363</v>
      </c>
      <c r="S1079" s="133">
        <v>0.917317062954637</v>
      </c>
      <c r="T1079" s="135">
        <v>0.9</v>
      </c>
      <c r="U1079" s="133">
        <v>0.909668313338038</v>
      </c>
      <c r="V1079" s="133">
        <v>0.913679959616355</v>
      </c>
      <c r="W1079" s="133">
        <v>0.859621939882244</v>
      </c>
      <c r="X1079" s="133">
        <v>0.834466581963894</v>
      </c>
      <c r="Y1079" s="135">
        <v>0.92</v>
      </c>
      <c r="Z1079" s="135">
        <v>0.913430420711974</v>
      </c>
      <c r="AA1079" s="135">
        <v>0.908616187989556</v>
      </c>
      <c r="AB1079" s="135">
        <v>0.892933618843683</v>
      </c>
      <c r="AC1079" s="135">
        <v>0.906119650305697</v>
      </c>
      <c r="AD1079" s="135">
        <v>0.92</v>
      </c>
      <c r="AE1079" s="133">
        <v>0.997088085416161</v>
      </c>
      <c r="AF1079" s="133">
        <v>0.998717008797654</v>
      </c>
      <c r="AG1079" s="133">
        <v>0.977675640183848</v>
      </c>
      <c r="AH1079" s="133">
        <v>0.995428688471171</v>
      </c>
      <c r="AI1079" s="135">
        <v>0.92</v>
      </c>
      <c r="AJ1079" s="133">
        <v>0.940800786047654</v>
      </c>
      <c r="AK1079" s="133">
        <v>0.951583545686203</v>
      </c>
      <c r="AL1079" s="133">
        <v>0.943707713125846</v>
      </c>
      <c r="AM1079" s="133">
        <v>0.950701222932795</v>
      </c>
      <c r="AN1079" s="132">
        <v>0.99</v>
      </c>
      <c r="AO1079" s="137">
        <v>1</v>
      </c>
      <c r="AP1079" s="137">
        <v>1</v>
      </c>
      <c r="AQ1079" s="137">
        <v>1</v>
      </c>
      <c r="AR1079" s="137">
        <v>1</v>
      </c>
      <c r="AS1079" s="158">
        <v>0.0721861525408278</v>
      </c>
      <c r="AT1079" s="141">
        <v>0.0434782608695652</v>
      </c>
      <c r="AU1079" s="141">
        <v>0.0487804878048781</v>
      </c>
      <c r="AV1079" s="141">
        <v>0.0638297872340425</v>
      </c>
      <c r="AW1079" s="141">
        <v>0.0208333333333333</v>
      </c>
      <c r="AX1079" s="95"/>
      <c r="AY1079" s="93"/>
    </row>
    <row r="1080" ht="15" spans="1:51">
      <c r="A1080" s="91"/>
      <c r="B1080" s="95"/>
      <c r="C1080" s="152" t="s">
        <v>1085</v>
      </c>
      <c r="D1080" s="153" t="s">
        <v>25</v>
      </c>
      <c r="E1080" s="130" t="s">
        <v>1086</v>
      </c>
      <c r="F1080" s="195" t="s">
        <v>1110</v>
      </c>
      <c r="G1080" s="195" t="s">
        <v>1110</v>
      </c>
      <c r="H1080" s="195" t="s">
        <v>1110</v>
      </c>
      <c r="I1080" s="195" t="s">
        <v>1110</v>
      </c>
      <c r="J1080" s="132">
        <v>0.9</v>
      </c>
      <c r="K1080" s="133" t="s">
        <v>35</v>
      </c>
      <c r="L1080" s="133" t="s">
        <v>35</v>
      </c>
      <c r="M1080" s="134" t="s">
        <v>35</v>
      </c>
      <c r="N1080" s="133" t="s">
        <v>35</v>
      </c>
      <c r="O1080" s="135">
        <v>0.9</v>
      </c>
      <c r="P1080" s="133">
        <v>0</v>
      </c>
      <c r="Q1080" s="133">
        <v>0</v>
      </c>
      <c r="R1080" s="133">
        <v>0</v>
      </c>
      <c r="S1080" s="133">
        <v>0</v>
      </c>
      <c r="T1080" s="135">
        <v>0.9</v>
      </c>
      <c r="U1080" s="133">
        <v>0</v>
      </c>
      <c r="V1080" s="133">
        <v>0</v>
      </c>
      <c r="W1080" s="133">
        <v>0</v>
      </c>
      <c r="X1080" s="133">
        <v>0</v>
      </c>
      <c r="Y1080" s="135">
        <v>0.92</v>
      </c>
      <c r="Z1080" s="135">
        <v>0</v>
      </c>
      <c r="AA1080" s="135">
        <v>0</v>
      </c>
      <c r="AB1080" s="135" t="s">
        <v>35</v>
      </c>
      <c r="AC1080" s="135">
        <v>0</v>
      </c>
      <c r="AD1080" s="135">
        <v>0.92</v>
      </c>
      <c r="AE1080" s="133" t="s">
        <v>35</v>
      </c>
      <c r="AF1080" s="133" t="s">
        <v>35</v>
      </c>
      <c r="AG1080" s="133" t="s">
        <v>35</v>
      </c>
      <c r="AH1080" s="133">
        <v>0.666666666666667</v>
      </c>
      <c r="AI1080" s="135">
        <v>0.92</v>
      </c>
      <c r="AJ1080" s="133">
        <v>0.213766359670383</v>
      </c>
      <c r="AK1080" s="133">
        <v>0.121719065474474</v>
      </c>
      <c r="AL1080" s="133">
        <v>0.0646304881374421</v>
      </c>
      <c r="AM1080" s="133">
        <v>0.0516639185858908</v>
      </c>
      <c r="AN1080" s="132">
        <v>0.99</v>
      </c>
      <c r="AO1080" s="137" t="s">
        <v>35</v>
      </c>
      <c r="AP1080" s="137" t="s">
        <v>35</v>
      </c>
      <c r="AQ1080" s="137" t="s">
        <v>35</v>
      </c>
      <c r="AR1080" s="137" t="s">
        <v>35</v>
      </c>
      <c r="AS1080" s="158">
        <v>0.0721861525408278</v>
      </c>
      <c r="AT1080" s="141">
        <v>0.5</v>
      </c>
      <c r="AU1080" s="141">
        <v>0.333333333333333</v>
      </c>
      <c r="AV1080" s="141">
        <v>1.5</v>
      </c>
      <c r="AW1080" s="141">
        <v>0.1</v>
      </c>
      <c r="AX1080" s="95"/>
      <c r="AY1080" s="93"/>
    </row>
    <row r="1081" ht="15" spans="1:51">
      <c r="A1081" s="91"/>
      <c r="B1081" s="95"/>
      <c r="C1081" s="152" t="s">
        <v>1085</v>
      </c>
      <c r="D1081" s="153" t="s">
        <v>25</v>
      </c>
      <c r="E1081" s="130" t="s">
        <v>1086</v>
      </c>
      <c r="F1081" s="195" t="s">
        <v>1111</v>
      </c>
      <c r="G1081" s="195" t="s">
        <v>1111</v>
      </c>
      <c r="H1081" s="195" t="s">
        <v>1111</v>
      </c>
      <c r="I1081" s="195" t="s">
        <v>1111</v>
      </c>
      <c r="J1081" s="132">
        <v>0.9</v>
      </c>
      <c r="K1081" s="133">
        <v>0.966666666666667</v>
      </c>
      <c r="L1081" s="133">
        <v>1</v>
      </c>
      <c r="M1081" s="134">
        <v>0.961538461538462</v>
      </c>
      <c r="N1081" s="133">
        <v>0.951492537313433</v>
      </c>
      <c r="O1081" s="135">
        <v>0.9</v>
      </c>
      <c r="P1081" s="133">
        <v>0.99699549323986</v>
      </c>
      <c r="Q1081" s="133">
        <v>0.994273443092341</v>
      </c>
      <c r="R1081" s="133">
        <v>0.992710120068611</v>
      </c>
      <c r="S1081" s="133">
        <v>0.985875591889595</v>
      </c>
      <c r="T1081" s="135">
        <v>0.9</v>
      </c>
      <c r="U1081" s="133">
        <v>0.948422633950926</v>
      </c>
      <c r="V1081" s="133">
        <v>0.962061560486757</v>
      </c>
      <c r="W1081" s="133">
        <v>0.936106346483705</v>
      </c>
      <c r="X1081" s="133">
        <v>0.947893480108463</v>
      </c>
      <c r="Y1081" s="135">
        <v>0.92</v>
      </c>
      <c r="Z1081" s="135">
        <v>0.935377875136911</v>
      </c>
      <c r="AA1081" s="135">
        <v>0.95863309352518</v>
      </c>
      <c r="AB1081" s="135">
        <v>0.939828080229226</v>
      </c>
      <c r="AC1081" s="135">
        <v>0.945495171973506</v>
      </c>
      <c r="AD1081" s="135">
        <v>0.92</v>
      </c>
      <c r="AE1081" s="133">
        <v>0.996559400930986</v>
      </c>
      <c r="AF1081" s="133">
        <v>0.994015065524714</v>
      </c>
      <c r="AG1081" s="133">
        <v>0.982888663739728</v>
      </c>
      <c r="AH1081" s="133">
        <v>0.985673039944437</v>
      </c>
      <c r="AI1081" s="135">
        <v>0.92</v>
      </c>
      <c r="AJ1081" s="133">
        <v>0.960481099656357</v>
      </c>
      <c r="AK1081" s="133">
        <v>0.972862263184844</v>
      </c>
      <c r="AL1081" s="133">
        <v>0.969041402461768</v>
      </c>
      <c r="AM1081" s="133">
        <v>0.975399912834337</v>
      </c>
      <c r="AN1081" s="132">
        <v>0.99</v>
      </c>
      <c r="AO1081" s="137">
        <v>1</v>
      </c>
      <c r="AP1081" s="137">
        <v>1</v>
      </c>
      <c r="AQ1081" s="137">
        <v>1</v>
      </c>
      <c r="AR1081" s="137">
        <v>1</v>
      </c>
      <c r="AS1081" s="158">
        <v>0.0721861525408278</v>
      </c>
      <c r="AT1081" s="141">
        <v>0.0454545454545455</v>
      </c>
      <c r="AU1081" s="141">
        <v>0</v>
      </c>
      <c r="AV1081" s="141">
        <v>0</v>
      </c>
      <c r="AW1081" s="141">
        <v>0.0269360269360269</v>
      </c>
      <c r="AX1081" s="95"/>
      <c r="AY1081" s="93"/>
    </row>
    <row r="1082" ht="15" spans="1:51">
      <c r="A1082" s="91"/>
      <c r="B1082" s="95"/>
      <c r="C1082" s="152" t="s">
        <v>1085</v>
      </c>
      <c r="D1082" s="153" t="s">
        <v>25</v>
      </c>
      <c r="E1082" s="130" t="s">
        <v>1086</v>
      </c>
      <c r="F1082" s="195" t="s">
        <v>1112</v>
      </c>
      <c r="G1082" s="195" t="s">
        <v>1112</v>
      </c>
      <c r="H1082" s="195" t="s">
        <v>1112</v>
      </c>
      <c r="I1082" s="195" t="s">
        <v>1112</v>
      </c>
      <c r="J1082" s="132">
        <v>0.9</v>
      </c>
      <c r="K1082" s="133">
        <v>1</v>
      </c>
      <c r="L1082" s="133">
        <v>1</v>
      </c>
      <c r="M1082" s="134">
        <v>0.956521739130435</v>
      </c>
      <c r="N1082" s="133">
        <v>0.965675057208238</v>
      </c>
      <c r="O1082" s="135">
        <v>0.9</v>
      </c>
      <c r="P1082" s="133">
        <v>0.974805038992202</v>
      </c>
      <c r="Q1082" s="133">
        <v>0.952256944444444</v>
      </c>
      <c r="R1082" s="133">
        <v>0.979481641468683</v>
      </c>
      <c r="S1082" s="133">
        <v>0.941720363139866</v>
      </c>
      <c r="T1082" s="135">
        <v>0.9</v>
      </c>
      <c r="U1082" s="133">
        <v>0.953209358128374</v>
      </c>
      <c r="V1082" s="133">
        <v>0.921875</v>
      </c>
      <c r="W1082" s="133">
        <v>0.971922246220302</v>
      </c>
      <c r="X1082" s="133">
        <v>0.951373751407287</v>
      </c>
      <c r="Y1082" s="135">
        <v>0.92</v>
      </c>
      <c r="Z1082" s="135">
        <v>0.97432239657632</v>
      </c>
      <c r="AA1082" s="135">
        <v>0.962105263157895</v>
      </c>
      <c r="AB1082" s="135">
        <v>0.958477508650519</v>
      </c>
      <c r="AC1082" s="135">
        <v>0.970247295208655</v>
      </c>
      <c r="AD1082" s="135">
        <v>0.92</v>
      </c>
      <c r="AE1082" s="133">
        <v>1</v>
      </c>
      <c r="AF1082" s="133">
        <v>0.998451213216314</v>
      </c>
      <c r="AG1082" s="133">
        <v>0.997510889856876</v>
      </c>
      <c r="AH1082" s="133">
        <v>0.995898321550003</v>
      </c>
      <c r="AI1082" s="135">
        <v>0.92</v>
      </c>
      <c r="AJ1082" s="133">
        <v>0.973406500633179</v>
      </c>
      <c r="AK1082" s="133">
        <v>0.962507682851875</v>
      </c>
      <c r="AL1082" s="133">
        <v>0.984586641756189</v>
      </c>
      <c r="AM1082" s="133">
        <v>0.983071667114506</v>
      </c>
      <c r="AN1082" s="132">
        <v>0.99</v>
      </c>
      <c r="AO1082" s="137">
        <v>1</v>
      </c>
      <c r="AP1082" s="137">
        <v>1</v>
      </c>
      <c r="AQ1082" s="137">
        <v>1</v>
      </c>
      <c r="AR1082" s="137">
        <v>1</v>
      </c>
      <c r="AS1082" s="158">
        <v>0.0721861525408278</v>
      </c>
      <c r="AT1082" s="141">
        <v>0</v>
      </c>
      <c r="AU1082" s="141">
        <v>0</v>
      </c>
      <c r="AV1082" s="141">
        <v>0</v>
      </c>
      <c r="AW1082" s="141">
        <v>0.0320987654320988</v>
      </c>
      <c r="AX1082" s="95"/>
      <c r="AY1082" s="93"/>
    </row>
    <row r="1083" ht="15" spans="1:51">
      <c r="A1083" s="91"/>
      <c r="B1083" s="95"/>
      <c r="C1083" s="152" t="s">
        <v>1085</v>
      </c>
      <c r="D1083" s="153" t="s">
        <v>25</v>
      </c>
      <c r="E1083" s="130" t="s">
        <v>1086</v>
      </c>
      <c r="F1083" s="195" t="s">
        <v>1113</v>
      </c>
      <c r="G1083" s="195" t="s">
        <v>1113</v>
      </c>
      <c r="H1083" s="195" t="s">
        <v>1113</v>
      </c>
      <c r="I1083" s="195" t="s">
        <v>1113</v>
      </c>
      <c r="J1083" s="132">
        <v>0.9</v>
      </c>
      <c r="K1083" s="133">
        <v>0.975609756097561</v>
      </c>
      <c r="L1083" s="133">
        <v>0.985074626865672</v>
      </c>
      <c r="M1083" s="134">
        <v>1</v>
      </c>
      <c r="N1083" s="133">
        <v>0.978199718706048</v>
      </c>
      <c r="O1083" s="135">
        <v>0.9</v>
      </c>
      <c r="P1083" s="133">
        <v>0.977168035249349</v>
      </c>
      <c r="Q1083" s="133">
        <v>0.986910994764398</v>
      </c>
      <c r="R1083" s="133">
        <v>0.982253905657516</v>
      </c>
      <c r="S1083" s="133">
        <v>0.953926723923237</v>
      </c>
      <c r="T1083" s="135">
        <v>0.9</v>
      </c>
      <c r="U1083" s="133">
        <v>0.945924294011616</v>
      </c>
      <c r="V1083" s="133">
        <v>0.94869109947644</v>
      </c>
      <c r="W1083" s="133">
        <v>0.928408918549977</v>
      </c>
      <c r="X1083" s="133">
        <v>0.916918676220497</v>
      </c>
      <c r="Y1083" s="135">
        <v>0.92</v>
      </c>
      <c r="Z1083" s="135">
        <v>0.941836734693878</v>
      </c>
      <c r="AA1083" s="135">
        <v>0.93790546802595</v>
      </c>
      <c r="AB1083" s="135">
        <v>0.899869960988297</v>
      </c>
      <c r="AC1083" s="135">
        <v>0.949199906849862</v>
      </c>
      <c r="AD1083" s="135">
        <v>0.92</v>
      </c>
      <c r="AE1083" s="133">
        <v>0.999186109603907</v>
      </c>
      <c r="AF1083" s="133">
        <v>0.985419470614625</v>
      </c>
      <c r="AG1083" s="133">
        <v>0.991689750692521</v>
      </c>
      <c r="AH1083" s="133">
        <v>0.996509890635272</v>
      </c>
      <c r="AI1083" s="135">
        <v>0.92</v>
      </c>
      <c r="AJ1083" s="133">
        <v>0.972386020422839</v>
      </c>
      <c r="AK1083" s="133">
        <v>0.969585629720351</v>
      </c>
      <c r="AL1083" s="133">
        <v>0.97039250305582</v>
      </c>
      <c r="AM1083" s="133">
        <v>0.977128588678007</v>
      </c>
      <c r="AN1083" s="132">
        <v>0.99</v>
      </c>
      <c r="AO1083" s="137">
        <v>1</v>
      </c>
      <c r="AP1083" s="137">
        <v>1</v>
      </c>
      <c r="AQ1083" s="137">
        <v>1</v>
      </c>
      <c r="AR1083" s="137">
        <v>1</v>
      </c>
      <c r="AS1083" s="158">
        <v>0.0721861525408278</v>
      </c>
      <c r="AT1083" s="141">
        <v>0.0769230769230769</v>
      </c>
      <c r="AU1083" s="141">
        <v>0.0606060606060606</v>
      </c>
      <c r="AV1083" s="141">
        <v>0.0294117647058824</v>
      </c>
      <c r="AW1083" s="141">
        <v>0.0492307692307692</v>
      </c>
      <c r="AX1083" s="95"/>
      <c r="AY1083" s="93"/>
    </row>
    <row r="1084" ht="15" spans="1:51">
      <c r="A1084" s="91"/>
      <c r="B1084" s="95"/>
      <c r="C1084" s="152" t="s">
        <v>1085</v>
      </c>
      <c r="D1084" s="153" t="s">
        <v>25</v>
      </c>
      <c r="E1084" s="130" t="s">
        <v>1086</v>
      </c>
      <c r="F1084" s="195" t="s">
        <v>1114</v>
      </c>
      <c r="G1084" s="195" t="s">
        <v>1114</v>
      </c>
      <c r="H1084" s="195" t="s">
        <v>1114</v>
      </c>
      <c r="I1084" s="195" t="s">
        <v>1114</v>
      </c>
      <c r="J1084" s="132">
        <v>0.9</v>
      </c>
      <c r="K1084" s="133">
        <v>1</v>
      </c>
      <c r="L1084" s="133">
        <v>1</v>
      </c>
      <c r="M1084" s="134">
        <v>1</v>
      </c>
      <c r="N1084" s="133">
        <v>0.988372093023256</v>
      </c>
      <c r="O1084" s="135">
        <v>0.9</v>
      </c>
      <c r="P1084" s="133">
        <v>0.976309226932668</v>
      </c>
      <c r="Q1084" s="133">
        <v>0.970486111111111</v>
      </c>
      <c r="R1084" s="133">
        <v>0.978010471204188</v>
      </c>
      <c r="S1084" s="133">
        <v>0.967096662802457</v>
      </c>
      <c r="T1084" s="135">
        <v>0.9</v>
      </c>
      <c r="U1084" s="133">
        <v>0.948254364089776</v>
      </c>
      <c r="V1084" s="133">
        <v>0.966145833333333</v>
      </c>
      <c r="W1084" s="133">
        <v>0.962303664921466</v>
      </c>
      <c r="X1084" s="133">
        <v>0.945169326394199</v>
      </c>
      <c r="Y1084" s="135">
        <v>0.92</v>
      </c>
      <c r="Z1084" s="135">
        <v>0.963317384370016</v>
      </c>
      <c r="AA1084" s="135">
        <v>0.96100278551532</v>
      </c>
      <c r="AB1084" s="135">
        <v>0.937007874015748</v>
      </c>
      <c r="AC1084" s="135">
        <v>0.958907228229937</v>
      </c>
      <c r="AD1084" s="135">
        <v>0.92</v>
      </c>
      <c r="AE1084" s="133">
        <v>0.99649430324277</v>
      </c>
      <c r="AF1084" s="133">
        <v>0.999177631578947</v>
      </c>
      <c r="AG1084" s="133">
        <v>1</v>
      </c>
      <c r="AH1084" s="133">
        <v>0.996965416208863</v>
      </c>
      <c r="AI1084" s="135">
        <v>0.92</v>
      </c>
      <c r="AJ1084" s="133">
        <v>0.97355445988346</v>
      </c>
      <c r="AK1084" s="133">
        <v>0.980145598941099</v>
      </c>
      <c r="AL1084" s="133">
        <v>0.980129390018484</v>
      </c>
      <c r="AM1084" s="133">
        <v>0.982201500101358</v>
      </c>
      <c r="AN1084" s="132">
        <v>0.99</v>
      </c>
      <c r="AO1084" s="137">
        <v>1</v>
      </c>
      <c r="AP1084" s="137">
        <v>1</v>
      </c>
      <c r="AQ1084" s="137">
        <v>1</v>
      </c>
      <c r="AR1084" s="137">
        <v>1</v>
      </c>
      <c r="AS1084" s="158">
        <v>0.0721861525408278</v>
      </c>
      <c r="AT1084" s="141">
        <v>0</v>
      </c>
      <c r="AU1084" s="141">
        <v>0</v>
      </c>
      <c r="AV1084" s="141">
        <v>0</v>
      </c>
      <c r="AW1084" s="141">
        <v>0.0545454545454545</v>
      </c>
      <c r="AX1084" s="95"/>
      <c r="AY1084" s="93"/>
    </row>
    <row r="1085" ht="15" spans="1:51">
      <c r="A1085" s="91"/>
      <c r="B1085" s="95"/>
      <c r="C1085" s="152" t="s">
        <v>1085</v>
      </c>
      <c r="D1085" s="153" t="s">
        <v>25</v>
      </c>
      <c r="E1085" s="130" t="s">
        <v>1086</v>
      </c>
      <c r="F1085" s="195" t="s">
        <v>1115</v>
      </c>
      <c r="G1085" s="195" t="s">
        <v>1115</v>
      </c>
      <c r="H1085" s="195" t="s">
        <v>1115</v>
      </c>
      <c r="I1085" s="195" t="s">
        <v>1115</v>
      </c>
      <c r="J1085" s="132">
        <v>0.9</v>
      </c>
      <c r="K1085" s="133">
        <v>0.958333333333333</v>
      </c>
      <c r="L1085" s="133">
        <v>1</v>
      </c>
      <c r="M1085" s="134">
        <v>0.909090909090909</v>
      </c>
      <c r="N1085" s="133">
        <v>0.949886104783599</v>
      </c>
      <c r="O1085" s="135">
        <v>0.9</v>
      </c>
      <c r="P1085" s="133">
        <v>0.973389355742297</v>
      </c>
      <c r="Q1085" s="133">
        <v>0.981006647673314</v>
      </c>
      <c r="R1085" s="133">
        <v>0.976498237367803</v>
      </c>
      <c r="S1085" s="133">
        <v>0.920987792585956</v>
      </c>
      <c r="T1085" s="135">
        <v>0.9</v>
      </c>
      <c r="U1085" s="133">
        <v>0.945378151260504</v>
      </c>
      <c r="V1085" s="133">
        <v>0.964862298195632</v>
      </c>
      <c r="W1085" s="133">
        <v>0.95475910693302</v>
      </c>
      <c r="X1085" s="133">
        <v>0.941846791354015</v>
      </c>
      <c r="Y1085" s="135">
        <v>0.92</v>
      </c>
      <c r="Z1085" s="135">
        <v>0.946215139442231</v>
      </c>
      <c r="AA1085" s="135">
        <v>0.96271186440678</v>
      </c>
      <c r="AB1085" s="135">
        <v>0.946078431372549</v>
      </c>
      <c r="AC1085" s="135">
        <v>0.963050216986981</v>
      </c>
      <c r="AD1085" s="135">
        <v>0.92</v>
      </c>
      <c r="AE1085" s="133">
        <v>0.998229803669134</v>
      </c>
      <c r="AF1085" s="133">
        <v>0.985865724381625</v>
      </c>
      <c r="AG1085" s="133">
        <v>0.949895615866388</v>
      </c>
      <c r="AH1085" s="133">
        <v>0.994973148495067</v>
      </c>
      <c r="AI1085" s="135">
        <v>0.92</v>
      </c>
      <c r="AJ1085" s="133">
        <v>0.966839378238342</v>
      </c>
      <c r="AK1085" s="133">
        <v>0.979259259259259</v>
      </c>
      <c r="AL1085" s="133">
        <v>0.983735571878279</v>
      </c>
      <c r="AM1085" s="133">
        <v>0.980794263399484</v>
      </c>
      <c r="AN1085" s="132">
        <v>0.99</v>
      </c>
      <c r="AO1085" s="137">
        <v>1</v>
      </c>
      <c r="AP1085" s="137">
        <v>1</v>
      </c>
      <c r="AQ1085" s="137">
        <v>1</v>
      </c>
      <c r="AR1085" s="137">
        <v>1</v>
      </c>
      <c r="AS1085" s="158">
        <v>0.0721861525408278</v>
      </c>
      <c r="AT1085" s="141">
        <v>0</v>
      </c>
      <c r="AU1085" s="141">
        <v>0</v>
      </c>
      <c r="AV1085" s="141">
        <v>0</v>
      </c>
      <c r="AW1085" s="141">
        <v>0.023121387283237</v>
      </c>
      <c r="AX1085" s="95"/>
      <c r="AY1085" s="93"/>
    </row>
    <row r="1086" ht="15" spans="1:51">
      <c r="A1086" s="91"/>
      <c r="B1086" s="95"/>
      <c r="C1086" s="152" t="s">
        <v>1085</v>
      </c>
      <c r="D1086" s="153" t="s">
        <v>25</v>
      </c>
      <c r="E1086" s="130" t="s">
        <v>1086</v>
      </c>
      <c r="F1086" s="195" t="s">
        <v>1116</v>
      </c>
      <c r="G1086" s="195" t="s">
        <v>1116</v>
      </c>
      <c r="H1086" s="195" t="s">
        <v>1116</v>
      </c>
      <c r="I1086" s="195" t="s">
        <v>1116</v>
      </c>
      <c r="J1086" s="132">
        <v>0.9</v>
      </c>
      <c r="K1086" s="133">
        <v>1</v>
      </c>
      <c r="L1086" s="133">
        <v>1</v>
      </c>
      <c r="M1086" s="134">
        <v>1</v>
      </c>
      <c r="N1086" s="133">
        <v>0.979938271604938</v>
      </c>
      <c r="O1086" s="135">
        <v>0.9</v>
      </c>
      <c r="P1086" s="133">
        <v>0.986439195100612</v>
      </c>
      <c r="Q1086" s="133">
        <v>0.975736568457539</v>
      </c>
      <c r="R1086" s="133">
        <v>0.978631051752922</v>
      </c>
      <c r="S1086" s="133">
        <v>0.979817036272381</v>
      </c>
      <c r="T1086" s="135">
        <v>0.9</v>
      </c>
      <c r="U1086" s="133">
        <v>0.948818897637795</v>
      </c>
      <c r="V1086" s="133">
        <v>0.942807625649913</v>
      </c>
      <c r="W1086" s="133">
        <v>0.945575959933222</v>
      </c>
      <c r="X1086" s="133">
        <v>0.947175452959812</v>
      </c>
      <c r="Y1086" s="135">
        <v>0.92</v>
      </c>
      <c r="Z1086" s="135">
        <v>0.929181929181929</v>
      </c>
      <c r="AA1086" s="135">
        <v>0.923507462686567</v>
      </c>
      <c r="AB1086" s="135">
        <v>0.904</v>
      </c>
      <c r="AC1086" s="135">
        <v>0.926021022225788</v>
      </c>
      <c r="AD1086" s="135">
        <v>0.92</v>
      </c>
      <c r="AE1086" s="133">
        <v>0.996590521650187</v>
      </c>
      <c r="AF1086" s="133">
        <v>0.998454166022569</v>
      </c>
      <c r="AG1086" s="133">
        <v>0.998322147651007</v>
      </c>
      <c r="AH1086" s="133">
        <v>0.996796624736307</v>
      </c>
      <c r="AI1086" s="135">
        <v>0.92</v>
      </c>
      <c r="AJ1086" s="133">
        <v>0.965539452495974</v>
      </c>
      <c r="AK1086" s="133">
        <v>0.960758377425044</v>
      </c>
      <c r="AL1086" s="133">
        <v>0.968545994065282</v>
      </c>
      <c r="AM1086" s="133">
        <v>0.973124936271868</v>
      </c>
      <c r="AN1086" s="132">
        <v>0.99</v>
      </c>
      <c r="AO1086" s="137">
        <v>1</v>
      </c>
      <c r="AP1086" s="137">
        <v>1</v>
      </c>
      <c r="AQ1086" s="137">
        <v>1</v>
      </c>
      <c r="AR1086" s="137">
        <v>1</v>
      </c>
      <c r="AS1086" s="158">
        <v>0.0721861525408278</v>
      </c>
      <c r="AT1086" s="141">
        <v>0</v>
      </c>
      <c r="AU1086" s="141">
        <v>0.0625</v>
      </c>
      <c r="AV1086" s="141">
        <v>0</v>
      </c>
      <c r="AW1086" s="141">
        <v>0.0203488372093023</v>
      </c>
      <c r="AX1086" s="95"/>
      <c r="AY1086" s="93"/>
    </row>
    <row r="1087" ht="15" spans="1:51">
      <c r="A1087" s="91"/>
      <c r="B1087" s="95"/>
      <c r="C1087" s="152" t="s">
        <v>1085</v>
      </c>
      <c r="D1087" s="153" t="s">
        <v>25</v>
      </c>
      <c r="E1087" s="130" t="s">
        <v>1086</v>
      </c>
      <c r="F1087" s="195" t="s">
        <v>1117</v>
      </c>
      <c r="G1087" s="195" t="s">
        <v>1117</v>
      </c>
      <c r="H1087" s="195" t="s">
        <v>1117</v>
      </c>
      <c r="I1087" s="195" t="s">
        <v>1117</v>
      </c>
      <c r="J1087" s="132">
        <v>0.9</v>
      </c>
      <c r="K1087" s="133">
        <v>0.861111111111111</v>
      </c>
      <c r="L1087" s="133">
        <v>0.888888888888889</v>
      </c>
      <c r="M1087" s="134">
        <v>0.925925925925926</v>
      </c>
      <c r="N1087" s="133">
        <v>0.907986111111111</v>
      </c>
      <c r="O1087" s="135">
        <v>0.9</v>
      </c>
      <c r="P1087" s="133">
        <v>0.975222993062438</v>
      </c>
      <c r="Q1087" s="133">
        <v>0.967523680649526</v>
      </c>
      <c r="R1087" s="133">
        <v>0.975318164288469</v>
      </c>
      <c r="S1087" s="133">
        <v>0.876727790833225</v>
      </c>
      <c r="T1087" s="135">
        <v>0.9</v>
      </c>
      <c r="U1087" s="133">
        <v>0.946481665014866</v>
      </c>
      <c r="V1087" s="133">
        <v>0.93978349120433</v>
      </c>
      <c r="W1087" s="133">
        <v>0.936752795989202</v>
      </c>
      <c r="X1087" s="133">
        <v>0.914438502673797</v>
      </c>
      <c r="Y1087" s="135">
        <v>0.92</v>
      </c>
      <c r="Z1087" s="135">
        <v>0.916780354706685</v>
      </c>
      <c r="AA1087" s="135">
        <v>0.876857749469214</v>
      </c>
      <c r="AB1087" s="135">
        <v>0.834319526627219</v>
      </c>
      <c r="AC1087" s="135">
        <v>0.885054466230937</v>
      </c>
      <c r="AD1087" s="135">
        <v>0.92</v>
      </c>
      <c r="AE1087" s="133">
        <v>0.989694041867955</v>
      </c>
      <c r="AF1087" s="133">
        <v>0.96562371346233</v>
      </c>
      <c r="AG1087" s="133">
        <v>0.995074946466809</v>
      </c>
      <c r="AH1087" s="133">
        <v>0.983391477073562</v>
      </c>
      <c r="AI1087" s="135">
        <v>0.92</v>
      </c>
      <c r="AJ1087" s="133">
        <v>0.958924027626318</v>
      </c>
      <c r="AK1087" s="133">
        <v>0.951770138532581</v>
      </c>
      <c r="AL1087" s="133">
        <v>0.952575912657796</v>
      </c>
      <c r="AM1087" s="133">
        <v>0.960058607164115</v>
      </c>
      <c r="AN1087" s="132">
        <v>0.99</v>
      </c>
      <c r="AO1087" s="137">
        <v>1</v>
      </c>
      <c r="AP1087" s="137">
        <v>1</v>
      </c>
      <c r="AQ1087" s="137">
        <v>1</v>
      </c>
      <c r="AR1087" s="137">
        <v>1</v>
      </c>
      <c r="AS1087" s="158">
        <v>0.0721861525408278</v>
      </c>
      <c r="AT1087" s="141">
        <v>0</v>
      </c>
      <c r="AU1087" s="141">
        <v>0</v>
      </c>
      <c r="AV1087" s="141">
        <v>0</v>
      </c>
      <c r="AW1087" s="141">
        <v>0.0229007633587786</v>
      </c>
      <c r="AX1087" s="95"/>
      <c r="AY1087" s="93"/>
    </row>
    <row r="1088" ht="15" spans="1:51">
      <c r="A1088" s="91"/>
      <c r="B1088" s="95"/>
      <c r="C1088" s="152" t="s">
        <v>1085</v>
      </c>
      <c r="D1088" s="153" t="s">
        <v>25</v>
      </c>
      <c r="E1088" s="130" t="s">
        <v>1086</v>
      </c>
      <c r="F1088" s="195" t="s">
        <v>1118</v>
      </c>
      <c r="G1088" s="195" t="s">
        <v>1118</v>
      </c>
      <c r="H1088" s="195" t="s">
        <v>1118</v>
      </c>
      <c r="I1088" s="195" t="s">
        <v>1118</v>
      </c>
      <c r="J1088" s="132">
        <v>0.9</v>
      </c>
      <c r="K1088" s="133">
        <v>0.857142857142857</v>
      </c>
      <c r="L1088" s="133">
        <v>0.91304347826087</v>
      </c>
      <c r="M1088" s="134">
        <v>0.92156862745098</v>
      </c>
      <c r="N1088" s="133">
        <v>0.916405433646813</v>
      </c>
      <c r="O1088" s="135">
        <v>0.9</v>
      </c>
      <c r="P1088" s="133">
        <v>0.978481769276748</v>
      </c>
      <c r="Q1088" s="133">
        <v>0.982956966340009</v>
      </c>
      <c r="R1088" s="133">
        <v>0.978360256019506</v>
      </c>
      <c r="S1088" s="133">
        <v>0.941435046822076</v>
      </c>
      <c r="T1088" s="135">
        <v>0.9</v>
      </c>
      <c r="U1088" s="133">
        <v>0.93753735803945</v>
      </c>
      <c r="V1088" s="133">
        <v>0.948870899020026</v>
      </c>
      <c r="W1088" s="133">
        <v>0.953672660774154</v>
      </c>
      <c r="X1088" s="133">
        <v>0.933290994221957</v>
      </c>
      <c r="Y1088" s="135">
        <v>0.92</v>
      </c>
      <c r="Z1088" s="135">
        <v>0.921249151391718</v>
      </c>
      <c r="AA1088" s="135">
        <v>0.926627218934911</v>
      </c>
      <c r="AB1088" s="135">
        <v>0.921960072595281</v>
      </c>
      <c r="AC1088" s="135">
        <v>0.943643578281179</v>
      </c>
      <c r="AD1088" s="135">
        <v>0.92</v>
      </c>
      <c r="AE1088" s="133">
        <v>0.975943500331053</v>
      </c>
      <c r="AF1088" s="133">
        <v>0.988183037210862</v>
      </c>
      <c r="AG1088" s="133">
        <v>0.920676202860858</v>
      </c>
      <c r="AH1088" s="133">
        <v>0.946842637469926</v>
      </c>
      <c r="AI1088" s="135">
        <v>0.92</v>
      </c>
      <c r="AJ1088" s="133">
        <v>0.943580170089193</v>
      </c>
      <c r="AK1088" s="133">
        <v>0.959912308174131</v>
      </c>
      <c r="AL1088" s="133">
        <v>0.961929595827901</v>
      </c>
      <c r="AM1088" s="133">
        <v>0.969757440906778</v>
      </c>
      <c r="AN1088" s="132">
        <v>0.99</v>
      </c>
      <c r="AO1088" s="137">
        <v>1</v>
      </c>
      <c r="AP1088" s="137">
        <v>1</v>
      </c>
      <c r="AQ1088" s="137">
        <v>1</v>
      </c>
      <c r="AR1088" s="137">
        <v>1</v>
      </c>
      <c r="AS1088" s="158">
        <v>0.0721861525408278</v>
      </c>
      <c r="AT1088" s="141">
        <v>0.0217391304347826</v>
      </c>
      <c r="AU1088" s="141">
        <v>0</v>
      </c>
      <c r="AV1088" s="141">
        <v>0.0227272727272727</v>
      </c>
      <c r="AW1088" s="141">
        <v>0.0237812128418549</v>
      </c>
      <c r="AX1088" s="95"/>
      <c r="AY1088" s="93"/>
    </row>
    <row r="1089" ht="15" spans="1:51">
      <c r="A1089" s="91"/>
      <c r="B1089" s="95"/>
      <c r="C1089" s="152" t="s">
        <v>1085</v>
      </c>
      <c r="D1089" s="153" t="s">
        <v>25</v>
      </c>
      <c r="E1089" s="130" t="s">
        <v>1086</v>
      </c>
      <c r="F1089" s="195" t="s">
        <v>1119</v>
      </c>
      <c r="G1089" s="195" t="s">
        <v>1119</v>
      </c>
      <c r="H1089" s="195" t="s">
        <v>1119</v>
      </c>
      <c r="I1089" s="195" t="s">
        <v>1119</v>
      </c>
      <c r="J1089" s="132">
        <v>0.9</v>
      </c>
      <c r="K1089" s="133">
        <v>0.906976744186046</v>
      </c>
      <c r="L1089" s="133">
        <v>0.868421052631579</v>
      </c>
      <c r="M1089" s="134">
        <v>0.82051282051282</v>
      </c>
      <c r="N1089" s="133">
        <v>0.924183006535948</v>
      </c>
      <c r="O1089" s="135">
        <v>0.9</v>
      </c>
      <c r="P1089" s="133">
        <v>0.984115523465704</v>
      </c>
      <c r="Q1089" s="133">
        <v>0.990825688073395</v>
      </c>
      <c r="R1089" s="133">
        <v>0.9844529187445</v>
      </c>
      <c r="S1089" s="133">
        <v>0.952372692713528</v>
      </c>
      <c r="T1089" s="135">
        <v>0.9</v>
      </c>
      <c r="U1089" s="133">
        <v>0.952707581227437</v>
      </c>
      <c r="V1089" s="133">
        <v>0.963812436289501</v>
      </c>
      <c r="W1089" s="133">
        <v>0.971545907890877</v>
      </c>
      <c r="X1089" s="133">
        <v>0.958082187820707</v>
      </c>
      <c r="Y1089" s="135">
        <v>0.92</v>
      </c>
      <c r="Z1089" s="135">
        <v>0.941708542713568</v>
      </c>
      <c r="AA1089" s="135">
        <v>0.952</v>
      </c>
      <c r="AB1089" s="135">
        <v>0.945876288659794</v>
      </c>
      <c r="AC1089" s="135">
        <v>0.960171363545083</v>
      </c>
      <c r="AD1089" s="135">
        <v>0.92</v>
      </c>
      <c r="AE1089" s="133">
        <v>0.997704315886134</v>
      </c>
      <c r="AF1089" s="133">
        <v>1</v>
      </c>
      <c r="AG1089" s="133">
        <v>0.999336429993364</v>
      </c>
      <c r="AH1089" s="133">
        <v>0.993547621871664</v>
      </c>
      <c r="AI1089" s="135">
        <v>0.92</v>
      </c>
      <c r="AJ1089" s="133">
        <v>0.966002656042497</v>
      </c>
      <c r="AK1089" s="133">
        <v>0.97564746810978</v>
      </c>
      <c r="AL1089" s="133">
        <v>0.983934685277851</v>
      </c>
      <c r="AM1089" s="133">
        <v>0.983833004445924</v>
      </c>
      <c r="AN1089" s="132">
        <v>0.99</v>
      </c>
      <c r="AO1089" s="137">
        <v>1</v>
      </c>
      <c r="AP1089" s="137">
        <v>1</v>
      </c>
      <c r="AQ1089" s="137">
        <v>1</v>
      </c>
      <c r="AR1089" s="137">
        <v>1</v>
      </c>
      <c r="AS1089" s="158">
        <v>0.0721861525408278</v>
      </c>
      <c r="AT1089" s="141">
        <v>0</v>
      </c>
      <c r="AU1089" s="141">
        <v>0.0555555555555556</v>
      </c>
      <c r="AV1089" s="141">
        <v>0.04</v>
      </c>
      <c r="AW1089" s="141">
        <v>0.0174216027874564</v>
      </c>
      <c r="AX1089" s="95"/>
      <c r="AY1089" s="93"/>
    </row>
    <row r="1090" ht="15" spans="1:51">
      <c r="A1090" s="91"/>
      <c r="B1090" s="95"/>
      <c r="C1090" s="152" t="s">
        <v>1085</v>
      </c>
      <c r="D1090" s="153" t="s">
        <v>25</v>
      </c>
      <c r="E1090" s="130" t="s">
        <v>1086</v>
      </c>
      <c r="F1090" s="195" t="s">
        <v>1120</v>
      </c>
      <c r="G1090" s="195" t="s">
        <v>1120</v>
      </c>
      <c r="H1090" s="195" t="s">
        <v>1120</v>
      </c>
      <c r="I1090" s="195" t="s">
        <v>1120</v>
      </c>
      <c r="J1090" s="132">
        <v>0.9</v>
      </c>
      <c r="K1090" s="133">
        <v>0.944444444444444</v>
      </c>
      <c r="L1090" s="133">
        <v>0.846153846153846</v>
      </c>
      <c r="M1090" s="134">
        <v>0.857142857142857</v>
      </c>
      <c r="N1090" s="133">
        <v>0.931740614334471</v>
      </c>
      <c r="O1090" s="135">
        <v>0.9</v>
      </c>
      <c r="P1090" s="133">
        <v>0.966475095785441</v>
      </c>
      <c r="Q1090" s="133">
        <v>0.975748930099857</v>
      </c>
      <c r="R1090" s="133">
        <v>0.95933734939759</v>
      </c>
      <c r="S1090" s="133">
        <v>0.947015375339162</v>
      </c>
      <c r="T1090" s="135">
        <v>0.9</v>
      </c>
      <c r="U1090" s="133">
        <v>0.943486590038314</v>
      </c>
      <c r="V1090" s="133">
        <v>0.948644793152639</v>
      </c>
      <c r="W1090" s="133">
        <v>0.916415662650602</v>
      </c>
      <c r="X1090" s="133">
        <v>0.910423575520048</v>
      </c>
      <c r="Y1090" s="135">
        <v>0.92</v>
      </c>
      <c r="Z1090" s="135">
        <v>0.968369829683698</v>
      </c>
      <c r="AA1090" s="135">
        <v>0.919431279620853</v>
      </c>
      <c r="AB1090" s="135">
        <v>0.932098765432099</v>
      </c>
      <c r="AC1090" s="135">
        <v>0.926115956900975</v>
      </c>
      <c r="AD1090" s="135">
        <v>0.92</v>
      </c>
      <c r="AE1090" s="133">
        <v>1</v>
      </c>
      <c r="AF1090" s="133">
        <v>0.995454545454545</v>
      </c>
      <c r="AG1090" s="133">
        <v>1</v>
      </c>
      <c r="AH1090" s="133">
        <v>0.973876063183475</v>
      </c>
      <c r="AI1090" s="135">
        <v>0.92</v>
      </c>
      <c r="AJ1090" s="133">
        <v>0.977319587628866</v>
      </c>
      <c r="AK1090" s="133">
        <v>0.962719298245614</v>
      </c>
      <c r="AL1090" s="133">
        <v>0.965771812080537</v>
      </c>
      <c r="AM1090" s="133">
        <v>0.972238520211222</v>
      </c>
      <c r="AN1090" s="132">
        <v>0.99</v>
      </c>
      <c r="AO1090" s="137">
        <v>1</v>
      </c>
      <c r="AP1090" s="137">
        <v>1</v>
      </c>
      <c r="AQ1090" s="137">
        <v>1</v>
      </c>
      <c r="AR1090" s="137">
        <v>1</v>
      </c>
      <c r="AS1090" s="158">
        <v>0.0721861525408278</v>
      </c>
      <c r="AT1090" s="141">
        <v>0</v>
      </c>
      <c r="AU1090" s="141">
        <v>0</v>
      </c>
      <c r="AV1090" s="141">
        <v>0</v>
      </c>
      <c r="AW1090" s="141">
        <v>0.0491803278688525</v>
      </c>
      <c r="AX1090" s="95"/>
      <c r="AY1090" s="93"/>
    </row>
    <row r="1091" ht="15" spans="1:51">
      <c r="A1091" s="91"/>
      <c r="B1091" s="95"/>
      <c r="C1091" s="152" t="s">
        <v>1085</v>
      </c>
      <c r="D1091" s="153" t="s">
        <v>25</v>
      </c>
      <c r="E1091" s="130" t="s">
        <v>1086</v>
      </c>
      <c r="F1091" s="195" t="s">
        <v>1121</v>
      </c>
      <c r="G1091" s="195" t="s">
        <v>1121</v>
      </c>
      <c r="H1091" s="195" t="s">
        <v>1121</v>
      </c>
      <c r="I1091" s="195" t="s">
        <v>1121</v>
      </c>
      <c r="J1091" s="132">
        <v>0.9</v>
      </c>
      <c r="K1091" s="133">
        <v>1</v>
      </c>
      <c r="L1091" s="133">
        <v>0.962962962962963</v>
      </c>
      <c r="M1091" s="134">
        <v>1</v>
      </c>
      <c r="N1091" s="133">
        <v>0.945155393053016</v>
      </c>
      <c r="O1091" s="135">
        <v>0.9</v>
      </c>
      <c r="P1091" s="133">
        <v>0.985573770491803</v>
      </c>
      <c r="Q1091" s="133">
        <v>0.984629294755877</v>
      </c>
      <c r="R1091" s="133">
        <v>0.976699952448883</v>
      </c>
      <c r="S1091" s="133">
        <v>0.975530042738624</v>
      </c>
      <c r="T1091" s="135">
        <v>0.9</v>
      </c>
      <c r="U1091" s="133">
        <v>0.930491803278689</v>
      </c>
      <c r="V1091" s="133">
        <v>0.926763110307414</v>
      </c>
      <c r="W1091" s="133">
        <v>0.922491678554446</v>
      </c>
      <c r="X1091" s="133">
        <v>0.922483868264477</v>
      </c>
      <c r="Y1091" s="135">
        <v>0.92</v>
      </c>
      <c r="Z1091" s="135">
        <v>0.913491246138002</v>
      </c>
      <c r="AA1091" s="135">
        <v>0.885665529010239</v>
      </c>
      <c r="AB1091" s="135">
        <v>0.926775956284153</v>
      </c>
      <c r="AC1091" s="135">
        <v>0.927162142115413</v>
      </c>
      <c r="AD1091" s="135">
        <v>0.92</v>
      </c>
      <c r="AE1091" s="133">
        <v>0.999441652707984</v>
      </c>
      <c r="AF1091" s="133">
        <v>1</v>
      </c>
      <c r="AG1091" s="133">
        <v>0.996830427892235</v>
      </c>
      <c r="AH1091" s="133">
        <v>0.996832823465899</v>
      </c>
      <c r="AI1091" s="135">
        <v>0.92</v>
      </c>
      <c r="AJ1091" s="133">
        <v>0.94551282051282</v>
      </c>
      <c r="AK1091" s="133">
        <v>0.936170212765957</v>
      </c>
      <c r="AL1091" s="133">
        <v>0.95791915175613</v>
      </c>
      <c r="AM1091" s="133">
        <v>0.957573269553422</v>
      </c>
      <c r="AN1091" s="132">
        <v>0.99</v>
      </c>
      <c r="AO1091" s="137">
        <v>1</v>
      </c>
      <c r="AP1091" s="137">
        <v>1</v>
      </c>
      <c r="AQ1091" s="137">
        <v>1</v>
      </c>
      <c r="AR1091" s="137">
        <v>1</v>
      </c>
      <c r="AS1091" s="158">
        <v>0.0721861525408278</v>
      </c>
      <c r="AT1091" s="141">
        <v>0</v>
      </c>
      <c r="AU1091" s="141">
        <v>0.0087719298245614</v>
      </c>
      <c r="AV1091" s="141">
        <v>0</v>
      </c>
      <c r="AW1091" s="141">
        <v>0.00390930414386239</v>
      </c>
      <c r="AX1091" s="95"/>
      <c r="AY1091" s="93"/>
    </row>
    <row r="1092" ht="15" spans="1:51">
      <c r="A1092" s="91"/>
      <c r="B1092" s="95"/>
      <c r="C1092" s="152" t="s">
        <v>1085</v>
      </c>
      <c r="D1092" s="153" t="s">
        <v>25</v>
      </c>
      <c r="E1092" s="130" t="s">
        <v>1086</v>
      </c>
      <c r="F1092" s="195" t="s">
        <v>1122</v>
      </c>
      <c r="G1092" s="195" t="s">
        <v>1122</v>
      </c>
      <c r="H1092" s="195" t="s">
        <v>1122</v>
      </c>
      <c r="I1092" s="195" t="s">
        <v>1122</v>
      </c>
      <c r="J1092" s="132">
        <v>0.9</v>
      </c>
      <c r="K1092" s="133">
        <v>0.972972972972973</v>
      </c>
      <c r="L1092" s="133">
        <v>1</v>
      </c>
      <c r="M1092" s="134">
        <v>1</v>
      </c>
      <c r="N1092" s="133">
        <v>0.987240829346092</v>
      </c>
      <c r="O1092" s="135">
        <v>0.9</v>
      </c>
      <c r="P1092" s="133">
        <v>0.979005524861878</v>
      </c>
      <c r="Q1092" s="133">
        <v>0.969932104752667</v>
      </c>
      <c r="R1092" s="133">
        <v>0.984221748400853</v>
      </c>
      <c r="S1092" s="133">
        <v>0.953771289537713</v>
      </c>
      <c r="T1092" s="135">
        <v>0.9</v>
      </c>
      <c r="U1092" s="133">
        <v>0.948618784530387</v>
      </c>
      <c r="V1092" s="133">
        <v>0.921435499515034</v>
      </c>
      <c r="W1092" s="133">
        <v>0.934754797441365</v>
      </c>
      <c r="X1092" s="133">
        <v>0.930592905621718</v>
      </c>
      <c r="Y1092" s="135">
        <v>0.92</v>
      </c>
      <c r="Z1092" s="135">
        <v>0.949571836346337</v>
      </c>
      <c r="AA1092" s="135">
        <v>0.94954128440367</v>
      </c>
      <c r="AB1092" s="135">
        <v>0.921450151057402</v>
      </c>
      <c r="AC1092" s="135">
        <v>0.948530713400602</v>
      </c>
      <c r="AD1092" s="135">
        <v>0.92</v>
      </c>
      <c r="AE1092" s="133">
        <v>1</v>
      </c>
      <c r="AF1092" s="133">
        <v>0.986831913245546</v>
      </c>
      <c r="AG1092" s="133">
        <v>0.99748743718593</v>
      </c>
      <c r="AH1092" s="133">
        <v>0.994185780341528</v>
      </c>
      <c r="AI1092" s="135">
        <v>0.92</v>
      </c>
      <c r="AJ1092" s="133">
        <v>0.968542467668647</v>
      </c>
      <c r="AK1092" s="133">
        <v>0.970344009489917</v>
      </c>
      <c r="AL1092" s="133">
        <v>0.967345715997603</v>
      </c>
      <c r="AM1092" s="133">
        <v>0.972195636304648</v>
      </c>
      <c r="AN1092" s="132">
        <v>0.99</v>
      </c>
      <c r="AO1092" s="137">
        <v>1</v>
      </c>
      <c r="AP1092" s="137">
        <v>1</v>
      </c>
      <c r="AQ1092" s="137">
        <v>1</v>
      </c>
      <c r="AR1092" s="137">
        <v>1</v>
      </c>
      <c r="AS1092" s="158">
        <v>0.0721861525408278</v>
      </c>
      <c r="AT1092" s="141">
        <v>0.1</v>
      </c>
      <c r="AU1092" s="141">
        <v>0</v>
      </c>
      <c r="AV1092" s="141">
        <v>0.125</v>
      </c>
      <c r="AW1092" s="141">
        <v>0.0372670807453416</v>
      </c>
      <c r="AX1092" s="95"/>
      <c r="AY1092" s="93"/>
    </row>
    <row r="1093" ht="15" spans="1:51">
      <c r="A1093" s="91"/>
      <c r="B1093" s="95"/>
      <c r="C1093" s="152" t="s">
        <v>1085</v>
      </c>
      <c r="D1093" s="153" t="s">
        <v>25</v>
      </c>
      <c r="E1093" s="130" t="s">
        <v>1086</v>
      </c>
      <c r="F1093" s="195" t="s">
        <v>1123</v>
      </c>
      <c r="G1093" s="195" t="s">
        <v>1123</v>
      </c>
      <c r="H1093" s="195" t="s">
        <v>1123</v>
      </c>
      <c r="I1093" s="195" t="s">
        <v>1123</v>
      </c>
      <c r="J1093" s="132">
        <v>0.9</v>
      </c>
      <c r="K1093" s="133">
        <v>0.974358974358974</v>
      </c>
      <c r="L1093" s="133">
        <v>1</v>
      </c>
      <c r="M1093" s="134">
        <v>0.971428571428571</v>
      </c>
      <c r="N1093" s="133">
        <v>0.915328467153285</v>
      </c>
      <c r="O1093" s="135">
        <v>0.9</v>
      </c>
      <c r="P1093" s="133">
        <v>0.942384483742156</v>
      </c>
      <c r="Q1093" s="133">
        <v>0.940163934426229</v>
      </c>
      <c r="R1093" s="133">
        <v>0.923780487804878</v>
      </c>
      <c r="S1093" s="133">
        <v>0.949800737642021</v>
      </c>
      <c r="T1093" s="135">
        <v>0.9</v>
      </c>
      <c r="U1093" s="133">
        <v>0.902452937820879</v>
      </c>
      <c r="V1093" s="133">
        <v>0.905737704918033</v>
      </c>
      <c r="W1093" s="133">
        <v>0.853658536585366</v>
      </c>
      <c r="X1093" s="133">
        <v>0.902497586573925</v>
      </c>
      <c r="Y1093" s="135">
        <v>0.92</v>
      </c>
      <c r="Z1093" s="135">
        <v>0.914568345323741</v>
      </c>
      <c r="AA1093" s="135">
        <v>0.919762258543834</v>
      </c>
      <c r="AB1093" s="135">
        <v>0.937937937937938</v>
      </c>
      <c r="AC1093" s="135">
        <v>0.941879619852165</v>
      </c>
      <c r="AD1093" s="135">
        <v>0.92</v>
      </c>
      <c r="AE1093" s="133">
        <v>0.994036697247706</v>
      </c>
      <c r="AF1093" s="133">
        <v>0.982651796778191</v>
      </c>
      <c r="AG1093" s="133">
        <v>0.992235390273805</v>
      </c>
      <c r="AH1093" s="133">
        <v>0.992196338951582</v>
      </c>
      <c r="AI1093" s="135">
        <v>0.92</v>
      </c>
      <c r="AJ1093" s="133">
        <v>0.936823734729494</v>
      </c>
      <c r="AK1093" s="133">
        <v>0.945589012150026</v>
      </c>
      <c r="AL1093" s="133">
        <v>0.946601941747573</v>
      </c>
      <c r="AM1093" s="133">
        <v>0.962047440699126</v>
      </c>
      <c r="AN1093" s="132">
        <v>0.99</v>
      </c>
      <c r="AO1093" s="137">
        <v>1</v>
      </c>
      <c r="AP1093" s="137">
        <v>1</v>
      </c>
      <c r="AQ1093" s="137">
        <v>1</v>
      </c>
      <c r="AR1093" s="137">
        <v>1</v>
      </c>
      <c r="AS1093" s="158">
        <v>0.0721861525408278</v>
      </c>
      <c r="AT1093" s="141">
        <v>0</v>
      </c>
      <c r="AU1093" s="141">
        <v>0</v>
      </c>
      <c r="AV1093" s="141">
        <v>0.1</v>
      </c>
      <c r="AW1093" s="141">
        <v>0.0316742081447964</v>
      </c>
      <c r="AX1093" s="95"/>
      <c r="AY1093" s="93"/>
    </row>
    <row r="1094" ht="15" spans="1:51">
      <c r="A1094" s="91"/>
      <c r="B1094" s="95"/>
      <c r="C1094" s="152" t="s">
        <v>1085</v>
      </c>
      <c r="D1094" s="153" t="s">
        <v>25</v>
      </c>
      <c r="E1094" s="130" t="s">
        <v>1086</v>
      </c>
      <c r="F1094" s="195" t="s">
        <v>1124</v>
      </c>
      <c r="G1094" s="195" t="s">
        <v>1124</v>
      </c>
      <c r="H1094" s="195" t="s">
        <v>1124</v>
      </c>
      <c r="I1094" s="195" t="s">
        <v>1124</v>
      </c>
      <c r="J1094" s="132">
        <v>0.9</v>
      </c>
      <c r="K1094" s="133">
        <v>0.923076923076923</v>
      </c>
      <c r="L1094" s="133">
        <v>0.952380952380952</v>
      </c>
      <c r="M1094" s="134">
        <v>0.958333333333333</v>
      </c>
      <c r="N1094" s="133">
        <v>0.947826086956522</v>
      </c>
      <c r="O1094" s="135">
        <v>0.9</v>
      </c>
      <c r="P1094" s="133">
        <v>0.948252688172043</v>
      </c>
      <c r="Q1094" s="133">
        <v>0.94888178913738</v>
      </c>
      <c r="R1094" s="133">
        <v>0.94726368159204</v>
      </c>
      <c r="S1094" s="133">
        <v>0.924758749819963</v>
      </c>
      <c r="T1094" s="135">
        <v>0.9</v>
      </c>
      <c r="U1094" s="133">
        <v>0.936155913978495</v>
      </c>
      <c r="V1094" s="133">
        <v>0.912673056443025</v>
      </c>
      <c r="W1094" s="133">
        <v>0.963681592039801</v>
      </c>
      <c r="X1094" s="133">
        <v>0.945931153679965</v>
      </c>
      <c r="Y1094" s="135">
        <v>0.92</v>
      </c>
      <c r="Z1094" s="135">
        <v>0.958920187793427</v>
      </c>
      <c r="AA1094" s="135">
        <v>0.973591549295775</v>
      </c>
      <c r="AB1094" s="135">
        <v>0.973593570608496</v>
      </c>
      <c r="AC1094" s="135">
        <v>0.97198923060992</v>
      </c>
      <c r="AD1094" s="135">
        <v>0.92</v>
      </c>
      <c r="AE1094" s="133">
        <v>0.999291282778171</v>
      </c>
      <c r="AF1094" s="133">
        <v>0.980421686746988</v>
      </c>
      <c r="AG1094" s="133">
        <v>0.997345719973457</v>
      </c>
      <c r="AH1094" s="133">
        <v>0.994016936671576</v>
      </c>
      <c r="AI1094" s="135">
        <v>0.92</v>
      </c>
      <c r="AJ1094" s="133">
        <v>0.973076923076923</v>
      </c>
      <c r="AK1094" s="133">
        <v>0.983410749834107</v>
      </c>
      <c r="AL1094" s="133">
        <v>0.988545643873655</v>
      </c>
      <c r="AM1094" s="133">
        <v>0.983860818064038</v>
      </c>
      <c r="AN1094" s="132">
        <v>0.99</v>
      </c>
      <c r="AO1094" s="137">
        <v>1</v>
      </c>
      <c r="AP1094" s="137">
        <v>1</v>
      </c>
      <c r="AQ1094" s="137">
        <v>1</v>
      </c>
      <c r="AR1094" s="137">
        <v>1</v>
      </c>
      <c r="AS1094" s="158">
        <v>0.0721861525408278</v>
      </c>
      <c r="AT1094" s="141">
        <v>0</v>
      </c>
      <c r="AU1094" s="141">
        <v>0.25</v>
      </c>
      <c r="AV1094" s="141">
        <v>0.3</v>
      </c>
      <c r="AW1094" s="141">
        <v>0.102941176470588</v>
      </c>
      <c r="AX1094" s="95"/>
      <c r="AY1094" s="93"/>
    </row>
    <row r="1095" ht="15" spans="1:51">
      <c r="A1095" s="91"/>
      <c r="B1095" s="95"/>
      <c r="C1095" s="152" t="s">
        <v>1085</v>
      </c>
      <c r="D1095" s="153" t="s">
        <v>25</v>
      </c>
      <c r="E1095" s="130" t="s">
        <v>1086</v>
      </c>
      <c r="F1095" s="195" t="s">
        <v>1125</v>
      </c>
      <c r="G1095" s="195" t="s">
        <v>1125</v>
      </c>
      <c r="H1095" s="195" t="s">
        <v>1125</v>
      </c>
      <c r="I1095" s="195" t="s">
        <v>1125</v>
      </c>
      <c r="J1095" s="132">
        <v>0.9</v>
      </c>
      <c r="K1095" s="133">
        <v>1</v>
      </c>
      <c r="L1095" s="133">
        <v>1</v>
      </c>
      <c r="M1095" s="134">
        <v>1</v>
      </c>
      <c r="N1095" s="133">
        <v>0.995454545454545</v>
      </c>
      <c r="O1095" s="135">
        <v>0.9</v>
      </c>
      <c r="P1095" s="133">
        <v>0.981468282252316</v>
      </c>
      <c r="Q1095" s="133">
        <v>0.985743380855397</v>
      </c>
      <c r="R1095" s="133">
        <v>0.98560411311054</v>
      </c>
      <c r="S1095" s="133">
        <v>0.979907528968548</v>
      </c>
      <c r="T1095" s="135">
        <v>0.9</v>
      </c>
      <c r="U1095" s="133">
        <v>0.960085531004989</v>
      </c>
      <c r="V1095" s="133">
        <v>0.965376782077393</v>
      </c>
      <c r="W1095" s="133">
        <v>0.97892030848329</v>
      </c>
      <c r="X1095" s="133">
        <v>0.963268451395628</v>
      </c>
      <c r="Y1095" s="135">
        <v>0.92</v>
      </c>
      <c r="Z1095" s="135">
        <v>0.953703703703704</v>
      </c>
      <c r="AA1095" s="135">
        <v>0.883168316831683</v>
      </c>
      <c r="AB1095" s="135">
        <v>0.960893854748603</v>
      </c>
      <c r="AC1095" s="135">
        <v>0.961290322580645</v>
      </c>
      <c r="AD1095" s="135">
        <v>0.92</v>
      </c>
      <c r="AE1095" s="133">
        <v>0.998426435877262</v>
      </c>
      <c r="AF1095" s="133">
        <v>0.99875</v>
      </c>
      <c r="AG1095" s="133">
        <v>0.999033816425121</v>
      </c>
      <c r="AH1095" s="133">
        <v>0.992898115269052</v>
      </c>
      <c r="AI1095" s="135">
        <v>0.92</v>
      </c>
      <c r="AJ1095" s="133">
        <v>0.965593295103661</v>
      </c>
      <c r="AK1095" s="133">
        <v>0.948890383322125</v>
      </c>
      <c r="AL1095" s="133">
        <v>0.980640619500176</v>
      </c>
      <c r="AM1095" s="133">
        <v>0.978500892759538</v>
      </c>
      <c r="AN1095" s="132">
        <v>0.99</v>
      </c>
      <c r="AO1095" s="137">
        <v>1</v>
      </c>
      <c r="AP1095" s="137">
        <v>1</v>
      </c>
      <c r="AQ1095" s="137">
        <v>1</v>
      </c>
      <c r="AR1095" s="137">
        <v>1</v>
      </c>
      <c r="AS1095" s="158">
        <v>0.0721861525408278</v>
      </c>
      <c r="AT1095" s="141">
        <v>0</v>
      </c>
      <c r="AU1095" s="141">
        <v>0</v>
      </c>
      <c r="AV1095" s="141">
        <v>0</v>
      </c>
      <c r="AW1095" s="141">
        <v>0.0355029585798817</v>
      </c>
      <c r="AX1095" s="95"/>
      <c r="AY1095" s="93"/>
    </row>
    <row r="1096" ht="15" spans="1:51">
      <c r="A1096" s="91"/>
      <c r="B1096" s="95"/>
      <c r="C1096" s="152" t="s">
        <v>1085</v>
      </c>
      <c r="D1096" s="153" t="s">
        <v>25</v>
      </c>
      <c r="E1096" s="130" t="s">
        <v>1086</v>
      </c>
      <c r="F1096" s="195" t="s">
        <v>1126</v>
      </c>
      <c r="G1096" s="195" t="s">
        <v>1126</v>
      </c>
      <c r="H1096" s="195" t="s">
        <v>1126</v>
      </c>
      <c r="I1096" s="195" t="s">
        <v>1126</v>
      </c>
      <c r="J1096" s="132">
        <v>0.9</v>
      </c>
      <c r="K1096" s="133">
        <v>1</v>
      </c>
      <c r="L1096" s="133">
        <v>1</v>
      </c>
      <c r="M1096" s="134">
        <v>1</v>
      </c>
      <c r="N1096" s="133">
        <v>0.993394980184941</v>
      </c>
      <c r="O1096" s="135">
        <v>0.9</v>
      </c>
      <c r="P1096" s="133">
        <v>0.954954954954955</v>
      </c>
      <c r="Q1096" s="133">
        <v>0.922560975609756</v>
      </c>
      <c r="R1096" s="133">
        <v>0.943308007013442</v>
      </c>
      <c r="S1096" s="133">
        <v>0.946053107827975</v>
      </c>
      <c r="T1096" s="135">
        <v>0.9</v>
      </c>
      <c r="U1096" s="133">
        <v>0.979115479115479</v>
      </c>
      <c r="V1096" s="133">
        <v>0.973780487804878</v>
      </c>
      <c r="W1096" s="133">
        <v>0.960549386323787</v>
      </c>
      <c r="X1096" s="133">
        <v>0.958688427494982</v>
      </c>
      <c r="Y1096" s="135">
        <v>0.92</v>
      </c>
      <c r="Z1096" s="135">
        <v>0.956982131039047</v>
      </c>
      <c r="AA1096" s="135">
        <v>0.952169076751947</v>
      </c>
      <c r="AB1096" s="135">
        <v>0.930322580645161</v>
      </c>
      <c r="AC1096" s="135">
        <v>0.953986423154486</v>
      </c>
      <c r="AD1096" s="135">
        <v>0.92</v>
      </c>
      <c r="AE1096" s="133">
        <v>0.999653319466112</v>
      </c>
      <c r="AF1096" s="133">
        <v>0.998899889988999</v>
      </c>
      <c r="AG1096" s="133">
        <v>0.999420541793423</v>
      </c>
      <c r="AH1096" s="133">
        <v>0.931849579274091</v>
      </c>
      <c r="AI1096" s="135">
        <v>0.92</v>
      </c>
      <c r="AJ1096" s="133">
        <v>0.976979509233494</v>
      </c>
      <c r="AK1096" s="133">
        <v>0.974793225679401</v>
      </c>
      <c r="AL1096" s="133">
        <v>0.958769106999195</v>
      </c>
      <c r="AM1096" s="133">
        <v>0.972195599633303</v>
      </c>
      <c r="AN1096" s="132">
        <v>0.99</v>
      </c>
      <c r="AO1096" s="137">
        <v>1</v>
      </c>
      <c r="AP1096" s="137">
        <v>1</v>
      </c>
      <c r="AQ1096" s="137">
        <v>1</v>
      </c>
      <c r="AR1096" s="137">
        <v>1</v>
      </c>
      <c r="AS1096" s="158">
        <v>0.0721861525408278</v>
      </c>
      <c r="AT1096" s="141">
        <v>0.0526315789473684</v>
      </c>
      <c r="AU1096" s="141">
        <v>0</v>
      </c>
      <c r="AV1096" s="141">
        <v>0.037037037037037</v>
      </c>
      <c r="AW1096" s="141">
        <v>0.0722543352601156</v>
      </c>
      <c r="AX1096" s="95"/>
      <c r="AY1096" s="93"/>
    </row>
    <row r="1097" ht="15" spans="1:51">
      <c r="A1097" s="91"/>
      <c r="B1097" s="95"/>
      <c r="C1097" s="152" t="s">
        <v>1085</v>
      </c>
      <c r="D1097" s="153" t="s">
        <v>25</v>
      </c>
      <c r="E1097" s="130" t="s">
        <v>1086</v>
      </c>
      <c r="F1097" s="195" t="s">
        <v>1127</v>
      </c>
      <c r="G1097" s="195" t="s">
        <v>1127</v>
      </c>
      <c r="H1097" s="195" t="s">
        <v>1127</v>
      </c>
      <c r="I1097" s="195" t="s">
        <v>1127</v>
      </c>
      <c r="J1097" s="132">
        <v>0.9</v>
      </c>
      <c r="K1097" s="133">
        <v>1</v>
      </c>
      <c r="L1097" s="133">
        <v>0.971428571428571</v>
      </c>
      <c r="M1097" s="134">
        <v>0.972222222222222</v>
      </c>
      <c r="N1097" s="133">
        <v>0.935172413793103</v>
      </c>
      <c r="O1097" s="135">
        <v>0.9</v>
      </c>
      <c r="P1097" s="133">
        <v>0.9834229390681</v>
      </c>
      <c r="Q1097" s="133">
        <v>0.97609561752988</v>
      </c>
      <c r="R1097" s="133">
        <v>0.965449804432855</v>
      </c>
      <c r="S1097" s="133">
        <v>0.947181903864279</v>
      </c>
      <c r="T1097" s="135">
        <v>0.9</v>
      </c>
      <c r="U1097" s="133">
        <v>0.940412186379928</v>
      </c>
      <c r="V1097" s="133">
        <v>0.932270916334661</v>
      </c>
      <c r="W1097" s="133">
        <v>0.938396349413299</v>
      </c>
      <c r="X1097" s="133">
        <v>0.930933081998115</v>
      </c>
      <c r="Y1097" s="135">
        <v>0.92</v>
      </c>
      <c r="Z1097" s="135">
        <v>0.941049604601007</v>
      </c>
      <c r="AA1097" s="135">
        <v>0.930795847750865</v>
      </c>
      <c r="AB1097" s="135">
        <v>0.942715700141443</v>
      </c>
      <c r="AC1097" s="135">
        <v>0.954985588911558</v>
      </c>
      <c r="AD1097" s="135">
        <v>0.92</v>
      </c>
      <c r="AE1097" s="133">
        <v>0.982832618025751</v>
      </c>
      <c r="AF1097" s="133">
        <v>0.984905660377358</v>
      </c>
      <c r="AG1097" s="133">
        <v>0.995918367346939</v>
      </c>
      <c r="AH1097" s="133">
        <v>0.986119493059747</v>
      </c>
      <c r="AI1097" s="135">
        <v>0.92</v>
      </c>
      <c r="AJ1097" s="133">
        <v>0.962738062379244</v>
      </c>
      <c r="AK1097" s="133">
        <v>0.959544879898862</v>
      </c>
      <c r="AL1097" s="133">
        <v>0.965640339134315</v>
      </c>
      <c r="AM1097" s="133">
        <v>0.972394648112185</v>
      </c>
      <c r="AN1097" s="132">
        <v>0.99</v>
      </c>
      <c r="AO1097" s="137">
        <v>1</v>
      </c>
      <c r="AP1097" s="137">
        <v>1</v>
      </c>
      <c r="AQ1097" s="137">
        <v>1</v>
      </c>
      <c r="AR1097" s="137">
        <v>1</v>
      </c>
      <c r="AS1097" s="158">
        <v>0.0721861525408278</v>
      </c>
      <c r="AT1097" s="141">
        <v>0.0588235294117647</v>
      </c>
      <c r="AU1097" s="141">
        <v>0.0740740740740741</v>
      </c>
      <c r="AV1097" s="141">
        <v>0</v>
      </c>
      <c r="AW1097" s="141">
        <v>0.0397727272727273</v>
      </c>
      <c r="AX1097" s="95"/>
      <c r="AY1097" s="93"/>
    </row>
    <row r="1098" ht="15" spans="1:51">
      <c r="A1098" s="91"/>
      <c r="B1098" s="95"/>
      <c r="C1098" s="152" t="s">
        <v>1085</v>
      </c>
      <c r="D1098" s="153" t="s">
        <v>25</v>
      </c>
      <c r="E1098" s="130" t="s">
        <v>1086</v>
      </c>
      <c r="F1098" s="195" t="s">
        <v>1128</v>
      </c>
      <c r="G1098" s="195" t="s">
        <v>1128</v>
      </c>
      <c r="H1098" s="195" t="s">
        <v>1128</v>
      </c>
      <c r="I1098" s="195" t="s">
        <v>1128</v>
      </c>
      <c r="J1098" s="132">
        <v>0.9</v>
      </c>
      <c r="K1098" s="133">
        <v>1</v>
      </c>
      <c r="L1098" s="133">
        <v>1</v>
      </c>
      <c r="M1098" s="134">
        <v>1</v>
      </c>
      <c r="N1098" s="133">
        <v>1</v>
      </c>
      <c r="O1098" s="135">
        <v>0.9</v>
      </c>
      <c r="P1098" s="133">
        <v>0.990308370044053</v>
      </c>
      <c r="Q1098" s="133">
        <v>0.985754985754986</v>
      </c>
      <c r="R1098" s="133">
        <v>0.970469798657718</v>
      </c>
      <c r="S1098" s="133">
        <v>0.98580518844836</v>
      </c>
      <c r="T1098" s="135">
        <v>0.9</v>
      </c>
      <c r="U1098" s="133">
        <v>0.929515418502203</v>
      </c>
      <c r="V1098" s="133">
        <v>0.951566951566952</v>
      </c>
      <c r="W1098" s="133">
        <v>0.95503355704698</v>
      </c>
      <c r="X1098" s="133">
        <v>0.939681463910539</v>
      </c>
      <c r="Y1098" s="135">
        <v>0.92</v>
      </c>
      <c r="Z1098" s="135">
        <v>0.952815829528158</v>
      </c>
      <c r="AA1098" s="135">
        <v>0.96969696969697</v>
      </c>
      <c r="AB1098" s="135">
        <v>0.965471447543161</v>
      </c>
      <c r="AC1098" s="135">
        <v>0.971680594243268</v>
      </c>
      <c r="AD1098" s="135">
        <v>0.92</v>
      </c>
      <c r="AE1098" s="133">
        <v>0.999469777306469</v>
      </c>
      <c r="AF1098" s="133">
        <v>1</v>
      </c>
      <c r="AG1098" s="133">
        <v>0.999478895257947</v>
      </c>
      <c r="AH1098" s="133">
        <v>0.997670655158886</v>
      </c>
      <c r="AI1098" s="135">
        <v>0.92</v>
      </c>
      <c r="AJ1098" s="133">
        <v>0.961495535714286</v>
      </c>
      <c r="AK1098" s="133">
        <v>0.97789566755084</v>
      </c>
      <c r="AL1098" s="133">
        <v>0.979045920641997</v>
      </c>
      <c r="AM1098" s="133">
        <v>0.982133422986408</v>
      </c>
      <c r="AN1098" s="132">
        <v>0.99</v>
      </c>
      <c r="AO1098" s="137">
        <v>1</v>
      </c>
      <c r="AP1098" s="137">
        <v>1</v>
      </c>
      <c r="AQ1098" s="137">
        <v>1</v>
      </c>
      <c r="AR1098" s="137">
        <v>1</v>
      </c>
      <c r="AS1098" s="158">
        <v>0.0721861525408278</v>
      </c>
      <c r="AT1098" s="141">
        <v>0</v>
      </c>
      <c r="AU1098" s="141">
        <v>0</v>
      </c>
      <c r="AV1098" s="141">
        <v>0</v>
      </c>
      <c r="AW1098" s="141">
        <v>0.016</v>
      </c>
      <c r="AX1098" s="95"/>
      <c r="AY1098" s="93"/>
    </row>
    <row r="1099" ht="15" spans="1:51">
      <c r="A1099" s="91"/>
      <c r="B1099" s="95"/>
      <c r="C1099" s="152" t="s">
        <v>1085</v>
      </c>
      <c r="D1099" s="153" t="s">
        <v>25</v>
      </c>
      <c r="E1099" s="130" t="s">
        <v>1086</v>
      </c>
      <c r="F1099" s="195" t="s">
        <v>1129</v>
      </c>
      <c r="G1099" s="195" t="s">
        <v>1129</v>
      </c>
      <c r="H1099" s="195" t="s">
        <v>1129</v>
      </c>
      <c r="I1099" s="195" t="s">
        <v>1129</v>
      </c>
      <c r="J1099" s="132">
        <v>0.9</v>
      </c>
      <c r="K1099" s="133">
        <v>0.945945945945946</v>
      </c>
      <c r="L1099" s="133">
        <v>0.942857142857143</v>
      </c>
      <c r="M1099" s="134">
        <v>0.914285714285714</v>
      </c>
      <c r="N1099" s="133">
        <v>0.952451708766716</v>
      </c>
      <c r="O1099" s="135">
        <v>0.9</v>
      </c>
      <c r="P1099" s="133">
        <v>0.980017376194613</v>
      </c>
      <c r="Q1099" s="133">
        <v>0.97765006385696</v>
      </c>
      <c r="R1099" s="133">
        <v>0.973425196850394</v>
      </c>
      <c r="S1099" s="133">
        <v>0.957042682327984</v>
      </c>
      <c r="T1099" s="135">
        <v>0.9</v>
      </c>
      <c r="U1099" s="133">
        <v>0.909209383145091</v>
      </c>
      <c r="V1099" s="133">
        <v>0.92911877394636</v>
      </c>
      <c r="W1099" s="133">
        <v>0.909448818897638</v>
      </c>
      <c r="X1099" s="133">
        <v>0.897880615191216</v>
      </c>
      <c r="Y1099" s="135">
        <v>0.92</v>
      </c>
      <c r="Z1099" s="135">
        <v>0.919630156472262</v>
      </c>
      <c r="AA1099" s="135">
        <v>0.920289855072464</v>
      </c>
      <c r="AB1099" s="135">
        <v>0.954031650339111</v>
      </c>
      <c r="AC1099" s="135">
        <v>0.917063198336329</v>
      </c>
      <c r="AD1099" s="135">
        <v>0.92</v>
      </c>
      <c r="AE1099" s="133">
        <v>0.99703557312253</v>
      </c>
      <c r="AF1099" s="133">
        <v>0.999197431781701</v>
      </c>
      <c r="AG1099" s="133">
        <v>0.998316498316498</v>
      </c>
      <c r="AH1099" s="133">
        <v>0.997983517446958</v>
      </c>
      <c r="AI1099" s="135">
        <v>0.92</v>
      </c>
      <c r="AJ1099" s="133">
        <v>0.958468176914779</v>
      </c>
      <c r="AK1099" s="133">
        <v>0.964494569757728</v>
      </c>
      <c r="AL1099" s="133">
        <v>0.9728</v>
      </c>
      <c r="AM1099" s="133">
        <v>0.958759506123015</v>
      </c>
      <c r="AN1099" s="132">
        <v>0.99</v>
      </c>
      <c r="AO1099" s="137">
        <v>1</v>
      </c>
      <c r="AP1099" s="137">
        <v>1</v>
      </c>
      <c r="AQ1099" s="137">
        <v>1</v>
      </c>
      <c r="AR1099" s="137">
        <v>1</v>
      </c>
      <c r="AS1099" s="158">
        <v>0.0721861525408278</v>
      </c>
      <c r="AT1099" s="141">
        <v>0.0833333333333333</v>
      </c>
      <c r="AU1099" s="141">
        <v>0.1</v>
      </c>
      <c r="AV1099" s="141">
        <v>0.133333333333333</v>
      </c>
      <c r="AW1099" s="141">
        <v>0.0341463414634146</v>
      </c>
      <c r="AX1099" s="95"/>
      <c r="AY1099" s="93"/>
    </row>
    <row r="1100" ht="15" spans="1:51">
      <c r="A1100" s="91"/>
      <c r="B1100" s="95"/>
      <c r="C1100" s="152" t="s">
        <v>1085</v>
      </c>
      <c r="D1100" s="153" t="s">
        <v>25</v>
      </c>
      <c r="E1100" s="130" t="s">
        <v>1086</v>
      </c>
      <c r="F1100" s="195" t="s">
        <v>1130</v>
      </c>
      <c r="G1100" s="195" t="s">
        <v>1130</v>
      </c>
      <c r="H1100" s="195" t="s">
        <v>1130</v>
      </c>
      <c r="I1100" s="195" t="s">
        <v>1130</v>
      </c>
      <c r="J1100" s="132">
        <v>0.9</v>
      </c>
      <c r="K1100" s="133">
        <v>0.96969696969697</v>
      </c>
      <c r="L1100" s="133">
        <v>0.962962962962963</v>
      </c>
      <c r="M1100" s="134">
        <v>0.8</v>
      </c>
      <c r="N1100" s="133">
        <v>0.88595041322314</v>
      </c>
      <c r="O1100" s="135">
        <v>0.9</v>
      </c>
      <c r="P1100" s="133">
        <v>0.947223749312809</v>
      </c>
      <c r="Q1100" s="133">
        <v>0.965224766751484</v>
      </c>
      <c r="R1100" s="133">
        <v>0.956521739130435</v>
      </c>
      <c r="S1100" s="133">
        <v>0.956245743749392</v>
      </c>
      <c r="T1100" s="135">
        <v>0.9</v>
      </c>
      <c r="U1100" s="133">
        <v>0.926333150082463</v>
      </c>
      <c r="V1100" s="133">
        <v>0.908396946564885</v>
      </c>
      <c r="W1100" s="133">
        <v>0.910238429172511</v>
      </c>
      <c r="X1100" s="133">
        <v>0.912977916139702</v>
      </c>
      <c r="Y1100" s="135">
        <v>0.92</v>
      </c>
      <c r="Z1100" s="135">
        <v>0.920465567410281</v>
      </c>
      <c r="AA1100" s="135">
        <v>0.890625</v>
      </c>
      <c r="AB1100" s="135">
        <v>0.910614525139665</v>
      </c>
      <c r="AC1100" s="135">
        <v>0.917302152177597</v>
      </c>
      <c r="AD1100" s="135">
        <v>0.92</v>
      </c>
      <c r="AE1100" s="133">
        <v>0.93719806763285</v>
      </c>
      <c r="AF1100" s="133">
        <v>0.960820895522388</v>
      </c>
      <c r="AG1100" s="133">
        <v>0.988059701492537</v>
      </c>
      <c r="AH1100" s="133">
        <v>0.986685729604146</v>
      </c>
      <c r="AI1100" s="135">
        <v>0.92</v>
      </c>
      <c r="AJ1100" s="133">
        <v>0.951228070175439</v>
      </c>
      <c r="AK1100" s="133">
        <v>0.92967032967033</v>
      </c>
      <c r="AL1100" s="133">
        <v>0.944870283018868</v>
      </c>
      <c r="AM1100" s="133">
        <v>0.952082144894467</v>
      </c>
      <c r="AN1100" s="132">
        <v>0.99</v>
      </c>
      <c r="AO1100" s="137">
        <v>1</v>
      </c>
      <c r="AP1100" s="137">
        <v>1</v>
      </c>
      <c r="AQ1100" s="137">
        <v>1</v>
      </c>
      <c r="AR1100" s="137">
        <v>1</v>
      </c>
      <c r="AS1100" s="158">
        <v>0.0721861525408278</v>
      </c>
      <c r="AT1100" s="141">
        <v>0.0476190476190476</v>
      </c>
      <c r="AU1100" s="141">
        <v>0</v>
      </c>
      <c r="AV1100" s="141">
        <v>0</v>
      </c>
      <c r="AW1100" s="141">
        <v>0.0444444444444444</v>
      </c>
      <c r="AX1100" s="95"/>
      <c r="AY1100" s="93"/>
    </row>
    <row r="1101" ht="15" spans="1:51">
      <c r="A1101" s="91"/>
      <c r="B1101" s="95"/>
      <c r="C1101" s="152" t="s">
        <v>1085</v>
      </c>
      <c r="D1101" s="153" t="s">
        <v>25</v>
      </c>
      <c r="E1101" s="130" t="s">
        <v>1086</v>
      </c>
      <c r="F1101" s="195" t="s">
        <v>1131</v>
      </c>
      <c r="G1101" s="195" t="s">
        <v>1131</v>
      </c>
      <c r="H1101" s="195" t="s">
        <v>1131</v>
      </c>
      <c r="I1101" s="195" t="s">
        <v>1131</v>
      </c>
      <c r="J1101" s="132">
        <v>0.9</v>
      </c>
      <c r="K1101" s="133">
        <v>1</v>
      </c>
      <c r="L1101" s="133">
        <v>0.923076923076923</v>
      </c>
      <c r="M1101" s="134">
        <v>0.96551724137931</v>
      </c>
      <c r="N1101" s="133">
        <v>0.962230215827338</v>
      </c>
      <c r="O1101" s="135">
        <v>0.9</v>
      </c>
      <c r="P1101" s="133">
        <v>0.973831775700935</v>
      </c>
      <c r="Q1101" s="133">
        <v>0.970935513169846</v>
      </c>
      <c r="R1101" s="133">
        <v>0.936507936507937</v>
      </c>
      <c r="S1101" s="133">
        <v>0.9453568303962</v>
      </c>
      <c r="T1101" s="135">
        <v>0.9</v>
      </c>
      <c r="U1101" s="133">
        <v>0.922741433021807</v>
      </c>
      <c r="V1101" s="133">
        <v>0.903723887375114</v>
      </c>
      <c r="W1101" s="133">
        <v>0.944940476190476</v>
      </c>
      <c r="X1101" s="133">
        <v>0.931933508311461</v>
      </c>
      <c r="Y1101" s="135">
        <v>0.92</v>
      </c>
      <c r="Z1101" s="135">
        <v>0.898507462686567</v>
      </c>
      <c r="AA1101" s="135">
        <v>0.924920127795527</v>
      </c>
      <c r="AB1101" s="135">
        <v>0.905417814508724</v>
      </c>
      <c r="AC1101" s="135">
        <v>0.937949332420404</v>
      </c>
      <c r="AD1101" s="135">
        <v>0.92</v>
      </c>
      <c r="AE1101" s="133">
        <v>0.997080291970803</v>
      </c>
      <c r="AF1101" s="133">
        <v>1</v>
      </c>
      <c r="AG1101" s="133">
        <v>0.990641711229946</v>
      </c>
      <c r="AH1101" s="133">
        <v>0.992753623188406</v>
      </c>
      <c r="AI1101" s="135">
        <v>0.92</v>
      </c>
      <c r="AJ1101" s="133">
        <v>0.93639846743295</v>
      </c>
      <c r="AK1101" s="133">
        <v>0.943833236826867</v>
      </c>
      <c r="AL1101" s="133">
        <v>0.952334943639291</v>
      </c>
      <c r="AM1101" s="133">
        <v>0.96378869639307</v>
      </c>
      <c r="AN1101" s="132">
        <v>0.99</v>
      </c>
      <c r="AO1101" s="137">
        <v>1</v>
      </c>
      <c r="AP1101" s="137">
        <v>1</v>
      </c>
      <c r="AQ1101" s="137">
        <v>1</v>
      </c>
      <c r="AR1101" s="137">
        <v>1</v>
      </c>
      <c r="AS1101" s="158">
        <v>0.0721861525408278</v>
      </c>
      <c r="AT1101" s="141">
        <v>0</v>
      </c>
      <c r="AU1101" s="141">
        <v>0.111111111111111</v>
      </c>
      <c r="AV1101" s="141">
        <v>0</v>
      </c>
      <c r="AW1101" s="141">
        <v>0.0324074074074074</v>
      </c>
      <c r="AX1101" s="95"/>
      <c r="AY1101" s="93"/>
    </row>
    <row r="1102" ht="15" spans="1:51">
      <c r="A1102" s="91"/>
      <c r="B1102" s="95"/>
      <c r="C1102" s="152" t="s">
        <v>1085</v>
      </c>
      <c r="D1102" s="153" t="s">
        <v>25</v>
      </c>
      <c r="E1102" s="130" t="s">
        <v>1086</v>
      </c>
      <c r="F1102" s="195" t="s">
        <v>1132</v>
      </c>
      <c r="G1102" s="195" t="s">
        <v>1132</v>
      </c>
      <c r="H1102" s="195" t="s">
        <v>1132</v>
      </c>
      <c r="I1102" s="195" t="s">
        <v>1132</v>
      </c>
      <c r="J1102" s="132">
        <v>0.9</v>
      </c>
      <c r="K1102" s="133">
        <v>1</v>
      </c>
      <c r="L1102" s="133">
        <v>0.944444444444444</v>
      </c>
      <c r="M1102" s="134">
        <v>0.95</v>
      </c>
      <c r="N1102" s="133">
        <v>0.980099502487562</v>
      </c>
      <c r="O1102" s="135">
        <v>0.9</v>
      </c>
      <c r="P1102" s="133">
        <v>0.978644382544104</v>
      </c>
      <c r="Q1102" s="133">
        <v>0.961538461538462</v>
      </c>
      <c r="R1102" s="133">
        <v>0.886317222600408</v>
      </c>
      <c r="S1102" s="133">
        <v>0.956758948648948</v>
      </c>
      <c r="T1102" s="135">
        <v>0.9</v>
      </c>
      <c r="U1102" s="133">
        <v>0.970287836583101</v>
      </c>
      <c r="V1102" s="133">
        <v>0.96816976127321</v>
      </c>
      <c r="W1102" s="133">
        <v>0.950306330837304</v>
      </c>
      <c r="X1102" s="133">
        <v>0.953404357282412</v>
      </c>
      <c r="Y1102" s="135">
        <v>0.92</v>
      </c>
      <c r="Z1102" s="135">
        <v>0.943313953488372</v>
      </c>
      <c r="AA1102" s="135">
        <v>0.931350114416476</v>
      </c>
      <c r="AB1102" s="135">
        <v>0.946327683615819</v>
      </c>
      <c r="AC1102" s="135">
        <v>0.949323280390582</v>
      </c>
      <c r="AD1102" s="135">
        <v>0.92</v>
      </c>
      <c r="AE1102" s="133">
        <v>0.997679814385151</v>
      </c>
      <c r="AF1102" s="133">
        <v>0.998897464167585</v>
      </c>
      <c r="AG1102" s="133">
        <v>0.996539792387543</v>
      </c>
      <c r="AH1102" s="133">
        <v>0.997222070918895</v>
      </c>
      <c r="AI1102" s="135">
        <v>0.92</v>
      </c>
      <c r="AJ1102" s="133">
        <v>0.969971671388102</v>
      </c>
      <c r="AK1102" s="133">
        <v>0.963056255247691</v>
      </c>
      <c r="AL1102" s="133">
        <v>0.975654570509876</v>
      </c>
      <c r="AM1102" s="133">
        <v>0.969708164019209</v>
      </c>
      <c r="AN1102" s="132">
        <v>0.99</v>
      </c>
      <c r="AO1102" s="137">
        <v>1</v>
      </c>
      <c r="AP1102" s="137">
        <v>1</v>
      </c>
      <c r="AQ1102" s="137">
        <v>1</v>
      </c>
      <c r="AR1102" s="137">
        <v>1</v>
      </c>
      <c r="AS1102" s="158">
        <v>0.0721861525408278</v>
      </c>
      <c r="AT1102" s="141">
        <v>0</v>
      </c>
      <c r="AU1102" s="141">
        <v>0</v>
      </c>
      <c r="AV1102" s="141">
        <v>0</v>
      </c>
      <c r="AW1102" s="141">
        <v>0.0512820512820513</v>
      </c>
      <c r="AX1102" s="95"/>
      <c r="AY1102" s="93"/>
    </row>
    <row r="1103" ht="15" spans="1:51">
      <c r="A1103" s="91"/>
      <c r="B1103" s="95"/>
      <c r="C1103" s="152" t="s">
        <v>1085</v>
      </c>
      <c r="D1103" s="153" t="s">
        <v>25</v>
      </c>
      <c r="E1103" s="130" t="s">
        <v>1086</v>
      </c>
      <c r="F1103" s="195" t="s">
        <v>1133</v>
      </c>
      <c r="G1103" s="195" t="s">
        <v>1133</v>
      </c>
      <c r="H1103" s="195" t="s">
        <v>1133</v>
      </c>
      <c r="I1103" s="195" t="s">
        <v>1133</v>
      </c>
      <c r="J1103" s="132">
        <v>0.9</v>
      </c>
      <c r="K1103" s="133">
        <v>0.954545454545455</v>
      </c>
      <c r="L1103" s="133">
        <v>0.954545454545455</v>
      </c>
      <c r="M1103" s="134">
        <v>0.954545454545455</v>
      </c>
      <c r="N1103" s="133">
        <v>0.93569844789357</v>
      </c>
      <c r="O1103" s="135">
        <v>0.9</v>
      </c>
      <c r="P1103" s="133">
        <v>0.983707865168539</v>
      </c>
      <c r="Q1103" s="133">
        <v>0.987543252595156</v>
      </c>
      <c r="R1103" s="133">
        <v>0.988754325259516</v>
      </c>
      <c r="S1103" s="133">
        <v>0.982809817658795</v>
      </c>
      <c r="T1103" s="135">
        <v>0.9</v>
      </c>
      <c r="U1103" s="133">
        <v>0.957865168539326</v>
      </c>
      <c r="V1103" s="133">
        <v>0.968166089965398</v>
      </c>
      <c r="W1103" s="133">
        <v>0.916522491349481</v>
      </c>
      <c r="X1103" s="133">
        <v>0.946596761471721</v>
      </c>
      <c r="Y1103" s="135">
        <v>0.92</v>
      </c>
      <c r="Z1103" s="135" t="s">
        <v>35</v>
      </c>
      <c r="AA1103" s="135" t="s">
        <v>35</v>
      </c>
      <c r="AB1103" s="135" t="s">
        <v>35</v>
      </c>
      <c r="AC1103" s="135" t="s">
        <v>35</v>
      </c>
      <c r="AD1103" s="135">
        <v>0.92</v>
      </c>
      <c r="AE1103" s="133">
        <v>0.996282527881041</v>
      </c>
      <c r="AF1103" s="133">
        <v>1</v>
      </c>
      <c r="AG1103" s="133">
        <v>1</v>
      </c>
      <c r="AH1103" s="133">
        <v>0.998995378742214</v>
      </c>
      <c r="AI1103" s="135">
        <v>0.92</v>
      </c>
      <c r="AJ1103" s="133">
        <v>0.962359550561798</v>
      </c>
      <c r="AK1103" s="133">
        <v>0.971626297577855</v>
      </c>
      <c r="AL1103" s="133">
        <v>0.977508650519031</v>
      </c>
      <c r="AM1103" s="133">
        <v>0.977219477115086</v>
      </c>
      <c r="AN1103" s="132">
        <v>0.99</v>
      </c>
      <c r="AO1103" s="137">
        <v>1</v>
      </c>
      <c r="AP1103" s="137">
        <v>1</v>
      </c>
      <c r="AQ1103" s="137">
        <v>1</v>
      </c>
      <c r="AR1103" s="137">
        <v>1</v>
      </c>
      <c r="AS1103" s="158">
        <v>0.0721861525408278</v>
      </c>
      <c r="AT1103" s="141">
        <v>0.125</v>
      </c>
      <c r="AU1103" s="141">
        <v>0.2</v>
      </c>
      <c r="AV1103" s="141">
        <v>0.25</v>
      </c>
      <c r="AW1103" s="141">
        <v>0.0833333333333333</v>
      </c>
      <c r="AX1103" s="95"/>
      <c r="AY1103" s="93"/>
    </row>
    <row r="1104" ht="15" spans="1:51">
      <c r="A1104" s="91"/>
      <c r="B1104" s="95"/>
      <c r="C1104" s="152" t="s">
        <v>1085</v>
      </c>
      <c r="D1104" s="153" t="s">
        <v>25</v>
      </c>
      <c r="E1104" s="130" t="s">
        <v>1086</v>
      </c>
      <c r="F1104" s="195" t="s">
        <v>1134</v>
      </c>
      <c r="G1104" s="195" t="s">
        <v>1134</v>
      </c>
      <c r="H1104" s="195" t="s">
        <v>1134</v>
      </c>
      <c r="I1104" s="195" t="s">
        <v>1134</v>
      </c>
      <c r="J1104" s="132">
        <v>0.9</v>
      </c>
      <c r="K1104" s="133">
        <v>0.954545454545455</v>
      </c>
      <c r="L1104" s="133">
        <v>0.891891891891892</v>
      </c>
      <c r="M1104" s="134">
        <v>0.933333333333333</v>
      </c>
      <c r="N1104" s="133">
        <v>0.93436754176611</v>
      </c>
      <c r="O1104" s="135">
        <v>0.9</v>
      </c>
      <c r="P1104" s="133">
        <v>0.985424813366513</v>
      </c>
      <c r="Q1104" s="133">
        <v>0.986649440137812</v>
      </c>
      <c r="R1104" s="133">
        <v>0.985887665819927</v>
      </c>
      <c r="S1104" s="133">
        <v>0.983650932804257</v>
      </c>
      <c r="T1104" s="135">
        <v>0.9</v>
      </c>
      <c r="U1104" s="133">
        <v>0.936366868112336</v>
      </c>
      <c r="V1104" s="133">
        <v>0.915159345391904</v>
      </c>
      <c r="W1104" s="133">
        <v>0.906858594411516</v>
      </c>
      <c r="X1104" s="133">
        <v>0.89380027376613</v>
      </c>
      <c r="Y1104" s="135">
        <v>0.92</v>
      </c>
      <c r="Z1104" s="135" t="s">
        <v>35</v>
      </c>
      <c r="AA1104" s="135" t="s">
        <v>35</v>
      </c>
      <c r="AB1104" s="135" t="s">
        <v>35</v>
      </c>
      <c r="AC1104" s="135" t="s">
        <v>35</v>
      </c>
      <c r="AD1104" s="135">
        <v>0.92</v>
      </c>
      <c r="AE1104" s="133">
        <v>1</v>
      </c>
      <c r="AF1104" s="133">
        <v>1</v>
      </c>
      <c r="AG1104" s="133">
        <v>1</v>
      </c>
      <c r="AH1104" s="133">
        <v>0.99622110906055</v>
      </c>
      <c r="AI1104" s="135">
        <v>0.92</v>
      </c>
      <c r="AJ1104" s="133">
        <v>0.957340917170281</v>
      </c>
      <c r="AK1104" s="133">
        <v>0.94229112833764</v>
      </c>
      <c r="AL1104" s="133">
        <v>0.972904318374259</v>
      </c>
      <c r="AM1104" s="133">
        <v>0.968809117334933</v>
      </c>
      <c r="AN1104" s="132">
        <v>0.99</v>
      </c>
      <c r="AO1104" s="137">
        <v>1</v>
      </c>
      <c r="AP1104" s="137">
        <v>1</v>
      </c>
      <c r="AQ1104" s="137">
        <v>1</v>
      </c>
      <c r="AR1104" s="137">
        <v>1</v>
      </c>
      <c r="AS1104" s="158">
        <v>0.0721861525408278</v>
      </c>
      <c r="AT1104" s="141">
        <v>0.166666666666667</v>
      </c>
      <c r="AU1104" s="141">
        <v>0</v>
      </c>
      <c r="AV1104" s="141">
        <v>0</v>
      </c>
      <c r="AW1104" s="141">
        <v>0.0755813953488372</v>
      </c>
      <c r="AX1104" s="95"/>
      <c r="AY1104" s="93"/>
    </row>
    <row r="1105" ht="15" spans="1:51">
      <c r="A1105" s="91"/>
      <c r="B1105" s="95"/>
      <c r="C1105" s="152" t="s">
        <v>1085</v>
      </c>
      <c r="D1105" s="153" t="s">
        <v>25</v>
      </c>
      <c r="E1105" s="130" t="s">
        <v>1086</v>
      </c>
      <c r="F1105" s="195" t="s">
        <v>1135</v>
      </c>
      <c r="G1105" s="195" t="s">
        <v>1135</v>
      </c>
      <c r="H1105" s="195" t="s">
        <v>1135</v>
      </c>
      <c r="I1105" s="195" t="s">
        <v>1135</v>
      </c>
      <c r="J1105" s="132">
        <v>0.9</v>
      </c>
      <c r="K1105" s="133">
        <v>1</v>
      </c>
      <c r="L1105" s="133">
        <v>0.938775510204082</v>
      </c>
      <c r="M1105" s="134">
        <v>0.963636363636364</v>
      </c>
      <c r="N1105" s="133">
        <v>0.967649857278782</v>
      </c>
      <c r="O1105" s="135">
        <v>0.9</v>
      </c>
      <c r="P1105" s="133">
        <v>0.986530172413793</v>
      </c>
      <c r="Q1105" s="133">
        <v>0.974953617810761</v>
      </c>
      <c r="R1105" s="133">
        <v>0.973813742862768</v>
      </c>
      <c r="S1105" s="133">
        <v>0.970137008778407</v>
      </c>
      <c r="T1105" s="135">
        <v>0.9</v>
      </c>
      <c r="U1105" s="133">
        <v>0.961206896551724</v>
      </c>
      <c r="V1105" s="133">
        <v>0.961657390228819</v>
      </c>
      <c r="W1105" s="133">
        <v>0.954518606024808</v>
      </c>
      <c r="X1105" s="133">
        <v>0.960138239396177</v>
      </c>
      <c r="Y1105" s="135">
        <v>0.92</v>
      </c>
      <c r="Z1105" s="135" t="s">
        <v>35</v>
      </c>
      <c r="AA1105" s="135" t="s">
        <v>35</v>
      </c>
      <c r="AB1105" s="135" t="s">
        <v>35</v>
      </c>
      <c r="AC1105" s="135" t="s">
        <v>35</v>
      </c>
      <c r="AD1105" s="135">
        <v>0.92</v>
      </c>
      <c r="AE1105" s="133">
        <v>0.998946259220232</v>
      </c>
      <c r="AF1105" s="133">
        <v>0.998462327011789</v>
      </c>
      <c r="AG1105" s="133">
        <v>0.99748743718593</v>
      </c>
      <c r="AH1105" s="133">
        <v>0.995433469158353</v>
      </c>
      <c r="AI1105" s="135">
        <v>0.92</v>
      </c>
      <c r="AJ1105" s="133">
        <v>0.970366379310345</v>
      </c>
      <c r="AK1105" s="133">
        <v>0.974953617810761</v>
      </c>
      <c r="AL1105" s="133">
        <v>0.969679070683205</v>
      </c>
      <c r="AM1105" s="133">
        <v>0.979981950939372</v>
      </c>
      <c r="AN1105" s="132">
        <v>0.99</v>
      </c>
      <c r="AO1105" s="137">
        <v>1</v>
      </c>
      <c r="AP1105" s="137">
        <v>1</v>
      </c>
      <c r="AQ1105" s="137">
        <v>1</v>
      </c>
      <c r="AR1105" s="137">
        <v>1</v>
      </c>
      <c r="AS1105" s="158">
        <v>0.0721861525408278</v>
      </c>
      <c r="AT1105" s="141">
        <v>0.0476190476190476</v>
      </c>
      <c r="AU1105" s="141">
        <v>0</v>
      </c>
      <c r="AV1105" s="141">
        <v>0.037037037037037</v>
      </c>
      <c r="AW1105" s="141">
        <v>0.027363184079602</v>
      </c>
      <c r="AX1105" s="95"/>
      <c r="AY1105" s="93"/>
    </row>
    <row r="1106" ht="15" spans="1:51">
      <c r="A1106" s="91"/>
      <c r="B1106" s="95"/>
      <c r="C1106" s="152" t="s">
        <v>1085</v>
      </c>
      <c r="D1106" s="153" t="s">
        <v>25</v>
      </c>
      <c r="E1106" s="130" t="s">
        <v>1086</v>
      </c>
      <c r="F1106" s="195" t="s">
        <v>1136</v>
      </c>
      <c r="G1106" s="195" t="s">
        <v>1136</v>
      </c>
      <c r="H1106" s="195" t="s">
        <v>1136</v>
      </c>
      <c r="I1106" s="195" t="s">
        <v>1136</v>
      </c>
      <c r="J1106" s="132">
        <v>0.9</v>
      </c>
      <c r="K1106" s="133">
        <v>0.892307692307692</v>
      </c>
      <c r="L1106" s="133">
        <v>0.919354838709677</v>
      </c>
      <c r="M1106" s="134">
        <v>0.939393939393939</v>
      </c>
      <c r="N1106" s="133">
        <v>0.918964076858814</v>
      </c>
      <c r="O1106" s="135">
        <v>0.9</v>
      </c>
      <c r="P1106" s="133">
        <v>0.977647058823529</v>
      </c>
      <c r="Q1106" s="133">
        <v>0.980065456709313</v>
      </c>
      <c r="R1106" s="133">
        <v>0.961613028305545</v>
      </c>
      <c r="S1106" s="133">
        <v>0.969997130437555</v>
      </c>
      <c r="T1106" s="135">
        <v>0.9</v>
      </c>
      <c r="U1106" s="133">
        <v>0.905882352941176</v>
      </c>
      <c r="V1106" s="133">
        <v>0.937221065159179</v>
      </c>
      <c r="W1106" s="133">
        <v>0.885420705699884</v>
      </c>
      <c r="X1106" s="133">
        <v>0.880413642112423</v>
      </c>
      <c r="Y1106" s="135">
        <v>0.92</v>
      </c>
      <c r="Z1106" s="135" t="s">
        <v>35</v>
      </c>
      <c r="AA1106" s="135" t="s">
        <v>35</v>
      </c>
      <c r="AB1106" s="135" t="s">
        <v>35</v>
      </c>
      <c r="AC1106" s="135" t="s">
        <v>35</v>
      </c>
      <c r="AD1106" s="135">
        <v>0.92</v>
      </c>
      <c r="AE1106" s="133">
        <v>1</v>
      </c>
      <c r="AF1106" s="133">
        <v>1</v>
      </c>
      <c r="AG1106" s="133">
        <v>0.995884773662551</v>
      </c>
      <c r="AH1106" s="133">
        <v>0.991917707567965</v>
      </c>
      <c r="AI1106" s="135">
        <v>0.92</v>
      </c>
      <c r="AJ1106" s="133">
        <v>0.943764705882353</v>
      </c>
      <c r="AK1106" s="133">
        <v>0.960428443915501</v>
      </c>
      <c r="AL1106" s="133">
        <v>0.958123303606049</v>
      </c>
      <c r="AM1106" s="133">
        <v>0.960357526224612</v>
      </c>
      <c r="AN1106" s="132">
        <v>0.99</v>
      </c>
      <c r="AO1106" s="137">
        <v>1</v>
      </c>
      <c r="AP1106" s="137">
        <v>1</v>
      </c>
      <c r="AQ1106" s="137">
        <v>1</v>
      </c>
      <c r="AR1106" s="137">
        <v>1</v>
      </c>
      <c r="AS1106" s="158">
        <v>0.0721861525408278</v>
      </c>
      <c r="AT1106" s="141">
        <v>0</v>
      </c>
      <c r="AU1106" s="141">
        <v>0</v>
      </c>
      <c r="AV1106" s="141">
        <v>0.166666666666667</v>
      </c>
      <c r="AW1106" s="141">
        <v>0.0605095541401274</v>
      </c>
      <c r="AX1106" s="95"/>
      <c r="AY1106" s="93"/>
    </row>
    <row r="1107" ht="15" spans="1:51">
      <c r="A1107" s="91"/>
      <c r="B1107" s="95"/>
      <c r="C1107" s="152" t="s">
        <v>1085</v>
      </c>
      <c r="D1107" s="153" t="s">
        <v>25</v>
      </c>
      <c r="E1107" s="130" t="s">
        <v>1086</v>
      </c>
      <c r="F1107" s="195" t="s">
        <v>1137</v>
      </c>
      <c r="G1107" s="195" t="s">
        <v>1137</v>
      </c>
      <c r="H1107" s="195" t="s">
        <v>1137</v>
      </c>
      <c r="I1107" s="195" t="s">
        <v>1137</v>
      </c>
      <c r="J1107" s="132">
        <v>0.9</v>
      </c>
      <c r="K1107" s="133">
        <v>0.886792452830189</v>
      </c>
      <c r="L1107" s="133">
        <v>0.833333333333333</v>
      </c>
      <c r="M1107" s="134">
        <v>0.804347826086957</v>
      </c>
      <c r="N1107" s="133">
        <v>0.843575418994413</v>
      </c>
      <c r="O1107" s="135">
        <v>0.9</v>
      </c>
      <c r="P1107" s="133">
        <v>0.966467958271237</v>
      </c>
      <c r="Q1107" s="133">
        <v>0.974605954465849</v>
      </c>
      <c r="R1107" s="133">
        <v>0.918822234452394</v>
      </c>
      <c r="S1107" s="133">
        <v>0.925402366022776</v>
      </c>
      <c r="T1107" s="135">
        <v>0.9</v>
      </c>
      <c r="U1107" s="133">
        <v>0.859538002980626</v>
      </c>
      <c r="V1107" s="133">
        <v>0.887915936952715</v>
      </c>
      <c r="W1107" s="133">
        <v>0.837644468904788</v>
      </c>
      <c r="X1107" s="133">
        <v>0.834552145688879</v>
      </c>
      <c r="Y1107" s="135">
        <v>0.92</v>
      </c>
      <c r="Z1107" s="135" t="s">
        <v>35</v>
      </c>
      <c r="AA1107" s="135" t="s">
        <v>35</v>
      </c>
      <c r="AB1107" s="135" t="s">
        <v>35</v>
      </c>
      <c r="AC1107" s="135">
        <v>0</v>
      </c>
      <c r="AD1107" s="135">
        <v>0.92</v>
      </c>
      <c r="AE1107" s="133">
        <v>0.989637305699482</v>
      </c>
      <c r="AF1107" s="133">
        <v>1</v>
      </c>
      <c r="AG1107" s="133">
        <v>0.992700729927007</v>
      </c>
      <c r="AH1107" s="133">
        <v>0.978244927890491</v>
      </c>
      <c r="AI1107" s="135">
        <v>0.92</v>
      </c>
      <c r="AJ1107" s="133">
        <v>0.94150521609538</v>
      </c>
      <c r="AK1107" s="133">
        <v>0.920753064798599</v>
      </c>
      <c r="AL1107" s="133">
        <v>0.961199779856907</v>
      </c>
      <c r="AM1107" s="133">
        <v>0.959187541460025</v>
      </c>
      <c r="AN1107" s="132">
        <v>0.99</v>
      </c>
      <c r="AO1107" s="137">
        <v>1</v>
      </c>
      <c r="AP1107" s="137">
        <v>1</v>
      </c>
      <c r="AQ1107" s="137">
        <v>1</v>
      </c>
      <c r="AR1107" s="137">
        <v>1</v>
      </c>
      <c r="AS1107" s="158">
        <v>0.0721861525408278</v>
      </c>
      <c r="AT1107" s="141">
        <v>0.25</v>
      </c>
      <c r="AU1107" s="141">
        <v>0.25</v>
      </c>
      <c r="AV1107" s="141">
        <v>0</v>
      </c>
      <c r="AW1107" s="141">
        <v>0.0945945945945946</v>
      </c>
      <c r="AX1107" s="95"/>
      <c r="AY1107" s="93"/>
    </row>
    <row r="1108" ht="15" spans="1:51">
      <c r="A1108" s="91"/>
      <c r="B1108" s="95"/>
      <c r="C1108" s="152" t="s">
        <v>1085</v>
      </c>
      <c r="D1108" s="153" t="s">
        <v>25</v>
      </c>
      <c r="E1108" s="130" t="s">
        <v>1086</v>
      </c>
      <c r="F1108" s="195" t="s">
        <v>1138</v>
      </c>
      <c r="G1108" s="195" t="s">
        <v>1138</v>
      </c>
      <c r="H1108" s="195" t="s">
        <v>1138</v>
      </c>
      <c r="I1108" s="195" t="s">
        <v>1138</v>
      </c>
      <c r="J1108" s="132">
        <v>0.9</v>
      </c>
      <c r="K1108" s="133">
        <v>0.854545454545454</v>
      </c>
      <c r="L1108" s="133">
        <v>0.872340425531915</v>
      </c>
      <c r="M1108" s="134">
        <v>0.901960784313726</v>
      </c>
      <c r="N1108" s="133">
        <v>0.8420523138833</v>
      </c>
      <c r="O1108" s="135">
        <v>0.9</v>
      </c>
      <c r="P1108" s="133">
        <v>0.982000692281066</v>
      </c>
      <c r="Q1108" s="133">
        <v>0.980817347789825</v>
      </c>
      <c r="R1108" s="133">
        <v>0.96523306721607</v>
      </c>
      <c r="S1108" s="133">
        <v>0.979450531116178</v>
      </c>
      <c r="T1108" s="135">
        <v>0.9</v>
      </c>
      <c r="U1108" s="133">
        <v>0.906888196607823</v>
      </c>
      <c r="V1108" s="133">
        <v>0.897414512093411</v>
      </c>
      <c r="W1108" s="133">
        <v>0.873036312129797</v>
      </c>
      <c r="X1108" s="133">
        <v>0.907207608030699</v>
      </c>
      <c r="Y1108" s="135">
        <v>0.92</v>
      </c>
      <c r="Z1108" s="135" t="s">
        <v>35</v>
      </c>
      <c r="AA1108" s="135" t="s">
        <v>35</v>
      </c>
      <c r="AB1108" s="135" t="s">
        <v>35</v>
      </c>
      <c r="AC1108" s="135" t="s">
        <v>35</v>
      </c>
      <c r="AD1108" s="135">
        <v>0.92</v>
      </c>
      <c r="AE1108" s="133">
        <v>1</v>
      </c>
      <c r="AF1108" s="133">
        <v>0.993006993006993</v>
      </c>
      <c r="AG1108" s="133">
        <v>1</v>
      </c>
      <c r="AH1108" s="133">
        <v>0.995325678284727</v>
      </c>
      <c r="AI1108" s="135">
        <v>0.92</v>
      </c>
      <c r="AJ1108" s="133">
        <v>0.938733125649013</v>
      </c>
      <c r="AK1108" s="133">
        <v>0.946622185154295</v>
      </c>
      <c r="AL1108" s="133">
        <v>0.950296162760752</v>
      </c>
      <c r="AM1108" s="133">
        <v>0.964754463044325</v>
      </c>
      <c r="AN1108" s="132">
        <v>0.99</v>
      </c>
      <c r="AO1108" s="137">
        <v>1</v>
      </c>
      <c r="AP1108" s="137">
        <v>1</v>
      </c>
      <c r="AQ1108" s="137">
        <v>1</v>
      </c>
      <c r="AR1108" s="137">
        <v>1</v>
      </c>
      <c r="AS1108" s="158">
        <v>0.0721861525408278</v>
      </c>
      <c r="AT1108" s="141">
        <v>0.0666666666666667</v>
      </c>
      <c r="AU1108" s="141">
        <v>0.117647058823529</v>
      </c>
      <c r="AV1108" s="141">
        <v>0</v>
      </c>
      <c r="AW1108" s="141">
        <v>0.0634146341463415</v>
      </c>
      <c r="AX1108" s="95"/>
      <c r="AY1108" s="93"/>
    </row>
    <row r="1109" ht="15" spans="1:51">
      <c r="A1109" s="91"/>
      <c r="B1109" s="95"/>
      <c r="C1109" s="152" t="s">
        <v>1085</v>
      </c>
      <c r="D1109" s="153" t="s">
        <v>25</v>
      </c>
      <c r="E1109" s="130" t="s">
        <v>1086</v>
      </c>
      <c r="F1109" s="195" t="s">
        <v>1139</v>
      </c>
      <c r="G1109" s="195" t="s">
        <v>1139</v>
      </c>
      <c r="H1109" s="195" t="s">
        <v>1139</v>
      </c>
      <c r="I1109" s="195" t="s">
        <v>1139</v>
      </c>
      <c r="J1109" s="132">
        <v>0.9</v>
      </c>
      <c r="K1109" s="133">
        <v>1</v>
      </c>
      <c r="L1109" s="133">
        <v>1</v>
      </c>
      <c r="M1109" s="134">
        <v>0.972222222222222</v>
      </c>
      <c r="N1109" s="133">
        <v>0.965045592705167</v>
      </c>
      <c r="O1109" s="135">
        <v>0.9</v>
      </c>
      <c r="P1109" s="133">
        <v>0.941215989250924</v>
      </c>
      <c r="Q1109" s="133">
        <v>0.97375</v>
      </c>
      <c r="R1109" s="133">
        <v>0.939483593329747</v>
      </c>
      <c r="S1109" s="133">
        <v>0.946212132762117</v>
      </c>
      <c r="T1109" s="135">
        <v>0.9</v>
      </c>
      <c r="U1109" s="133">
        <v>0.835068861269735</v>
      </c>
      <c r="V1109" s="133">
        <v>0.839166666666667</v>
      </c>
      <c r="W1109" s="133">
        <v>0.837816030123722</v>
      </c>
      <c r="X1109" s="133">
        <v>0.813023128173073</v>
      </c>
      <c r="Y1109" s="135">
        <v>0.92</v>
      </c>
      <c r="Z1109" s="135" t="s">
        <v>35</v>
      </c>
      <c r="AA1109" s="135" t="s">
        <v>35</v>
      </c>
      <c r="AB1109" s="135" t="s">
        <v>35</v>
      </c>
      <c r="AC1109" s="135">
        <v>0</v>
      </c>
      <c r="AD1109" s="135">
        <v>0.92</v>
      </c>
      <c r="AE1109" s="133">
        <v>1</v>
      </c>
      <c r="AF1109" s="133">
        <v>0.992647058823529</v>
      </c>
      <c r="AG1109" s="133">
        <v>1</v>
      </c>
      <c r="AH1109" s="133">
        <v>0.993138317081979</v>
      </c>
      <c r="AI1109" s="135">
        <v>0.92</v>
      </c>
      <c r="AJ1109" s="133">
        <v>0.894524689284515</v>
      </c>
      <c r="AK1109" s="133">
        <v>0.91</v>
      </c>
      <c r="AL1109" s="133">
        <v>0.937062937062937</v>
      </c>
      <c r="AM1109" s="133">
        <v>0.933208318087572</v>
      </c>
      <c r="AN1109" s="132">
        <v>0.99</v>
      </c>
      <c r="AO1109" s="137">
        <v>1</v>
      </c>
      <c r="AP1109" s="137">
        <v>1</v>
      </c>
      <c r="AQ1109" s="137">
        <v>1</v>
      </c>
      <c r="AR1109" s="137">
        <v>1</v>
      </c>
      <c r="AS1109" s="158">
        <v>0.0721861525408278</v>
      </c>
      <c r="AT1109" s="141">
        <v>0.166666666666667</v>
      </c>
      <c r="AU1109" s="141">
        <v>0</v>
      </c>
      <c r="AV1109" s="141">
        <v>0.0909090909090909</v>
      </c>
      <c r="AW1109" s="141">
        <v>0.0666666666666667</v>
      </c>
      <c r="AX1109" s="95"/>
      <c r="AY1109" s="93"/>
    </row>
    <row r="1110" ht="15" spans="1:51">
      <c r="A1110" s="91"/>
      <c r="B1110" s="95"/>
      <c r="C1110" s="152" t="s">
        <v>1085</v>
      </c>
      <c r="D1110" s="153" t="s">
        <v>25</v>
      </c>
      <c r="E1110" s="130" t="s">
        <v>1086</v>
      </c>
      <c r="F1110" s="195" t="s">
        <v>1140</v>
      </c>
      <c r="G1110" s="195" t="s">
        <v>1140</v>
      </c>
      <c r="H1110" s="195" t="s">
        <v>1140</v>
      </c>
      <c r="I1110" s="195" t="s">
        <v>1140</v>
      </c>
      <c r="J1110" s="132">
        <v>0.9</v>
      </c>
      <c r="K1110" s="133">
        <v>0.975609756097561</v>
      </c>
      <c r="L1110" s="133">
        <v>0.974358974358974</v>
      </c>
      <c r="M1110" s="134">
        <v>0.951219512195122</v>
      </c>
      <c r="N1110" s="133">
        <v>0.969032258064516</v>
      </c>
      <c r="O1110" s="135">
        <v>0.9</v>
      </c>
      <c r="P1110" s="133">
        <v>0.983673469387755</v>
      </c>
      <c r="Q1110" s="133">
        <v>0.977129337539432</v>
      </c>
      <c r="R1110" s="133">
        <v>0.98598369011213</v>
      </c>
      <c r="S1110" s="133">
        <v>0.979803080030295</v>
      </c>
      <c r="T1110" s="135">
        <v>0.9</v>
      </c>
      <c r="U1110" s="133">
        <v>0.958503401360544</v>
      </c>
      <c r="V1110" s="133">
        <v>0.958990536277603</v>
      </c>
      <c r="W1110" s="133">
        <v>0.950815494393476</v>
      </c>
      <c r="X1110" s="133">
        <v>0.947684367022918</v>
      </c>
      <c r="Y1110" s="135">
        <v>0.92</v>
      </c>
      <c r="Z1110" s="135" t="s">
        <v>35</v>
      </c>
      <c r="AA1110" s="135" t="s">
        <v>35</v>
      </c>
      <c r="AB1110" s="135" t="s">
        <v>35</v>
      </c>
      <c r="AC1110" s="135">
        <v>0.666666666666667</v>
      </c>
      <c r="AD1110" s="135">
        <v>0.92</v>
      </c>
      <c r="AE1110" s="133">
        <v>1</v>
      </c>
      <c r="AF1110" s="133">
        <v>1</v>
      </c>
      <c r="AG1110" s="133">
        <v>1</v>
      </c>
      <c r="AH1110" s="133">
        <v>0.999688522037066</v>
      </c>
      <c r="AI1110" s="135">
        <v>0.92</v>
      </c>
      <c r="AJ1110" s="133">
        <v>0.970408163265306</v>
      </c>
      <c r="AK1110" s="133">
        <v>0.976340694006309</v>
      </c>
      <c r="AL1110" s="133">
        <v>0.982670744138634</v>
      </c>
      <c r="AM1110" s="133">
        <v>0.976942819876299</v>
      </c>
      <c r="AN1110" s="132">
        <v>0.99</v>
      </c>
      <c r="AO1110" s="137">
        <v>1</v>
      </c>
      <c r="AP1110" s="137">
        <v>1</v>
      </c>
      <c r="AQ1110" s="137">
        <v>1</v>
      </c>
      <c r="AR1110" s="137">
        <v>1</v>
      </c>
      <c r="AS1110" s="158">
        <v>0.0721861525408278</v>
      </c>
      <c r="AT1110" s="141">
        <v>0</v>
      </c>
      <c r="AU1110" s="141">
        <v>0.153846153846154</v>
      </c>
      <c r="AV1110" s="141">
        <v>0</v>
      </c>
      <c r="AW1110" s="141">
        <v>0.0372340425531915</v>
      </c>
      <c r="AX1110" s="95"/>
      <c r="AY1110" s="93"/>
    </row>
    <row r="1111" ht="15" spans="1:51">
      <c r="A1111" s="91"/>
      <c r="B1111" s="95"/>
      <c r="C1111" s="152" t="s">
        <v>1085</v>
      </c>
      <c r="D1111" s="153" t="s">
        <v>25</v>
      </c>
      <c r="E1111" s="130" t="s">
        <v>1086</v>
      </c>
      <c r="F1111" s="195" t="s">
        <v>1141</v>
      </c>
      <c r="G1111" s="195" t="s">
        <v>1141</v>
      </c>
      <c r="H1111" s="195" t="s">
        <v>1141</v>
      </c>
      <c r="I1111" s="195" t="s">
        <v>1141</v>
      </c>
      <c r="J1111" s="132">
        <v>0.9</v>
      </c>
      <c r="K1111" s="133">
        <v>0.958333333333333</v>
      </c>
      <c r="L1111" s="133">
        <v>1</v>
      </c>
      <c r="M1111" s="134">
        <v>0.941176470588235</v>
      </c>
      <c r="N1111" s="133">
        <v>0.933333333333333</v>
      </c>
      <c r="O1111" s="135">
        <v>0.9</v>
      </c>
      <c r="P1111" s="133">
        <v>0.954454119223041</v>
      </c>
      <c r="Q1111" s="133">
        <v>0.975945017182131</v>
      </c>
      <c r="R1111" s="133">
        <v>0.979892103972536</v>
      </c>
      <c r="S1111" s="133">
        <v>0.950926445816957</v>
      </c>
      <c r="T1111" s="135">
        <v>0.9</v>
      </c>
      <c r="U1111" s="133">
        <v>0.926992632283992</v>
      </c>
      <c r="V1111" s="133">
        <v>0.824742268041237</v>
      </c>
      <c r="W1111" s="133">
        <v>0.824914173614517</v>
      </c>
      <c r="X1111" s="133">
        <v>0.892841100505334</v>
      </c>
      <c r="Y1111" s="135">
        <v>0.92</v>
      </c>
      <c r="Z1111" s="135" t="s">
        <v>35</v>
      </c>
      <c r="AA1111" s="135">
        <v>0</v>
      </c>
      <c r="AB1111" s="135" t="s">
        <v>35</v>
      </c>
      <c r="AC1111" s="135">
        <v>0.5</v>
      </c>
      <c r="AD1111" s="135">
        <v>0.92</v>
      </c>
      <c r="AE1111" s="133">
        <v>1</v>
      </c>
      <c r="AF1111" s="133">
        <v>1</v>
      </c>
      <c r="AG1111" s="133">
        <v>1</v>
      </c>
      <c r="AH1111" s="133">
        <v>0.998721431996164</v>
      </c>
      <c r="AI1111" s="135">
        <v>0.92</v>
      </c>
      <c r="AJ1111" s="133">
        <v>0.942397856664434</v>
      </c>
      <c r="AK1111" s="133">
        <v>0.857510729613734</v>
      </c>
      <c r="AL1111" s="133">
        <v>0.893084845512506</v>
      </c>
      <c r="AM1111" s="133">
        <v>0.944304081747235</v>
      </c>
      <c r="AN1111" s="132">
        <v>0.99</v>
      </c>
      <c r="AO1111" s="137">
        <v>1</v>
      </c>
      <c r="AP1111" s="137">
        <v>1</v>
      </c>
      <c r="AQ1111" s="137">
        <v>1</v>
      </c>
      <c r="AR1111" s="137">
        <v>1</v>
      </c>
      <c r="AS1111" s="158">
        <v>0.0721861525408278</v>
      </c>
      <c r="AT1111" s="141">
        <v>0</v>
      </c>
      <c r="AU1111" s="141">
        <v>0</v>
      </c>
      <c r="AV1111" s="141">
        <v>0</v>
      </c>
      <c r="AW1111" s="141">
        <v>0.0380952380952381</v>
      </c>
      <c r="AX1111" s="95"/>
      <c r="AY1111" s="93"/>
    </row>
    <row r="1112" ht="15" spans="1:51">
      <c r="A1112" s="91"/>
      <c r="B1112" s="95"/>
      <c r="C1112" s="152" t="s">
        <v>1085</v>
      </c>
      <c r="D1112" s="153" t="s">
        <v>25</v>
      </c>
      <c r="E1112" s="130" t="s">
        <v>1086</v>
      </c>
      <c r="F1112" s="195" t="s">
        <v>1142</v>
      </c>
      <c r="G1112" s="195" t="s">
        <v>1142</v>
      </c>
      <c r="H1112" s="195" t="s">
        <v>1142</v>
      </c>
      <c r="I1112" s="195" t="s">
        <v>1142</v>
      </c>
      <c r="J1112" s="132">
        <v>0.9</v>
      </c>
      <c r="K1112" s="133">
        <v>0.956521739130435</v>
      </c>
      <c r="L1112" s="133">
        <v>0.909090909090909</v>
      </c>
      <c r="M1112" s="134">
        <v>0.954545454545455</v>
      </c>
      <c r="N1112" s="133">
        <v>0.969976905311778</v>
      </c>
      <c r="O1112" s="135">
        <v>0.9</v>
      </c>
      <c r="P1112" s="133">
        <v>0.982396365701306</v>
      </c>
      <c r="Q1112" s="133">
        <v>0.978650137741047</v>
      </c>
      <c r="R1112" s="133">
        <v>0.962312633832976</v>
      </c>
      <c r="S1112" s="133">
        <v>0.979759676942776</v>
      </c>
      <c r="T1112" s="135">
        <v>0.9</v>
      </c>
      <c r="U1112" s="133">
        <v>0.944917660420216</v>
      </c>
      <c r="V1112" s="133">
        <v>0.951101928374656</v>
      </c>
      <c r="W1112" s="133">
        <v>0.885653104925054</v>
      </c>
      <c r="X1112" s="133">
        <v>0.93423126169605</v>
      </c>
      <c r="Y1112" s="135">
        <v>0.92</v>
      </c>
      <c r="Z1112" s="135" t="s">
        <v>35</v>
      </c>
      <c r="AA1112" s="135" t="s">
        <v>35</v>
      </c>
      <c r="AB1112" s="135" t="s">
        <v>35</v>
      </c>
      <c r="AC1112" s="135" t="s">
        <v>35</v>
      </c>
      <c r="AD1112" s="135">
        <v>0.92</v>
      </c>
      <c r="AE1112" s="133">
        <v>0.994202898550725</v>
      </c>
      <c r="AF1112" s="133">
        <v>0.995305164319249</v>
      </c>
      <c r="AG1112" s="133">
        <v>1</v>
      </c>
      <c r="AH1112" s="133">
        <v>0.99432543623209</v>
      </c>
      <c r="AI1112" s="135">
        <v>0.92</v>
      </c>
      <c r="AJ1112" s="133">
        <v>0.956274843838728</v>
      </c>
      <c r="AK1112" s="133">
        <v>0.964187327823691</v>
      </c>
      <c r="AL1112" s="133">
        <v>0.942184154175589</v>
      </c>
      <c r="AM1112" s="133">
        <v>0.968777701172067</v>
      </c>
      <c r="AN1112" s="132">
        <v>0.99</v>
      </c>
      <c r="AO1112" s="137">
        <v>1</v>
      </c>
      <c r="AP1112" s="137">
        <v>1</v>
      </c>
      <c r="AQ1112" s="137">
        <v>1</v>
      </c>
      <c r="AR1112" s="137">
        <v>1</v>
      </c>
      <c r="AS1112" s="158">
        <v>0.0721861525408278</v>
      </c>
      <c r="AT1112" s="141">
        <v>0</v>
      </c>
      <c r="AU1112" s="141">
        <v>0</v>
      </c>
      <c r="AV1112" s="141">
        <v>0</v>
      </c>
      <c r="AW1112" s="141">
        <v>0.0365853658536585</v>
      </c>
      <c r="AX1112" s="95"/>
      <c r="AY1112" s="93"/>
    </row>
    <row r="1113" ht="15" spans="1:51">
      <c r="A1113" s="91"/>
      <c r="B1113" s="95"/>
      <c r="C1113" s="152" t="s">
        <v>1085</v>
      </c>
      <c r="D1113" s="153" t="s">
        <v>25</v>
      </c>
      <c r="E1113" s="130" t="s">
        <v>1086</v>
      </c>
      <c r="F1113" s="195" t="s">
        <v>1143</v>
      </c>
      <c r="G1113" s="195" t="s">
        <v>1143</v>
      </c>
      <c r="H1113" s="195" t="s">
        <v>1143</v>
      </c>
      <c r="I1113" s="195" t="s">
        <v>1143</v>
      </c>
      <c r="J1113" s="132">
        <v>0.9</v>
      </c>
      <c r="K1113" s="133">
        <v>0.885714285714286</v>
      </c>
      <c r="L1113" s="133">
        <v>0.826446280991736</v>
      </c>
      <c r="M1113" s="134">
        <v>0.839416058394161</v>
      </c>
      <c r="N1113" s="133">
        <v>0.850315955766193</v>
      </c>
      <c r="O1113" s="135">
        <v>0.9</v>
      </c>
      <c r="P1113" s="133">
        <v>0.933602116668767</v>
      </c>
      <c r="Q1113" s="133">
        <v>0.954942313688806</v>
      </c>
      <c r="R1113" s="133">
        <v>0.92059069378657</v>
      </c>
      <c r="S1113" s="133">
        <v>0.91956565352593</v>
      </c>
      <c r="T1113" s="135">
        <v>0.9</v>
      </c>
      <c r="U1113" s="133">
        <v>0.811515686027466</v>
      </c>
      <c r="V1113" s="133">
        <v>0.842220143436233</v>
      </c>
      <c r="W1113" s="133">
        <v>0.759821677347451</v>
      </c>
      <c r="X1113" s="133">
        <v>0.780008024877119</v>
      </c>
      <c r="Y1113" s="135">
        <v>0.92</v>
      </c>
      <c r="Z1113" s="135">
        <v>0</v>
      </c>
      <c r="AA1113" s="135" t="s">
        <v>35</v>
      </c>
      <c r="AB1113" s="135">
        <v>0</v>
      </c>
      <c r="AC1113" s="135">
        <v>0</v>
      </c>
      <c r="AD1113" s="135">
        <v>0.92</v>
      </c>
      <c r="AE1113" s="133">
        <v>1</v>
      </c>
      <c r="AF1113" s="133">
        <v>1</v>
      </c>
      <c r="AG1113" s="133">
        <v>1</v>
      </c>
      <c r="AH1113" s="133">
        <v>0.995189301005436</v>
      </c>
      <c r="AI1113" s="135">
        <v>0.92</v>
      </c>
      <c r="AJ1113" s="133">
        <v>0.922030482428517</v>
      </c>
      <c r="AK1113" s="133">
        <v>0.93203429462198</v>
      </c>
      <c r="AL1113" s="133">
        <v>0.930541368743616</v>
      </c>
      <c r="AM1113" s="133">
        <v>0.945768237329789</v>
      </c>
      <c r="AN1113" s="132">
        <v>0.99</v>
      </c>
      <c r="AO1113" s="137">
        <v>1</v>
      </c>
      <c r="AP1113" s="137">
        <v>1</v>
      </c>
      <c r="AQ1113" s="137">
        <v>1</v>
      </c>
      <c r="AR1113" s="137">
        <v>1</v>
      </c>
      <c r="AS1113" s="158">
        <v>0.0721861525408278</v>
      </c>
      <c r="AT1113" s="141">
        <v>0</v>
      </c>
      <c r="AU1113" s="141">
        <v>0.0689655172413793</v>
      </c>
      <c r="AV1113" s="141">
        <v>0.04</v>
      </c>
      <c r="AW1113" s="141">
        <v>0.0586510263929619</v>
      </c>
      <c r="AX1113" s="95"/>
      <c r="AY1113" s="93"/>
    </row>
    <row r="1114" ht="15" spans="1:51">
      <c r="A1114" s="91"/>
      <c r="B1114" s="95"/>
      <c r="C1114" s="152" t="s">
        <v>1085</v>
      </c>
      <c r="D1114" s="153" t="s">
        <v>25</v>
      </c>
      <c r="E1114" s="130" t="s">
        <v>1086</v>
      </c>
      <c r="F1114" s="195" t="s">
        <v>1144</v>
      </c>
      <c r="G1114" s="195" t="s">
        <v>1144</v>
      </c>
      <c r="H1114" s="195" t="s">
        <v>1144</v>
      </c>
      <c r="I1114" s="195" t="s">
        <v>1144</v>
      </c>
      <c r="J1114" s="132">
        <v>0.9</v>
      </c>
      <c r="K1114" s="133">
        <v>0.953488372093023</v>
      </c>
      <c r="L1114" s="133">
        <v>0.736842105263158</v>
      </c>
      <c r="M1114" s="134">
        <v>0.880952380952381</v>
      </c>
      <c r="N1114" s="133">
        <v>0.796542553191489</v>
      </c>
      <c r="O1114" s="135">
        <v>0.9</v>
      </c>
      <c r="P1114" s="133">
        <v>0.967767608436132</v>
      </c>
      <c r="Q1114" s="133">
        <v>0.931553398058252</v>
      </c>
      <c r="R1114" s="133">
        <v>0.915643689014794</v>
      </c>
      <c r="S1114" s="133">
        <v>0.906071711943174</v>
      </c>
      <c r="T1114" s="135">
        <v>0.9</v>
      </c>
      <c r="U1114" s="133">
        <v>0.75567051333068</v>
      </c>
      <c r="V1114" s="133">
        <v>0.74126213592233</v>
      </c>
      <c r="W1114" s="133">
        <v>0.700975763298709</v>
      </c>
      <c r="X1114" s="133">
        <v>0.711319756678128</v>
      </c>
      <c r="Y1114" s="135">
        <v>0.92</v>
      </c>
      <c r="Z1114" s="135">
        <v>0</v>
      </c>
      <c r="AA1114" s="135" t="s">
        <v>35</v>
      </c>
      <c r="AB1114" s="135" t="s">
        <v>35</v>
      </c>
      <c r="AC1114" s="135">
        <v>0</v>
      </c>
      <c r="AD1114" s="135">
        <v>0.92</v>
      </c>
      <c r="AE1114" s="133">
        <v>0.998677248677249</v>
      </c>
      <c r="AF1114" s="133">
        <v>0.998198198198198</v>
      </c>
      <c r="AG1114" s="133">
        <v>0.982502187226597</v>
      </c>
      <c r="AH1114" s="133">
        <v>0.993128123580191</v>
      </c>
      <c r="AI1114" s="135">
        <v>0.92</v>
      </c>
      <c r="AJ1114" s="133">
        <v>0.849146486701072</v>
      </c>
      <c r="AK1114" s="133">
        <v>0.839805825242718</v>
      </c>
      <c r="AL1114" s="133">
        <v>0.899905571293673</v>
      </c>
      <c r="AM1114" s="133">
        <v>0.882432942954288</v>
      </c>
      <c r="AN1114" s="132">
        <v>0.99</v>
      </c>
      <c r="AO1114" s="137">
        <v>1</v>
      </c>
      <c r="AP1114" s="137">
        <v>1</v>
      </c>
      <c r="AQ1114" s="137">
        <v>1</v>
      </c>
      <c r="AR1114" s="137">
        <v>1</v>
      </c>
      <c r="AS1114" s="158">
        <v>0.0721861525408278</v>
      </c>
      <c r="AT1114" s="141">
        <v>0</v>
      </c>
      <c r="AU1114" s="141">
        <v>0</v>
      </c>
      <c r="AV1114" s="141">
        <v>0.166666666666667</v>
      </c>
      <c r="AW1114" s="141">
        <v>0.0894308943089431</v>
      </c>
      <c r="AX1114" s="95"/>
      <c r="AY1114" s="93"/>
    </row>
    <row r="1115" ht="15" spans="1:51">
      <c r="A1115" s="91"/>
      <c r="B1115" s="95"/>
      <c r="C1115" s="152" t="s">
        <v>1085</v>
      </c>
      <c r="D1115" s="153" t="s">
        <v>25</v>
      </c>
      <c r="E1115" s="130" t="s">
        <v>1086</v>
      </c>
      <c r="F1115" s="195" t="s">
        <v>1145</v>
      </c>
      <c r="G1115" s="195" t="s">
        <v>1145</v>
      </c>
      <c r="H1115" s="195" t="s">
        <v>1145</v>
      </c>
      <c r="I1115" s="195" t="s">
        <v>1145</v>
      </c>
      <c r="J1115" s="132">
        <v>0.9</v>
      </c>
      <c r="K1115" s="133">
        <v>0.928571428571429</v>
      </c>
      <c r="L1115" s="133">
        <v>0.921052631578947</v>
      </c>
      <c r="M1115" s="134">
        <v>0.951219512195122</v>
      </c>
      <c r="N1115" s="133">
        <v>0.958656330749354</v>
      </c>
      <c r="O1115" s="135">
        <v>0.9</v>
      </c>
      <c r="P1115" s="133">
        <v>0.986073369565217</v>
      </c>
      <c r="Q1115" s="133">
        <v>0.989541432019308</v>
      </c>
      <c r="R1115" s="133">
        <v>0.984043819957133</v>
      </c>
      <c r="S1115" s="133">
        <v>0.974844591794447</v>
      </c>
      <c r="T1115" s="135">
        <v>0.9</v>
      </c>
      <c r="U1115" s="133">
        <v>0.935461956521739</v>
      </c>
      <c r="V1115" s="133">
        <v>0.926790024135157</v>
      </c>
      <c r="W1115" s="133">
        <v>0.959752321981424</v>
      </c>
      <c r="X1115" s="133">
        <v>0.935847492747617</v>
      </c>
      <c r="Y1115" s="135">
        <v>0.92</v>
      </c>
      <c r="Z1115" s="135" t="s">
        <v>35</v>
      </c>
      <c r="AA1115" s="135" t="s">
        <v>35</v>
      </c>
      <c r="AB1115" s="135" t="s">
        <v>35</v>
      </c>
      <c r="AC1115" s="135">
        <v>0.5</v>
      </c>
      <c r="AD1115" s="135">
        <v>0.92</v>
      </c>
      <c r="AE1115" s="133">
        <v>0.997442455242967</v>
      </c>
      <c r="AF1115" s="133">
        <v>0.998552821997106</v>
      </c>
      <c r="AG1115" s="133">
        <v>1</v>
      </c>
      <c r="AH1115" s="133">
        <v>0.999046191579234</v>
      </c>
      <c r="AI1115" s="135">
        <v>0.92</v>
      </c>
      <c r="AJ1115" s="133">
        <v>0.965013586956522</v>
      </c>
      <c r="AK1115" s="133">
        <v>0.9798873692679</v>
      </c>
      <c r="AL1115" s="133">
        <v>0.988092402953084</v>
      </c>
      <c r="AM1115" s="133">
        <v>0.985509448557852</v>
      </c>
      <c r="AN1115" s="132">
        <v>0.99</v>
      </c>
      <c r="AO1115" s="137">
        <v>1</v>
      </c>
      <c r="AP1115" s="137">
        <v>1</v>
      </c>
      <c r="AQ1115" s="137">
        <v>1</v>
      </c>
      <c r="AR1115" s="137">
        <v>1</v>
      </c>
      <c r="AS1115" s="158">
        <v>0.0721861525408278</v>
      </c>
      <c r="AT1115" s="141">
        <v>0</v>
      </c>
      <c r="AU1115" s="141">
        <v>0.0588235294117647</v>
      </c>
      <c r="AV1115" s="141">
        <v>0</v>
      </c>
      <c r="AW1115" s="141">
        <v>0.0306748466257669</v>
      </c>
      <c r="AX1115" s="95"/>
      <c r="AY1115" s="93"/>
    </row>
    <row r="1116" ht="15" spans="1:51">
      <c r="A1116" s="91"/>
      <c r="B1116" s="95"/>
      <c r="C1116" s="152" t="s">
        <v>1085</v>
      </c>
      <c r="D1116" s="153" t="s">
        <v>25</v>
      </c>
      <c r="E1116" s="130" t="s">
        <v>1086</v>
      </c>
      <c r="F1116" s="195" t="s">
        <v>1146</v>
      </c>
      <c r="G1116" s="195" t="s">
        <v>1146</v>
      </c>
      <c r="H1116" s="195" t="s">
        <v>1146</v>
      </c>
      <c r="I1116" s="195" t="s">
        <v>1146</v>
      </c>
      <c r="J1116" s="132">
        <v>0.9</v>
      </c>
      <c r="K1116" s="133">
        <v>0.879310344827586</v>
      </c>
      <c r="L1116" s="133">
        <v>0.92</v>
      </c>
      <c r="M1116" s="134">
        <v>0.912280701754386</v>
      </c>
      <c r="N1116" s="133">
        <v>0.824448529411765</v>
      </c>
      <c r="O1116" s="135">
        <v>0.9</v>
      </c>
      <c r="P1116" s="133">
        <v>0.919567510548523</v>
      </c>
      <c r="Q1116" s="133">
        <v>0.903304031524705</v>
      </c>
      <c r="R1116" s="133">
        <v>0.862855075085942</v>
      </c>
      <c r="S1116" s="133">
        <v>0.899943527893187</v>
      </c>
      <c r="T1116" s="135">
        <v>0.9</v>
      </c>
      <c r="U1116" s="133">
        <v>0.865242616033755</v>
      </c>
      <c r="V1116" s="133">
        <v>0.875719915125796</v>
      </c>
      <c r="W1116" s="133">
        <v>0.792654242808033</v>
      </c>
      <c r="X1116" s="133">
        <v>0.849925376144569</v>
      </c>
      <c r="Y1116" s="135">
        <v>0.92</v>
      </c>
      <c r="Z1116" s="135" t="s">
        <v>35</v>
      </c>
      <c r="AA1116" s="135">
        <v>0</v>
      </c>
      <c r="AB1116" s="135" t="s">
        <v>35</v>
      </c>
      <c r="AC1116" s="135">
        <v>0</v>
      </c>
      <c r="AD1116" s="135">
        <v>0.92</v>
      </c>
      <c r="AE1116" s="133">
        <v>0.983333333333333</v>
      </c>
      <c r="AF1116" s="133">
        <v>1</v>
      </c>
      <c r="AG1116" s="133">
        <v>1</v>
      </c>
      <c r="AH1116" s="133">
        <v>0.984863123993559</v>
      </c>
      <c r="AI1116" s="135">
        <v>0.92</v>
      </c>
      <c r="AJ1116" s="133">
        <v>0.918512658227848</v>
      </c>
      <c r="AK1116" s="133">
        <v>0.953333333333333</v>
      </c>
      <c r="AL1116" s="133">
        <v>0.947892165731862</v>
      </c>
      <c r="AM1116" s="133">
        <v>0.966782635002269</v>
      </c>
      <c r="AN1116" s="132">
        <v>0.99</v>
      </c>
      <c r="AO1116" s="137">
        <v>1</v>
      </c>
      <c r="AP1116" s="137">
        <v>1</v>
      </c>
      <c r="AQ1116" s="137">
        <v>1</v>
      </c>
      <c r="AR1116" s="137">
        <v>1</v>
      </c>
      <c r="AS1116" s="158">
        <v>0.0721861525408278</v>
      </c>
      <c r="AT1116" s="141">
        <v>0.0833333333333333</v>
      </c>
      <c r="AU1116" s="141">
        <v>0</v>
      </c>
      <c r="AV1116" s="141">
        <v>0</v>
      </c>
      <c r="AW1116" s="141">
        <v>0.0685714285714286</v>
      </c>
      <c r="AX1116" s="95"/>
      <c r="AY1116" s="93"/>
    </row>
    <row r="1117" ht="15" spans="1:51">
      <c r="A1117" s="91"/>
      <c r="B1117" s="95"/>
      <c r="C1117" s="152" t="s">
        <v>1085</v>
      </c>
      <c r="D1117" s="153" t="s">
        <v>25</v>
      </c>
      <c r="E1117" s="130" t="s">
        <v>1086</v>
      </c>
      <c r="F1117" s="195" t="s">
        <v>1147</v>
      </c>
      <c r="G1117" s="195" t="s">
        <v>1147</v>
      </c>
      <c r="H1117" s="195" t="s">
        <v>1147</v>
      </c>
      <c r="I1117" s="195" t="s">
        <v>1147</v>
      </c>
      <c r="J1117" s="132">
        <v>0.9</v>
      </c>
      <c r="K1117" s="133">
        <v>0.975</v>
      </c>
      <c r="L1117" s="133">
        <v>0.833333333333333</v>
      </c>
      <c r="M1117" s="134">
        <v>0.894736842105263</v>
      </c>
      <c r="N1117" s="133">
        <v>0.927055702917772</v>
      </c>
      <c r="O1117" s="135">
        <v>0.9</v>
      </c>
      <c r="P1117" s="133">
        <v>0.918965517241379</v>
      </c>
      <c r="Q1117" s="133">
        <v>0.968830059777968</v>
      </c>
      <c r="R1117" s="133">
        <v>0.970291777188329</v>
      </c>
      <c r="S1117" s="133">
        <v>0.941739606126915</v>
      </c>
      <c r="T1117" s="135">
        <v>0.9</v>
      </c>
      <c r="U1117" s="133">
        <v>0.787241379310345</v>
      </c>
      <c r="V1117" s="133">
        <v>0.780529461998292</v>
      </c>
      <c r="W1117" s="133">
        <v>0.736870026525199</v>
      </c>
      <c r="X1117" s="133">
        <v>0.784555069292487</v>
      </c>
      <c r="Y1117" s="135">
        <v>0.92</v>
      </c>
      <c r="Z1117" s="135" t="s">
        <v>35</v>
      </c>
      <c r="AA1117" s="135" t="s">
        <v>35</v>
      </c>
      <c r="AB1117" s="135" t="s">
        <v>35</v>
      </c>
      <c r="AC1117" s="135" t="s">
        <v>35</v>
      </c>
      <c r="AD1117" s="135">
        <v>0.92</v>
      </c>
      <c r="AE1117" s="133">
        <v>1</v>
      </c>
      <c r="AF1117" s="133">
        <v>1</v>
      </c>
      <c r="AG1117" s="133">
        <v>1</v>
      </c>
      <c r="AH1117" s="133">
        <v>0.999825479930192</v>
      </c>
      <c r="AI1117" s="135">
        <v>0.92</v>
      </c>
      <c r="AJ1117" s="133">
        <v>0.843103448275862</v>
      </c>
      <c r="AK1117" s="133">
        <v>0.86464560204953</v>
      </c>
      <c r="AL1117" s="133">
        <v>0.888859416445623</v>
      </c>
      <c r="AM1117" s="133">
        <v>0.903461585217603</v>
      </c>
      <c r="AN1117" s="132">
        <v>0.99</v>
      </c>
      <c r="AO1117" s="137">
        <v>1</v>
      </c>
      <c r="AP1117" s="137">
        <v>1</v>
      </c>
      <c r="AQ1117" s="137">
        <v>1</v>
      </c>
      <c r="AR1117" s="137">
        <v>1</v>
      </c>
      <c r="AS1117" s="158">
        <v>0.0721861525408278</v>
      </c>
      <c r="AT1117" s="141">
        <v>0</v>
      </c>
      <c r="AU1117" s="141">
        <v>0.5</v>
      </c>
      <c r="AV1117" s="141">
        <v>0.166666666666667</v>
      </c>
      <c r="AW1117" s="141">
        <v>0.115384615384615</v>
      </c>
      <c r="AX1117" s="95"/>
      <c r="AY1117" s="93"/>
    </row>
    <row r="1118" ht="15" spans="1:51">
      <c r="A1118" s="91"/>
      <c r="B1118" s="95"/>
      <c r="C1118" s="152" t="s">
        <v>1085</v>
      </c>
      <c r="D1118" s="153" t="s">
        <v>25</v>
      </c>
      <c r="E1118" s="130" t="s">
        <v>1086</v>
      </c>
      <c r="F1118" s="195" t="s">
        <v>1148</v>
      </c>
      <c r="G1118" s="195" t="s">
        <v>1148</v>
      </c>
      <c r="H1118" s="195" t="s">
        <v>1148</v>
      </c>
      <c r="I1118" s="195" t="s">
        <v>1148</v>
      </c>
      <c r="J1118" s="132">
        <v>0.9</v>
      </c>
      <c r="K1118" s="133">
        <v>0.972222222222222</v>
      </c>
      <c r="L1118" s="133">
        <v>0.862068965517241</v>
      </c>
      <c r="M1118" s="134">
        <v>0.916666666666667</v>
      </c>
      <c r="N1118" s="133">
        <v>0.830455259026688</v>
      </c>
      <c r="O1118" s="135">
        <v>0.9</v>
      </c>
      <c r="P1118" s="133">
        <v>0.962264150943396</v>
      </c>
      <c r="Q1118" s="133">
        <v>0.942535211267606</v>
      </c>
      <c r="R1118" s="133">
        <v>0.934323432343234</v>
      </c>
      <c r="S1118" s="133">
        <v>0.925989065898536</v>
      </c>
      <c r="T1118" s="135">
        <v>0.9</v>
      </c>
      <c r="U1118" s="133">
        <v>0.769092542677448</v>
      </c>
      <c r="V1118" s="133">
        <v>0.752112676056338</v>
      </c>
      <c r="W1118" s="133">
        <v>0.678217821782178</v>
      </c>
      <c r="X1118" s="133">
        <v>0.697215527207885</v>
      </c>
      <c r="Y1118" s="135">
        <v>0.92</v>
      </c>
      <c r="Z1118" s="135" t="s">
        <v>35</v>
      </c>
      <c r="AA1118" s="135" t="s">
        <v>35</v>
      </c>
      <c r="AB1118" s="135" t="s">
        <v>35</v>
      </c>
      <c r="AC1118" s="135" t="s">
        <v>35</v>
      </c>
      <c r="AD1118" s="135">
        <v>0.92</v>
      </c>
      <c r="AE1118" s="133">
        <v>0.994047619047619</v>
      </c>
      <c r="AF1118" s="133">
        <v>0.999377722464219</v>
      </c>
      <c r="AG1118" s="133">
        <v>1</v>
      </c>
      <c r="AH1118" s="133">
        <v>0.996972842068846</v>
      </c>
      <c r="AI1118" s="135">
        <v>0.92</v>
      </c>
      <c r="AJ1118" s="133">
        <v>0.910601976639713</v>
      </c>
      <c r="AK1118" s="133">
        <v>0.83830985915493</v>
      </c>
      <c r="AL1118" s="133">
        <v>0.897359735973597</v>
      </c>
      <c r="AM1118" s="133">
        <v>0.8894832755276</v>
      </c>
      <c r="AN1118" s="132">
        <v>0.99</v>
      </c>
      <c r="AO1118" s="137">
        <v>1</v>
      </c>
      <c r="AP1118" s="137">
        <v>1</v>
      </c>
      <c r="AQ1118" s="137">
        <v>1</v>
      </c>
      <c r="AR1118" s="137">
        <v>1</v>
      </c>
      <c r="AS1118" s="158">
        <v>0.0721861525408278</v>
      </c>
      <c r="AT1118" s="141">
        <v>0</v>
      </c>
      <c r="AU1118" s="141">
        <v>0</v>
      </c>
      <c r="AV1118" s="141">
        <v>0</v>
      </c>
      <c r="AW1118" s="141">
        <v>0.0492957746478873</v>
      </c>
      <c r="AX1118" s="95"/>
      <c r="AY1118" s="93"/>
    </row>
    <row r="1119" ht="15" spans="1:51">
      <c r="A1119" s="91"/>
      <c r="B1119" s="95"/>
      <c r="C1119" s="152" t="s">
        <v>1085</v>
      </c>
      <c r="D1119" s="153" t="s">
        <v>25</v>
      </c>
      <c r="E1119" s="130" t="s">
        <v>1086</v>
      </c>
      <c r="F1119" s="195" t="s">
        <v>1149</v>
      </c>
      <c r="G1119" s="195" t="s">
        <v>1149</v>
      </c>
      <c r="H1119" s="195" t="s">
        <v>1149</v>
      </c>
      <c r="I1119" s="195" t="s">
        <v>1149</v>
      </c>
      <c r="J1119" s="132">
        <v>0.9</v>
      </c>
      <c r="K1119" s="133">
        <v>0.946428571428571</v>
      </c>
      <c r="L1119" s="133">
        <v>0.944444444444444</v>
      </c>
      <c r="M1119" s="134">
        <v>0.879310344827586</v>
      </c>
      <c r="N1119" s="133">
        <v>0.917657822506862</v>
      </c>
      <c r="O1119" s="135">
        <v>0.9</v>
      </c>
      <c r="P1119" s="133">
        <v>0.975021533161068</v>
      </c>
      <c r="Q1119" s="133">
        <v>0.938477313509357</v>
      </c>
      <c r="R1119" s="133">
        <v>0.963368863534004</v>
      </c>
      <c r="S1119" s="133">
        <v>0.950335693920721</v>
      </c>
      <c r="T1119" s="135">
        <v>0.9</v>
      </c>
      <c r="U1119" s="133">
        <v>0.84108527131783</v>
      </c>
      <c r="V1119" s="133">
        <v>0.855934375801077</v>
      </c>
      <c r="W1119" s="133">
        <v>0.848971625882</v>
      </c>
      <c r="X1119" s="133">
        <v>0.822514485422606</v>
      </c>
      <c r="Y1119" s="135">
        <v>0.92</v>
      </c>
      <c r="Z1119" s="135" t="s">
        <v>35</v>
      </c>
      <c r="AA1119" s="135" t="s">
        <v>35</v>
      </c>
      <c r="AB1119" s="135" t="s">
        <v>35</v>
      </c>
      <c r="AC1119" s="135" t="s">
        <v>35</v>
      </c>
      <c r="AD1119" s="135">
        <v>0.92</v>
      </c>
      <c r="AE1119" s="133">
        <v>1</v>
      </c>
      <c r="AF1119" s="133">
        <v>0.99867197875166</v>
      </c>
      <c r="AG1119" s="133">
        <v>1</v>
      </c>
      <c r="AH1119" s="133">
        <v>0.996574882471457</v>
      </c>
      <c r="AI1119" s="135">
        <v>0.92</v>
      </c>
      <c r="AJ1119" s="133">
        <v>0.943583118001723</v>
      </c>
      <c r="AK1119" s="133">
        <v>0.938990002563445</v>
      </c>
      <c r="AL1119" s="133">
        <v>0.958865035279988</v>
      </c>
      <c r="AM1119" s="133">
        <v>0.960002207282192</v>
      </c>
      <c r="AN1119" s="132">
        <v>0.99</v>
      </c>
      <c r="AO1119" s="137">
        <v>1</v>
      </c>
      <c r="AP1119" s="137">
        <v>1</v>
      </c>
      <c r="AQ1119" s="137">
        <v>1</v>
      </c>
      <c r="AR1119" s="137">
        <v>1</v>
      </c>
      <c r="AS1119" s="158">
        <v>0.0721861525408278</v>
      </c>
      <c r="AT1119" s="141">
        <v>0</v>
      </c>
      <c r="AU1119" s="141">
        <v>0</v>
      </c>
      <c r="AV1119" s="141">
        <v>0</v>
      </c>
      <c r="AW1119" s="141">
        <v>0.0862068965517241</v>
      </c>
      <c r="AX1119" s="95"/>
      <c r="AY1119" s="93"/>
    </row>
    <row r="1120" ht="15" spans="1:51">
      <c r="A1120" s="91"/>
      <c r="B1120" s="95"/>
      <c r="C1120" s="152" t="s">
        <v>1085</v>
      </c>
      <c r="D1120" s="153" t="s">
        <v>25</v>
      </c>
      <c r="E1120" s="130" t="s">
        <v>1086</v>
      </c>
      <c r="F1120" s="195" t="s">
        <v>1150</v>
      </c>
      <c r="G1120" s="195" t="s">
        <v>1150</v>
      </c>
      <c r="H1120" s="195" t="s">
        <v>1150</v>
      </c>
      <c r="I1120" s="195" t="s">
        <v>1150</v>
      </c>
      <c r="J1120" s="132">
        <v>0.9</v>
      </c>
      <c r="K1120" s="133">
        <v>0.961538461538462</v>
      </c>
      <c r="L1120" s="133">
        <v>0.932432432432432</v>
      </c>
      <c r="M1120" s="134">
        <v>0.96</v>
      </c>
      <c r="N1120" s="133">
        <v>0.925847457627119</v>
      </c>
      <c r="O1120" s="135">
        <v>0.9</v>
      </c>
      <c r="P1120" s="133">
        <v>0.968532127378933</v>
      </c>
      <c r="Q1120" s="133">
        <v>0.956155890168291</v>
      </c>
      <c r="R1120" s="133">
        <v>0.586563663953649</v>
      </c>
      <c r="S1120" s="133">
        <v>0.866933588010579</v>
      </c>
      <c r="T1120" s="135">
        <v>0.9</v>
      </c>
      <c r="U1120" s="133">
        <v>0.688524590163934</v>
      </c>
      <c r="V1120" s="133">
        <v>0.677812223206377</v>
      </c>
      <c r="W1120" s="133">
        <v>0.571251207063043</v>
      </c>
      <c r="X1120" s="133">
        <v>0.612702027622686</v>
      </c>
      <c r="Y1120" s="135">
        <v>0.92</v>
      </c>
      <c r="Z1120" s="135" t="s">
        <v>35</v>
      </c>
      <c r="AA1120" s="135">
        <v>1</v>
      </c>
      <c r="AB1120" s="135" t="s">
        <v>35</v>
      </c>
      <c r="AC1120" s="135">
        <v>1</v>
      </c>
      <c r="AD1120" s="135">
        <v>0.92</v>
      </c>
      <c r="AE1120" s="133">
        <v>0.988585607940447</v>
      </c>
      <c r="AF1120" s="133">
        <v>0.998402130492676</v>
      </c>
      <c r="AG1120" s="133">
        <v>0.994755244755245</v>
      </c>
      <c r="AH1120" s="133">
        <v>0.982379435350983</v>
      </c>
      <c r="AI1120" s="135">
        <v>0.92</v>
      </c>
      <c r="AJ1120" s="133">
        <v>0.904842660636895</v>
      </c>
      <c r="AK1120" s="133">
        <v>0.917865840159398</v>
      </c>
      <c r="AL1120" s="133">
        <v>0.88839839977928</v>
      </c>
      <c r="AM1120" s="133">
        <v>0.932884229704018</v>
      </c>
      <c r="AN1120" s="132">
        <v>0.99</v>
      </c>
      <c r="AO1120" s="137">
        <v>1</v>
      </c>
      <c r="AP1120" s="137">
        <v>1</v>
      </c>
      <c r="AQ1120" s="137">
        <v>1</v>
      </c>
      <c r="AR1120" s="137">
        <v>1</v>
      </c>
      <c r="AS1120" s="158">
        <v>0.0721861525408278</v>
      </c>
      <c r="AT1120" s="141">
        <v>0.0454545454545455</v>
      </c>
      <c r="AU1120" s="141">
        <v>0.0740740740740741</v>
      </c>
      <c r="AV1120" s="141">
        <v>0</v>
      </c>
      <c r="AW1120" s="141">
        <v>0.0264227642276423</v>
      </c>
      <c r="AX1120" s="95"/>
      <c r="AY1120" s="93"/>
    </row>
    <row r="1121" ht="15" spans="1:51">
      <c r="A1121" s="91"/>
      <c r="B1121" s="95"/>
      <c r="C1121" s="152" t="s">
        <v>1085</v>
      </c>
      <c r="D1121" s="153" t="s">
        <v>25</v>
      </c>
      <c r="E1121" s="130" t="s">
        <v>1086</v>
      </c>
      <c r="F1121" s="195" t="s">
        <v>1151</v>
      </c>
      <c r="G1121" s="195" t="s">
        <v>1151</v>
      </c>
      <c r="H1121" s="195" t="s">
        <v>1151</v>
      </c>
      <c r="I1121" s="195" t="s">
        <v>1151</v>
      </c>
      <c r="J1121" s="132">
        <v>0.9</v>
      </c>
      <c r="K1121" s="133" t="s">
        <v>35</v>
      </c>
      <c r="L1121" s="133" t="s">
        <v>35</v>
      </c>
      <c r="M1121" s="134" t="s">
        <v>35</v>
      </c>
      <c r="N1121" s="133" t="s">
        <v>35</v>
      </c>
      <c r="O1121" s="135">
        <v>0.9</v>
      </c>
      <c r="P1121" s="133">
        <v>0.31283422459893</v>
      </c>
      <c r="Q1121" s="133">
        <v>0.15774378585086</v>
      </c>
      <c r="R1121" s="133">
        <v>0.165035877364644</v>
      </c>
      <c r="S1121" s="133">
        <v>0.131952543736175</v>
      </c>
      <c r="T1121" s="135">
        <v>0.9</v>
      </c>
      <c r="U1121" s="133">
        <v>0.217914438502674</v>
      </c>
      <c r="V1121" s="133">
        <v>0.0229445506692161</v>
      </c>
      <c r="W1121" s="133">
        <v>0.0815394651011089</v>
      </c>
      <c r="X1121" s="133">
        <v>0.0458073597426101</v>
      </c>
      <c r="Y1121" s="135">
        <v>0.92</v>
      </c>
      <c r="Z1121" s="135" t="s">
        <v>35</v>
      </c>
      <c r="AA1121" s="135" t="s">
        <v>35</v>
      </c>
      <c r="AB1121" s="135" t="s">
        <v>35</v>
      </c>
      <c r="AC1121" s="135">
        <v>1</v>
      </c>
      <c r="AD1121" s="135">
        <v>0.92</v>
      </c>
      <c r="AE1121" s="133" t="s">
        <v>35</v>
      </c>
      <c r="AF1121" s="133" t="s">
        <v>35</v>
      </c>
      <c r="AG1121" s="133">
        <v>1</v>
      </c>
      <c r="AH1121" s="133">
        <v>1</v>
      </c>
      <c r="AI1121" s="135">
        <v>0.92</v>
      </c>
      <c r="AJ1121" s="133">
        <v>0.294117647058824</v>
      </c>
      <c r="AK1121" s="133">
        <v>0.126195028680688</v>
      </c>
      <c r="AL1121" s="133">
        <v>0.106979778212655</v>
      </c>
      <c r="AM1121" s="133">
        <v>0.091691466259149</v>
      </c>
      <c r="AN1121" s="132">
        <v>0.99</v>
      </c>
      <c r="AO1121" s="137" t="s">
        <v>35</v>
      </c>
      <c r="AP1121" s="137" t="s">
        <v>35</v>
      </c>
      <c r="AQ1121" s="137" t="s">
        <v>35</v>
      </c>
      <c r="AR1121" s="137" t="s">
        <v>35</v>
      </c>
      <c r="AS1121" s="158">
        <v>0.0721861525408278</v>
      </c>
      <c r="AT1121" s="141">
        <v>0.176470588235294</v>
      </c>
      <c r="AU1121" s="141">
        <v>0.0833333333333333</v>
      </c>
      <c r="AV1121" s="141">
        <v>0.214285714285714</v>
      </c>
      <c r="AW1121" s="141">
        <v>0.167597765363128</v>
      </c>
      <c r="AX1121" s="95"/>
      <c r="AY1121" s="93"/>
    </row>
    <row r="1122" ht="15" spans="1:51">
      <c r="A1122" s="91"/>
      <c r="B1122" s="95"/>
      <c r="C1122" s="152" t="s">
        <v>1085</v>
      </c>
      <c r="D1122" s="153" t="s">
        <v>25</v>
      </c>
      <c r="E1122" s="130" t="s">
        <v>1086</v>
      </c>
      <c r="F1122" s="195" t="s">
        <v>1152</v>
      </c>
      <c r="G1122" s="195" t="s">
        <v>1152</v>
      </c>
      <c r="H1122" s="195" t="s">
        <v>1152</v>
      </c>
      <c r="I1122" s="195" t="s">
        <v>1152</v>
      </c>
      <c r="J1122" s="132">
        <v>0.9</v>
      </c>
      <c r="K1122" s="133">
        <v>0.934426229508197</v>
      </c>
      <c r="L1122" s="133">
        <v>0.981481481481482</v>
      </c>
      <c r="M1122" s="134">
        <v>0.951612903225806</v>
      </c>
      <c r="N1122" s="133">
        <v>0.9296875</v>
      </c>
      <c r="O1122" s="135">
        <v>0.9</v>
      </c>
      <c r="P1122" s="133">
        <v>0.972826086956522</v>
      </c>
      <c r="Q1122" s="133">
        <v>0.941977501480166</v>
      </c>
      <c r="R1122" s="133">
        <v>0.836514223982715</v>
      </c>
      <c r="S1122" s="133">
        <v>0.833180617689862</v>
      </c>
      <c r="T1122" s="135">
        <v>0.9</v>
      </c>
      <c r="U1122" s="133">
        <v>0.667243083003953</v>
      </c>
      <c r="V1122" s="133">
        <v>0.67465956187093</v>
      </c>
      <c r="W1122" s="133">
        <v>0.574180770615772</v>
      </c>
      <c r="X1122" s="133">
        <v>0.606025979625937</v>
      </c>
      <c r="Y1122" s="135">
        <v>0.92</v>
      </c>
      <c r="Z1122" s="135">
        <v>0</v>
      </c>
      <c r="AA1122" s="135" t="s">
        <v>35</v>
      </c>
      <c r="AB1122" s="135" t="s">
        <v>35</v>
      </c>
      <c r="AC1122" s="135">
        <v>0</v>
      </c>
      <c r="AD1122" s="135">
        <v>0.92</v>
      </c>
      <c r="AE1122" s="133">
        <v>0.997429305912596</v>
      </c>
      <c r="AF1122" s="133">
        <v>1</v>
      </c>
      <c r="AG1122" s="133">
        <v>1</v>
      </c>
      <c r="AH1122" s="133">
        <v>0.99923896499239</v>
      </c>
      <c r="AI1122" s="135">
        <v>0.92</v>
      </c>
      <c r="AJ1122" s="133">
        <v>0.854038034082489</v>
      </c>
      <c r="AK1122" s="133">
        <v>0.87181764357608</v>
      </c>
      <c r="AL1122" s="133">
        <v>0.862261433201296</v>
      </c>
      <c r="AM1122" s="133">
        <v>0.889032619709808</v>
      </c>
      <c r="AN1122" s="132">
        <v>0.99</v>
      </c>
      <c r="AO1122" s="137">
        <v>1</v>
      </c>
      <c r="AP1122" s="137">
        <v>1</v>
      </c>
      <c r="AQ1122" s="137">
        <v>1</v>
      </c>
      <c r="AR1122" s="137">
        <v>1</v>
      </c>
      <c r="AS1122" s="158">
        <v>0.0721861525408278</v>
      </c>
      <c r="AT1122" s="141">
        <v>0.2</v>
      </c>
      <c r="AU1122" s="141">
        <v>0.1</v>
      </c>
      <c r="AV1122" s="141">
        <v>0.166666666666667</v>
      </c>
      <c r="AW1122" s="141">
        <v>0.0854700854700855</v>
      </c>
      <c r="AX1122" s="95"/>
      <c r="AY1122" s="93"/>
    </row>
    <row r="1123" ht="15" spans="1:51">
      <c r="A1123" s="91"/>
      <c r="B1123" s="95"/>
      <c r="C1123" s="152" t="s">
        <v>1085</v>
      </c>
      <c r="D1123" s="153" t="s">
        <v>25</v>
      </c>
      <c r="E1123" s="130" t="s">
        <v>1086</v>
      </c>
      <c r="F1123" s="195" t="s">
        <v>1153</v>
      </c>
      <c r="G1123" s="195" t="s">
        <v>1153</v>
      </c>
      <c r="H1123" s="195" t="s">
        <v>1153</v>
      </c>
      <c r="I1123" s="195" t="s">
        <v>1153</v>
      </c>
      <c r="J1123" s="132">
        <v>0.9</v>
      </c>
      <c r="K1123" s="133">
        <v>0.876923076923077</v>
      </c>
      <c r="L1123" s="133">
        <v>0.946428571428571</v>
      </c>
      <c r="M1123" s="134">
        <v>0.966666666666667</v>
      </c>
      <c r="N1123" s="133">
        <v>0.921319796954315</v>
      </c>
      <c r="O1123" s="135">
        <v>0.9</v>
      </c>
      <c r="P1123" s="133">
        <v>0.98324857912055</v>
      </c>
      <c r="Q1123" s="133">
        <v>0.967637540453074</v>
      </c>
      <c r="R1123" s="133">
        <v>0.990361445783133</v>
      </c>
      <c r="S1123" s="133">
        <v>0.971776810827704</v>
      </c>
      <c r="T1123" s="135">
        <v>0.9</v>
      </c>
      <c r="U1123" s="133">
        <v>0.791504636553993</v>
      </c>
      <c r="V1123" s="133">
        <v>0.785329018338727</v>
      </c>
      <c r="W1123" s="133">
        <v>0.690251916757941</v>
      </c>
      <c r="X1123" s="133">
        <v>0.722540087025507</v>
      </c>
      <c r="Y1123" s="135">
        <v>0.92</v>
      </c>
      <c r="Z1123" s="135">
        <v>0</v>
      </c>
      <c r="AA1123" s="135" t="s">
        <v>35</v>
      </c>
      <c r="AB1123" s="135" t="s">
        <v>35</v>
      </c>
      <c r="AC1123" s="135">
        <v>0</v>
      </c>
      <c r="AD1123" s="135">
        <v>0.92</v>
      </c>
      <c r="AE1123" s="133">
        <v>1</v>
      </c>
      <c r="AF1123" s="133">
        <v>1</v>
      </c>
      <c r="AG1123" s="133">
        <v>0.991266375545852</v>
      </c>
      <c r="AH1123" s="133">
        <v>0.997874036672867</v>
      </c>
      <c r="AI1123" s="135">
        <v>0.92</v>
      </c>
      <c r="AJ1123" s="133">
        <v>0.915396113602392</v>
      </c>
      <c r="AK1123" s="133">
        <v>0.928802588996764</v>
      </c>
      <c r="AL1123" s="133">
        <v>0.900109529025192</v>
      </c>
      <c r="AM1123" s="133">
        <v>0.927425267738019</v>
      </c>
      <c r="AN1123" s="132">
        <v>0.99</v>
      </c>
      <c r="AO1123" s="137">
        <v>1</v>
      </c>
      <c r="AP1123" s="137">
        <v>1</v>
      </c>
      <c r="AQ1123" s="137">
        <v>1</v>
      </c>
      <c r="AR1123" s="137">
        <v>1</v>
      </c>
      <c r="AS1123" s="158">
        <v>0.0721861525408278</v>
      </c>
      <c r="AT1123" s="141">
        <v>0.333333333333333</v>
      </c>
      <c r="AU1123" s="141">
        <v>0</v>
      </c>
      <c r="AV1123" s="141">
        <v>0.166666666666667</v>
      </c>
      <c r="AW1123" s="141">
        <v>0.0807174887892377</v>
      </c>
      <c r="AX1123" s="95"/>
      <c r="AY1123" s="93"/>
    </row>
    <row r="1124" ht="15" spans="1:51">
      <c r="A1124" s="91"/>
      <c r="B1124" s="95"/>
      <c r="C1124" s="152" t="s">
        <v>1085</v>
      </c>
      <c r="D1124" s="153" t="s">
        <v>25</v>
      </c>
      <c r="E1124" s="130" t="s">
        <v>1086</v>
      </c>
      <c r="F1124" s="195" t="s">
        <v>1154</v>
      </c>
      <c r="G1124" s="195" t="s">
        <v>1154</v>
      </c>
      <c r="H1124" s="195" t="s">
        <v>1154</v>
      </c>
      <c r="I1124" s="195" t="s">
        <v>1154</v>
      </c>
      <c r="J1124" s="132">
        <v>0.9</v>
      </c>
      <c r="K1124" s="133">
        <v>0.909090909090909</v>
      </c>
      <c r="L1124" s="133">
        <v>0.911111111111111</v>
      </c>
      <c r="M1124" s="134">
        <v>0.893617021276596</v>
      </c>
      <c r="N1124" s="133">
        <v>0.925287356321839</v>
      </c>
      <c r="O1124" s="135">
        <v>0.9</v>
      </c>
      <c r="P1124" s="133">
        <v>0.985414443258627</v>
      </c>
      <c r="Q1124" s="133">
        <v>0.988721804511278</v>
      </c>
      <c r="R1124" s="133">
        <v>0.908040201005025</v>
      </c>
      <c r="S1124" s="133">
        <v>0.940770785134858</v>
      </c>
      <c r="T1124" s="135">
        <v>0.9</v>
      </c>
      <c r="U1124" s="133">
        <v>0.836712913553895</v>
      </c>
      <c r="V1124" s="133">
        <v>0.791979949874687</v>
      </c>
      <c r="W1124" s="133">
        <v>0.733165829145729</v>
      </c>
      <c r="X1124" s="133">
        <v>0.767065920871526</v>
      </c>
      <c r="Y1124" s="135">
        <v>0.92</v>
      </c>
      <c r="Z1124" s="135" t="s">
        <v>35</v>
      </c>
      <c r="AA1124" s="135">
        <v>0</v>
      </c>
      <c r="AB1124" s="135" t="s">
        <v>35</v>
      </c>
      <c r="AC1124" s="135">
        <v>0.666666666666667</v>
      </c>
      <c r="AD1124" s="135">
        <v>0.92</v>
      </c>
      <c r="AE1124" s="133">
        <v>1</v>
      </c>
      <c r="AF1124" s="133">
        <v>1</v>
      </c>
      <c r="AG1124" s="133">
        <v>1</v>
      </c>
      <c r="AH1124" s="133">
        <v>0.998997995991984</v>
      </c>
      <c r="AI1124" s="135">
        <v>0.92</v>
      </c>
      <c r="AJ1124" s="133">
        <v>0.934542867307008</v>
      </c>
      <c r="AK1124" s="133">
        <v>0.924425887265136</v>
      </c>
      <c r="AL1124" s="133">
        <v>0.956532663316583</v>
      </c>
      <c r="AM1124" s="133">
        <v>0.940348770809845</v>
      </c>
      <c r="AN1124" s="132">
        <v>0.99</v>
      </c>
      <c r="AO1124" s="137">
        <v>1</v>
      </c>
      <c r="AP1124" s="137">
        <v>1</v>
      </c>
      <c r="AQ1124" s="137">
        <v>1</v>
      </c>
      <c r="AR1124" s="137">
        <v>1</v>
      </c>
      <c r="AS1124" s="158">
        <v>0.0721861525408278</v>
      </c>
      <c r="AT1124" s="141">
        <v>0</v>
      </c>
      <c r="AU1124" s="141">
        <v>0.25</v>
      </c>
      <c r="AV1124" s="141">
        <v>0</v>
      </c>
      <c r="AW1124" s="141">
        <v>0.0584415584415584</v>
      </c>
      <c r="AX1124" s="95"/>
      <c r="AY1124" s="93"/>
    </row>
    <row r="1125" ht="15" spans="1:51">
      <c r="A1125" s="91"/>
      <c r="B1125" s="95"/>
      <c r="C1125" s="152" t="s">
        <v>1085</v>
      </c>
      <c r="D1125" s="153" t="s">
        <v>25</v>
      </c>
      <c r="E1125" s="130" t="s">
        <v>1086</v>
      </c>
      <c r="F1125" s="195" t="s">
        <v>1155</v>
      </c>
      <c r="G1125" s="195" t="s">
        <v>1155</v>
      </c>
      <c r="H1125" s="195" t="s">
        <v>1155</v>
      </c>
      <c r="I1125" s="195" t="s">
        <v>1155</v>
      </c>
      <c r="J1125" s="132">
        <v>0.9</v>
      </c>
      <c r="K1125" s="133">
        <v>0.930232558139535</v>
      </c>
      <c r="L1125" s="133">
        <v>0.947368421052632</v>
      </c>
      <c r="M1125" s="134">
        <v>0.931818181818182</v>
      </c>
      <c r="N1125" s="133">
        <v>0.921739130434783</v>
      </c>
      <c r="O1125" s="135">
        <v>0.9</v>
      </c>
      <c r="P1125" s="133">
        <v>0.957609027142421</v>
      </c>
      <c r="Q1125" s="133">
        <v>0.951423149905123</v>
      </c>
      <c r="R1125" s="133">
        <v>0.877136995669022</v>
      </c>
      <c r="S1125" s="133">
        <v>0.88118772472171</v>
      </c>
      <c r="T1125" s="135">
        <v>0.9</v>
      </c>
      <c r="U1125" s="133">
        <v>0.735590118938701</v>
      </c>
      <c r="V1125" s="133">
        <v>0.647817836812144</v>
      </c>
      <c r="W1125" s="133">
        <v>0.655801230909505</v>
      </c>
      <c r="X1125" s="133">
        <v>0.656339971607117</v>
      </c>
      <c r="Y1125" s="135">
        <v>0.92</v>
      </c>
      <c r="Z1125" s="135">
        <v>0</v>
      </c>
      <c r="AA1125" s="135" t="s">
        <v>35</v>
      </c>
      <c r="AB1125" s="135" t="s">
        <v>35</v>
      </c>
      <c r="AC1125" s="135">
        <v>0</v>
      </c>
      <c r="AD1125" s="135">
        <v>0.92</v>
      </c>
      <c r="AE1125" s="133">
        <v>1</v>
      </c>
      <c r="AF1125" s="133">
        <v>1</v>
      </c>
      <c r="AG1125" s="133">
        <v>1</v>
      </c>
      <c r="AH1125" s="133">
        <v>0.99656862745098</v>
      </c>
      <c r="AI1125" s="135">
        <v>0.92</v>
      </c>
      <c r="AJ1125" s="133">
        <v>0.856141420298689</v>
      </c>
      <c r="AK1125" s="133">
        <v>0.788235294117647</v>
      </c>
      <c r="AL1125" s="133">
        <v>0.883747435605197</v>
      </c>
      <c r="AM1125" s="133">
        <v>0.878471070542502</v>
      </c>
      <c r="AN1125" s="132">
        <v>0.99</v>
      </c>
      <c r="AO1125" s="137">
        <v>1</v>
      </c>
      <c r="AP1125" s="137">
        <v>1</v>
      </c>
      <c r="AQ1125" s="137">
        <v>1</v>
      </c>
      <c r="AR1125" s="137">
        <v>1</v>
      </c>
      <c r="AS1125" s="158">
        <v>0.0721861525408278</v>
      </c>
      <c r="AT1125" s="141">
        <v>0.1</v>
      </c>
      <c r="AU1125" s="141">
        <v>0.125</v>
      </c>
      <c r="AV1125" s="141">
        <v>0.0833333333333333</v>
      </c>
      <c r="AW1125" s="141">
        <v>0.110552763819095</v>
      </c>
      <c r="AX1125" s="95"/>
      <c r="AY1125" s="93"/>
    </row>
    <row r="1126" ht="15" spans="1:51">
      <c r="A1126" s="91"/>
      <c r="B1126" s="95"/>
      <c r="C1126" s="152" t="s">
        <v>1085</v>
      </c>
      <c r="D1126" s="153" t="s">
        <v>25</v>
      </c>
      <c r="E1126" s="130" t="s">
        <v>1086</v>
      </c>
      <c r="F1126" s="195" t="s">
        <v>1156</v>
      </c>
      <c r="G1126" s="195" t="s">
        <v>1156</v>
      </c>
      <c r="H1126" s="195" t="s">
        <v>1156</v>
      </c>
      <c r="I1126" s="195" t="s">
        <v>1156</v>
      </c>
      <c r="J1126" s="132">
        <v>0.9</v>
      </c>
      <c r="K1126" s="133">
        <v>0.981132075471698</v>
      </c>
      <c r="L1126" s="133">
        <v>0.978260869565217</v>
      </c>
      <c r="M1126" s="134">
        <v>0.979166666666667</v>
      </c>
      <c r="N1126" s="133">
        <v>0.987355110642782</v>
      </c>
      <c r="O1126" s="135">
        <v>0.9</v>
      </c>
      <c r="P1126" s="133">
        <v>0.987650602409639</v>
      </c>
      <c r="Q1126" s="133">
        <v>0.976119402985075</v>
      </c>
      <c r="R1126" s="133">
        <v>0.931403118040089</v>
      </c>
      <c r="S1126" s="133">
        <v>0.961234673152629</v>
      </c>
      <c r="T1126" s="135">
        <v>0.9</v>
      </c>
      <c r="U1126" s="133">
        <v>0.807831325301205</v>
      </c>
      <c r="V1126" s="133">
        <v>0.806716417910448</v>
      </c>
      <c r="W1126" s="133">
        <v>0.667260579064588</v>
      </c>
      <c r="X1126" s="133">
        <v>0.736277926832326</v>
      </c>
      <c r="Y1126" s="135">
        <v>0.92</v>
      </c>
      <c r="Z1126" s="135" t="s">
        <v>35</v>
      </c>
      <c r="AA1126" s="135" t="s">
        <v>35</v>
      </c>
      <c r="AB1126" s="135" t="s">
        <v>35</v>
      </c>
      <c r="AC1126" s="135" t="s">
        <v>35</v>
      </c>
      <c r="AD1126" s="135">
        <v>0.92</v>
      </c>
      <c r="AE1126" s="133">
        <v>0.997304582210243</v>
      </c>
      <c r="AF1126" s="133">
        <v>0.966292134831461</v>
      </c>
      <c r="AG1126" s="133">
        <v>0.988679245283019</v>
      </c>
      <c r="AH1126" s="133">
        <v>0.992326473665853</v>
      </c>
      <c r="AI1126" s="135">
        <v>0.92</v>
      </c>
      <c r="AJ1126" s="133">
        <v>0.952409638554217</v>
      </c>
      <c r="AK1126" s="133">
        <v>0.940298507462687</v>
      </c>
      <c r="AL1126" s="133">
        <v>0.949220489977728</v>
      </c>
      <c r="AM1126" s="133">
        <v>0.959604824352449</v>
      </c>
      <c r="AN1126" s="132">
        <v>0.99</v>
      </c>
      <c r="AO1126" s="137">
        <v>1</v>
      </c>
      <c r="AP1126" s="137">
        <v>1</v>
      </c>
      <c r="AQ1126" s="137">
        <v>1</v>
      </c>
      <c r="AR1126" s="137">
        <v>1</v>
      </c>
      <c r="AS1126" s="158">
        <v>0.0721861525408278</v>
      </c>
      <c r="AT1126" s="141">
        <v>0.2</v>
      </c>
      <c r="AU1126" s="141">
        <v>0.25</v>
      </c>
      <c r="AV1126" s="141">
        <v>0.166666666666667</v>
      </c>
      <c r="AW1126" s="141">
        <v>0.119266055045872</v>
      </c>
      <c r="AX1126" s="95"/>
      <c r="AY1126" s="93"/>
    </row>
    <row r="1127" ht="15" spans="1:51">
      <c r="A1127" s="91"/>
      <c r="B1127" s="95"/>
      <c r="C1127" s="152" t="s">
        <v>1085</v>
      </c>
      <c r="D1127" s="153" t="s">
        <v>25</v>
      </c>
      <c r="E1127" s="130" t="s">
        <v>1086</v>
      </c>
      <c r="F1127" s="195" t="s">
        <v>1157</v>
      </c>
      <c r="G1127" s="195" t="s">
        <v>1157</v>
      </c>
      <c r="H1127" s="195" t="s">
        <v>1157</v>
      </c>
      <c r="I1127" s="195" t="s">
        <v>1157</v>
      </c>
      <c r="J1127" s="132">
        <v>0.9</v>
      </c>
      <c r="K1127" s="133">
        <v>1</v>
      </c>
      <c r="L1127" s="133">
        <v>0.914285714285714</v>
      </c>
      <c r="M1127" s="134">
        <v>1</v>
      </c>
      <c r="N1127" s="133">
        <v>0.9867197875166</v>
      </c>
      <c r="O1127" s="135">
        <v>0.9</v>
      </c>
      <c r="P1127" s="133">
        <v>0.983895131086142</v>
      </c>
      <c r="Q1127" s="133">
        <v>0.95184007269423</v>
      </c>
      <c r="R1127" s="133">
        <v>0.987328120787274</v>
      </c>
      <c r="S1127" s="133">
        <v>0.9819965234666</v>
      </c>
      <c r="T1127" s="135">
        <v>0.9</v>
      </c>
      <c r="U1127" s="133">
        <v>0.929962546816479</v>
      </c>
      <c r="V1127" s="133">
        <v>0.933666515220354</v>
      </c>
      <c r="W1127" s="133">
        <v>0.885144243731464</v>
      </c>
      <c r="X1127" s="133">
        <v>0.871818351129873</v>
      </c>
      <c r="Y1127" s="135">
        <v>0.92</v>
      </c>
      <c r="Z1127" s="135" t="s">
        <v>35</v>
      </c>
      <c r="AA1127" s="135" t="s">
        <v>35</v>
      </c>
      <c r="AB1127" s="135" t="s">
        <v>35</v>
      </c>
      <c r="AC1127" s="135" t="s">
        <v>35</v>
      </c>
      <c r="AD1127" s="135">
        <v>0.92</v>
      </c>
      <c r="AE1127" s="133">
        <v>0.982142857142857</v>
      </c>
      <c r="AF1127" s="133">
        <v>0.989795918367347</v>
      </c>
      <c r="AG1127" s="133">
        <v>1</v>
      </c>
      <c r="AH1127" s="133">
        <v>0.997101449275362</v>
      </c>
      <c r="AI1127" s="135">
        <v>0.92</v>
      </c>
      <c r="AJ1127" s="133">
        <v>0.945318352059925</v>
      </c>
      <c r="AK1127" s="133">
        <v>0.956383462062699</v>
      </c>
      <c r="AL1127" s="133">
        <v>0.964680506875168</v>
      </c>
      <c r="AM1127" s="133">
        <v>0.962161658803079</v>
      </c>
      <c r="AN1127" s="132">
        <v>0.99</v>
      </c>
      <c r="AO1127" s="137">
        <v>1</v>
      </c>
      <c r="AP1127" s="137">
        <v>1</v>
      </c>
      <c r="AQ1127" s="137">
        <v>1</v>
      </c>
      <c r="AR1127" s="137">
        <v>1</v>
      </c>
      <c r="AS1127" s="158">
        <v>0.0721861525408278</v>
      </c>
      <c r="AT1127" s="141">
        <v>0.5</v>
      </c>
      <c r="AU1127" s="141">
        <v>0</v>
      </c>
      <c r="AV1127" s="141">
        <v>0</v>
      </c>
      <c r="AW1127" s="141">
        <v>0.0909090909090909</v>
      </c>
      <c r="AX1127" s="95"/>
      <c r="AY1127" s="93"/>
    </row>
    <row r="1128" ht="15" spans="1:51">
      <c r="A1128" s="91"/>
      <c r="B1128" s="95"/>
      <c r="C1128" s="152" t="s">
        <v>1085</v>
      </c>
      <c r="D1128" s="153" t="s">
        <v>25</v>
      </c>
      <c r="E1128" s="130" t="s">
        <v>1086</v>
      </c>
      <c r="F1128" s="195" t="s">
        <v>1158</v>
      </c>
      <c r="G1128" s="195" t="s">
        <v>1158</v>
      </c>
      <c r="H1128" s="195" t="s">
        <v>1158</v>
      </c>
      <c r="I1128" s="195" t="s">
        <v>1158</v>
      </c>
      <c r="J1128" s="132">
        <v>0.9</v>
      </c>
      <c r="K1128" s="133">
        <v>0.921052631578947</v>
      </c>
      <c r="L1128" s="133">
        <v>0.870967741935484</v>
      </c>
      <c r="M1128" s="134">
        <v>0.875</v>
      </c>
      <c r="N1128" s="133">
        <v>0.921538461538462</v>
      </c>
      <c r="O1128" s="135">
        <v>0.9</v>
      </c>
      <c r="P1128" s="133">
        <v>0.99025069637883</v>
      </c>
      <c r="Q1128" s="133">
        <v>0.96189376443418</v>
      </c>
      <c r="R1128" s="133">
        <v>0.906154369262156</v>
      </c>
      <c r="S1128" s="133">
        <v>0.960825610783488</v>
      </c>
      <c r="T1128" s="135">
        <v>0.9</v>
      </c>
      <c r="U1128" s="133">
        <v>0.705199628597957</v>
      </c>
      <c r="V1128" s="133">
        <v>0.592956120092379</v>
      </c>
      <c r="W1128" s="133">
        <v>0.527031621897314</v>
      </c>
      <c r="X1128" s="133">
        <v>0.616018774822482</v>
      </c>
      <c r="Y1128" s="135">
        <v>0.92</v>
      </c>
      <c r="Z1128" s="135" t="s">
        <v>35</v>
      </c>
      <c r="AA1128" s="135">
        <v>0</v>
      </c>
      <c r="AB1128" s="135">
        <v>0</v>
      </c>
      <c r="AC1128" s="135">
        <v>0.333333333333333</v>
      </c>
      <c r="AD1128" s="135">
        <v>0.92</v>
      </c>
      <c r="AE1128" s="133">
        <v>1</v>
      </c>
      <c r="AF1128" s="133">
        <v>0.975609756097561</v>
      </c>
      <c r="AG1128" s="133">
        <v>1</v>
      </c>
      <c r="AH1128" s="133">
        <v>0.996422182468694</v>
      </c>
      <c r="AI1128" s="135">
        <v>0.92</v>
      </c>
      <c r="AJ1128" s="133">
        <v>0.915041782729805</v>
      </c>
      <c r="AK1128" s="133">
        <v>0.813040969417196</v>
      </c>
      <c r="AL1128" s="133">
        <v>0.859279401767505</v>
      </c>
      <c r="AM1128" s="133">
        <v>0.908438133060553</v>
      </c>
      <c r="AN1128" s="132">
        <v>0.99</v>
      </c>
      <c r="AO1128" s="137">
        <v>1</v>
      </c>
      <c r="AP1128" s="137">
        <v>1</v>
      </c>
      <c r="AQ1128" s="137">
        <v>1</v>
      </c>
      <c r="AR1128" s="137">
        <v>1</v>
      </c>
      <c r="AS1128" s="158">
        <v>0.0721861525408278</v>
      </c>
      <c r="AT1128" s="141">
        <v>0</v>
      </c>
      <c r="AU1128" s="141">
        <v>0</v>
      </c>
      <c r="AV1128" s="141">
        <v>0</v>
      </c>
      <c r="AW1128" s="141">
        <v>0.13265306122449</v>
      </c>
      <c r="AX1128" s="95"/>
      <c r="AY1128" s="93"/>
    </row>
    <row r="1129" ht="15" spans="1:51">
      <c r="A1129" s="91"/>
      <c r="B1129" s="95"/>
      <c r="C1129" s="152" t="s">
        <v>1085</v>
      </c>
      <c r="D1129" s="153" t="s">
        <v>25</v>
      </c>
      <c r="E1129" s="130" t="s">
        <v>1086</v>
      </c>
      <c r="F1129" s="195" t="s">
        <v>1159</v>
      </c>
      <c r="G1129" s="195" t="s">
        <v>1159</v>
      </c>
      <c r="H1129" s="195" t="s">
        <v>1159</v>
      </c>
      <c r="I1129" s="195" t="s">
        <v>1159</v>
      </c>
      <c r="J1129" s="132">
        <v>0.9</v>
      </c>
      <c r="K1129" s="133">
        <v>0.84</v>
      </c>
      <c r="L1129" s="133">
        <v>0.814432989690722</v>
      </c>
      <c r="M1129" s="134">
        <v>0.815533980582524</v>
      </c>
      <c r="N1129" s="133">
        <v>0.828601472134595</v>
      </c>
      <c r="O1129" s="135">
        <v>0.9</v>
      </c>
      <c r="P1129" s="133">
        <v>0.922866092404072</v>
      </c>
      <c r="Q1129" s="133">
        <v>0.923336547733848</v>
      </c>
      <c r="R1129" s="133">
        <v>0.904213397999394</v>
      </c>
      <c r="S1129" s="133">
        <v>0.920515268773975</v>
      </c>
      <c r="T1129" s="135">
        <v>0.9</v>
      </c>
      <c r="U1129" s="133">
        <v>0.816953797963978</v>
      </c>
      <c r="V1129" s="133">
        <v>0.841128254580521</v>
      </c>
      <c r="W1129" s="133">
        <v>0.802212791755077</v>
      </c>
      <c r="X1129" s="133">
        <v>0.819438162721745</v>
      </c>
      <c r="Y1129" s="135">
        <v>0.92</v>
      </c>
      <c r="Z1129" s="135" t="s">
        <v>35</v>
      </c>
      <c r="AA1129" s="135" t="s">
        <v>35</v>
      </c>
      <c r="AB1129" s="135" t="s">
        <v>35</v>
      </c>
      <c r="AC1129" s="135" t="s">
        <v>35</v>
      </c>
      <c r="AD1129" s="135">
        <v>0.92</v>
      </c>
      <c r="AE1129" s="133">
        <v>0.998572448251249</v>
      </c>
      <c r="AF1129" s="133">
        <v>0.995620437956204</v>
      </c>
      <c r="AG1129" s="133">
        <v>0.998716302952503</v>
      </c>
      <c r="AH1129" s="133">
        <v>0.997923209401276</v>
      </c>
      <c r="AI1129" s="135">
        <v>0.92</v>
      </c>
      <c r="AJ1129" s="133">
        <v>0.908183241973375</v>
      </c>
      <c r="AK1129" s="133">
        <v>0.936837029893925</v>
      </c>
      <c r="AL1129" s="133">
        <v>0.945134889360412</v>
      </c>
      <c r="AM1129" s="133">
        <v>0.953263983114729</v>
      </c>
      <c r="AN1129" s="132">
        <v>0.99</v>
      </c>
      <c r="AO1129" s="137">
        <v>1</v>
      </c>
      <c r="AP1129" s="137">
        <v>1</v>
      </c>
      <c r="AQ1129" s="137">
        <v>1</v>
      </c>
      <c r="AR1129" s="137">
        <v>1</v>
      </c>
      <c r="AS1129" s="158">
        <v>0.0721861525408278</v>
      </c>
      <c r="AT1129" s="141">
        <v>0.0526315789473684</v>
      </c>
      <c r="AU1129" s="141">
        <v>0</v>
      </c>
      <c r="AV1129" s="141">
        <v>0</v>
      </c>
      <c r="AW1129" s="141">
        <v>0.083969465648855</v>
      </c>
      <c r="AX1129" s="95"/>
      <c r="AY1129" s="93"/>
    </row>
    <row r="1130" ht="15" spans="1:51">
      <c r="A1130" s="91"/>
      <c r="B1130" s="95"/>
      <c r="C1130" s="152" t="s">
        <v>1085</v>
      </c>
      <c r="D1130" s="153" t="s">
        <v>25</v>
      </c>
      <c r="E1130" s="130" t="s">
        <v>1086</v>
      </c>
      <c r="F1130" s="195" t="s">
        <v>1160</v>
      </c>
      <c r="G1130" s="195" t="s">
        <v>1160</v>
      </c>
      <c r="H1130" s="195" t="s">
        <v>1160</v>
      </c>
      <c r="I1130" s="195" t="s">
        <v>1160</v>
      </c>
      <c r="J1130" s="132">
        <v>0.9</v>
      </c>
      <c r="K1130" s="133">
        <v>0.926829268292683</v>
      </c>
      <c r="L1130" s="133">
        <v>0.945945945945946</v>
      </c>
      <c r="M1130" s="134">
        <v>0.95</v>
      </c>
      <c r="N1130" s="133">
        <v>0.926735218508997</v>
      </c>
      <c r="O1130" s="135">
        <v>0.9</v>
      </c>
      <c r="P1130" s="133">
        <v>0.978076062639821</v>
      </c>
      <c r="Q1130" s="133">
        <v>0.987143655673561</v>
      </c>
      <c r="R1130" s="133">
        <v>0.977705861201007</v>
      </c>
      <c r="S1130" s="133">
        <v>0.974983924163538</v>
      </c>
      <c r="T1130" s="135">
        <v>0.9</v>
      </c>
      <c r="U1130" s="133">
        <v>0.848322147651007</v>
      </c>
      <c r="V1130" s="133">
        <v>0.845723868082728</v>
      </c>
      <c r="W1130" s="133">
        <v>0.74829198130169</v>
      </c>
      <c r="X1130" s="133">
        <v>0.802526499201394</v>
      </c>
      <c r="Y1130" s="135">
        <v>0.92</v>
      </c>
      <c r="Z1130" s="135" t="s">
        <v>35</v>
      </c>
      <c r="AA1130" s="135" t="s">
        <v>35</v>
      </c>
      <c r="AB1130" s="135" t="s">
        <v>35</v>
      </c>
      <c r="AC1130" s="135" t="s">
        <v>35</v>
      </c>
      <c r="AD1130" s="135">
        <v>0.92</v>
      </c>
      <c r="AE1130" s="133">
        <v>1</v>
      </c>
      <c r="AF1130" s="133">
        <v>1</v>
      </c>
      <c r="AG1130" s="133">
        <v>1</v>
      </c>
      <c r="AH1130" s="133">
        <v>0.99796126401631</v>
      </c>
      <c r="AI1130" s="135">
        <v>0.92</v>
      </c>
      <c r="AJ1130" s="133">
        <v>0.94407158836689</v>
      </c>
      <c r="AK1130" s="133">
        <v>0.948015651201789</v>
      </c>
      <c r="AL1130" s="133">
        <v>0.937792161093132</v>
      </c>
      <c r="AM1130" s="133">
        <v>0.955817378497791</v>
      </c>
      <c r="AN1130" s="132">
        <v>0.99</v>
      </c>
      <c r="AO1130" s="137">
        <v>1</v>
      </c>
      <c r="AP1130" s="137">
        <v>1</v>
      </c>
      <c r="AQ1130" s="137">
        <v>1</v>
      </c>
      <c r="AR1130" s="137">
        <v>1</v>
      </c>
      <c r="AS1130" s="158">
        <v>0.0721861525408278</v>
      </c>
      <c r="AT1130" s="141">
        <v>0.166666666666667</v>
      </c>
      <c r="AU1130" s="141">
        <v>0</v>
      </c>
      <c r="AV1130" s="141">
        <v>0</v>
      </c>
      <c r="AW1130" s="141">
        <v>0.0833333333333333</v>
      </c>
      <c r="AX1130" s="95"/>
      <c r="AY1130" s="93"/>
    </row>
    <row r="1131" ht="15" spans="1:51">
      <c r="A1131" s="91"/>
      <c r="B1131" s="95"/>
      <c r="C1131" s="152" t="s">
        <v>1085</v>
      </c>
      <c r="D1131" s="153" t="s">
        <v>25</v>
      </c>
      <c r="E1131" s="130" t="s">
        <v>1086</v>
      </c>
      <c r="F1131" s="195" t="s">
        <v>1161</v>
      </c>
      <c r="G1131" s="195" t="s">
        <v>1161</v>
      </c>
      <c r="H1131" s="195" t="s">
        <v>1161</v>
      </c>
      <c r="I1131" s="195" t="s">
        <v>1161</v>
      </c>
      <c r="J1131" s="132">
        <v>0.9</v>
      </c>
      <c r="K1131" s="133">
        <v>0.928571428571429</v>
      </c>
      <c r="L1131" s="133">
        <v>0.740740740740741</v>
      </c>
      <c r="M1131" s="134">
        <v>0.8</v>
      </c>
      <c r="N1131" s="133">
        <v>0.899641577060932</v>
      </c>
      <c r="O1131" s="135">
        <v>0.9</v>
      </c>
      <c r="P1131" s="133">
        <v>0.985294117647059</v>
      </c>
      <c r="Q1131" s="133">
        <v>0.988700564971751</v>
      </c>
      <c r="R1131" s="133">
        <v>0.988631909055272</v>
      </c>
      <c r="S1131" s="133">
        <v>0.979421207012033</v>
      </c>
      <c r="T1131" s="135">
        <v>0.9</v>
      </c>
      <c r="U1131" s="133">
        <v>0.815415821501014</v>
      </c>
      <c r="V1131" s="133">
        <v>0.805398618957941</v>
      </c>
      <c r="W1131" s="133">
        <v>0.762446099568796</v>
      </c>
      <c r="X1131" s="133">
        <v>0.791625285816569</v>
      </c>
      <c r="Y1131" s="135">
        <v>0.92</v>
      </c>
      <c r="Z1131" s="135" t="s">
        <v>35</v>
      </c>
      <c r="AA1131" s="135" t="s">
        <v>35</v>
      </c>
      <c r="AB1131" s="135" t="s">
        <v>35</v>
      </c>
      <c r="AC1131" s="135" t="s">
        <v>35</v>
      </c>
      <c r="AD1131" s="135">
        <v>0.92</v>
      </c>
      <c r="AE1131" s="133">
        <v>1</v>
      </c>
      <c r="AF1131" s="133">
        <v>1</v>
      </c>
      <c r="AG1131" s="133">
        <v>1</v>
      </c>
      <c r="AH1131" s="133">
        <v>0.994202898550725</v>
      </c>
      <c r="AI1131" s="135">
        <v>0.92</v>
      </c>
      <c r="AJ1131" s="133">
        <v>0.928498985801217</v>
      </c>
      <c r="AK1131" s="133">
        <v>0.922787193973635</v>
      </c>
      <c r="AL1131" s="133">
        <v>0.950607604860839</v>
      </c>
      <c r="AM1131" s="133">
        <v>0.943714345104742</v>
      </c>
      <c r="AN1131" s="132">
        <v>0.99</v>
      </c>
      <c r="AO1131" s="137">
        <v>1</v>
      </c>
      <c r="AP1131" s="137">
        <v>1</v>
      </c>
      <c r="AQ1131" s="137">
        <v>1</v>
      </c>
      <c r="AR1131" s="137">
        <v>1</v>
      </c>
      <c r="AS1131" s="158">
        <v>0.0721861525408278</v>
      </c>
      <c r="AT1131" s="141">
        <v>0</v>
      </c>
      <c r="AU1131" s="141">
        <v>0.142857142857143</v>
      </c>
      <c r="AV1131" s="141">
        <v>0</v>
      </c>
      <c r="AW1131" s="141">
        <v>0.127906976744186</v>
      </c>
      <c r="AX1131" s="95"/>
      <c r="AY1131" s="93"/>
    </row>
    <row r="1132" ht="15" spans="1:51">
      <c r="A1132" s="91"/>
      <c r="B1132" s="95"/>
      <c r="C1132" s="152" t="s">
        <v>1085</v>
      </c>
      <c r="D1132" s="153" t="s">
        <v>25</v>
      </c>
      <c r="E1132" s="130" t="s">
        <v>1086</v>
      </c>
      <c r="F1132" s="195" t="s">
        <v>1162</v>
      </c>
      <c r="G1132" s="195" t="s">
        <v>1162</v>
      </c>
      <c r="H1132" s="195" t="s">
        <v>1162</v>
      </c>
      <c r="I1132" s="195" t="s">
        <v>1162</v>
      </c>
      <c r="J1132" s="132">
        <v>0.9</v>
      </c>
      <c r="K1132" s="133">
        <v>0.961538461538462</v>
      </c>
      <c r="L1132" s="133">
        <v>0.936507936507937</v>
      </c>
      <c r="M1132" s="134">
        <v>0.942028985507246</v>
      </c>
      <c r="N1132" s="133">
        <v>0.906873614190687</v>
      </c>
      <c r="O1132" s="135">
        <v>0.9</v>
      </c>
      <c r="P1132" s="133">
        <v>0.96754089846793</v>
      </c>
      <c r="Q1132" s="133">
        <v>0.943467336683417</v>
      </c>
      <c r="R1132" s="133">
        <v>0.977192657148155</v>
      </c>
      <c r="S1132" s="133">
        <v>0.915644934826591</v>
      </c>
      <c r="T1132" s="135">
        <v>0.9</v>
      </c>
      <c r="U1132" s="133">
        <v>0.888860036354194</v>
      </c>
      <c r="V1132" s="133">
        <v>0.882537688442211</v>
      </c>
      <c r="W1132" s="133">
        <v>0.843315408863341</v>
      </c>
      <c r="X1132" s="133">
        <v>0.829797348840809</v>
      </c>
      <c r="Y1132" s="135">
        <v>0.92</v>
      </c>
      <c r="Z1132" s="135" t="s">
        <v>35</v>
      </c>
      <c r="AA1132" s="135" t="s">
        <v>35</v>
      </c>
      <c r="AB1132" s="135" t="s">
        <v>35</v>
      </c>
      <c r="AC1132" s="135" t="s">
        <v>35</v>
      </c>
      <c r="AD1132" s="135">
        <v>0.92</v>
      </c>
      <c r="AE1132" s="133">
        <v>1</v>
      </c>
      <c r="AF1132" s="133">
        <v>0.998017839444995</v>
      </c>
      <c r="AG1132" s="133">
        <v>1</v>
      </c>
      <c r="AH1132" s="133">
        <v>0.998353457738749</v>
      </c>
      <c r="AI1132" s="135">
        <v>0.92</v>
      </c>
      <c r="AJ1132" s="133">
        <v>0.948065437548689</v>
      </c>
      <c r="AK1132" s="133">
        <v>0.960113065326633</v>
      </c>
      <c r="AL1132" s="133">
        <v>0.966258806080831</v>
      </c>
      <c r="AM1132" s="133">
        <v>0.960686330871622</v>
      </c>
      <c r="AN1132" s="132">
        <v>0.99</v>
      </c>
      <c r="AO1132" s="137">
        <v>1</v>
      </c>
      <c r="AP1132" s="137">
        <v>1</v>
      </c>
      <c r="AQ1132" s="137">
        <v>1</v>
      </c>
      <c r="AR1132" s="137">
        <v>1</v>
      </c>
      <c r="AS1132" s="158">
        <v>0.0721861525408278</v>
      </c>
      <c r="AT1132" s="141">
        <v>0</v>
      </c>
      <c r="AU1132" s="141">
        <v>0.0833333333333333</v>
      </c>
      <c r="AV1132" s="141">
        <v>0.0526315789473684</v>
      </c>
      <c r="AW1132" s="141">
        <v>0.0585774058577406</v>
      </c>
      <c r="AX1132" s="95"/>
      <c r="AY1132" s="93"/>
    </row>
    <row r="1133" ht="15" spans="1:51">
      <c r="A1133" s="91"/>
      <c r="B1133" s="95"/>
      <c r="C1133" s="152" t="s">
        <v>1085</v>
      </c>
      <c r="D1133" s="153" t="s">
        <v>25</v>
      </c>
      <c r="E1133" s="130" t="s">
        <v>1086</v>
      </c>
      <c r="F1133" s="195" t="s">
        <v>1163</v>
      </c>
      <c r="G1133" s="195" t="s">
        <v>1163</v>
      </c>
      <c r="H1133" s="195" t="s">
        <v>1163</v>
      </c>
      <c r="I1133" s="195" t="s">
        <v>1163</v>
      </c>
      <c r="J1133" s="132">
        <v>0.9</v>
      </c>
      <c r="K1133" s="133">
        <v>0.907407407407407</v>
      </c>
      <c r="L1133" s="133">
        <v>0.909090909090909</v>
      </c>
      <c r="M1133" s="134">
        <v>0.862745098039216</v>
      </c>
      <c r="N1133" s="133">
        <v>0.829568788501027</v>
      </c>
      <c r="O1133" s="135">
        <v>0.9</v>
      </c>
      <c r="P1133" s="133">
        <v>0.954853273137698</v>
      </c>
      <c r="Q1133" s="133">
        <v>0.974284679463962</v>
      </c>
      <c r="R1133" s="133">
        <v>0.928914906962158</v>
      </c>
      <c r="S1133" s="133">
        <v>0.910158164976649</v>
      </c>
      <c r="T1133" s="135">
        <v>0.9</v>
      </c>
      <c r="U1133" s="133">
        <v>0.803611738148984</v>
      </c>
      <c r="V1133" s="133">
        <v>0.794639623324882</v>
      </c>
      <c r="W1133" s="133">
        <v>0.715868701651683</v>
      </c>
      <c r="X1133" s="133">
        <v>0.739311608225611</v>
      </c>
      <c r="Y1133" s="135">
        <v>0.92</v>
      </c>
      <c r="Z1133" s="135" t="s">
        <v>35</v>
      </c>
      <c r="AA1133" s="135" t="s">
        <v>35</v>
      </c>
      <c r="AB1133" s="135" t="s">
        <v>35</v>
      </c>
      <c r="AC1133" s="135" t="s">
        <v>35</v>
      </c>
      <c r="AD1133" s="135">
        <v>0.92</v>
      </c>
      <c r="AE1133" s="133">
        <v>1</v>
      </c>
      <c r="AF1133" s="133">
        <v>0.990476190476191</v>
      </c>
      <c r="AG1133" s="133">
        <v>1</v>
      </c>
      <c r="AH1133" s="133">
        <v>0.996268656716418</v>
      </c>
      <c r="AI1133" s="135">
        <v>0.92</v>
      </c>
      <c r="AJ1133" s="133">
        <v>0.90744920993228</v>
      </c>
      <c r="AK1133" s="133">
        <v>0.901847156827236</v>
      </c>
      <c r="AL1133" s="133">
        <v>0.915534183566799</v>
      </c>
      <c r="AM1133" s="133">
        <v>0.936179270841396</v>
      </c>
      <c r="AN1133" s="132">
        <v>0.99</v>
      </c>
      <c r="AO1133" s="137">
        <v>1</v>
      </c>
      <c r="AP1133" s="137">
        <v>1</v>
      </c>
      <c r="AQ1133" s="137">
        <v>1</v>
      </c>
      <c r="AR1133" s="137">
        <v>1</v>
      </c>
      <c r="AS1133" s="158">
        <v>0.0721861525408278</v>
      </c>
      <c r="AT1133" s="141">
        <v>0.285714285714286</v>
      </c>
      <c r="AU1133" s="141">
        <v>0.125</v>
      </c>
      <c r="AV1133" s="141">
        <v>0.133333333333333</v>
      </c>
      <c r="AW1133" s="141">
        <v>0.0961538461538462</v>
      </c>
      <c r="AX1133" s="95"/>
      <c r="AY1133" s="93"/>
    </row>
    <row r="1134" ht="15" spans="1:51">
      <c r="A1134" s="91"/>
      <c r="B1134" s="95"/>
      <c r="C1134" s="152" t="s">
        <v>1085</v>
      </c>
      <c r="D1134" s="153" t="s">
        <v>25</v>
      </c>
      <c r="E1134" s="130" t="s">
        <v>1086</v>
      </c>
      <c r="F1134" s="195" t="s">
        <v>1164</v>
      </c>
      <c r="G1134" s="195" t="s">
        <v>1164</v>
      </c>
      <c r="H1134" s="195" t="s">
        <v>1164</v>
      </c>
      <c r="I1134" s="195" t="s">
        <v>1164</v>
      </c>
      <c r="J1134" s="132">
        <v>0.9</v>
      </c>
      <c r="K1134" s="133">
        <v>0.88</v>
      </c>
      <c r="L1134" s="133">
        <v>0.891891891891892</v>
      </c>
      <c r="M1134" s="134">
        <v>0.875</v>
      </c>
      <c r="N1134" s="133">
        <v>0.83617747440273</v>
      </c>
      <c r="O1134" s="135">
        <v>0.9</v>
      </c>
      <c r="P1134" s="133">
        <v>0.965315666406859</v>
      </c>
      <c r="Q1134" s="133">
        <v>0.970009372071228</v>
      </c>
      <c r="R1134" s="133">
        <v>0.971010413734872</v>
      </c>
      <c r="S1134" s="133">
        <v>0.973719294737193</v>
      </c>
      <c r="T1134" s="135">
        <v>0.9</v>
      </c>
      <c r="U1134" s="133">
        <v>0.871005455962588</v>
      </c>
      <c r="V1134" s="133">
        <v>0.872539831302718</v>
      </c>
      <c r="W1134" s="133">
        <v>0.808330987897551</v>
      </c>
      <c r="X1134" s="133">
        <v>0.855664433556644</v>
      </c>
      <c r="Y1134" s="135">
        <v>0.92</v>
      </c>
      <c r="Z1134" s="135" t="s">
        <v>35</v>
      </c>
      <c r="AA1134" s="135" t="s">
        <v>35</v>
      </c>
      <c r="AB1134" s="135" t="s">
        <v>35</v>
      </c>
      <c r="AC1134" s="135" t="s">
        <v>35</v>
      </c>
      <c r="AD1134" s="135">
        <v>0.92</v>
      </c>
      <c r="AE1134" s="133">
        <v>0.999188640973631</v>
      </c>
      <c r="AF1134" s="133">
        <v>0.99825378346915</v>
      </c>
      <c r="AG1134" s="133">
        <v>0.996074380165289</v>
      </c>
      <c r="AH1134" s="133">
        <v>0.997376333942574</v>
      </c>
      <c r="AI1134" s="135">
        <v>0.92</v>
      </c>
      <c r="AJ1134" s="133">
        <v>0.947388932190179</v>
      </c>
      <c r="AK1134" s="133">
        <v>0.936738519212746</v>
      </c>
      <c r="AL1134" s="133">
        <v>0.953278919223192</v>
      </c>
      <c r="AM1134" s="133">
        <v>0.965603439656034</v>
      </c>
      <c r="AN1134" s="132">
        <v>0.99</v>
      </c>
      <c r="AO1134" s="137">
        <v>1</v>
      </c>
      <c r="AP1134" s="137">
        <v>1</v>
      </c>
      <c r="AQ1134" s="137">
        <v>1</v>
      </c>
      <c r="AR1134" s="137">
        <v>1</v>
      </c>
      <c r="AS1134" s="158">
        <v>0.0721861525408278</v>
      </c>
      <c r="AT1134" s="141">
        <v>0</v>
      </c>
      <c r="AU1134" s="141">
        <v>0</v>
      </c>
      <c r="AV1134" s="141">
        <v>0</v>
      </c>
      <c r="AW1134" s="141">
        <v>0.0454545454545455</v>
      </c>
      <c r="AX1134" s="95"/>
      <c r="AY1134" s="93"/>
    </row>
    <row r="1135" ht="15" spans="1:51">
      <c r="A1135" s="91"/>
      <c r="B1135" s="95"/>
      <c r="C1135" s="152" t="s">
        <v>1085</v>
      </c>
      <c r="D1135" s="153" t="s">
        <v>25</v>
      </c>
      <c r="E1135" s="130" t="s">
        <v>1086</v>
      </c>
      <c r="F1135" s="195" t="s">
        <v>1165</v>
      </c>
      <c r="G1135" s="195" t="s">
        <v>1165</v>
      </c>
      <c r="H1135" s="195" t="s">
        <v>1165</v>
      </c>
      <c r="I1135" s="195" t="s">
        <v>1165</v>
      </c>
      <c r="J1135" s="132">
        <v>0.9</v>
      </c>
      <c r="K1135" s="133">
        <v>0.862068965517241</v>
      </c>
      <c r="L1135" s="133">
        <v>0.9</v>
      </c>
      <c r="M1135" s="134">
        <v>0.9</v>
      </c>
      <c r="N1135" s="133">
        <v>0.902527075812274</v>
      </c>
      <c r="O1135" s="135">
        <v>0.9</v>
      </c>
      <c r="P1135" s="133">
        <v>0.981115502854633</v>
      </c>
      <c r="Q1135" s="133">
        <v>0.994050838290968</v>
      </c>
      <c r="R1135" s="133">
        <v>0.958806818181818</v>
      </c>
      <c r="S1135" s="133">
        <v>0.979202489150905</v>
      </c>
      <c r="T1135" s="135">
        <v>0.9</v>
      </c>
      <c r="U1135" s="133">
        <v>0.849363197189284</v>
      </c>
      <c r="V1135" s="133">
        <v>0.899945916711736</v>
      </c>
      <c r="W1135" s="133">
        <v>0.787642045454545</v>
      </c>
      <c r="X1135" s="133">
        <v>0.826946696143454</v>
      </c>
      <c r="Y1135" s="135">
        <v>0.92</v>
      </c>
      <c r="Z1135" s="135" t="s">
        <v>35</v>
      </c>
      <c r="AA1135" s="135" t="s">
        <v>35</v>
      </c>
      <c r="AB1135" s="135" t="s">
        <v>35</v>
      </c>
      <c r="AC1135" s="135">
        <v>0.5</v>
      </c>
      <c r="AD1135" s="135">
        <v>0.92</v>
      </c>
      <c r="AE1135" s="133">
        <v>1</v>
      </c>
      <c r="AF1135" s="133">
        <v>0.991525423728814</v>
      </c>
      <c r="AG1135" s="133">
        <v>1</v>
      </c>
      <c r="AH1135" s="133">
        <v>0.998618148318747</v>
      </c>
      <c r="AI1135" s="135">
        <v>0.92</v>
      </c>
      <c r="AJ1135" s="133">
        <v>0.925340360122969</v>
      </c>
      <c r="AK1135" s="133">
        <v>0.951325040562466</v>
      </c>
      <c r="AL1135" s="133">
        <v>0.942116477272727</v>
      </c>
      <c r="AM1135" s="133">
        <v>0.950587464690711</v>
      </c>
      <c r="AN1135" s="132">
        <v>0.99</v>
      </c>
      <c r="AO1135" s="137">
        <v>1</v>
      </c>
      <c r="AP1135" s="137">
        <v>1</v>
      </c>
      <c r="AQ1135" s="137">
        <v>1</v>
      </c>
      <c r="AR1135" s="137">
        <v>1</v>
      </c>
      <c r="AS1135" s="158">
        <v>0.0721861525408278</v>
      </c>
      <c r="AT1135" s="141">
        <v>0</v>
      </c>
      <c r="AU1135" s="141">
        <v>0</v>
      </c>
      <c r="AV1135" s="141">
        <v>0</v>
      </c>
      <c r="AW1135" s="141">
        <v>0.0892857142857143</v>
      </c>
      <c r="AX1135" s="95"/>
      <c r="AY1135" s="93"/>
    </row>
    <row r="1136" ht="15" spans="1:51">
      <c r="A1136" s="91"/>
      <c r="B1136" s="95"/>
      <c r="C1136" s="152" t="s">
        <v>1085</v>
      </c>
      <c r="D1136" s="153" t="s">
        <v>25</v>
      </c>
      <c r="E1136" s="130" t="s">
        <v>1086</v>
      </c>
      <c r="F1136" s="195" t="s">
        <v>1166</v>
      </c>
      <c r="G1136" s="195" t="s">
        <v>1166</v>
      </c>
      <c r="H1136" s="195" t="s">
        <v>1166</v>
      </c>
      <c r="I1136" s="195" t="s">
        <v>1166</v>
      </c>
      <c r="J1136" s="132">
        <v>0.9</v>
      </c>
      <c r="K1136" s="133">
        <v>0.952380952380952</v>
      </c>
      <c r="L1136" s="133">
        <v>0.894736842105263</v>
      </c>
      <c r="M1136" s="134">
        <v>0.952380952380952</v>
      </c>
      <c r="N1136" s="133">
        <v>0.848780487804878</v>
      </c>
      <c r="O1136" s="135">
        <v>0.9</v>
      </c>
      <c r="P1136" s="133">
        <v>0.985601151907847</v>
      </c>
      <c r="Q1136" s="133">
        <v>0.980357142857143</v>
      </c>
      <c r="R1136" s="133">
        <v>0.988721804511278</v>
      </c>
      <c r="S1136" s="133">
        <v>0.98095362337747</v>
      </c>
      <c r="T1136" s="135">
        <v>0.9</v>
      </c>
      <c r="U1136" s="133">
        <v>0.866810655147588</v>
      </c>
      <c r="V1136" s="133">
        <v>0.875892857142857</v>
      </c>
      <c r="W1136" s="133">
        <v>0.843716433941998</v>
      </c>
      <c r="X1136" s="133">
        <v>0.872839345117735</v>
      </c>
      <c r="Y1136" s="135">
        <v>0.92</v>
      </c>
      <c r="Z1136" s="135" t="s">
        <v>35</v>
      </c>
      <c r="AA1136" s="135" t="s">
        <v>35</v>
      </c>
      <c r="AB1136" s="135" t="s">
        <v>35</v>
      </c>
      <c r="AC1136" s="135" t="s">
        <v>35</v>
      </c>
      <c r="AD1136" s="135">
        <v>0.92</v>
      </c>
      <c r="AE1136" s="133">
        <v>1</v>
      </c>
      <c r="AF1136" s="133">
        <v>1</v>
      </c>
      <c r="AG1136" s="133">
        <v>1</v>
      </c>
      <c r="AH1136" s="133">
        <v>1</v>
      </c>
      <c r="AI1136" s="135">
        <v>0.92</v>
      </c>
      <c r="AJ1136" s="133">
        <v>0.917206623470122</v>
      </c>
      <c r="AK1136" s="133">
        <v>0.939285714285714</v>
      </c>
      <c r="AL1136" s="133">
        <v>0.945757250268528</v>
      </c>
      <c r="AM1136" s="133">
        <v>0.953264627225882</v>
      </c>
      <c r="AN1136" s="132">
        <v>0.99</v>
      </c>
      <c r="AO1136" s="137">
        <v>1</v>
      </c>
      <c r="AP1136" s="137">
        <v>1</v>
      </c>
      <c r="AQ1136" s="137">
        <v>1</v>
      </c>
      <c r="AR1136" s="137">
        <v>1</v>
      </c>
      <c r="AS1136" s="158">
        <v>0.0721861525408278</v>
      </c>
      <c r="AT1136" s="141">
        <v>0</v>
      </c>
      <c r="AU1136" s="141">
        <v>1</v>
      </c>
      <c r="AV1136" s="141" t="s">
        <v>35</v>
      </c>
      <c r="AW1136" s="141">
        <v>0.135802469135802</v>
      </c>
      <c r="AX1136" s="95"/>
      <c r="AY1136" s="93"/>
    </row>
    <row r="1137" ht="15" spans="1:51">
      <c r="A1137" s="91"/>
      <c r="B1137" s="95"/>
      <c r="C1137" s="152" t="s">
        <v>1085</v>
      </c>
      <c r="D1137" s="153" t="s">
        <v>25</v>
      </c>
      <c r="E1137" s="130" t="s">
        <v>1086</v>
      </c>
      <c r="F1137" s="195" t="s">
        <v>1167</v>
      </c>
      <c r="G1137" s="195" t="s">
        <v>1167</v>
      </c>
      <c r="H1137" s="195" t="s">
        <v>1167</v>
      </c>
      <c r="I1137" s="195" t="s">
        <v>1167</v>
      </c>
      <c r="J1137" s="132">
        <v>0.9</v>
      </c>
      <c r="K1137" s="133">
        <v>0.935483870967742</v>
      </c>
      <c r="L1137" s="133">
        <v>0.8</v>
      </c>
      <c r="M1137" s="134">
        <v>0.733333333333333</v>
      </c>
      <c r="N1137" s="133">
        <v>0.804270462633452</v>
      </c>
      <c r="O1137" s="135">
        <v>0.9</v>
      </c>
      <c r="P1137" s="133">
        <v>0.989574645537948</v>
      </c>
      <c r="Q1137" s="133">
        <v>0.983417085427136</v>
      </c>
      <c r="R1137" s="133">
        <v>0.983870967741935</v>
      </c>
      <c r="S1137" s="133">
        <v>0.947189584562834</v>
      </c>
      <c r="T1137" s="135">
        <v>0.9</v>
      </c>
      <c r="U1137" s="133">
        <v>0.881150959132611</v>
      </c>
      <c r="V1137" s="133">
        <v>0.844723618090452</v>
      </c>
      <c r="W1137" s="133">
        <v>0.830024813895782</v>
      </c>
      <c r="X1137" s="133">
        <v>0.823631453761826</v>
      </c>
      <c r="Y1137" s="135">
        <v>0.92</v>
      </c>
      <c r="Z1137" s="135" t="s">
        <v>35</v>
      </c>
      <c r="AA1137" s="135" t="s">
        <v>35</v>
      </c>
      <c r="AB1137" s="135" t="s">
        <v>35</v>
      </c>
      <c r="AC1137" s="135" t="s">
        <v>35</v>
      </c>
      <c r="AD1137" s="135">
        <v>0.92</v>
      </c>
      <c r="AE1137" s="133">
        <v>0.987089201877934</v>
      </c>
      <c r="AF1137" s="133">
        <v>0.984815618221258</v>
      </c>
      <c r="AG1137" s="133">
        <v>1</v>
      </c>
      <c r="AH1137" s="133">
        <v>0.901090230956821</v>
      </c>
      <c r="AI1137" s="135">
        <v>0.92</v>
      </c>
      <c r="AJ1137" s="133">
        <v>0.95371142618849</v>
      </c>
      <c r="AK1137" s="133">
        <v>0.953768844221106</v>
      </c>
      <c r="AL1137" s="133">
        <v>0.96681141439206</v>
      </c>
      <c r="AM1137" s="133">
        <v>0.952787166693492</v>
      </c>
      <c r="AN1137" s="132">
        <v>0.99</v>
      </c>
      <c r="AO1137" s="137">
        <v>1</v>
      </c>
      <c r="AP1137" s="137">
        <v>1</v>
      </c>
      <c r="AQ1137" s="137">
        <v>1</v>
      </c>
      <c r="AR1137" s="137">
        <v>1</v>
      </c>
      <c r="AS1137" s="158">
        <v>0.0721861525408278</v>
      </c>
      <c r="AT1137" s="141">
        <v>0.125</v>
      </c>
      <c r="AU1137" s="141">
        <v>0.25</v>
      </c>
      <c r="AV1137" s="141">
        <v>0</v>
      </c>
      <c r="AW1137" s="141">
        <v>0.13953488372093</v>
      </c>
      <c r="AX1137" s="95"/>
      <c r="AY1137" s="93"/>
    </row>
    <row r="1138" ht="15" spans="1:51">
      <c r="A1138" s="91"/>
      <c r="B1138" s="95"/>
      <c r="C1138" s="152" t="s">
        <v>1085</v>
      </c>
      <c r="D1138" s="153" t="s">
        <v>25</v>
      </c>
      <c r="E1138" s="130" t="s">
        <v>1086</v>
      </c>
      <c r="F1138" s="195" t="s">
        <v>1168</v>
      </c>
      <c r="G1138" s="195" t="s">
        <v>1168</v>
      </c>
      <c r="H1138" s="195" t="s">
        <v>1168</v>
      </c>
      <c r="I1138" s="195" t="s">
        <v>1168</v>
      </c>
      <c r="J1138" s="132">
        <v>0.9</v>
      </c>
      <c r="K1138" s="133">
        <v>0.925925925925926</v>
      </c>
      <c r="L1138" s="133">
        <v>0.84</v>
      </c>
      <c r="M1138" s="134">
        <v>0.807692307692308</v>
      </c>
      <c r="N1138" s="133">
        <v>0.853413654618474</v>
      </c>
      <c r="O1138" s="135">
        <v>0.9</v>
      </c>
      <c r="P1138" s="133">
        <v>0.980359147025814</v>
      </c>
      <c r="Q1138" s="133">
        <v>0.946801346801347</v>
      </c>
      <c r="R1138" s="133">
        <v>0.904581757040773</v>
      </c>
      <c r="S1138" s="133">
        <v>0.939554324437959</v>
      </c>
      <c r="T1138" s="135">
        <v>0.9</v>
      </c>
      <c r="U1138" s="133">
        <v>0.888888888888889</v>
      </c>
      <c r="V1138" s="133">
        <v>0.875420875420875</v>
      </c>
      <c r="W1138" s="133">
        <v>0.782681799075242</v>
      </c>
      <c r="X1138" s="133">
        <v>0.826033190710558</v>
      </c>
      <c r="Y1138" s="135">
        <v>0.92</v>
      </c>
      <c r="Z1138" s="135" t="s">
        <v>35</v>
      </c>
      <c r="AA1138" s="135" t="s">
        <v>35</v>
      </c>
      <c r="AB1138" s="135" t="s">
        <v>35</v>
      </c>
      <c r="AC1138" s="135" t="s">
        <v>35</v>
      </c>
      <c r="AD1138" s="135">
        <v>0.92</v>
      </c>
      <c r="AE1138" s="133">
        <v>1</v>
      </c>
      <c r="AF1138" s="133">
        <v>0.966153846153846</v>
      </c>
      <c r="AG1138" s="133">
        <v>1</v>
      </c>
      <c r="AH1138" s="133">
        <v>0.960263808738664</v>
      </c>
      <c r="AI1138" s="135">
        <v>0.92</v>
      </c>
      <c r="AJ1138" s="133">
        <v>0.927609427609428</v>
      </c>
      <c r="AK1138" s="133">
        <v>0.935353535353535</v>
      </c>
      <c r="AL1138" s="133">
        <v>0.957124842370744</v>
      </c>
      <c r="AM1138" s="133">
        <v>0.944426582247174</v>
      </c>
      <c r="AN1138" s="132">
        <v>0.99</v>
      </c>
      <c r="AO1138" s="137">
        <v>1</v>
      </c>
      <c r="AP1138" s="137">
        <v>1</v>
      </c>
      <c r="AQ1138" s="137">
        <v>1</v>
      </c>
      <c r="AR1138" s="137">
        <v>1</v>
      </c>
      <c r="AS1138" s="158">
        <v>0.0721861525408278</v>
      </c>
      <c r="AT1138" s="141">
        <v>0</v>
      </c>
      <c r="AU1138" s="141">
        <v>0</v>
      </c>
      <c r="AV1138" s="141">
        <v>0</v>
      </c>
      <c r="AW1138" s="141">
        <v>0.101449275362319</v>
      </c>
      <c r="AX1138" s="95"/>
      <c r="AY1138" s="93"/>
    </row>
    <row r="1139" ht="15" spans="1:51">
      <c r="A1139" s="91"/>
      <c r="B1139" s="95"/>
      <c r="C1139" s="152" t="s">
        <v>1085</v>
      </c>
      <c r="D1139" s="153" t="s">
        <v>25</v>
      </c>
      <c r="E1139" s="130" t="s">
        <v>1086</v>
      </c>
      <c r="F1139" s="195" t="s">
        <v>1169</v>
      </c>
      <c r="G1139" s="195" t="s">
        <v>1169</v>
      </c>
      <c r="H1139" s="195" t="s">
        <v>1169</v>
      </c>
      <c r="I1139" s="195" t="s">
        <v>1169</v>
      </c>
      <c r="J1139" s="132">
        <v>0.9</v>
      </c>
      <c r="K1139" s="133">
        <v>0.947368421052632</v>
      </c>
      <c r="L1139" s="133">
        <v>0.888888888888889</v>
      </c>
      <c r="M1139" s="134">
        <v>0.833333333333333</v>
      </c>
      <c r="N1139" s="133">
        <v>0.830028328611898</v>
      </c>
      <c r="O1139" s="135">
        <v>0.9</v>
      </c>
      <c r="P1139" s="133">
        <v>0.987223168654174</v>
      </c>
      <c r="Q1139" s="133">
        <v>0.949290060851927</v>
      </c>
      <c r="R1139" s="133">
        <v>0.819920844327177</v>
      </c>
      <c r="S1139" s="133">
        <v>0.949737547675692</v>
      </c>
      <c r="T1139" s="135">
        <v>0.9</v>
      </c>
      <c r="U1139" s="133">
        <v>0.796422487223169</v>
      </c>
      <c r="V1139" s="133">
        <v>0.725152129817444</v>
      </c>
      <c r="W1139" s="133">
        <v>0.618733509234829</v>
      </c>
      <c r="X1139" s="133">
        <v>0.681054340848155</v>
      </c>
      <c r="Y1139" s="135">
        <v>0.92</v>
      </c>
      <c r="Z1139" s="135">
        <v>0</v>
      </c>
      <c r="AA1139" s="135" t="s">
        <v>35</v>
      </c>
      <c r="AB1139" s="135" t="s">
        <v>35</v>
      </c>
      <c r="AC1139" s="135">
        <v>0.5</v>
      </c>
      <c r="AD1139" s="135">
        <v>0.92</v>
      </c>
      <c r="AE1139" s="133">
        <v>1</v>
      </c>
      <c r="AF1139" s="133">
        <v>1</v>
      </c>
      <c r="AG1139" s="133">
        <v>1</v>
      </c>
      <c r="AH1139" s="133">
        <v>0.993527508090615</v>
      </c>
      <c r="AI1139" s="135">
        <v>0.92</v>
      </c>
      <c r="AJ1139" s="133">
        <v>0.936170212765957</v>
      </c>
      <c r="AK1139" s="133">
        <v>0.933062880324544</v>
      </c>
      <c r="AL1139" s="133">
        <v>0.936015831134565</v>
      </c>
      <c r="AM1139" s="133">
        <v>0.945285654948458</v>
      </c>
      <c r="AN1139" s="132">
        <v>0.99</v>
      </c>
      <c r="AO1139" s="137" t="s">
        <v>35</v>
      </c>
      <c r="AP1139" s="137">
        <v>1</v>
      </c>
      <c r="AQ1139" s="137" t="s">
        <v>35</v>
      </c>
      <c r="AR1139" s="137">
        <v>1</v>
      </c>
      <c r="AS1139" s="158">
        <v>0.0721861525408278</v>
      </c>
      <c r="AT1139" s="141">
        <v>0.166666666666667</v>
      </c>
      <c r="AU1139" s="141">
        <v>0</v>
      </c>
      <c r="AV1139" s="141">
        <v>0</v>
      </c>
      <c r="AW1139" s="141">
        <v>0.0891089108910891</v>
      </c>
      <c r="AX1139" s="95"/>
      <c r="AY1139" s="93"/>
    </row>
    <row r="1140" ht="15" spans="1:51">
      <c r="A1140" s="91"/>
      <c r="B1140" s="95"/>
      <c r="C1140" s="152" t="s">
        <v>1085</v>
      </c>
      <c r="D1140" s="153" t="s">
        <v>25</v>
      </c>
      <c r="E1140" s="130" t="s">
        <v>1086</v>
      </c>
      <c r="F1140" s="195" t="s">
        <v>1170</v>
      </c>
      <c r="G1140" s="195" t="s">
        <v>1170</v>
      </c>
      <c r="H1140" s="195" t="s">
        <v>1170</v>
      </c>
      <c r="I1140" s="195" t="s">
        <v>1170</v>
      </c>
      <c r="J1140" s="132">
        <v>0.9</v>
      </c>
      <c r="K1140" s="133">
        <v>0.736842105263158</v>
      </c>
      <c r="L1140" s="133">
        <v>0.785714285714286</v>
      </c>
      <c r="M1140" s="134">
        <v>1</v>
      </c>
      <c r="N1140" s="133">
        <v>0.926517571884984</v>
      </c>
      <c r="O1140" s="135">
        <v>0.9</v>
      </c>
      <c r="P1140" s="133">
        <v>0.984819734345351</v>
      </c>
      <c r="Q1140" s="133">
        <v>0.988157894736842</v>
      </c>
      <c r="R1140" s="133">
        <v>0.974015748031496</v>
      </c>
      <c r="S1140" s="133">
        <v>0.972833857592222</v>
      </c>
      <c r="T1140" s="135">
        <v>0.9</v>
      </c>
      <c r="U1140" s="133">
        <v>0.956356736242884</v>
      </c>
      <c r="V1140" s="133">
        <v>0.972368421052632</v>
      </c>
      <c r="W1140" s="133">
        <v>0.969291338582677</v>
      </c>
      <c r="X1140" s="133">
        <v>0.960374198292414</v>
      </c>
      <c r="Y1140" s="135">
        <v>0.92</v>
      </c>
      <c r="Z1140" s="135">
        <v>0.979591836734694</v>
      </c>
      <c r="AA1140" s="135">
        <v>0.985148514851485</v>
      </c>
      <c r="AB1140" s="135">
        <v>0.950310559006211</v>
      </c>
      <c r="AC1140" s="135">
        <v>0.967849223946785</v>
      </c>
      <c r="AD1140" s="135">
        <v>0.92</v>
      </c>
      <c r="AE1140" s="133">
        <v>0.99942627653471</v>
      </c>
      <c r="AF1140" s="133">
        <v>0.99708963911525</v>
      </c>
      <c r="AG1140" s="133">
        <v>0.998976458546571</v>
      </c>
      <c r="AH1140" s="133">
        <v>0.998355682816885</v>
      </c>
      <c r="AI1140" s="135">
        <v>0.92</v>
      </c>
      <c r="AJ1140" s="133">
        <v>0.972</v>
      </c>
      <c r="AK1140" s="133">
        <v>0.988565488565489</v>
      </c>
      <c r="AL1140" s="133">
        <v>0.987421383647799</v>
      </c>
      <c r="AM1140" s="133">
        <v>0.98298341802621</v>
      </c>
      <c r="AN1140" s="132">
        <v>0.99</v>
      </c>
      <c r="AO1140" s="137">
        <v>1</v>
      </c>
      <c r="AP1140" s="137">
        <v>1</v>
      </c>
      <c r="AQ1140" s="137">
        <v>1</v>
      </c>
      <c r="AR1140" s="137">
        <v>1</v>
      </c>
      <c r="AS1140" s="158">
        <v>0.0721861525408278</v>
      </c>
      <c r="AT1140" s="141">
        <v>0</v>
      </c>
      <c r="AU1140" s="141">
        <v>0</v>
      </c>
      <c r="AV1140" s="141">
        <v>0.166666666666667</v>
      </c>
      <c r="AW1140" s="141">
        <v>0.0348837209302326</v>
      </c>
      <c r="AX1140" s="95"/>
      <c r="AY1140" s="93"/>
    </row>
    <row r="1141" ht="15" spans="1:51">
      <c r="A1141" s="91"/>
      <c r="B1141" s="95"/>
      <c r="C1141" s="152" t="s">
        <v>1085</v>
      </c>
      <c r="D1141" s="153" t="s">
        <v>25</v>
      </c>
      <c r="E1141" s="130" t="s">
        <v>1086</v>
      </c>
      <c r="F1141" s="195" t="s">
        <v>1171</v>
      </c>
      <c r="G1141" s="195" t="s">
        <v>1171</v>
      </c>
      <c r="H1141" s="195" t="s">
        <v>1171</v>
      </c>
      <c r="I1141" s="195" t="s">
        <v>1171</v>
      </c>
      <c r="J1141" s="132">
        <v>0.9</v>
      </c>
      <c r="K1141" s="133">
        <v>0.974683544303797</v>
      </c>
      <c r="L1141" s="133">
        <v>0.918032786885246</v>
      </c>
      <c r="M1141" s="134">
        <v>0.983606557377049</v>
      </c>
      <c r="N1141" s="133">
        <v>0.963405526512323</v>
      </c>
      <c r="O1141" s="135">
        <v>0.9</v>
      </c>
      <c r="P1141" s="133">
        <v>0.975690048113446</v>
      </c>
      <c r="Q1141" s="133">
        <v>0.966167859466493</v>
      </c>
      <c r="R1141" s="133">
        <v>0.960408684546616</v>
      </c>
      <c r="S1141" s="133">
        <v>0.968858993522671</v>
      </c>
      <c r="T1141" s="135">
        <v>0.9</v>
      </c>
      <c r="U1141" s="133">
        <v>0.927323373005824</v>
      </c>
      <c r="V1141" s="133">
        <v>0.94242029928432</v>
      </c>
      <c r="W1141" s="133">
        <v>0.918688803746275</v>
      </c>
      <c r="X1141" s="133">
        <v>0.936818959727909</v>
      </c>
      <c r="Y1141" s="135">
        <v>0.92</v>
      </c>
      <c r="Z1141" s="135">
        <v>0.945278022947926</v>
      </c>
      <c r="AA1141" s="135">
        <v>0.963983050847458</v>
      </c>
      <c r="AB1141" s="135">
        <v>0.963788300835655</v>
      </c>
      <c r="AC1141" s="135">
        <v>0.956732098424108</v>
      </c>
      <c r="AD1141" s="135">
        <v>0.92</v>
      </c>
      <c r="AE1141" s="133">
        <v>0.999787820920857</v>
      </c>
      <c r="AF1141" s="133">
        <v>0.997813012575178</v>
      </c>
      <c r="AG1141" s="133">
        <v>0.996805111821086</v>
      </c>
      <c r="AH1141" s="133">
        <v>0.997983225558615</v>
      </c>
      <c r="AI1141" s="135">
        <v>0.92</v>
      </c>
      <c r="AJ1141" s="133">
        <v>0.968516332152696</v>
      </c>
      <c r="AK1141" s="133">
        <v>0.972374315579891</v>
      </c>
      <c r="AL1141" s="133">
        <v>0.97562776957164</v>
      </c>
      <c r="AM1141" s="133">
        <v>0.976049952205141</v>
      </c>
      <c r="AN1141" s="132">
        <v>0.99</v>
      </c>
      <c r="AO1141" s="137">
        <v>1</v>
      </c>
      <c r="AP1141" s="137">
        <v>1</v>
      </c>
      <c r="AQ1141" s="137">
        <v>1</v>
      </c>
      <c r="AR1141" s="137">
        <v>1</v>
      </c>
      <c r="AS1141" s="158">
        <v>0.0721861525408278</v>
      </c>
      <c r="AT1141" s="141">
        <v>0</v>
      </c>
      <c r="AU1141" s="141">
        <v>0</v>
      </c>
      <c r="AV1141" s="141">
        <v>0.0434782608695652</v>
      </c>
      <c r="AW1141" s="141">
        <v>0.0134048257372654</v>
      </c>
      <c r="AX1141" s="95"/>
      <c r="AY1141" s="93"/>
    </row>
    <row r="1142" ht="15" spans="1:51">
      <c r="A1142" s="91"/>
      <c r="B1142" s="95"/>
      <c r="C1142" s="152" t="s">
        <v>1085</v>
      </c>
      <c r="D1142" s="153" t="s">
        <v>25</v>
      </c>
      <c r="E1142" s="130" t="s">
        <v>1086</v>
      </c>
      <c r="F1142" s="195" t="s">
        <v>1172</v>
      </c>
      <c r="G1142" s="195" t="s">
        <v>1172</v>
      </c>
      <c r="H1142" s="195" t="s">
        <v>1172</v>
      </c>
      <c r="I1142" s="195" t="s">
        <v>1172</v>
      </c>
      <c r="J1142" s="132">
        <v>0.9</v>
      </c>
      <c r="K1142" s="133">
        <v>0.987179487179487</v>
      </c>
      <c r="L1142" s="133">
        <v>0.967741935483871</v>
      </c>
      <c r="M1142" s="134">
        <v>0.971014492753623</v>
      </c>
      <c r="N1142" s="133">
        <v>0.963442498095963</v>
      </c>
      <c r="O1142" s="135">
        <v>0.9</v>
      </c>
      <c r="P1142" s="133">
        <v>0.986652314316469</v>
      </c>
      <c r="Q1142" s="133">
        <v>0.991242474001095</v>
      </c>
      <c r="R1142" s="133">
        <v>0.988626572462519</v>
      </c>
      <c r="S1142" s="133">
        <v>0.970282658517953</v>
      </c>
      <c r="T1142" s="135">
        <v>0.9</v>
      </c>
      <c r="U1142" s="133">
        <v>0.956942949407966</v>
      </c>
      <c r="V1142" s="133">
        <v>0.951559934318555</v>
      </c>
      <c r="W1142" s="133">
        <v>0.952438393934172</v>
      </c>
      <c r="X1142" s="133">
        <v>0.938120702826585</v>
      </c>
      <c r="Y1142" s="135">
        <v>0.92</v>
      </c>
      <c r="Z1142" s="135">
        <v>0.961325966850829</v>
      </c>
      <c r="AA1142" s="135" t="s">
        <v>35</v>
      </c>
      <c r="AB1142" s="135" t="s">
        <v>35</v>
      </c>
      <c r="AC1142" s="135">
        <v>0.960477941176471</v>
      </c>
      <c r="AD1142" s="135">
        <v>0.92</v>
      </c>
      <c r="AE1142" s="133">
        <v>0.995907738095238</v>
      </c>
      <c r="AF1142" s="133">
        <v>0.994828110739276</v>
      </c>
      <c r="AG1142" s="133">
        <v>0.993377483443709</v>
      </c>
      <c r="AH1142" s="133">
        <v>0.994591392095406</v>
      </c>
      <c r="AI1142" s="135">
        <v>0.92</v>
      </c>
      <c r="AJ1142" s="133">
        <v>0.98150410050602</v>
      </c>
      <c r="AK1142" s="133">
        <v>0.983584131326949</v>
      </c>
      <c r="AL1142" s="133">
        <v>0.983801481992073</v>
      </c>
      <c r="AM1142" s="133">
        <v>0.985777845061775</v>
      </c>
      <c r="AN1142" s="132">
        <v>0.99</v>
      </c>
      <c r="AO1142" s="137">
        <v>1</v>
      </c>
      <c r="AP1142" s="137">
        <v>1</v>
      </c>
      <c r="AQ1142" s="137">
        <v>1</v>
      </c>
      <c r="AR1142" s="137">
        <v>1</v>
      </c>
      <c r="AS1142" s="158">
        <v>0.0721861525408278</v>
      </c>
      <c r="AT1142" s="141">
        <v>0</v>
      </c>
      <c r="AU1142" s="141">
        <v>0.04</v>
      </c>
      <c r="AV1142" s="141">
        <v>0.152173913043478</v>
      </c>
      <c r="AW1142" s="141">
        <v>0.0606060606060606</v>
      </c>
      <c r="AX1142" s="95"/>
      <c r="AY1142" s="93"/>
    </row>
    <row r="1143" ht="15" spans="1:51">
      <c r="A1143" s="91"/>
      <c r="B1143" s="95"/>
      <c r="C1143" s="152" t="s">
        <v>1085</v>
      </c>
      <c r="D1143" s="153" t="s">
        <v>25</v>
      </c>
      <c r="E1143" s="130" t="s">
        <v>1086</v>
      </c>
      <c r="F1143" s="195" t="s">
        <v>1173</v>
      </c>
      <c r="G1143" s="195" t="s">
        <v>1173</v>
      </c>
      <c r="H1143" s="195" t="s">
        <v>1173</v>
      </c>
      <c r="I1143" s="195" t="s">
        <v>1173</v>
      </c>
      <c r="J1143" s="132">
        <v>0.9</v>
      </c>
      <c r="K1143" s="133">
        <v>1</v>
      </c>
      <c r="L1143" s="133">
        <v>1</v>
      </c>
      <c r="M1143" s="134">
        <v>0.977272727272727</v>
      </c>
      <c r="N1143" s="133">
        <v>0.963677639046538</v>
      </c>
      <c r="O1143" s="135">
        <v>0.9</v>
      </c>
      <c r="P1143" s="133">
        <v>0.987441693577323</v>
      </c>
      <c r="Q1143" s="133">
        <v>0.973431058176821</v>
      </c>
      <c r="R1143" s="133">
        <v>0.983703703703704</v>
      </c>
      <c r="S1143" s="133">
        <v>0.983406940942084</v>
      </c>
      <c r="T1143" s="135">
        <v>0.9</v>
      </c>
      <c r="U1143" s="133">
        <v>0.975601004664514</v>
      </c>
      <c r="V1143" s="133">
        <v>0.971598717361429</v>
      </c>
      <c r="W1143" s="133">
        <v>0.968888888888889</v>
      </c>
      <c r="X1143" s="133">
        <v>0.960251891274364</v>
      </c>
      <c r="Y1143" s="135">
        <v>0.92</v>
      </c>
      <c r="Z1143" s="135">
        <v>0.975240715268226</v>
      </c>
      <c r="AA1143" s="135">
        <v>0.983812949640288</v>
      </c>
      <c r="AB1143" s="135">
        <v>0.989100817438692</v>
      </c>
      <c r="AC1143" s="135">
        <v>0.974832529894196</v>
      </c>
      <c r="AD1143" s="135">
        <v>0.92</v>
      </c>
      <c r="AE1143" s="133">
        <v>0.998705621301775</v>
      </c>
      <c r="AF1143" s="133">
        <v>0.999197431781701</v>
      </c>
      <c r="AG1143" s="133">
        <v>0.998096446700508</v>
      </c>
      <c r="AH1143" s="133">
        <v>0.998679721766869</v>
      </c>
      <c r="AI1143" s="135">
        <v>0.92</v>
      </c>
      <c r="AJ1143" s="133">
        <v>0.984348321001707</v>
      </c>
      <c r="AK1143" s="133">
        <v>0.990142387732749</v>
      </c>
      <c r="AL1143" s="133">
        <v>0.985034740780331</v>
      </c>
      <c r="AM1143" s="133">
        <v>0.985584702691615</v>
      </c>
      <c r="AN1143" s="132">
        <v>0.99</v>
      </c>
      <c r="AO1143" s="137">
        <v>1</v>
      </c>
      <c r="AP1143" s="137">
        <v>1</v>
      </c>
      <c r="AQ1143" s="137">
        <v>1</v>
      </c>
      <c r="AR1143" s="137">
        <v>1</v>
      </c>
      <c r="AS1143" s="158">
        <v>0.0721861525408278</v>
      </c>
      <c r="AT1143" s="141">
        <v>0</v>
      </c>
      <c r="AU1143" s="141">
        <v>0.0526315789473684</v>
      </c>
      <c r="AV1143" s="141">
        <v>0.0434782608695652</v>
      </c>
      <c r="AW1143" s="141">
        <v>0.018140589569161</v>
      </c>
      <c r="AX1143" s="95"/>
      <c r="AY1143" s="93"/>
    </row>
    <row r="1144" ht="15" spans="1:51">
      <c r="A1144" s="91"/>
      <c r="B1144" s="95"/>
      <c r="C1144" s="152" t="s">
        <v>1085</v>
      </c>
      <c r="D1144" s="153" t="s">
        <v>25</v>
      </c>
      <c r="E1144" s="130" t="s">
        <v>1086</v>
      </c>
      <c r="F1144" s="195" t="s">
        <v>1174</v>
      </c>
      <c r="G1144" s="195" t="s">
        <v>1174</v>
      </c>
      <c r="H1144" s="195" t="s">
        <v>1174</v>
      </c>
      <c r="I1144" s="195" t="s">
        <v>1174</v>
      </c>
      <c r="J1144" s="132">
        <v>0.9</v>
      </c>
      <c r="K1144" s="133">
        <v>0.875</v>
      </c>
      <c r="L1144" s="133">
        <v>0.947368421052632</v>
      </c>
      <c r="M1144" s="134">
        <v>0.739130434782609</v>
      </c>
      <c r="N1144" s="133">
        <v>0.899244332493703</v>
      </c>
      <c r="O1144" s="135">
        <v>0.9</v>
      </c>
      <c r="P1144" s="133">
        <v>0.961825726141079</v>
      </c>
      <c r="Q1144" s="133">
        <v>0.981072555205047</v>
      </c>
      <c r="R1144" s="133">
        <v>0.982545454545454</v>
      </c>
      <c r="S1144" s="133">
        <v>0.952798853186951</v>
      </c>
      <c r="T1144" s="135">
        <v>0.9</v>
      </c>
      <c r="U1144" s="133">
        <v>0.905394190871369</v>
      </c>
      <c r="V1144" s="133">
        <v>0.931650893796004</v>
      </c>
      <c r="W1144" s="133">
        <v>0.941090909090909</v>
      </c>
      <c r="X1144" s="133">
        <v>0.900108387818608</v>
      </c>
      <c r="Y1144" s="135">
        <v>0.92</v>
      </c>
      <c r="Z1144" s="135">
        <v>0.934117647058823</v>
      </c>
      <c r="AA1144" s="135">
        <v>0.939890710382514</v>
      </c>
      <c r="AB1144" s="135">
        <v>0.95910780669145</v>
      </c>
      <c r="AC1144" s="135">
        <v>0.952281122092443</v>
      </c>
      <c r="AD1144" s="135">
        <v>0.92</v>
      </c>
      <c r="AE1144" s="133">
        <v>0.998045602605863</v>
      </c>
      <c r="AF1144" s="133">
        <v>0.999042604116802</v>
      </c>
      <c r="AG1144" s="133">
        <v>0.998798076923077</v>
      </c>
      <c r="AH1144" s="133">
        <v>0.998549936559724</v>
      </c>
      <c r="AI1144" s="135">
        <v>0.92</v>
      </c>
      <c r="AJ1144" s="133">
        <v>0.951533742331288</v>
      </c>
      <c r="AK1144" s="133">
        <v>0.958997722095672</v>
      </c>
      <c r="AL1144" s="133">
        <v>0.973844282238443</v>
      </c>
      <c r="AM1144" s="133">
        <v>0.970033382501359</v>
      </c>
      <c r="AN1144" s="132">
        <v>0.99</v>
      </c>
      <c r="AO1144" s="137">
        <v>1</v>
      </c>
      <c r="AP1144" s="137">
        <v>1</v>
      </c>
      <c r="AQ1144" s="137">
        <v>1</v>
      </c>
      <c r="AR1144" s="137">
        <v>1</v>
      </c>
      <c r="AS1144" s="158">
        <v>0.0721861525408278</v>
      </c>
      <c r="AT1144" s="141">
        <v>0.0454545454545455</v>
      </c>
      <c r="AU1144" s="141">
        <v>0.142857142857143</v>
      </c>
      <c r="AV1144" s="141">
        <v>0</v>
      </c>
      <c r="AW1144" s="141">
        <v>0.0324324324324324</v>
      </c>
      <c r="AX1144" s="95"/>
      <c r="AY1144" s="93"/>
    </row>
    <row r="1145" ht="15" spans="1:51">
      <c r="A1145" s="91"/>
      <c r="B1145" s="95"/>
      <c r="C1145" s="152" t="s">
        <v>1085</v>
      </c>
      <c r="D1145" s="153" t="s">
        <v>25</v>
      </c>
      <c r="E1145" s="130" t="s">
        <v>1086</v>
      </c>
      <c r="F1145" s="195" t="s">
        <v>1175</v>
      </c>
      <c r="G1145" s="195" t="s">
        <v>1175</v>
      </c>
      <c r="H1145" s="195" t="s">
        <v>1175</v>
      </c>
      <c r="I1145" s="195" t="s">
        <v>1175</v>
      </c>
      <c r="J1145" s="132">
        <v>0.9</v>
      </c>
      <c r="K1145" s="133">
        <v>1</v>
      </c>
      <c r="L1145" s="133">
        <v>0.96551724137931</v>
      </c>
      <c r="M1145" s="134">
        <v>1</v>
      </c>
      <c r="N1145" s="133">
        <v>0.982486865148862</v>
      </c>
      <c r="O1145" s="135">
        <v>0.9</v>
      </c>
      <c r="P1145" s="133">
        <v>0.981892523364486</v>
      </c>
      <c r="Q1145" s="133">
        <v>0.991577335375191</v>
      </c>
      <c r="R1145" s="133">
        <v>0.981122702434178</v>
      </c>
      <c r="S1145" s="133">
        <v>0.98523349983027</v>
      </c>
      <c r="T1145" s="135">
        <v>0.9</v>
      </c>
      <c r="U1145" s="133">
        <v>0.962616822429907</v>
      </c>
      <c r="V1145" s="133">
        <v>0.95405819295559</v>
      </c>
      <c r="W1145" s="133">
        <v>0.938400397416791</v>
      </c>
      <c r="X1145" s="133">
        <v>0.937587895834344</v>
      </c>
      <c r="Y1145" s="135">
        <v>0.92</v>
      </c>
      <c r="Z1145" s="135">
        <v>0.960714285714286</v>
      </c>
      <c r="AA1145" s="135">
        <v>0.970588235294118</v>
      </c>
      <c r="AB1145" s="135">
        <v>0.979838709677419</v>
      </c>
      <c r="AC1145" s="135">
        <v>0.9721875</v>
      </c>
      <c r="AD1145" s="135">
        <v>0.92</v>
      </c>
      <c r="AE1145" s="133">
        <v>0.997435897435897</v>
      </c>
      <c r="AF1145" s="133">
        <v>0.99685534591195</v>
      </c>
      <c r="AG1145" s="133">
        <v>0.995798319327731</v>
      </c>
      <c r="AH1145" s="133">
        <v>0.992890995260663</v>
      </c>
      <c r="AI1145" s="135">
        <v>0.92</v>
      </c>
      <c r="AJ1145" s="133">
        <v>0.972711267605634</v>
      </c>
      <c r="AK1145" s="133">
        <v>0.977142857142857</v>
      </c>
      <c r="AL1145" s="133">
        <v>0.984520123839009</v>
      </c>
      <c r="AM1145" s="133">
        <v>0.98389222145737</v>
      </c>
      <c r="AN1145" s="132">
        <v>0.99</v>
      </c>
      <c r="AO1145" s="137">
        <v>1</v>
      </c>
      <c r="AP1145" s="137">
        <v>1</v>
      </c>
      <c r="AQ1145" s="137">
        <v>1</v>
      </c>
      <c r="AR1145" s="137">
        <v>1</v>
      </c>
      <c r="AS1145" s="158">
        <v>0.0721861525408278</v>
      </c>
      <c r="AT1145" s="141">
        <v>0</v>
      </c>
      <c r="AU1145" s="141">
        <v>0</v>
      </c>
      <c r="AV1145" s="141">
        <v>0.0769230769230769</v>
      </c>
      <c r="AW1145" s="141">
        <v>0.04375</v>
      </c>
      <c r="AX1145" s="95"/>
      <c r="AY1145" s="93"/>
    </row>
    <row r="1146" ht="15" spans="1:51">
      <c r="A1146" s="91"/>
      <c r="B1146" s="95"/>
      <c r="C1146" s="152" t="s">
        <v>1085</v>
      </c>
      <c r="D1146" s="153" t="s">
        <v>25</v>
      </c>
      <c r="E1146" s="130" t="s">
        <v>1086</v>
      </c>
      <c r="F1146" s="195" t="s">
        <v>1176</v>
      </c>
      <c r="G1146" s="195" t="s">
        <v>1176</v>
      </c>
      <c r="H1146" s="195" t="s">
        <v>1176</v>
      </c>
      <c r="I1146" s="195" t="s">
        <v>1176</v>
      </c>
      <c r="J1146" s="132">
        <v>0.9</v>
      </c>
      <c r="K1146" s="133">
        <v>0.927536231884058</v>
      </c>
      <c r="L1146" s="133">
        <v>0.966666666666667</v>
      </c>
      <c r="M1146" s="134">
        <v>0.934426229508197</v>
      </c>
      <c r="N1146" s="133">
        <v>0.898319327731092</v>
      </c>
      <c r="O1146" s="135">
        <v>0.9</v>
      </c>
      <c r="P1146" s="133">
        <v>0.97486395439233</v>
      </c>
      <c r="Q1146" s="133">
        <v>0.961538461538462</v>
      </c>
      <c r="R1146" s="133">
        <v>0.916453537936914</v>
      </c>
      <c r="S1146" s="133">
        <v>0.899551105316068</v>
      </c>
      <c r="T1146" s="135">
        <v>0.9</v>
      </c>
      <c r="U1146" s="133">
        <v>0.930551956465406</v>
      </c>
      <c r="V1146" s="133">
        <v>0.926755852842809</v>
      </c>
      <c r="W1146" s="133">
        <v>0.91538789428815</v>
      </c>
      <c r="X1146" s="133">
        <v>0.904537718102101</v>
      </c>
      <c r="Y1146" s="135">
        <v>0.92</v>
      </c>
      <c r="Z1146" s="135">
        <v>0.933870967741935</v>
      </c>
      <c r="AA1146" s="135">
        <v>0.93951093951094</v>
      </c>
      <c r="AB1146" s="135">
        <v>0.921507064364207</v>
      </c>
      <c r="AC1146" s="135">
        <v>0.929711160330877</v>
      </c>
      <c r="AD1146" s="135">
        <v>0.92</v>
      </c>
      <c r="AE1146" s="133">
        <v>1</v>
      </c>
      <c r="AF1146" s="133">
        <v>0.997854077253219</v>
      </c>
      <c r="AG1146" s="133">
        <v>0.997333333333333</v>
      </c>
      <c r="AH1146" s="133">
        <v>0.996216375997635</v>
      </c>
      <c r="AI1146" s="135">
        <v>0.92</v>
      </c>
      <c r="AJ1146" s="133">
        <v>0.954705882352941</v>
      </c>
      <c r="AK1146" s="133">
        <v>0.963631537032121</v>
      </c>
      <c r="AL1146" s="133">
        <v>0.948020266466504</v>
      </c>
      <c r="AM1146" s="133">
        <v>0.95946100262647</v>
      </c>
      <c r="AN1146" s="132">
        <v>0.99</v>
      </c>
      <c r="AO1146" s="137">
        <v>1</v>
      </c>
      <c r="AP1146" s="137">
        <v>1</v>
      </c>
      <c r="AQ1146" s="137">
        <v>1</v>
      </c>
      <c r="AR1146" s="137">
        <v>1</v>
      </c>
      <c r="AS1146" s="158">
        <v>0.0721861525408278</v>
      </c>
      <c r="AT1146" s="141">
        <v>0.024390243902439</v>
      </c>
      <c r="AU1146" s="141">
        <v>0</v>
      </c>
      <c r="AV1146" s="141">
        <v>0.0454545454545455</v>
      </c>
      <c r="AW1146" s="141">
        <v>0.0206043956043956</v>
      </c>
      <c r="AX1146" s="95"/>
      <c r="AY1146" s="93"/>
    </row>
    <row r="1147" ht="15" spans="1:51">
      <c r="A1147" s="91"/>
      <c r="B1147" s="95"/>
      <c r="C1147" s="152" t="s">
        <v>1085</v>
      </c>
      <c r="D1147" s="153" t="s">
        <v>25</v>
      </c>
      <c r="E1147" s="130" t="s">
        <v>1086</v>
      </c>
      <c r="F1147" s="195" t="s">
        <v>1177</v>
      </c>
      <c r="G1147" s="195" t="s">
        <v>1177</v>
      </c>
      <c r="H1147" s="195" t="s">
        <v>1177</v>
      </c>
      <c r="I1147" s="195" t="s">
        <v>1177</v>
      </c>
      <c r="J1147" s="132">
        <v>0.9</v>
      </c>
      <c r="K1147" s="133">
        <v>0.953846153846154</v>
      </c>
      <c r="L1147" s="133">
        <v>0.925925925925926</v>
      </c>
      <c r="M1147" s="134">
        <v>0.890909090909091</v>
      </c>
      <c r="N1147" s="133">
        <v>0.966394187102634</v>
      </c>
      <c r="O1147" s="135">
        <v>0.9</v>
      </c>
      <c r="P1147" s="133">
        <v>0.98551637279597</v>
      </c>
      <c r="Q1147" s="133">
        <v>0.98804780876494</v>
      </c>
      <c r="R1147" s="133">
        <v>0.990276356192426</v>
      </c>
      <c r="S1147" s="133">
        <v>0.986772818455366</v>
      </c>
      <c r="T1147" s="135">
        <v>0.9</v>
      </c>
      <c r="U1147" s="133">
        <v>0.965050377833753</v>
      </c>
      <c r="V1147" s="133">
        <v>0.965737051792829</v>
      </c>
      <c r="W1147" s="133">
        <v>0.951893551688843</v>
      </c>
      <c r="X1147" s="133">
        <v>0.951416750250752</v>
      </c>
      <c r="Y1147" s="135">
        <v>0.92</v>
      </c>
      <c r="Z1147" s="135">
        <v>0.974719101123595</v>
      </c>
      <c r="AA1147" s="135">
        <v>0.996644295302013</v>
      </c>
      <c r="AB1147" s="135">
        <v>0.981574539363484</v>
      </c>
      <c r="AC1147" s="135">
        <v>0.983209061414992</v>
      </c>
      <c r="AD1147" s="135">
        <v>0.92</v>
      </c>
      <c r="AE1147" s="133">
        <v>0.99580851533201</v>
      </c>
      <c r="AF1147" s="133">
        <v>0.994547437295529</v>
      </c>
      <c r="AG1147" s="133">
        <v>0.998859749144812</v>
      </c>
      <c r="AH1147" s="133">
        <v>0.995634197426761</v>
      </c>
      <c r="AI1147" s="135">
        <v>0.92</v>
      </c>
      <c r="AJ1147" s="133">
        <v>0.986368312757202</v>
      </c>
      <c r="AK1147" s="133">
        <v>0.990341274951706</v>
      </c>
      <c r="AL1147" s="133">
        <v>0.990899001109878</v>
      </c>
      <c r="AM1147" s="133">
        <v>0.991174536637488</v>
      </c>
      <c r="AN1147" s="132">
        <v>0.99</v>
      </c>
      <c r="AO1147" s="137">
        <v>1</v>
      </c>
      <c r="AP1147" s="137">
        <v>1</v>
      </c>
      <c r="AQ1147" s="137">
        <v>1</v>
      </c>
      <c r="AR1147" s="137">
        <v>1</v>
      </c>
      <c r="AS1147" s="158">
        <v>0.0721861525408278</v>
      </c>
      <c r="AT1147" s="141">
        <v>0</v>
      </c>
      <c r="AU1147" s="141">
        <v>0</v>
      </c>
      <c r="AV1147" s="141">
        <v>0.0666666666666667</v>
      </c>
      <c r="AW1147" s="141">
        <v>0.0274841437632135</v>
      </c>
      <c r="AX1147" s="95"/>
      <c r="AY1147" s="93"/>
    </row>
    <row r="1148" ht="15" spans="1:51">
      <c r="A1148" s="91"/>
      <c r="B1148" s="95"/>
      <c r="C1148" s="152" t="s">
        <v>1085</v>
      </c>
      <c r="D1148" s="153" t="s">
        <v>25</v>
      </c>
      <c r="E1148" s="130" t="s">
        <v>1086</v>
      </c>
      <c r="F1148" s="195" t="s">
        <v>1178</v>
      </c>
      <c r="G1148" s="195" t="s">
        <v>1178</v>
      </c>
      <c r="H1148" s="195" t="s">
        <v>1178</v>
      </c>
      <c r="I1148" s="195" t="s">
        <v>1178</v>
      </c>
      <c r="J1148" s="132">
        <v>0.9</v>
      </c>
      <c r="K1148" s="133">
        <v>0.970149253731343</v>
      </c>
      <c r="L1148" s="133">
        <v>0.946428571428571</v>
      </c>
      <c r="M1148" s="134">
        <v>0.981818181818182</v>
      </c>
      <c r="N1148" s="133">
        <v>0.911325724319579</v>
      </c>
      <c r="O1148" s="135">
        <v>0.9</v>
      </c>
      <c r="P1148" s="133">
        <v>0.961042600896861</v>
      </c>
      <c r="Q1148" s="133">
        <v>0.94955595026643</v>
      </c>
      <c r="R1148" s="133">
        <v>0.963666587508905</v>
      </c>
      <c r="S1148" s="133">
        <v>0.947883027343532</v>
      </c>
      <c r="T1148" s="135">
        <v>0.9</v>
      </c>
      <c r="U1148" s="133">
        <v>0.949831838565022</v>
      </c>
      <c r="V1148" s="133">
        <v>0.959147424511545</v>
      </c>
      <c r="W1148" s="133">
        <v>0.936594633103776</v>
      </c>
      <c r="X1148" s="133">
        <v>0.913130929367199</v>
      </c>
      <c r="Y1148" s="135">
        <v>0.92</v>
      </c>
      <c r="Z1148" s="135">
        <v>0.950631458094145</v>
      </c>
      <c r="AA1148" s="135">
        <v>0.960869565217391</v>
      </c>
      <c r="AB1148" s="135">
        <v>0.968063872255489</v>
      </c>
      <c r="AC1148" s="135">
        <v>0.967867901372308</v>
      </c>
      <c r="AD1148" s="135">
        <v>0.92</v>
      </c>
      <c r="AE1148" s="133">
        <v>0.993916349809886</v>
      </c>
      <c r="AF1148" s="133">
        <v>0.999339061467284</v>
      </c>
      <c r="AG1148" s="133">
        <v>1</v>
      </c>
      <c r="AH1148" s="133">
        <v>0.996905602679384</v>
      </c>
      <c r="AI1148" s="135">
        <v>0.92</v>
      </c>
      <c r="AJ1148" s="133">
        <v>0.975219644063978</v>
      </c>
      <c r="AK1148" s="133">
        <v>0.980593607305936</v>
      </c>
      <c r="AL1148" s="133">
        <v>0.988964346349745</v>
      </c>
      <c r="AM1148" s="133">
        <v>0.98527289822288</v>
      </c>
      <c r="AN1148" s="132">
        <v>0.99</v>
      </c>
      <c r="AO1148" s="137">
        <v>1</v>
      </c>
      <c r="AP1148" s="137">
        <v>1</v>
      </c>
      <c r="AQ1148" s="137">
        <v>1</v>
      </c>
      <c r="AR1148" s="137">
        <v>1</v>
      </c>
      <c r="AS1148" s="158">
        <v>0.0721861525408278</v>
      </c>
      <c r="AT1148" s="141">
        <v>0.0606060606060606</v>
      </c>
      <c r="AU1148" s="141">
        <v>0</v>
      </c>
      <c r="AV1148" s="141">
        <v>0</v>
      </c>
      <c r="AW1148" s="141">
        <v>0.0317848410757946</v>
      </c>
      <c r="AX1148" s="95"/>
      <c r="AY1148" s="93"/>
    </row>
    <row r="1149" ht="15" spans="1:51">
      <c r="A1149" s="91"/>
      <c r="B1149" s="95"/>
      <c r="C1149" s="152" t="s">
        <v>1085</v>
      </c>
      <c r="D1149" s="153" t="s">
        <v>25</v>
      </c>
      <c r="E1149" s="130" t="s">
        <v>1086</v>
      </c>
      <c r="F1149" s="195" t="s">
        <v>1179</v>
      </c>
      <c r="G1149" s="195" t="s">
        <v>1179</v>
      </c>
      <c r="H1149" s="195" t="s">
        <v>1179</v>
      </c>
      <c r="I1149" s="195" t="s">
        <v>1179</v>
      </c>
      <c r="J1149" s="132">
        <v>0.9</v>
      </c>
      <c r="K1149" s="133">
        <v>1</v>
      </c>
      <c r="L1149" s="133">
        <v>0.971428571428571</v>
      </c>
      <c r="M1149" s="134">
        <v>1</v>
      </c>
      <c r="N1149" s="133">
        <v>0.983805668016194</v>
      </c>
      <c r="O1149" s="135">
        <v>0.9</v>
      </c>
      <c r="P1149" s="133">
        <v>0.987421383647799</v>
      </c>
      <c r="Q1149" s="133">
        <v>0.990691489361702</v>
      </c>
      <c r="R1149" s="133">
        <v>0.9933641084824</v>
      </c>
      <c r="S1149" s="133">
        <v>0.991869129053295</v>
      </c>
      <c r="T1149" s="135">
        <v>0.9</v>
      </c>
      <c r="U1149" s="133">
        <v>0.96890286512928</v>
      </c>
      <c r="V1149" s="133">
        <v>0.966755319148936</v>
      </c>
      <c r="W1149" s="133">
        <v>0.955279861511829</v>
      </c>
      <c r="X1149" s="133">
        <v>0.95756961884808</v>
      </c>
      <c r="Y1149" s="135">
        <v>0.92</v>
      </c>
      <c r="Z1149" s="135">
        <v>0.984741784037559</v>
      </c>
      <c r="AA1149" s="135">
        <v>0.981337480559876</v>
      </c>
      <c r="AB1149" s="135">
        <v>0.97867298578199</v>
      </c>
      <c r="AC1149" s="135">
        <v>0.984979226589965</v>
      </c>
      <c r="AD1149" s="135">
        <v>0.92</v>
      </c>
      <c r="AE1149" s="133">
        <v>0.995024875621891</v>
      </c>
      <c r="AF1149" s="133">
        <v>1</v>
      </c>
      <c r="AG1149" s="133">
        <v>0.997455470737914</v>
      </c>
      <c r="AH1149" s="133">
        <v>0.998532648569332</v>
      </c>
      <c r="AI1149" s="135">
        <v>0.92</v>
      </c>
      <c r="AJ1149" s="133">
        <v>0.989499192245557</v>
      </c>
      <c r="AK1149" s="133">
        <v>0.989996550534667</v>
      </c>
      <c r="AL1149" s="133">
        <v>0.990740740740741</v>
      </c>
      <c r="AM1149" s="133">
        <v>0.993251100116282</v>
      </c>
      <c r="AN1149" s="132">
        <v>0.99</v>
      </c>
      <c r="AO1149" s="137">
        <v>1</v>
      </c>
      <c r="AP1149" s="137">
        <v>1</v>
      </c>
      <c r="AQ1149" s="137">
        <v>1</v>
      </c>
      <c r="AR1149" s="137">
        <v>1</v>
      </c>
      <c r="AS1149" s="158">
        <v>0.0721861525408278</v>
      </c>
      <c r="AT1149" s="141">
        <v>0</v>
      </c>
      <c r="AU1149" s="141">
        <v>0</v>
      </c>
      <c r="AV1149" s="141">
        <v>0</v>
      </c>
      <c r="AW1149" s="141">
        <v>0.023972602739726</v>
      </c>
      <c r="AX1149" s="95"/>
      <c r="AY1149" s="93"/>
    </row>
    <row r="1150" ht="15" spans="1:51">
      <c r="A1150" s="91"/>
      <c r="B1150" s="95"/>
      <c r="C1150" s="152" t="s">
        <v>1085</v>
      </c>
      <c r="D1150" s="153" t="s">
        <v>25</v>
      </c>
      <c r="E1150" s="130" t="s">
        <v>1086</v>
      </c>
      <c r="F1150" s="195" t="s">
        <v>1180</v>
      </c>
      <c r="G1150" s="195" t="s">
        <v>1180</v>
      </c>
      <c r="H1150" s="195" t="s">
        <v>1180</v>
      </c>
      <c r="I1150" s="195" t="s">
        <v>1180</v>
      </c>
      <c r="J1150" s="132">
        <v>0.9</v>
      </c>
      <c r="K1150" s="133">
        <v>0.857142857142857</v>
      </c>
      <c r="L1150" s="133">
        <v>0.958333333333333</v>
      </c>
      <c r="M1150" s="134">
        <v>0.958333333333333</v>
      </c>
      <c r="N1150" s="133">
        <v>0.932377049180328</v>
      </c>
      <c r="O1150" s="135">
        <v>0.9</v>
      </c>
      <c r="P1150" s="133">
        <v>0.978368355995056</v>
      </c>
      <c r="Q1150" s="133">
        <v>0.992769342010123</v>
      </c>
      <c r="R1150" s="133">
        <v>0.988813229571984</v>
      </c>
      <c r="S1150" s="133">
        <v>0.978078549848943</v>
      </c>
      <c r="T1150" s="135">
        <v>0.9</v>
      </c>
      <c r="U1150" s="133">
        <v>0.956736711990111</v>
      </c>
      <c r="V1150" s="133">
        <v>0.964569775849602</v>
      </c>
      <c r="W1150" s="133">
        <v>0.977140077821012</v>
      </c>
      <c r="X1150" s="133">
        <v>0.955021148036254</v>
      </c>
      <c r="Y1150" s="135">
        <v>0.92</v>
      </c>
      <c r="Z1150" s="135">
        <v>0.942857142857143</v>
      </c>
      <c r="AA1150" s="135">
        <v>0.944903581267218</v>
      </c>
      <c r="AB1150" s="135">
        <v>0.944444444444444</v>
      </c>
      <c r="AC1150" s="135">
        <v>0.964467005076142</v>
      </c>
      <c r="AD1150" s="135">
        <v>0.92</v>
      </c>
      <c r="AE1150" s="133">
        <v>0.998824221046443</v>
      </c>
      <c r="AF1150" s="133">
        <v>0.997081712062257</v>
      </c>
      <c r="AG1150" s="133">
        <v>0.999170124481328</v>
      </c>
      <c r="AH1150" s="133">
        <v>0.997160381644707</v>
      </c>
      <c r="AI1150" s="135">
        <v>0.92</v>
      </c>
      <c r="AJ1150" s="133">
        <v>0.969046430354468</v>
      </c>
      <c r="AK1150" s="133">
        <v>0.975945017182131</v>
      </c>
      <c r="AL1150" s="133">
        <v>0.989251934651763</v>
      </c>
      <c r="AM1150" s="133">
        <v>0.984477140317962</v>
      </c>
      <c r="AN1150" s="132">
        <v>0.99</v>
      </c>
      <c r="AO1150" s="137">
        <v>1</v>
      </c>
      <c r="AP1150" s="137">
        <v>1</v>
      </c>
      <c r="AQ1150" s="137">
        <v>1</v>
      </c>
      <c r="AR1150" s="137">
        <v>1</v>
      </c>
      <c r="AS1150" s="158">
        <v>0.0721861525408278</v>
      </c>
      <c r="AT1150" s="141">
        <v>0</v>
      </c>
      <c r="AU1150" s="141">
        <v>0</v>
      </c>
      <c r="AV1150" s="141">
        <v>0</v>
      </c>
      <c r="AW1150" s="141">
        <v>0.0245398773006135</v>
      </c>
      <c r="AX1150" s="95"/>
      <c r="AY1150" s="93"/>
    </row>
    <row r="1151" ht="15" spans="1:51">
      <c r="A1151" s="91"/>
      <c r="B1151" s="95"/>
      <c r="C1151" s="152" t="s">
        <v>1085</v>
      </c>
      <c r="D1151" s="153" t="s">
        <v>25</v>
      </c>
      <c r="E1151" s="130" t="s">
        <v>1086</v>
      </c>
      <c r="F1151" s="195" t="s">
        <v>1181</v>
      </c>
      <c r="G1151" s="195" t="s">
        <v>1181</v>
      </c>
      <c r="H1151" s="195" t="s">
        <v>1181</v>
      </c>
      <c r="I1151" s="195" t="s">
        <v>1181</v>
      </c>
      <c r="J1151" s="132">
        <v>0.9</v>
      </c>
      <c r="K1151" s="133">
        <v>0.967741935483871</v>
      </c>
      <c r="L1151" s="133">
        <v>0.960526315789474</v>
      </c>
      <c r="M1151" s="134">
        <v>0.962025316455696</v>
      </c>
      <c r="N1151" s="133">
        <v>0.980038634900193</v>
      </c>
      <c r="O1151" s="135">
        <v>0.9</v>
      </c>
      <c r="P1151" s="133">
        <v>0.979336255479023</v>
      </c>
      <c r="Q1151" s="133">
        <v>0.962438758845944</v>
      </c>
      <c r="R1151" s="133">
        <v>0.950816663608001</v>
      </c>
      <c r="S1151" s="133">
        <v>0.962595045376502</v>
      </c>
      <c r="T1151" s="135">
        <v>0.9</v>
      </c>
      <c r="U1151" s="133">
        <v>0.937591317052807</v>
      </c>
      <c r="V1151" s="133">
        <v>0.945563418617311</v>
      </c>
      <c r="W1151" s="133">
        <v>0.921636997614241</v>
      </c>
      <c r="X1151" s="133">
        <v>0.927581555064999</v>
      </c>
      <c r="Y1151" s="135">
        <v>0.92</v>
      </c>
      <c r="Z1151" s="135">
        <v>0.9609375</v>
      </c>
      <c r="AA1151" s="135">
        <v>0.968095712861416</v>
      </c>
      <c r="AB1151" s="135">
        <v>0.933238636363636</v>
      </c>
      <c r="AC1151" s="135">
        <v>0.957442840625117</v>
      </c>
      <c r="AD1151" s="135">
        <v>0.92</v>
      </c>
      <c r="AE1151" s="133">
        <v>0.979001399906673</v>
      </c>
      <c r="AF1151" s="133">
        <v>0.996878901373283</v>
      </c>
      <c r="AG1151" s="133">
        <v>0.997481108312343</v>
      </c>
      <c r="AH1151" s="133">
        <v>0.994036457532815</v>
      </c>
      <c r="AI1151" s="135">
        <v>0.92</v>
      </c>
      <c r="AJ1151" s="133">
        <v>0.967885375494071</v>
      </c>
      <c r="AK1151" s="133">
        <v>0.974770151806714</v>
      </c>
      <c r="AL1151" s="133">
        <v>0.962619860230782</v>
      </c>
      <c r="AM1151" s="133">
        <v>0.974186546359941</v>
      </c>
      <c r="AN1151" s="132">
        <v>0.99</v>
      </c>
      <c r="AO1151" s="137">
        <v>1</v>
      </c>
      <c r="AP1151" s="137">
        <v>1</v>
      </c>
      <c r="AQ1151" s="137">
        <v>1</v>
      </c>
      <c r="AR1151" s="137">
        <v>1</v>
      </c>
      <c r="AS1151" s="158">
        <v>0.0721861525408278</v>
      </c>
      <c r="AT1151" s="141">
        <v>0.04</v>
      </c>
      <c r="AU1151" s="141">
        <v>0</v>
      </c>
      <c r="AV1151" s="141">
        <v>0.0384615384615385</v>
      </c>
      <c r="AW1151" s="141">
        <v>0.0436590436590437</v>
      </c>
      <c r="AX1151" s="95"/>
      <c r="AY1151" s="93"/>
    </row>
    <row r="1152" ht="15" spans="1:51">
      <c r="A1152" s="91"/>
      <c r="B1152" s="95"/>
      <c r="C1152" s="152" t="s">
        <v>1085</v>
      </c>
      <c r="D1152" s="153" t="s">
        <v>25</v>
      </c>
      <c r="E1152" s="130" t="s">
        <v>1086</v>
      </c>
      <c r="F1152" s="195" t="s">
        <v>1182</v>
      </c>
      <c r="G1152" s="195" t="s">
        <v>1182</v>
      </c>
      <c r="H1152" s="195" t="s">
        <v>1182</v>
      </c>
      <c r="I1152" s="195" t="s">
        <v>1182</v>
      </c>
      <c r="J1152" s="132">
        <v>0.9</v>
      </c>
      <c r="K1152" s="133">
        <v>0.918032786885246</v>
      </c>
      <c r="L1152" s="133">
        <v>0.938775510204082</v>
      </c>
      <c r="M1152" s="134">
        <v>0.96078431372549</v>
      </c>
      <c r="N1152" s="133">
        <v>0.935909519321395</v>
      </c>
      <c r="O1152" s="135">
        <v>0.9</v>
      </c>
      <c r="P1152" s="133">
        <v>0.981413772090189</v>
      </c>
      <c r="Q1152" s="133">
        <v>0.962242117555469</v>
      </c>
      <c r="R1152" s="133">
        <v>0.953789731051345</v>
      </c>
      <c r="S1152" s="133">
        <v>0.943030563720219</v>
      </c>
      <c r="T1152" s="135">
        <v>0.9</v>
      </c>
      <c r="U1152" s="133">
        <v>0.917733089579525</v>
      </c>
      <c r="V1152" s="133">
        <v>0.888283378746594</v>
      </c>
      <c r="W1152" s="133">
        <v>0.869682151589242</v>
      </c>
      <c r="X1152" s="133">
        <v>0.879644896886276</v>
      </c>
      <c r="Y1152" s="135">
        <v>0.92</v>
      </c>
      <c r="Z1152" s="135">
        <v>0.882491186839013</v>
      </c>
      <c r="AA1152" s="135">
        <v>0.891451831750339</v>
      </c>
      <c r="AB1152" s="135">
        <v>0.889655172413793</v>
      </c>
      <c r="AC1152" s="135">
        <v>0.905059787422498</v>
      </c>
      <c r="AD1152" s="135">
        <v>0.92</v>
      </c>
      <c r="AE1152" s="133">
        <v>0.993318485523385</v>
      </c>
      <c r="AF1152" s="133">
        <v>0.992435703479576</v>
      </c>
      <c r="AG1152" s="133">
        <v>0.970496894409938</v>
      </c>
      <c r="AH1152" s="133">
        <v>0.985733695652174</v>
      </c>
      <c r="AI1152" s="135">
        <v>0.92</v>
      </c>
      <c r="AJ1152" s="133">
        <v>0.958141785627873</v>
      </c>
      <c r="AK1152" s="133">
        <v>0.947065940713854</v>
      </c>
      <c r="AL1152" s="133">
        <v>0.96423982869379</v>
      </c>
      <c r="AM1152" s="133">
        <v>0.967079726024705</v>
      </c>
      <c r="AN1152" s="132">
        <v>0.99</v>
      </c>
      <c r="AO1152" s="137">
        <v>1</v>
      </c>
      <c r="AP1152" s="137">
        <v>1</v>
      </c>
      <c r="AQ1152" s="137">
        <v>1</v>
      </c>
      <c r="AR1152" s="137">
        <v>1</v>
      </c>
      <c r="AS1152" s="158">
        <v>0.0721861525408278</v>
      </c>
      <c r="AT1152" s="141">
        <v>0</v>
      </c>
      <c r="AU1152" s="141">
        <v>0.0625</v>
      </c>
      <c r="AV1152" s="141">
        <v>0.0769230769230769</v>
      </c>
      <c r="AW1152" s="141">
        <v>0.0207792207792208</v>
      </c>
      <c r="AX1152" s="95"/>
      <c r="AY1152" s="93"/>
    </row>
    <row r="1153" ht="15" spans="1:51">
      <c r="A1153" s="91"/>
      <c r="B1153" s="95"/>
      <c r="C1153" s="152" t="s">
        <v>1085</v>
      </c>
      <c r="D1153" s="153" t="s">
        <v>25</v>
      </c>
      <c r="E1153" s="130" t="s">
        <v>1086</v>
      </c>
      <c r="F1153" s="195" t="s">
        <v>1183</v>
      </c>
      <c r="G1153" s="195" t="s">
        <v>1183</v>
      </c>
      <c r="H1153" s="195" t="s">
        <v>1183</v>
      </c>
      <c r="I1153" s="195" t="s">
        <v>1183</v>
      </c>
      <c r="J1153" s="132">
        <v>0.9</v>
      </c>
      <c r="K1153" s="133">
        <v>0.959183673469388</v>
      </c>
      <c r="L1153" s="133">
        <v>0.951219512195122</v>
      </c>
      <c r="M1153" s="134">
        <v>0.975</v>
      </c>
      <c r="N1153" s="133">
        <v>0.951632406287787</v>
      </c>
      <c r="O1153" s="135">
        <v>0.9</v>
      </c>
      <c r="P1153" s="133">
        <v>0.953307392996109</v>
      </c>
      <c r="Q1153" s="133">
        <v>0.928810320114668</v>
      </c>
      <c r="R1153" s="133">
        <v>0.940513462742642</v>
      </c>
      <c r="S1153" s="133">
        <v>0.92815730162431</v>
      </c>
      <c r="T1153" s="135">
        <v>0.9</v>
      </c>
      <c r="U1153" s="133">
        <v>0.905907322249735</v>
      </c>
      <c r="V1153" s="133">
        <v>0.892498805542284</v>
      </c>
      <c r="W1153" s="133">
        <v>0.89355040701315</v>
      </c>
      <c r="X1153" s="133">
        <v>0.875961762648636</v>
      </c>
      <c r="Y1153" s="135">
        <v>0.92</v>
      </c>
      <c r="Z1153" s="135">
        <v>0.942105263157895</v>
      </c>
      <c r="AA1153" s="135">
        <v>0.967647058823529</v>
      </c>
      <c r="AB1153" s="135">
        <v>0.928571428571429</v>
      </c>
      <c r="AC1153" s="135">
        <v>0.949649973074852</v>
      </c>
      <c r="AD1153" s="135">
        <v>0.92</v>
      </c>
      <c r="AE1153" s="133">
        <v>0.992559523809524</v>
      </c>
      <c r="AF1153" s="133">
        <v>0.986069651741294</v>
      </c>
      <c r="AG1153" s="133">
        <v>0.879120879120879</v>
      </c>
      <c r="AH1153" s="133">
        <v>0.99213870342451</v>
      </c>
      <c r="AI1153" s="135">
        <v>0.92</v>
      </c>
      <c r="AJ1153" s="133">
        <v>0.964315584053527</v>
      </c>
      <c r="AK1153" s="133">
        <v>0.970789758384421</v>
      </c>
      <c r="AL1153" s="133">
        <v>0.967724288840263</v>
      </c>
      <c r="AM1153" s="133">
        <v>0.972156630005177</v>
      </c>
      <c r="AN1153" s="132">
        <v>0.99</v>
      </c>
      <c r="AO1153" s="137">
        <v>1</v>
      </c>
      <c r="AP1153" s="137">
        <v>1</v>
      </c>
      <c r="AQ1153" s="137">
        <v>1</v>
      </c>
      <c r="AR1153" s="137">
        <v>1</v>
      </c>
      <c r="AS1153" s="158">
        <v>0.0721861525408278</v>
      </c>
      <c r="AT1153" s="141">
        <v>0</v>
      </c>
      <c r="AU1153" s="141">
        <v>0</v>
      </c>
      <c r="AV1153" s="141">
        <v>0.0666666666666667</v>
      </c>
      <c r="AW1153" s="141">
        <v>0.0564516129032258</v>
      </c>
      <c r="AX1153" s="95"/>
      <c r="AY1153" s="93"/>
    </row>
    <row r="1154" ht="15" spans="1:51">
      <c r="A1154" s="91"/>
      <c r="B1154" s="95"/>
      <c r="C1154" s="152" t="s">
        <v>1085</v>
      </c>
      <c r="D1154" s="153" t="s">
        <v>25</v>
      </c>
      <c r="E1154" s="130" t="s">
        <v>1086</v>
      </c>
      <c r="F1154" s="195" t="s">
        <v>1184</v>
      </c>
      <c r="G1154" s="195" t="s">
        <v>1184</v>
      </c>
      <c r="H1154" s="195" t="s">
        <v>1184</v>
      </c>
      <c r="I1154" s="195" t="s">
        <v>1184</v>
      </c>
      <c r="J1154" s="132">
        <v>0.9</v>
      </c>
      <c r="K1154" s="133">
        <v>1</v>
      </c>
      <c r="L1154" s="133">
        <v>0.918032786885246</v>
      </c>
      <c r="M1154" s="134">
        <v>1</v>
      </c>
      <c r="N1154" s="133">
        <v>0.984987489574646</v>
      </c>
      <c r="O1154" s="135">
        <v>0.9</v>
      </c>
      <c r="P1154" s="133">
        <v>0.978663957327915</v>
      </c>
      <c r="Q1154" s="133">
        <v>0.977690288713911</v>
      </c>
      <c r="R1154" s="133">
        <v>0.957339750601619</v>
      </c>
      <c r="S1154" s="133">
        <v>0.962877577499223</v>
      </c>
      <c r="T1154" s="135">
        <v>0.9</v>
      </c>
      <c r="U1154" s="133">
        <v>0.92760985521971</v>
      </c>
      <c r="V1154" s="133">
        <v>0.929790026246719</v>
      </c>
      <c r="W1154" s="133">
        <v>0.933274994530737</v>
      </c>
      <c r="X1154" s="133">
        <v>0.90880236759991</v>
      </c>
      <c r="Y1154" s="135">
        <v>0.92</v>
      </c>
      <c r="Z1154" s="135">
        <v>0.915178571428571</v>
      </c>
      <c r="AA1154" s="135">
        <v>0.925737538148525</v>
      </c>
      <c r="AB1154" s="135">
        <v>0.90414878397711</v>
      </c>
      <c r="AC1154" s="135">
        <v>0.928593673532945</v>
      </c>
      <c r="AD1154" s="135">
        <v>0.92</v>
      </c>
      <c r="AE1154" s="133">
        <v>0.993303571428571</v>
      </c>
      <c r="AF1154" s="133">
        <v>0.985948477751756</v>
      </c>
      <c r="AG1154" s="133">
        <v>0.963114754098361</v>
      </c>
      <c r="AH1154" s="133">
        <v>0.992947645230696</v>
      </c>
      <c r="AI1154" s="135">
        <v>0.92</v>
      </c>
      <c r="AJ1154" s="133">
        <v>0.963219299980225</v>
      </c>
      <c r="AK1154" s="133">
        <v>0.96577380952381</v>
      </c>
      <c r="AL1154" s="133">
        <v>0.971537001897533</v>
      </c>
      <c r="AM1154" s="133">
        <v>0.970521659495792</v>
      </c>
      <c r="AN1154" s="132">
        <v>0.99</v>
      </c>
      <c r="AO1154" s="137">
        <v>1</v>
      </c>
      <c r="AP1154" s="137">
        <v>1</v>
      </c>
      <c r="AQ1154" s="137">
        <v>1</v>
      </c>
      <c r="AR1154" s="137">
        <v>1</v>
      </c>
      <c r="AS1154" s="158">
        <v>0.0721861525408278</v>
      </c>
      <c r="AT1154" s="141">
        <v>0.08</v>
      </c>
      <c r="AU1154" s="141">
        <v>0</v>
      </c>
      <c r="AV1154" s="141">
        <v>0</v>
      </c>
      <c r="AW1154" s="141">
        <v>0.0294784580498866</v>
      </c>
      <c r="AX1154" s="95"/>
      <c r="AY1154" s="93"/>
    </row>
    <row r="1155" ht="15" spans="1:51">
      <c r="A1155" s="91"/>
      <c r="B1155" s="95"/>
      <c r="C1155" s="152" t="s">
        <v>1085</v>
      </c>
      <c r="D1155" s="153" t="s">
        <v>25</v>
      </c>
      <c r="E1155" s="130" t="s">
        <v>1086</v>
      </c>
      <c r="F1155" s="195" t="s">
        <v>1185</v>
      </c>
      <c r="G1155" s="195" t="s">
        <v>1185</v>
      </c>
      <c r="H1155" s="195" t="s">
        <v>1185</v>
      </c>
      <c r="I1155" s="195" t="s">
        <v>1185</v>
      </c>
      <c r="J1155" s="132">
        <v>0.9</v>
      </c>
      <c r="K1155" s="133">
        <v>0.977777777777778</v>
      </c>
      <c r="L1155" s="133">
        <v>0.971428571428571</v>
      </c>
      <c r="M1155" s="134">
        <v>0.926829268292683</v>
      </c>
      <c r="N1155" s="133">
        <v>0.962546816479401</v>
      </c>
      <c r="O1155" s="135">
        <v>0.9</v>
      </c>
      <c r="P1155" s="133">
        <v>0.992595204513399</v>
      </c>
      <c r="Q1155" s="133">
        <v>0.989001319841619</v>
      </c>
      <c r="R1155" s="133">
        <v>0.989547830038628</v>
      </c>
      <c r="S1155" s="133">
        <v>0.986358511837655</v>
      </c>
      <c r="T1155" s="135">
        <v>0.9</v>
      </c>
      <c r="U1155" s="133">
        <v>0.927009873060649</v>
      </c>
      <c r="V1155" s="133">
        <v>0.949846018477783</v>
      </c>
      <c r="W1155" s="133">
        <v>0.916382640309021</v>
      </c>
      <c r="X1155" s="133">
        <v>0.920919453839409</v>
      </c>
      <c r="Y1155" s="135">
        <v>0.92</v>
      </c>
      <c r="Z1155" s="135" t="s">
        <v>35</v>
      </c>
      <c r="AA1155" s="135" t="s">
        <v>35</v>
      </c>
      <c r="AB1155" s="135" t="s">
        <v>35</v>
      </c>
      <c r="AC1155" s="135" t="s">
        <v>35</v>
      </c>
      <c r="AD1155" s="135">
        <v>0.92</v>
      </c>
      <c r="AE1155" s="133">
        <v>1</v>
      </c>
      <c r="AF1155" s="133">
        <v>1</v>
      </c>
      <c r="AG1155" s="133">
        <v>0.988929889298893</v>
      </c>
      <c r="AH1155" s="133">
        <v>0.998917690351209</v>
      </c>
      <c r="AI1155" s="135">
        <v>0.92</v>
      </c>
      <c r="AJ1155" s="133">
        <v>0.966502115655853</v>
      </c>
      <c r="AK1155" s="133">
        <v>0.974043114826221</v>
      </c>
      <c r="AL1155" s="133">
        <v>0.972506248579868</v>
      </c>
      <c r="AM1155" s="133">
        <v>0.981585869973694</v>
      </c>
      <c r="AN1155" s="132">
        <v>0.99</v>
      </c>
      <c r="AO1155" s="137">
        <v>1</v>
      </c>
      <c r="AP1155" s="137">
        <v>1</v>
      </c>
      <c r="AQ1155" s="137">
        <v>1</v>
      </c>
      <c r="AR1155" s="137">
        <v>1</v>
      </c>
      <c r="AS1155" s="158">
        <v>0.0721861525408278</v>
      </c>
      <c r="AT1155" s="141">
        <v>0.142857142857143</v>
      </c>
      <c r="AU1155" s="141">
        <v>0</v>
      </c>
      <c r="AV1155" s="141">
        <v>0.0588235294117647</v>
      </c>
      <c r="AW1155" s="141">
        <v>0.0344827586206897</v>
      </c>
      <c r="AX1155" s="95"/>
      <c r="AY1155" s="93"/>
    </row>
    <row r="1156" ht="15" spans="1:51">
      <c r="A1156" s="91"/>
      <c r="B1156" s="95"/>
      <c r="C1156" s="152" t="s">
        <v>1085</v>
      </c>
      <c r="D1156" s="153" t="s">
        <v>25</v>
      </c>
      <c r="E1156" s="130" t="s">
        <v>1086</v>
      </c>
      <c r="F1156" s="195" t="s">
        <v>1186</v>
      </c>
      <c r="G1156" s="195" t="s">
        <v>1186</v>
      </c>
      <c r="H1156" s="195" t="s">
        <v>1186</v>
      </c>
      <c r="I1156" s="195" t="s">
        <v>1186</v>
      </c>
      <c r="J1156" s="132">
        <v>0.9</v>
      </c>
      <c r="K1156" s="133">
        <v>0.75</v>
      </c>
      <c r="L1156" s="133">
        <v>0.833333333333333</v>
      </c>
      <c r="M1156" s="134">
        <v>1</v>
      </c>
      <c r="N1156" s="133">
        <v>0.900826446280992</v>
      </c>
      <c r="O1156" s="135">
        <v>0.9</v>
      </c>
      <c r="P1156" s="133">
        <v>0.973533619456366</v>
      </c>
      <c r="Q1156" s="133">
        <v>0.992551210428305</v>
      </c>
      <c r="R1156" s="133">
        <v>0.985470085470086</v>
      </c>
      <c r="S1156" s="133">
        <v>0.981050087421578</v>
      </c>
      <c r="T1156" s="135">
        <v>0.9</v>
      </c>
      <c r="U1156" s="133">
        <v>0.900572246065808</v>
      </c>
      <c r="V1156" s="133">
        <v>0.942271880819367</v>
      </c>
      <c r="W1156" s="133">
        <v>0.844871794871795</v>
      </c>
      <c r="X1156" s="133">
        <v>0.850303404299085</v>
      </c>
      <c r="Y1156" s="135">
        <v>0.92</v>
      </c>
      <c r="Z1156" s="135">
        <v>0</v>
      </c>
      <c r="AA1156" s="135" t="s">
        <v>35</v>
      </c>
      <c r="AB1156" s="135" t="s">
        <v>35</v>
      </c>
      <c r="AC1156" s="135">
        <v>0</v>
      </c>
      <c r="AD1156" s="135">
        <v>0.92</v>
      </c>
      <c r="AE1156" s="133">
        <v>0.996</v>
      </c>
      <c r="AF1156" s="133">
        <v>0.994897959183674</v>
      </c>
      <c r="AG1156" s="133">
        <v>1</v>
      </c>
      <c r="AH1156" s="133">
        <v>0.994308480364257</v>
      </c>
      <c r="AI1156" s="135">
        <v>0.92</v>
      </c>
      <c r="AJ1156" s="133">
        <v>0.947819871336669</v>
      </c>
      <c r="AK1156" s="133">
        <v>0.966480446927374</v>
      </c>
      <c r="AL1156" s="133">
        <v>0.973076923076923</v>
      </c>
      <c r="AM1156" s="133">
        <v>0.971871545008099</v>
      </c>
      <c r="AN1156" s="132">
        <v>0.99</v>
      </c>
      <c r="AO1156" s="137">
        <v>1</v>
      </c>
      <c r="AP1156" s="137">
        <v>1</v>
      </c>
      <c r="AQ1156" s="137">
        <v>1</v>
      </c>
      <c r="AR1156" s="137">
        <v>1</v>
      </c>
      <c r="AS1156" s="158">
        <v>0.0721861525408278</v>
      </c>
      <c r="AT1156" s="141">
        <v>0</v>
      </c>
      <c r="AU1156" s="141">
        <v>0.25</v>
      </c>
      <c r="AV1156" s="141">
        <v>0</v>
      </c>
      <c r="AW1156" s="141">
        <v>0.0603448275862069</v>
      </c>
      <c r="AX1156" s="95"/>
      <c r="AY1156" s="93"/>
    </row>
    <row r="1157" ht="15" spans="1:51">
      <c r="A1157" s="91"/>
      <c r="B1157" s="95"/>
      <c r="C1157" s="152" t="s">
        <v>1085</v>
      </c>
      <c r="D1157" s="153" t="s">
        <v>25</v>
      </c>
      <c r="E1157" s="130" t="s">
        <v>1086</v>
      </c>
      <c r="F1157" s="195" t="s">
        <v>1187</v>
      </c>
      <c r="G1157" s="195" t="s">
        <v>1187</v>
      </c>
      <c r="H1157" s="195" t="s">
        <v>1187</v>
      </c>
      <c r="I1157" s="195" t="s">
        <v>1187</v>
      </c>
      <c r="J1157" s="132">
        <v>0.9</v>
      </c>
      <c r="K1157" s="133">
        <v>1</v>
      </c>
      <c r="L1157" s="133">
        <v>0.916666666666667</v>
      </c>
      <c r="M1157" s="134">
        <v>0.896551724137931</v>
      </c>
      <c r="N1157" s="133">
        <v>0.93631669535284</v>
      </c>
      <c r="O1157" s="135">
        <v>0.9</v>
      </c>
      <c r="P1157" s="133">
        <v>0.986580086580087</v>
      </c>
      <c r="Q1157" s="133">
        <v>0.986420950533463</v>
      </c>
      <c r="R1157" s="133">
        <v>0.981900452488688</v>
      </c>
      <c r="S1157" s="133">
        <v>0.927789755651379</v>
      </c>
      <c r="T1157" s="135">
        <v>0.9</v>
      </c>
      <c r="U1157" s="133">
        <v>0.892640692640693</v>
      </c>
      <c r="V1157" s="133">
        <v>0.832201745877789</v>
      </c>
      <c r="W1157" s="133">
        <v>0.848265460030166</v>
      </c>
      <c r="X1157" s="133">
        <v>0.837841369397622</v>
      </c>
      <c r="Y1157" s="135">
        <v>0.92</v>
      </c>
      <c r="Z1157" s="135" t="s">
        <v>35</v>
      </c>
      <c r="AA1157" s="135" t="s">
        <v>35</v>
      </c>
      <c r="AB1157" s="135" t="s">
        <v>35</v>
      </c>
      <c r="AC1157" s="135" t="s">
        <v>35</v>
      </c>
      <c r="AD1157" s="135">
        <v>0.92</v>
      </c>
      <c r="AE1157" s="133">
        <v>1</v>
      </c>
      <c r="AF1157" s="133">
        <v>0.971428571428571</v>
      </c>
      <c r="AG1157" s="133">
        <v>1</v>
      </c>
      <c r="AH1157" s="133">
        <v>0.99925205684368</v>
      </c>
      <c r="AI1157" s="135">
        <v>0.92</v>
      </c>
      <c r="AJ1157" s="133">
        <v>0.951515151515152</v>
      </c>
      <c r="AK1157" s="133">
        <v>0.955868089233754</v>
      </c>
      <c r="AL1157" s="133">
        <v>0.968024132730015</v>
      </c>
      <c r="AM1157" s="133">
        <v>0.973964458382334</v>
      </c>
      <c r="AN1157" s="132">
        <v>0.99</v>
      </c>
      <c r="AO1157" s="137">
        <v>1</v>
      </c>
      <c r="AP1157" s="137">
        <v>1</v>
      </c>
      <c r="AQ1157" s="137">
        <v>1</v>
      </c>
      <c r="AR1157" s="137">
        <v>1</v>
      </c>
      <c r="AS1157" s="158">
        <v>0.0721861525408278</v>
      </c>
      <c r="AT1157" s="141">
        <v>0.0555555555555556</v>
      </c>
      <c r="AU1157" s="141">
        <v>0.0588235294117647</v>
      </c>
      <c r="AV1157" s="141">
        <v>0</v>
      </c>
      <c r="AW1157" s="141">
        <v>0.0425531914893617</v>
      </c>
      <c r="AX1157" s="95"/>
      <c r="AY1157" s="93"/>
    </row>
    <row r="1158" ht="15" spans="1:51">
      <c r="A1158" s="91"/>
      <c r="B1158" s="95"/>
      <c r="C1158" s="152" t="s">
        <v>1085</v>
      </c>
      <c r="D1158" s="153" t="s">
        <v>25</v>
      </c>
      <c r="E1158" s="130" t="s">
        <v>1086</v>
      </c>
      <c r="F1158" s="195" t="s">
        <v>1188</v>
      </c>
      <c r="G1158" s="195" t="s">
        <v>1188</v>
      </c>
      <c r="H1158" s="195" t="s">
        <v>1188</v>
      </c>
      <c r="I1158" s="195" t="s">
        <v>1188</v>
      </c>
      <c r="J1158" s="132">
        <v>0.9</v>
      </c>
      <c r="K1158" s="133">
        <v>0.972222222222222</v>
      </c>
      <c r="L1158" s="133">
        <v>0.892857142857143</v>
      </c>
      <c r="M1158" s="134">
        <v>0.939393939393939</v>
      </c>
      <c r="N1158" s="133">
        <v>0.917741935483871</v>
      </c>
      <c r="O1158" s="135">
        <v>0.9</v>
      </c>
      <c r="P1158" s="133">
        <v>0.98274374460742</v>
      </c>
      <c r="Q1158" s="133">
        <v>0.993216506500848</v>
      </c>
      <c r="R1158" s="133">
        <v>0.879329301814184</v>
      </c>
      <c r="S1158" s="133">
        <v>0.958862137092723</v>
      </c>
      <c r="T1158" s="135">
        <v>0.9</v>
      </c>
      <c r="U1158" s="133">
        <v>0.838222605694564</v>
      </c>
      <c r="V1158" s="133">
        <v>0.816845675522894</v>
      </c>
      <c r="W1158" s="133">
        <v>0.68499175371083</v>
      </c>
      <c r="X1158" s="133">
        <v>0.755901952248602</v>
      </c>
      <c r="Y1158" s="135">
        <v>0.92</v>
      </c>
      <c r="Z1158" s="135" t="s">
        <v>35</v>
      </c>
      <c r="AA1158" s="135">
        <v>0</v>
      </c>
      <c r="AB1158" s="135" t="s">
        <v>35</v>
      </c>
      <c r="AC1158" s="135">
        <v>0</v>
      </c>
      <c r="AD1158" s="135">
        <v>0.92</v>
      </c>
      <c r="AE1158" s="133">
        <v>1</v>
      </c>
      <c r="AF1158" s="133">
        <v>1</v>
      </c>
      <c r="AG1158" s="133">
        <v>1</v>
      </c>
      <c r="AH1158" s="133">
        <v>1</v>
      </c>
      <c r="AI1158" s="135">
        <v>0.92</v>
      </c>
      <c r="AJ1158" s="133">
        <v>0.960310612597066</v>
      </c>
      <c r="AK1158" s="133">
        <v>0.948587570621469</v>
      </c>
      <c r="AL1158" s="133">
        <v>0.962067069818582</v>
      </c>
      <c r="AM1158" s="133">
        <v>0.961943509635508</v>
      </c>
      <c r="AN1158" s="132">
        <v>0.99</v>
      </c>
      <c r="AO1158" s="137">
        <v>1</v>
      </c>
      <c r="AP1158" s="137">
        <v>1</v>
      </c>
      <c r="AQ1158" s="137">
        <v>1</v>
      </c>
      <c r="AR1158" s="137">
        <v>1</v>
      </c>
      <c r="AS1158" s="158">
        <v>0.0721861525408278</v>
      </c>
      <c r="AT1158" s="141">
        <v>0.0769230769230769</v>
      </c>
      <c r="AU1158" s="141">
        <v>0.0555555555555556</v>
      </c>
      <c r="AV1158" s="141">
        <v>0.142857142857143</v>
      </c>
      <c r="AW1158" s="141">
        <v>0.0878661087866109</v>
      </c>
      <c r="AX1158" s="95"/>
      <c r="AY1158" s="93"/>
    </row>
    <row r="1159" ht="15" spans="1:51">
      <c r="A1159" s="91"/>
      <c r="B1159" s="95"/>
      <c r="C1159" s="152" t="s">
        <v>1085</v>
      </c>
      <c r="D1159" s="153" t="s">
        <v>25</v>
      </c>
      <c r="E1159" s="130" t="s">
        <v>1086</v>
      </c>
      <c r="F1159" s="195" t="s">
        <v>1189</v>
      </c>
      <c r="G1159" s="195" t="s">
        <v>1189</v>
      </c>
      <c r="H1159" s="195" t="s">
        <v>1189</v>
      </c>
      <c r="I1159" s="195" t="s">
        <v>1189</v>
      </c>
      <c r="J1159" s="132">
        <v>0.9</v>
      </c>
      <c r="K1159" s="133">
        <v>0.967741935483871</v>
      </c>
      <c r="L1159" s="133">
        <v>0.91025641025641</v>
      </c>
      <c r="M1159" s="134">
        <v>0.95</v>
      </c>
      <c r="N1159" s="133">
        <v>0.939508506616257</v>
      </c>
      <c r="O1159" s="135">
        <v>0.9</v>
      </c>
      <c r="P1159" s="133">
        <v>0.964445549477872</v>
      </c>
      <c r="Q1159" s="133">
        <v>0.9453125</v>
      </c>
      <c r="R1159" s="133">
        <v>0.960614793467819</v>
      </c>
      <c r="S1159" s="133">
        <v>0.94765344734385</v>
      </c>
      <c r="T1159" s="135">
        <v>0.9</v>
      </c>
      <c r="U1159" s="133">
        <v>0.934361014420686</v>
      </c>
      <c r="V1159" s="133">
        <v>0.895132211538462</v>
      </c>
      <c r="W1159" s="133">
        <v>0.923535062439962</v>
      </c>
      <c r="X1159" s="133">
        <v>0.917145805690697</v>
      </c>
      <c r="Y1159" s="135">
        <v>0.92</v>
      </c>
      <c r="Z1159" s="135">
        <v>0.943189596167009</v>
      </c>
      <c r="AA1159" s="135">
        <v>0.951527924130664</v>
      </c>
      <c r="AB1159" s="135">
        <v>0.94620253164557</v>
      </c>
      <c r="AC1159" s="135">
        <v>0.956658215622359</v>
      </c>
      <c r="AD1159" s="135">
        <v>0.92</v>
      </c>
      <c r="AE1159" s="133">
        <v>1</v>
      </c>
      <c r="AF1159" s="133">
        <v>0.998952331063384</v>
      </c>
      <c r="AG1159" s="133">
        <v>1</v>
      </c>
      <c r="AH1159" s="133">
        <v>0.999117513094967</v>
      </c>
      <c r="AI1159" s="135">
        <v>0.92</v>
      </c>
      <c r="AJ1159" s="133">
        <v>0.959153902261123</v>
      </c>
      <c r="AK1159" s="133">
        <v>0.961655365910685</v>
      </c>
      <c r="AL1159" s="133">
        <v>0.971560733253384</v>
      </c>
      <c r="AM1159" s="133">
        <v>0.971548407990458</v>
      </c>
      <c r="AN1159" s="132">
        <v>0.99</v>
      </c>
      <c r="AO1159" s="137">
        <v>1</v>
      </c>
      <c r="AP1159" s="137">
        <v>1</v>
      </c>
      <c r="AQ1159" s="137">
        <v>1</v>
      </c>
      <c r="AR1159" s="137">
        <v>1</v>
      </c>
      <c r="AS1159" s="158">
        <v>0.0721861525408278</v>
      </c>
      <c r="AT1159" s="141">
        <v>0.0697674418604651</v>
      </c>
      <c r="AU1159" s="141">
        <v>0.027027027027027</v>
      </c>
      <c r="AV1159" s="141">
        <v>0.0277777777777778</v>
      </c>
      <c r="AW1159" s="141">
        <v>0.0426666666666667</v>
      </c>
      <c r="AX1159" s="95"/>
      <c r="AY1159" s="93"/>
    </row>
    <row r="1160" ht="15" spans="1:51">
      <c r="A1160" s="91"/>
      <c r="B1160" s="95"/>
      <c r="C1160" s="152" t="s">
        <v>1085</v>
      </c>
      <c r="D1160" s="153" t="s">
        <v>25</v>
      </c>
      <c r="E1160" s="130" t="s">
        <v>1086</v>
      </c>
      <c r="F1160" s="195" t="s">
        <v>1190</v>
      </c>
      <c r="G1160" s="195" t="s">
        <v>1190</v>
      </c>
      <c r="H1160" s="195" t="s">
        <v>1190</v>
      </c>
      <c r="I1160" s="195" t="s">
        <v>1190</v>
      </c>
      <c r="J1160" s="132">
        <v>0.9</v>
      </c>
      <c r="K1160" s="133">
        <v>0.898305084745763</v>
      </c>
      <c r="L1160" s="133">
        <v>0.9375</v>
      </c>
      <c r="M1160" s="134">
        <v>0.888888888888889</v>
      </c>
      <c r="N1160" s="133">
        <v>0.925925925925926</v>
      </c>
      <c r="O1160" s="135">
        <v>0.9</v>
      </c>
      <c r="P1160" s="133">
        <v>0.989225243714726</v>
      </c>
      <c r="Q1160" s="133">
        <v>0.98655462184874</v>
      </c>
      <c r="R1160" s="133">
        <v>0.97847319115009</v>
      </c>
      <c r="S1160" s="133">
        <v>0.959107493980211</v>
      </c>
      <c r="T1160" s="135">
        <v>0.9</v>
      </c>
      <c r="U1160" s="133">
        <v>0.941765007696254</v>
      </c>
      <c r="V1160" s="133">
        <v>0.92436974789916</v>
      </c>
      <c r="W1160" s="133">
        <v>0.927048036675304</v>
      </c>
      <c r="X1160" s="133">
        <v>0.918782793392427</v>
      </c>
      <c r="Y1160" s="135">
        <v>0.92</v>
      </c>
      <c r="Z1160" s="135" t="s">
        <v>35</v>
      </c>
      <c r="AA1160" s="135" t="s">
        <v>35</v>
      </c>
      <c r="AB1160" s="135" t="s">
        <v>35</v>
      </c>
      <c r="AC1160" s="135" t="s">
        <v>35</v>
      </c>
      <c r="AD1160" s="135">
        <v>0.92</v>
      </c>
      <c r="AE1160" s="133">
        <v>0.999335548172757</v>
      </c>
      <c r="AF1160" s="133">
        <v>0.996587030716723</v>
      </c>
      <c r="AG1160" s="133">
        <v>0.999230769230769</v>
      </c>
      <c r="AH1160" s="133">
        <v>0.997846351655416</v>
      </c>
      <c r="AI1160" s="135">
        <v>0.92</v>
      </c>
      <c r="AJ1160" s="133">
        <v>0.971018209797384</v>
      </c>
      <c r="AK1160" s="133">
        <v>0.965378151260504</v>
      </c>
      <c r="AL1160" s="133">
        <v>0.980075712293285</v>
      </c>
      <c r="AM1160" s="133">
        <v>0.977540849157782</v>
      </c>
      <c r="AN1160" s="132">
        <v>0.99</v>
      </c>
      <c r="AO1160" s="137">
        <v>1</v>
      </c>
      <c r="AP1160" s="137">
        <v>1</v>
      </c>
      <c r="AQ1160" s="137">
        <v>1</v>
      </c>
      <c r="AR1160" s="137">
        <v>1</v>
      </c>
      <c r="AS1160" s="158">
        <v>0.0721861525408278</v>
      </c>
      <c r="AT1160" s="141">
        <v>0</v>
      </c>
      <c r="AU1160" s="141">
        <v>0.0833333333333333</v>
      </c>
      <c r="AV1160" s="141">
        <v>0</v>
      </c>
      <c r="AW1160" s="141">
        <v>0.0307262569832402</v>
      </c>
      <c r="AX1160" s="95"/>
      <c r="AY1160" s="93"/>
    </row>
    <row r="1161" ht="15" spans="1:51">
      <c r="A1161" s="91"/>
      <c r="B1161" s="95"/>
      <c r="C1161" s="152" t="s">
        <v>1085</v>
      </c>
      <c r="D1161" s="153" t="s">
        <v>25</v>
      </c>
      <c r="E1161" s="130" t="s">
        <v>1086</v>
      </c>
      <c r="F1161" s="195" t="s">
        <v>1191</v>
      </c>
      <c r="G1161" s="195" t="s">
        <v>1191</v>
      </c>
      <c r="H1161" s="195" t="s">
        <v>1191</v>
      </c>
      <c r="I1161" s="195" t="s">
        <v>1191</v>
      </c>
      <c r="J1161" s="132">
        <v>0.9</v>
      </c>
      <c r="K1161" s="133">
        <v>0.983606557377049</v>
      </c>
      <c r="L1161" s="133">
        <v>1</v>
      </c>
      <c r="M1161" s="134">
        <v>1</v>
      </c>
      <c r="N1161" s="133">
        <v>0.981243830207305</v>
      </c>
      <c r="O1161" s="135">
        <v>0.9</v>
      </c>
      <c r="P1161" s="133">
        <v>0.925792938360263</v>
      </c>
      <c r="Q1161" s="133">
        <v>0.964598084131612</v>
      </c>
      <c r="R1161" s="133">
        <v>0.966973470492691</v>
      </c>
      <c r="S1161" s="133">
        <v>0.953054568595217</v>
      </c>
      <c r="T1161" s="135">
        <v>0.9</v>
      </c>
      <c r="U1161" s="133">
        <v>0.844703770197487</v>
      </c>
      <c r="V1161" s="133">
        <v>0.825489379425239</v>
      </c>
      <c r="W1161" s="133">
        <v>0.827016783974012</v>
      </c>
      <c r="X1161" s="133">
        <v>0.823142599565148</v>
      </c>
      <c r="Y1161" s="135">
        <v>0.92</v>
      </c>
      <c r="Z1161" s="135">
        <v>0.895196506550218</v>
      </c>
      <c r="AA1161" s="135">
        <v>0.843822843822844</v>
      </c>
      <c r="AB1161" s="135">
        <v>0.877049180327869</v>
      </c>
      <c r="AC1161" s="135">
        <v>0.894727623051322</v>
      </c>
      <c r="AD1161" s="135">
        <v>0.92</v>
      </c>
      <c r="AE1161" s="133">
        <v>0.995061728395062</v>
      </c>
      <c r="AF1161" s="133">
        <v>0.997198879551821</v>
      </c>
      <c r="AG1161" s="133">
        <v>0.996168582375479</v>
      </c>
      <c r="AH1161" s="133">
        <v>0.995255586164677</v>
      </c>
      <c r="AI1161" s="135">
        <v>0.92</v>
      </c>
      <c r="AJ1161" s="133">
        <v>0.922047428973938</v>
      </c>
      <c r="AK1161" s="133">
        <v>0.908254065664314</v>
      </c>
      <c r="AL1161" s="133">
        <v>0.942372070779531</v>
      </c>
      <c r="AM1161" s="133">
        <v>0.941746523913959</v>
      </c>
      <c r="AN1161" s="132">
        <v>0.99</v>
      </c>
      <c r="AO1161" s="137">
        <v>1</v>
      </c>
      <c r="AP1161" s="137">
        <v>1</v>
      </c>
      <c r="AQ1161" s="137">
        <v>1</v>
      </c>
      <c r="AR1161" s="137">
        <v>1</v>
      </c>
      <c r="AS1161" s="158">
        <v>0.0721861525408278</v>
      </c>
      <c r="AT1161" s="141">
        <v>0.0357142857142857</v>
      </c>
      <c r="AU1161" s="141">
        <v>0</v>
      </c>
      <c r="AV1161" s="141">
        <v>0</v>
      </c>
      <c r="AW1161" s="141">
        <v>0.0397877984084881</v>
      </c>
      <c r="AX1161" s="95"/>
      <c r="AY1161" s="93"/>
    </row>
    <row r="1162" ht="15" spans="1:51">
      <c r="A1162" s="91"/>
      <c r="B1162" s="95"/>
      <c r="C1162" s="152" t="s">
        <v>1085</v>
      </c>
      <c r="D1162" s="153" t="s">
        <v>25</v>
      </c>
      <c r="E1162" s="130" t="s">
        <v>1086</v>
      </c>
      <c r="F1162" s="195" t="s">
        <v>1192</v>
      </c>
      <c r="G1162" s="195" t="s">
        <v>1192</v>
      </c>
      <c r="H1162" s="195" t="s">
        <v>1192</v>
      </c>
      <c r="I1162" s="195" t="s">
        <v>1192</v>
      </c>
      <c r="J1162" s="132">
        <v>0.9</v>
      </c>
      <c r="K1162" s="133">
        <v>1</v>
      </c>
      <c r="L1162" s="133">
        <v>0.973684210526316</v>
      </c>
      <c r="M1162" s="134">
        <v>1</v>
      </c>
      <c r="N1162" s="133">
        <v>0.975323149236193</v>
      </c>
      <c r="O1162" s="135">
        <v>0.9</v>
      </c>
      <c r="P1162" s="133">
        <v>0.964390448261416</v>
      </c>
      <c r="Q1162" s="133">
        <v>0.978862606945143</v>
      </c>
      <c r="R1162" s="133">
        <v>0.983595800524934</v>
      </c>
      <c r="S1162" s="133">
        <v>0.959516341356389</v>
      </c>
      <c r="T1162" s="135">
        <v>0.9</v>
      </c>
      <c r="U1162" s="133">
        <v>0.909928780896523</v>
      </c>
      <c r="V1162" s="133">
        <v>0.907901358832411</v>
      </c>
      <c r="W1162" s="133">
        <v>0.913713910761155</v>
      </c>
      <c r="X1162" s="133">
        <v>0.912645658286067</v>
      </c>
      <c r="Y1162" s="135">
        <v>0.92</v>
      </c>
      <c r="Z1162" s="135">
        <v>0.945029239766082</v>
      </c>
      <c r="AA1162" s="135">
        <v>0.891634980988593</v>
      </c>
      <c r="AB1162" s="135">
        <v>0.91421568627451</v>
      </c>
      <c r="AC1162" s="135">
        <v>0.941350210970464</v>
      </c>
      <c r="AD1162" s="135">
        <v>0.92</v>
      </c>
      <c r="AE1162" s="133">
        <v>0.998277347114556</v>
      </c>
      <c r="AF1162" s="133">
        <v>0.994910941475827</v>
      </c>
      <c r="AG1162" s="133">
        <v>0.997271487039563</v>
      </c>
      <c r="AH1162" s="133">
        <v>0.993984411780091</v>
      </c>
      <c r="AI1162" s="135">
        <v>0.92</v>
      </c>
      <c r="AJ1162" s="133">
        <v>0.961443553362122</v>
      </c>
      <c r="AK1162" s="133">
        <v>0.94150417827298</v>
      </c>
      <c r="AL1162" s="133">
        <v>0.960358796296296</v>
      </c>
      <c r="AM1162" s="133">
        <v>0.969756574083853</v>
      </c>
      <c r="AN1162" s="132">
        <v>0.99</v>
      </c>
      <c r="AO1162" s="137">
        <v>1</v>
      </c>
      <c r="AP1162" s="137">
        <v>1</v>
      </c>
      <c r="AQ1162" s="137">
        <v>1</v>
      </c>
      <c r="AR1162" s="137">
        <v>1</v>
      </c>
      <c r="AS1162" s="158">
        <v>0.0721861525408278</v>
      </c>
      <c r="AT1162" s="141">
        <v>0.037037037037037</v>
      </c>
      <c r="AU1162" s="141">
        <v>0</v>
      </c>
      <c r="AV1162" s="141">
        <v>0.115384615384615</v>
      </c>
      <c r="AW1162" s="141">
        <v>0.0474777448071217</v>
      </c>
      <c r="AX1162" s="95"/>
      <c r="AY1162" s="93"/>
    </row>
    <row r="1163" ht="15" spans="1:51">
      <c r="A1163" s="91"/>
      <c r="B1163" s="95"/>
      <c r="C1163" s="152" t="s">
        <v>1085</v>
      </c>
      <c r="D1163" s="153" t="s">
        <v>25</v>
      </c>
      <c r="E1163" s="130" t="s">
        <v>1086</v>
      </c>
      <c r="F1163" s="195" t="s">
        <v>1193</v>
      </c>
      <c r="G1163" s="195" t="s">
        <v>1193</v>
      </c>
      <c r="H1163" s="195" t="s">
        <v>1193</v>
      </c>
      <c r="I1163" s="195" t="s">
        <v>1193</v>
      </c>
      <c r="J1163" s="132">
        <v>0.9</v>
      </c>
      <c r="K1163" s="133">
        <v>1</v>
      </c>
      <c r="L1163" s="133">
        <v>0.964285714285714</v>
      </c>
      <c r="M1163" s="134">
        <v>0.96551724137931</v>
      </c>
      <c r="N1163" s="133">
        <v>0.988950276243094</v>
      </c>
      <c r="O1163" s="135">
        <v>0.9</v>
      </c>
      <c r="P1163" s="133">
        <v>0.888018433179724</v>
      </c>
      <c r="Q1163" s="133">
        <v>0.976303317535545</v>
      </c>
      <c r="R1163" s="133">
        <v>0.979721669980119</v>
      </c>
      <c r="S1163" s="133">
        <v>0.972053878833028</v>
      </c>
      <c r="T1163" s="135">
        <v>0.9</v>
      </c>
      <c r="U1163" s="133">
        <v>0.884792626728111</v>
      </c>
      <c r="V1163" s="133">
        <v>0.9739336492891</v>
      </c>
      <c r="W1163" s="133">
        <v>0.978926441351889</v>
      </c>
      <c r="X1163" s="133">
        <v>0.958725109227455</v>
      </c>
      <c r="Y1163" s="135">
        <v>0.92</v>
      </c>
      <c r="Z1163" s="135">
        <v>0.97339593114241</v>
      </c>
      <c r="AA1163" s="135">
        <v>0.975510204081633</v>
      </c>
      <c r="AB1163" s="135">
        <v>0.96875</v>
      </c>
      <c r="AC1163" s="135">
        <v>0.983050847457627</v>
      </c>
      <c r="AD1163" s="135">
        <v>0.92</v>
      </c>
      <c r="AE1163" s="133">
        <v>1</v>
      </c>
      <c r="AF1163" s="133">
        <v>1</v>
      </c>
      <c r="AG1163" s="133">
        <v>0.99890590809628</v>
      </c>
      <c r="AH1163" s="133">
        <v>0.9985735343065</v>
      </c>
      <c r="AI1163" s="135">
        <v>0.92</v>
      </c>
      <c r="AJ1163" s="133">
        <v>0.984692061231755</v>
      </c>
      <c r="AK1163" s="133">
        <v>0.984855438274438</v>
      </c>
      <c r="AL1163" s="133">
        <v>0.988226899750268</v>
      </c>
      <c r="AM1163" s="133">
        <v>0.98898706620566</v>
      </c>
      <c r="AN1163" s="132">
        <v>0.99</v>
      </c>
      <c r="AO1163" s="137">
        <v>1</v>
      </c>
      <c r="AP1163" s="137">
        <v>1</v>
      </c>
      <c r="AQ1163" s="137">
        <v>1</v>
      </c>
      <c r="AR1163" s="137">
        <v>1</v>
      </c>
      <c r="AS1163" s="158">
        <v>0.0721861525408278</v>
      </c>
      <c r="AT1163" s="141">
        <v>0</v>
      </c>
      <c r="AU1163" s="141">
        <v>0.0434782608695652</v>
      </c>
      <c r="AV1163" s="141">
        <v>0</v>
      </c>
      <c r="AW1163" s="141">
        <v>0.0238095238095238</v>
      </c>
      <c r="AX1163" s="95"/>
      <c r="AY1163" s="93"/>
    </row>
    <row r="1164" ht="15" spans="1:51">
      <c r="A1164" s="91"/>
      <c r="B1164" s="95"/>
      <c r="C1164" s="152" t="s">
        <v>1085</v>
      </c>
      <c r="D1164" s="153" t="s">
        <v>25</v>
      </c>
      <c r="E1164" s="130" t="s">
        <v>1086</v>
      </c>
      <c r="F1164" s="195" t="s">
        <v>1194</v>
      </c>
      <c r="G1164" s="195" t="s">
        <v>1194</v>
      </c>
      <c r="H1164" s="195" t="s">
        <v>1194</v>
      </c>
      <c r="I1164" s="195" t="s">
        <v>1194</v>
      </c>
      <c r="J1164" s="132">
        <v>0.9</v>
      </c>
      <c r="K1164" s="133">
        <v>0.868421052631579</v>
      </c>
      <c r="L1164" s="133">
        <v>0.973684210526316</v>
      </c>
      <c r="M1164" s="134">
        <v>0.871794871794872</v>
      </c>
      <c r="N1164" s="133">
        <v>0.935302390998594</v>
      </c>
      <c r="O1164" s="135">
        <v>0.9</v>
      </c>
      <c r="P1164" s="133">
        <v>0.969381107491857</v>
      </c>
      <c r="Q1164" s="133">
        <v>0.981760507533703</v>
      </c>
      <c r="R1164" s="133">
        <v>0.986854917234664</v>
      </c>
      <c r="S1164" s="133">
        <v>0.978147987884033</v>
      </c>
      <c r="T1164" s="135">
        <v>0.9</v>
      </c>
      <c r="U1164" s="133">
        <v>0.895765472312704</v>
      </c>
      <c r="V1164" s="133">
        <v>0.918318794607454</v>
      </c>
      <c r="W1164" s="133">
        <v>0.933787731256086</v>
      </c>
      <c r="X1164" s="133">
        <v>0.911245732967931</v>
      </c>
      <c r="Y1164" s="135">
        <v>0.92</v>
      </c>
      <c r="Z1164" s="135">
        <v>0.943253467843632</v>
      </c>
      <c r="AA1164" s="135">
        <v>0.952830188679245</v>
      </c>
      <c r="AB1164" s="135">
        <v>0.950127877237852</v>
      </c>
      <c r="AC1164" s="135">
        <v>0.952709537572254</v>
      </c>
      <c r="AD1164" s="135">
        <v>0.92</v>
      </c>
      <c r="AE1164" s="133">
        <v>0.988174921909862</v>
      </c>
      <c r="AF1164" s="133">
        <v>0.985629613061955</v>
      </c>
      <c r="AG1164" s="133">
        <v>0.988122430333486</v>
      </c>
      <c r="AH1164" s="133">
        <v>0.98700822382015</v>
      </c>
      <c r="AI1164" s="135">
        <v>0.92</v>
      </c>
      <c r="AJ1164" s="133">
        <v>0.956758488148623</v>
      </c>
      <c r="AK1164" s="133">
        <v>0.960722347629797</v>
      </c>
      <c r="AL1164" s="133">
        <v>0.963694043003172</v>
      </c>
      <c r="AM1164" s="133">
        <v>0.966340463612482</v>
      </c>
      <c r="AN1164" s="132">
        <v>0.99</v>
      </c>
      <c r="AO1164" s="137">
        <v>1</v>
      </c>
      <c r="AP1164" s="137">
        <v>1</v>
      </c>
      <c r="AQ1164" s="137">
        <v>1</v>
      </c>
      <c r="AR1164" s="137">
        <v>1</v>
      </c>
      <c r="AS1164" s="158">
        <v>0.0721861525408278</v>
      </c>
      <c r="AT1164" s="141">
        <v>0.0769230769230769</v>
      </c>
      <c r="AU1164" s="141">
        <v>0.0714285714285714</v>
      </c>
      <c r="AV1164" s="141">
        <v>0.136363636363636</v>
      </c>
      <c r="AW1164" s="141">
        <v>0.0822222222222222</v>
      </c>
      <c r="AX1164" s="95"/>
      <c r="AY1164" s="93"/>
    </row>
    <row r="1165" ht="15" spans="1:51">
      <c r="A1165" s="91"/>
      <c r="B1165" s="95"/>
      <c r="C1165" s="152" t="s">
        <v>1085</v>
      </c>
      <c r="D1165" s="153" t="s">
        <v>25</v>
      </c>
      <c r="E1165" s="130" t="s">
        <v>1086</v>
      </c>
      <c r="F1165" s="195" t="s">
        <v>1195</v>
      </c>
      <c r="G1165" s="195" t="s">
        <v>1195</v>
      </c>
      <c r="H1165" s="195" t="s">
        <v>1195</v>
      </c>
      <c r="I1165" s="195" t="s">
        <v>1195</v>
      </c>
      <c r="J1165" s="132">
        <v>0.9</v>
      </c>
      <c r="K1165" s="133">
        <v>0.9</v>
      </c>
      <c r="L1165" s="133">
        <v>0.951219512195122</v>
      </c>
      <c r="M1165" s="134">
        <v>0.954545454545455</v>
      </c>
      <c r="N1165" s="133">
        <v>0.963827304550758</v>
      </c>
      <c r="O1165" s="135">
        <v>0.9</v>
      </c>
      <c r="P1165" s="133">
        <v>0.87271897810219</v>
      </c>
      <c r="Q1165" s="133">
        <v>0.901538461538462</v>
      </c>
      <c r="R1165" s="133">
        <v>0.838660110633067</v>
      </c>
      <c r="S1165" s="133">
        <v>0.900038974463254</v>
      </c>
      <c r="T1165" s="135">
        <v>0.9</v>
      </c>
      <c r="U1165" s="133">
        <v>0.951186131386861</v>
      </c>
      <c r="V1165" s="133">
        <v>0.95025641025641</v>
      </c>
      <c r="W1165" s="133">
        <v>0.93300553165335</v>
      </c>
      <c r="X1165" s="133">
        <v>0.925829901886025</v>
      </c>
      <c r="Y1165" s="135">
        <v>0.92</v>
      </c>
      <c r="Z1165" s="135">
        <v>0.944827586206897</v>
      </c>
      <c r="AA1165" s="135">
        <v>0.954802259887006</v>
      </c>
      <c r="AB1165" s="135">
        <v>0.91742195367573</v>
      </c>
      <c r="AC1165" s="135">
        <v>0.943285859613428</v>
      </c>
      <c r="AD1165" s="135">
        <v>0.92</v>
      </c>
      <c r="AE1165" s="133">
        <v>0.978862452772388</v>
      </c>
      <c r="AF1165" s="133">
        <v>0.99586129753915</v>
      </c>
      <c r="AG1165" s="133">
        <v>0.997803806734993</v>
      </c>
      <c r="AH1165" s="133">
        <v>0.99320967454037</v>
      </c>
      <c r="AI1165" s="135">
        <v>0.92</v>
      </c>
      <c r="AJ1165" s="133">
        <v>0.964452071586173</v>
      </c>
      <c r="AK1165" s="133">
        <v>0.971190971190971</v>
      </c>
      <c r="AL1165" s="133">
        <v>0.970103578154426</v>
      </c>
      <c r="AM1165" s="133">
        <v>0.963566655016469</v>
      </c>
      <c r="AN1165" s="132">
        <v>0.99</v>
      </c>
      <c r="AO1165" s="137">
        <v>1</v>
      </c>
      <c r="AP1165" s="137">
        <v>1</v>
      </c>
      <c r="AQ1165" s="137">
        <v>1</v>
      </c>
      <c r="AR1165" s="137">
        <v>1</v>
      </c>
      <c r="AS1165" s="158">
        <v>0.0721861525408278</v>
      </c>
      <c r="AT1165" s="141">
        <v>0.0454545454545455</v>
      </c>
      <c r="AU1165" s="141">
        <v>0.0666666666666667</v>
      </c>
      <c r="AV1165" s="141">
        <v>0</v>
      </c>
      <c r="AW1165" s="141">
        <v>0.0571428571428571</v>
      </c>
      <c r="AX1165" s="95"/>
      <c r="AY1165" s="93"/>
    </row>
    <row r="1166" ht="15" spans="1:51">
      <c r="A1166" s="91"/>
      <c r="B1166" s="95"/>
      <c r="C1166" s="152" t="s">
        <v>1085</v>
      </c>
      <c r="D1166" s="153" t="s">
        <v>25</v>
      </c>
      <c r="E1166" s="130" t="s">
        <v>1086</v>
      </c>
      <c r="F1166" s="195" t="s">
        <v>1196</v>
      </c>
      <c r="G1166" s="195" t="s">
        <v>1196</v>
      </c>
      <c r="H1166" s="195" t="s">
        <v>1196</v>
      </c>
      <c r="I1166" s="195" t="s">
        <v>1196</v>
      </c>
      <c r="J1166" s="132">
        <v>0.9</v>
      </c>
      <c r="K1166" s="133">
        <v>0.875</v>
      </c>
      <c r="L1166" s="133">
        <v>0.857142857142857</v>
      </c>
      <c r="M1166" s="134">
        <v>0.961538461538462</v>
      </c>
      <c r="N1166" s="133">
        <v>0.889891696750903</v>
      </c>
      <c r="O1166" s="135">
        <v>0.9</v>
      </c>
      <c r="P1166" s="133">
        <v>0.969289827255278</v>
      </c>
      <c r="Q1166" s="133">
        <v>0.975479744136461</v>
      </c>
      <c r="R1166" s="133">
        <v>0.90978886756238</v>
      </c>
      <c r="S1166" s="133">
        <v>0.965284441398218</v>
      </c>
      <c r="T1166" s="135">
        <v>0.9</v>
      </c>
      <c r="U1166" s="133">
        <v>0.907869481765835</v>
      </c>
      <c r="V1166" s="133">
        <v>0.915778251599147</v>
      </c>
      <c r="W1166" s="133">
        <v>0.875879718490083</v>
      </c>
      <c r="X1166" s="133">
        <v>0.916346812885538</v>
      </c>
      <c r="Y1166" s="135">
        <v>0.92</v>
      </c>
      <c r="Z1166" s="135">
        <v>0.932047750229568</v>
      </c>
      <c r="AA1166" s="135">
        <v>0.93625</v>
      </c>
      <c r="AB1166" s="135">
        <v>0.90873786407767</v>
      </c>
      <c r="AC1166" s="135">
        <v>0.949632688337255</v>
      </c>
      <c r="AD1166" s="135">
        <v>0.92</v>
      </c>
      <c r="AE1166" s="133">
        <v>0.996539792387543</v>
      </c>
      <c r="AF1166" s="133">
        <v>0.998244073748903</v>
      </c>
      <c r="AG1166" s="133">
        <v>0.998583569405099</v>
      </c>
      <c r="AH1166" s="133">
        <v>0.949858185503569</v>
      </c>
      <c r="AI1166" s="135">
        <v>0.92</v>
      </c>
      <c r="AJ1166" s="133">
        <v>0.949319568277804</v>
      </c>
      <c r="AK1166" s="133">
        <v>0.950517836593786</v>
      </c>
      <c r="AL1166" s="133">
        <v>0.947089947089947</v>
      </c>
      <c r="AM1166" s="133">
        <v>0.964030071579958</v>
      </c>
      <c r="AN1166" s="132">
        <v>0.99</v>
      </c>
      <c r="AO1166" s="137">
        <v>1</v>
      </c>
      <c r="AP1166" s="137">
        <v>1</v>
      </c>
      <c r="AQ1166" s="137">
        <v>1</v>
      </c>
      <c r="AR1166" s="137">
        <v>1</v>
      </c>
      <c r="AS1166" s="158">
        <v>0.0721861525408278</v>
      </c>
      <c r="AT1166" s="141">
        <v>0</v>
      </c>
      <c r="AU1166" s="141">
        <v>0.0344827586206897</v>
      </c>
      <c r="AV1166" s="141">
        <v>0.0526315789473684</v>
      </c>
      <c r="AW1166" s="141">
        <v>0.0529411764705882</v>
      </c>
      <c r="AX1166" s="95"/>
      <c r="AY1166" s="93"/>
    </row>
    <row r="1167" ht="15" spans="1:51">
      <c r="A1167" s="91"/>
      <c r="B1167" s="95"/>
      <c r="C1167" s="152" t="s">
        <v>1085</v>
      </c>
      <c r="D1167" s="153" t="s">
        <v>25</v>
      </c>
      <c r="E1167" s="130" t="s">
        <v>1086</v>
      </c>
      <c r="F1167" s="195" t="s">
        <v>1197</v>
      </c>
      <c r="G1167" s="195" t="s">
        <v>1197</v>
      </c>
      <c r="H1167" s="195" t="s">
        <v>1197</v>
      </c>
      <c r="I1167" s="195" t="s">
        <v>1197</v>
      </c>
      <c r="J1167" s="132">
        <v>0.9</v>
      </c>
      <c r="K1167" s="133">
        <v>0.90625</v>
      </c>
      <c r="L1167" s="133">
        <v>0.96969696969697</v>
      </c>
      <c r="M1167" s="134">
        <v>0.90625</v>
      </c>
      <c r="N1167" s="133">
        <v>0.950724637681159</v>
      </c>
      <c r="O1167" s="135">
        <v>0.9</v>
      </c>
      <c r="P1167" s="133">
        <v>0.982802547770701</v>
      </c>
      <c r="Q1167" s="133">
        <v>0.9864</v>
      </c>
      <c r="R1167" s="133">
        <v>0.991429860171403</v>
      </c>
      <c r="S1167" s="133">
        <v>0.989421266475077</v>
      </c>
      <c r="T1167" s="135">
        <v>0.9</v>
      </c>
      <c r="U1167" s="133">
        <v>0.925477707006369</v>
      </c>
      <c r="V1167" s="133">
        <v>0.9536</v>
      </c>
      <c r="W1167" s="133">
        <v>0.958953540820929</v>
      </c>
      <c r="X1167" s="133">
        <v>0.947626597958577</v>
      </c>
      <c r="Y1167" s="135">
        <v>0.92</v>
      </c>
      <c r="Z1167" s="135">
        <v>0.939751552795031</v>
      </c>
      <c r="AA1167" s="135">
        <v>0.961789375582479</v>
      </c>
      <c r="AB1167" s="135">
        <v>0.963165075034106</v>
      </c>
      <c r="AC1167" s="135">
        <v>0.966198403813513</v>
      </c>
      <c r="AD1167" s="135">
        <v>0.92</v>
      </c>
      <c r="AE1167" s="133">
        <v>0.993060909791827</v>
      </c>
      <c r="AF1167" s="133">
        <v>0.986274316184457</v>
      </c>
      <c r="AG1167" s="133">
        <v>0.992992473397353</v>
      </c>
      <c r="AH1167" s="133">
        <v>0.99096433797221</v>
      </c>
      <c r="AI1167" s="135">
        <v>0.92</v>
      </c>
      <c r="AJ1167" s="133">
        <v>0.953473750392958</v>
      </c>
      <c r="AK1167" s="133">
        <v>0.973763440860215</v>
      </c>
      <c r="AL1167" s="133">
        <v>0.980677966101695</v>
      </c>
      <c r="AM1167" s="133">
        <v>0.97921043738889</v>
      </c>
      <c r="AN1167" s="132">
        <v>0.99</v>
      </c>
      <c r="AO1167" s="137">
        <v>1</v>
      </c>
      <c r="AP1167" s="137">
        <v>1</v>
      </c>
      <c r="AQ1167" s="137">
        <v>1</v>
      </c>
      <c r="AR1167" s="137">
        <v>1</v>
      </c>
      <c r="AS1167" s="158">
        <v>0.0721861525408278</v>
      </c>
      <c r="AT1167" s="141">
        <v>0.1</v>
      </c>
      <c r="AU1167" s="141">
        <v>0.0769230769230769</v>
      </c>
      <c r="AV1167" s="141">
        <v>0</v>
      </c>
      <c r="AW1167" s="141">
        <v>0.0427046263345196</v>
      </c>
      <c r="AX1167" s="95"/>
      <c r="AY1167" s="93"/>
    </row>
    <row r="1168" ht="15" spans="1:51">
      <c r="A1168" s="91"/>
      <c r="B1168" s="95"/>
      <c r="C1168" s="152" t="s">
        <v>1085</v>
      </c>
      <c r="D1168" s="153" t="s">
        <v>25</v>
      </c>
      <c r="E1168" s="130" t="s">
        <v>1086</v>
      </c>
      <c r="F1168" s="195" t="s">
        <v>1198</v>
      </c>
      <c r="G1168" s="195" t="s">
        <v>1198</v>
      </c>
      <c r="H1168" s="195" t="s">
        <v>1198</v>
      </c>
      <c r="I1168" s="195" t="s">
        <v>1198</v>
      </c>
      <c r="J1168" s="132">
        <v>0.9</v>
      </c>
      <c r="K1168" s="133">
        <v>0.916666666666667</v>
      </c>
      <c r="L1168" s="133">
        <v>0.9</v>
      </c>
      <c r="M1168" s="134">
        <v>0.848484848484849</v>
      </c>
      <c r="N1168" s="133">
        <v>0.8752</v>
      </c>
      <c r="O1168" s="135">
        <v>0.9</v>
      </c>
      <c r="P1168" s="133">
        <v>0.973045822102426</v>
      </c>
      <c r="Q1168" s="133">
        <v>0.983425414364641</v>
      </c>
      <c r="R1168" s="133">
        <v>0.980511571254568</v>
      </c>
      <c r="S1168" s="133">
        <v>0.97527843945149</v>
      </c>
      <c r="T1168" s="135">
        <v>0.9</v>
      </c>
      <c r="U1168" s="133">
        <v>0.912848158131177</v>
      </c>
      <c r="V1168" s="133">
        <v>0.92707182320442</v>
      </c>
      <c r="W1168" s="133">
        <v>0.906211936662607</v>
      </c>
      <c r="X1168" s="133">
        <v>0.921393162943411</v>
      </c>
      <c r="Y1168" s="135">
        <v>0.92</v>
      </c>
      <c r="Z1168" s="135">
        <v>0.935560859188544</v>
      </c>
      <c r="AA1168" s="135">
        <v>0.965174129353234</v>
      </c>
      <c r="AB1168" s="135">
        <v>0.925287356321839</v>
      </c>
      <c r="AC1168" s="135">
        <v>0.950829095732921</v>
      </c>
      <c r="AD1168" s="135">
        <v>0.92</v>
      </c>
      <c r="AE1168" s="133">
        <v>0.998526703499079</v>
      </c>
      <c r="AF1168" s="133">
        <v>0.984893146647015</v>
      </c>
      <c r="AG1168" s="133">
        <v>0.997050147492625</v>
      </c>
      <c r="AH1168" s="133">
        <v>0.993296063467025</v>
      </c>
      <c r="AI1168" s="135">
        <v>0.92</v>
      </c>
      <c r="AJ1168" s="133">
        <v>0.948101265822785</v>
      </c>
      <c r="AK1168" s="133">
        <v>0.965476887068461</v>
      </c>
      <c r="AL1168" s="133">
        <v>0.946857670979667</v>
      </c>
      <c r="AM1168" s="133">
        <v>0.963376923363511</v>
      </c>
      <c r="AN1168" s="132">
        <v>0.99</v>
      </c>
      <c r="AO1168" s="137">
        <v>1</v>
      </c>
      <c r="AP1168" s="137">
        <v>1</v>
      </c>
      <c r="AQ1168" s="137">
        <v>1</v>
      </c>
      <c r="AR1168" s="137">
        <v>0.99960047942469</v>
      </c>
      <c r="AS1168" s="158">
        <v>0.0721861525408278</v>
      </c>
      <c r="AT1168" s="141">
        <v>0.105263157894737</v>
      </c>
      <c r="AU1168" s="141">
        <v>0.0555555555555556</v>
      </c>
      <c r="AV1168" s="141">
        <v>0</v>
      </c>
      <c r="AW1168" s="141">
        <v>0.029673590504451</v>
      </c>
      <c r="AX1168" s="95"/>
      <c r="AY1168" s="93"/>
    </row>
    <row r="1169" ht="15" spans="1:51">
      <c r="A1169" s="91"/>
      <c r="B1169" s="95"/>
      <c r="C1169" s="152" t="s">
        <v>1085</v>
      </c>
      <c r="D1169" s="153" t="s">
        <v>25</v>
      </c>
      <c r="E1169" s="130" t="s">
        <v>1086</v>
      </c>
      <c r="F1169" s="195" t="s">
        <v>1199</v>
      </c>
      <c r="G1169" s="195" t="s">
        <v>1199</v>
      </c>
      <c r="H1169" s="195" t="s">
        <v>1199</v>
      </c>
      <c r="I1169" s="195" t="s">
        <v>1199</v>
      </c>
      <c r="J1169" s="132">
        <v>0.9</v>
      </c>
      <c r="K1169" s="133">
        <v>0.923076923076923</v>
      </c>
      <c r="L1169" s="133">
        <v>0.931818181818182</v>
      </c>
      <c r="M1169" s="134">
        <v>0.933333333333333</v>
      </c>
      <c r="N1169" s="133">
        <v>0.937433722163309</v>
      </c>
      <c r="O1169" s="135">
        <v>0.9</v>
      </c>
      <c r="P1169" s="133">
        <v>0.989732142857143</v>
      </c>
      <c r="Q1169" s="133">
        <v>0.987588652482269</v>
      </c>
      <c r="R1169" s="133">
        <v>0.988821138211382</v>
      </c>
      <c r="S1169" s="133">
        <v>0.98213017956399</v>
      </c>
      <c r="T1169" s="135">
        <v>0.9</v>
      </c>
      <c r="U1169" s="133">
        <v>0.959375</v>
      </c>
      <c r="V1169" s="133">
        <v>0.946217494089834</v>
      </c>
      <c r="W1169" s="133">
        <v>0.960027100271003</v>
      </c>
      <c r="X1169" s="133">
        <v>0.947948953264878</v>
      </c>
      <c r="Y1169" s="135">
        <v>0.92</v>
      </c>
      <c r="Z1169" s="135">
        <v>0.961467038068709</v>
      </c>
      <c r="AA1169" s="135">
        <v>0.964876033057851</v>
      </c>
      <c r="AB1169" s="135">
        <v>0.951612903225806</v>
      </c>
      <c r="AC1169" s="135">
        <v>0.961988688675523</v>
      </c>
      <c r="AD1169" s="135">
        <v>0.92</v>
      </c>
      <c r="AE1169" s="133">
        <v>0.997219647822057</v>
      </c>
      <c r="AF1169" s="133">
        <v>0.993767976989454</v>
      </c>
      <c r="AG1169" s="133">
        <v>0.997443272611058</v>
      </c>
      <c r="AH1169" s="133">
        <v>0.994844352266724</v>
      </c>
      <c r="AI1169" s="135">
        <v>0.92</v>
      </c>
      <c r="AJ1169" s="133">
        <v>0.974312343714481</v>
      </c>
      <c r="AK1169" s="133">
        <v>0.972663699936427</v>
      </c>
      <c r="AL1169" s="133">
        <v>0.977462648771841</v>
      </c>
      <c r="AM1169" s="133">
        <v>0.976084097125081</v>
      </c>
      <c r="AN1169" s="132">
        <v>0.99</v>
      </c>
      <c r="AO1169" s="137">
        <v>1</v>
      </c>
      <c r="AP1169" s="137">
        <v>1</v>
      </c>
      <c r="AQ1169" s="137">
        <v>1</v>
      </c>
      <c r="AR1169" s="137">
        <v>1</v>
      </c>
      <c r="AS1169" s="158">
        <v>0.0721861525408278</v>
      </c>
      <c r="AT1169" s="141">
        <v>0</v>
      </c>
      <c r="AU1169" s="141">
        <v>0.125</v>
      </c>
      <c r="AV1169" s="141">
        <v>0.117647058823529</v>
      </c>
      <c r="AW1169" s="141">
        <v>0.0507042253521127</v>
      </c>
      <c r="AX1169" s="95"/>
      <c r="AY1169" s="93"/>
    </row>
    <row r="1170" ht="15" spans="1:51">
      <c r="A1170" s="91"/>
      <c r="B1170" s="95"/>
      <c r="C1170" s="152" t="s">
        <v>1085</v>
      </c>
      <c r="D1170" s="153" t="s">
        <v>25</v>
      </c>
      <c r="E1170" s="130" t="s">
        <v>1086</v>
      </c>
      <c r="F1170" s="195" t="s">
        <v>1200</v>
      </c>
      <c r="G1170" s="195" t="s">
        <v>1200</v>
      </c>
      <c r="H1170" s="195" t="s">
        <v>1200</v>
      </c>
      <c r="I1170" s="195" t="s">
        <v>1200</v>
      </c>
      <c r="J1170" s="132">
        <v>0.9</v>
      </c>
      <c r="K1170" s="133">
        <v>0.939393939393939</v>
      </c>
      <c r="L1170" s="133">
        <v>0.870967741935484</v>
      </c>
      <c r="M1170" s="134">
        <v>0.918918918918919</v>
      </c>
      <c r="N1170" s="133">
        <v>0.948640483383686</v>
      </c>
      <c r="O1170" s="135">
        <v>0.9</v>
      </c>
      <c r="P1170" s="133">
        <v>0.972765363128492</v>
      </c>
      <c r="Q1170" s="133">
        <v>0.962566844919786</v>
      </c>
      <c r="R1170" s="133">
        <v>0.986164122137405</v>
      </c>
      <c r="S1170" s="133">
        <v>0.958586828903832</v>
      </c>
      <c r="T1170" s="135">
        <v>0.9</v>
      </c>
      <c r="U1170" s="133">
        <v>0.949022346368715</v>
      </c>
      <c r="V1170" s="133">
        <v>0.912146676852559</v>
      </c>
      <c r="W1170" s="133">
        <v>0.95324427480916</v>
      </c>
      <c r="X1170" s="133">
        <v>0.928407514142384</v>
      </c>
      <c r="Y1170" s="135">
        <v>0.92</v>
      </c>
      <c r="Z1170" s="135">
        <v>0.949025487256372</v>
      </c>
      <c r="AA1170" s="135">
        <v>0.932735426008969</v>
      </c>
      <c r="AB1170" s="135">
        <v>0.941548183254344</v>
      </c>
      <c r="AC1170" s="135">
        <v>0.952750590617617</v>
      </c>
      <c r="AD1170" s="135">
        <v>0.92</v>
      </c>
      <c r="AE1170" s="133">
        <v>0.994262241637869</v>
      </c>
      <c r="AF1170" s="133">
        <v>0.933352416392348</v>
      </c>
      <c r="AG1170" s="133">
        <v>0.988159984598354</v>
      </c>
      <c r="AH1170" s="133">
        <v>0.967070050801846</v>
      </c>
      <c r="AI1170" s="135">
        <v>0.92</v>
      </c>
      <c r="AJ1170" s="133">
        <v>0.963511560693642</v>
      </c>
      <c r="AK1170" s="133">
        <v>0.953678474114441</v>
      </c>
      <c r="AL1170" s="133">
        <v>0.978388278388278</v>
      </c>
      <c r="AM1170" s="133">
        <v>0.970522394156767</v>
      </c>
      <c r="AN1170" s="132">
        <v>0.99</v>
      </c>
      <c r="AO1170" s="137">
        <v>1</v>
      </c>
      <c r="AP1170" s="137">
        <v>1</v>
      </c>
      <c r="AQ1170" s="137">
        <v>1</v>
      </c>
      <c r="AR1170" s="137">
        <v>1</v>
      </c>
      <c r="AS1170" s="158">
        <v>0.0721861525408278</v>
      </c>
      <c r="AT1170" s="141">
        <v>0</v>
      </c>
      <c r="AU1170" s="141">
        <v>0.1</v>
      </c>
      <c r="AV1170" s="141">
        <v>0</v>
      </c>
      <c r="AW1170" s="141">
        <v>0.0266666666666667</v>
      </c>
      <c r="AX1170" s="95"/>
      <c r="AY1170" s="93"/>
    </row>
    <row r="1171" ht="15" spans="1:51">
      <c r="A1171" s="91"/>
      <c r="B1171" s="95"/>
      <c r="C1171" s="152" t="s">
        <v>1085</v>
      </c>
      <c r="D1171" s="153" t="s">
        <v>25</v>
      </c>
      <c r="E1171" s="130" t="s">
        <v>1086</v>
      </c>
      <c r="F1171" s="195" t="s">
        <v>1201</v>
      </c>
      <c r="G1171" s="195" t="s">
        <v>1201</v>
      </c>
      <c r="H1171" s="195" t="s">
        <v>1201</v>
      </c>
      <c r="I1171" s="195" t="s">
        <v>1201</v>
      </c>
      <c r="J1171" s="132">
        <v>0.9</v>
      </c>
      <c r="K1171" s="133">
        <v>0.981481481481482</v>
      </c>
      <c r="L1171" s="133">
        <v>0.978723404255319</v>
      </c>
      <c r="M1171" s="134">
        <v>0.938775510204082</v>
      </c>
      <c r="N1171" s="133">
        <v>0.941050375133976</v>
      </c>
      <c r="O1171" s="135">
        <v>0.9</v>
      </c>
      <c r="P1171" s="133">
        <v>0.976409666283084</v>
      </c>
      <c r="Q1171" s="133">
        <v>0.977448907681466</v>
      </c>
      <c r="R1171" s="133">
        <v>0.973377097009482</v>
      </c>
      <c r="S1171" s="133">
        <v>0.969058473736373</v>
      </c>
      <c r="T1171" s="135">
        <v>0.9</v>
      </c>
      <c r="U1171" s="133">
        <v>0.948216340621404</v>
      </c>
      <c r="V1171" s="133">
        <v>0.954897815362932</v>
      </c>
      <c r="W1171" s="133">
        <v>0.938001458789205</v>
      </c>
      <c r="X1171" s="133">
        <v>0.947651139742319</v>
      </c>
      <c r="Y1171" s="135">
        <v>0.92</v>
      </c>
      <c r="Z1171" s="135">
        <v>0.944851146900927</v>
      </c>
      <c r="AA1171" s="135">
        <v>0.974380871050384</v>
      </c>
      <c r="AB1171" s="135">
        <v>0.958666666666667</v>
      </c>
      <c r="AC1171" s="135">
        <v>0.957558740948722</v>
      </c>
      <c r="AD1171" s="135">
        <v>0.92</v>
      </c>
      <c r="AE1171" s="133">
        <v>0.997587454764777</v>
      </c>
      <c r="AF1171" s="133">
        <v>0.994982438534872</v>
      </c>
      <c r="AG1171" s="133">
        <v>0.996489468405216</v>
      </c>
      <c r="AH1171" s="133">
        <v>0.9652680146816</v>
      </c>
      <c r="AI1171" s="135">
        <v>0.92</v>
      </c>
      <c r="AJ1171" s="133">
        <v>0.960654871930288</v>
      </c>
      <c r="AK1171" s="133">
        <v>0.977220077220077</v>
      </c>
      <c r="AL1171" s="133">
        <v>0.97737686139748</v>
      </c>
      <c r="AM1171" s="133">
        <v>0.973828759891329</v>
      </c>
      <c r="AN1171" s="132">
        <v>0.99</v>
      </c>
      <c r="AO1171" s="137">
        <v>1</v>
      </c>
      <c r="AP1171" s="137">
        <v>1</v>
      </c>
      <c r="AQ1171" s="137">
        <v>1</v>
      </c>
      <c r="AR1171" s="137">
        <v>1</v>
      </c>
      <c r="AS1171" s="158">
        <v>0.0721861525408278</v>
      </c>
      <c r="AT1171" s="141">
        <v>0.0416666666666667</v>
      </c>
      <c r="AU1171" s="141">
        <v>0.0588235294117647</v>
      </c>
      <c r="AV1171" s="141">
        <v>0.12</v>
      </c>
      <c r="AW1171" s="141">
        <v>0.0385542168674699</v>
      </c>
      <c r="AX1171" s="95"/>
      <c r="AY1171" s="93"/>
    </row>
    <row r="1172" ht="15" spans="1:51">
      <c r="A1172" s="91"/>
      <c r="B1172" s="95"/>
      <c r="C1172" s="152" t="s">
        <v>1085</v>
      </c>
      <c r="D1172" s="153" t="s">
        <v>125</v>
      </c>
      <c r="E1172" s="130" t="s">
        <v>1086</v>
      </c>
      <c r="F1172" s="195" t="s">
        <v>1202</v>
      </c>
      <c r="G1172" s="195" t="s">
        <v>1202</v>
      </c>
      <c r="H1172" s="195" t="s">
        <v>1202</v>
      </c>
      <c r="I1172" s="195" t="s">
        <v>1202</v>
      </c>
      <c r="J1172" s="132">
        <v>0.9</v>
      </c>
      <c r="K1172" s="133" t="s">
        <v>35</v>
      </c>
      <c r="L1172" s="133" t="s">
        <v>35</v>
      </c>
      <c r="M1172" s="134" t="s">
        <v>35</v>
      </c>
      <c r="N1172" s="133" t="s">
        <v>35</v>
      </c>
      <c r="O1172" s="135">
        <v>0.9</v>
      </c>
      <c r="P1172" s="133">
        <v>0</v>
      </c>
      <c r="Q1172" s="133" t="s">
        <v>35</v>
      </c>
      <c r="R1172" s="133" t="s">
        <v>35</v>
      </c>
      <c r="S1172" s="133">
        <v>0</v>
      </c>
      <c r="T1172" s="135">
        <v>0.9</v>
      </c>
      <c r="U1172" s="133">
        <v>1</v>
      </c>
      <c r="V1172" s="133" t="s">
        <v>35</v>
      </c>
      <c r="W1172" s="133" t="s">
        <v>35</v>
      </c>
      <c r="X1172" s="133">
        <v>1</v>
      </c>
      <c r="Y1172" s="135">
        <v>0.92</v>
      </c>
      <c r="Z1172" s="135">
        <v>1</v>
      </c>
      <c r="AA1172" s="135" t="s">
        <v>35</v>
      </c>
      <c r="AB1172" s="135" t="s">
        <v>35</v>
      </c>
      <c r="AC1172" s="135">
        <v>0.8</v>
      </c>
      <c r="AD1172" s="135">
        <v>0.92</v>
      </c>
      <c r="AE1172" s="133">
        <v>0.992322254943206</v>
      </c>
      <c r="AF1172" s="133">
        <v>0.937604119339694</v>
      </c>
      <c r="AG1172" s="133">
        <v>0.993943763518385</v>
      </c>
      <c r="AH1172" s="133">
        <v>0.980831505559516</v>
      </c>
      <c r="AI1172" s="135">
        <v>0.92</v>
      </c>
      <c r="AJ1172" s="133">
        <v>1</v>
      </c>
      <c r="AK1172" s="133">
        <v>1</v>
      </c>
      <c r="AL1172" s="133" t="s">
        <v>35</v>
      </c>
      <c r="AM1172" s="133">
        <v>0.981818181818182</v>
      </c>
      <c r="AN1172" s="132">
        <v>0.99</v>
      </c>
      <c r="AO1172" s="137">
        <v>1</v>
      </c>
      <c r="AP1172" s="137">
        <v>1</v>
      </c>
      <c r="AQ1172" s="137">
        <v>1</v>
      </c>
      <c r="AR1172" s="137">
        <v>1</v>
      </c>
      <c r="AS1172" s="158">
        <v>0.0721861525408278</v>
      </c>
      <c r="AT1172" s="141" t="s">
        <v>35</v>
      </c>
      <c r="AU1172" s="141" t="s">
        <v>35</v>
      </c>
      <c r="AV1172" s="141" t="s">
        <v>35</v>
      </c>
      <c r="AW1172" s="141" t="s">
        <v>35</v>
      </c>
      <c r="AX1172" s="95"/>
      <c r="AY1172" s="93"/>
    </row>
    <row r="1173" ht="15" spans="1:51">
      <c r="A1173" s="91"/>
      <c r="B1173" s="95"/>
      <c r="C1173" s="152" t="s">
        <v>1085</v>
      </c>
      <c r="D1173" s="153" t="s">
        <v>25</v>
      </c>
      <c r="E1173" s="130" t="s">
        <v>1086</v>
      </c>
      <c r="F1173" s="195" t="s">
        <v>1203</v>
      </c>
      <c r="G1173" s="195" t="s">
        <v>1203</v>
      </c>
      <c r="H1173" s="195" t="s">
        <v>1203</v>
      </c>
      <c r="I1173" s="195" t="s">
        <v>1203</v>
      </c>
      <c r="J1173" s="132">
        <v>0.9</v>
      </c>
      <c r="K1173" s="133">
        <v>0.843137254901961</v>
      </c>
      <c r="L1173" s="133">
        <v>0.891304347826087</v>
      </c>
      <c r="M1173" s="134">
        <v>0.844444444444444</v>
      </c>
      <c r="N1173" s="133">
        <v>0.905973451327434</v>
      </c>
      <c r="O1173" s="135">
        <v>0.9</v>
      </c>
      <c r="P1173" s="133">
        <v>0.959728033472803</v>
      </c>
      <c r="Q1173" s="133">
        <v>0.961418792781581</v>
      </c>
      <c r="R1173" s="133">
        <v>0.972544878563886</v>
      </c>
      <c r="S1173" s="133">
        <v>0.959894738989413</v>
      </c>
      <c r="T1173" s="135">
        <v>0.9</v>
      </c>
      <c r="U1173" s="133">
        <v>0.914748953974895</v>
      </c>
      <c r="V1173" s="133">
        <v>0.909769757311761</v>
      </c>
      <c r="W1173" s="133">
        <v>0.90320309750088</v>
      </c>
      <c r="X1173" s="133">
        <v>0.904449113645172</v>
      </c>
      <c r="Y1173" s="135">
        <v>0.92</v>
      </c>
      <c r="Z1173" s="135">
        <v>0.935323383084577</v>
      </c>
      <c r="AA1173" s="135">
        <v>0.936395759717314</v>
      </c>
      <c r="AB1173" s="135">
        <v>0.969914040114613</v>
      </c>
      <c r="AC1173" s="135">
        <v>0.954147364149731</v>
      </c>
      <c r="AD1173" s="135">
        <v>0.92</v>
      </c>
      <c r="AE1173" s="133">
        <v>0.998070894622619</v>
      </c>
      <c r="AF1173" s="133">
        <v>0.999062353492733</v>
      </c>
      <c r="AG1173" s="133">
        <v>0.99766081871345</v>
      </c>
      <c r="AH1173" s="133">
        <v>0.997437916338595</v>
      </c>
      <c r="AI1173" s="135">
        <v>0.92</v>
      </c>
      <c r="AJ1173" s="133">
        <v>0.955131649650725</v>
      </c>
      <c r="AK1173" s="133">
        <v>0.963855421686747</v>
      </c>
      <c r="AL1173" s="133">
        <v>0.982480926815485</v>
      </c>
      <c r="AM1173" s="133">
        <v>0.973588458308949</v>
      </c>
      <c r="AN1173" s="132">
        <v>0.99</v>
      </c>
      <c r="AO1173" s="137">
        <v>1</v>
      </c>
      <c r="AP1173" s="137">
        <v>1</v>
      </c>
      <c r="AQ1173" s="137">
        <v>1</v>
      </c>
      <c r="AR1173" s="137">
        <v>1</v>
      </c>
      <c r="AS1173" s="158">
        <v>0.0721861525408278</v>
      </c>
      <c r="AT1173" s="141">
        <v>0</v>
      </c>
      <c r="AU1173" s="141">
        <v>0</v>
      </c>
      <c r="AV1173" s="141">
        <v>0.0555555555555556</v>
      </c>
      <c r="AW1173" s="141">
        <v>0.0299625468164794</v>
      </c>
      <c r="AX1173" s="95"/>
      <c r="AY1173" s="93"/>
    </row>
    <row r="1174" ht="15" spans="1:51">
      <c r="A1174" s="91"/>
      <c r="B1174" s="95"/>
      <c r="C1174" s="152" t="s">
        <v>1085</v>
      </c>
      <c r="D1174" s="153" t="s">
        <v>25</v>
      </c>
      <c r="E1174" s="130" t="s">
        <v>1086</v>
      </c>
      <c r="F1174" s="195" t="s">
        <v>1204</v>
      </c>
      <c r="G1174" s="195" t="s">
        <v>1204</v>
      </c>
      <c r="H1174" s="195" t="s">
        <v>1204</v>
      </c>
      <c r="I1174" s="195" t="s">
        <v>1204</v>
      </c>
      <c r="J1174" s="132">
        <v>0.9</v>
      </c>
      <c r="K1174" s="133">
        <v>0.958333333333333</v>
      </c>
      <c r="L1174" s="133">
        <v>0.926829268292683</v>
      </c>
      <c r="M1174" s="134">
        <v>0.9375</v>
      </c>
      <c r="N1174" s="133">
        <v>0.966819221967963</v>
      </c>
      <c r="O1174" s="135">
        <v>0.9</v>
      </c>
      <c r="P1174" s="133">
        <v>0.948209099709584</v>
      </c>
      <c r="Q1174" s="133">
        <v>0.96551724137931</v>
      </c>
      <c r="R1174" s="133">
        <v>0.965191932335719</v>
      </c>
      <c r="S1174" s="133">
        <v>0.971224227524166</v>
      </c>
      <c r="T1174" s="135">
        <v>0.9</v>
      </c>
      <c r="U1174" s="133">
        <v>0.916263310745402</v>
      </c>
      <c r="V1174" s="133">
        <v>0.93708408953418</v>
      </c>
      <c r="W1174" s="133">
        <v>0.953480806766428</v>
      </c>
      <c r="X1174" s="133">
        <v>0.947700731966251</v>
      </c>
      <c r="Y1174" s="135">
        <v>0.92</v>
      </c>
      <c r="Z1174" s="135">
        <v>0.952306894764126</v>
      </c>
      <c r="AA1174" s="135">
        <v>0.916047548291233</v>
      </c>
      <c r="AB1174" s="135">
        <v>0.900692840646651</v>
      </c>
      <c r="AC1174" s="135">
        <v>0.9558655385319</v>
      </c>
      <c r="AD1174" s="135">
        <v>0.92</v>
      </c>
      <c r="AE1174" s="133">
        <v>0.998829801066181</v>
      </c>
      <c r="AF1174" s="133">
        <v>0.997921718046415</v>
      </c>
      <c r="AG1174" s="133">
        <v>0.99422706863374</v>
      </c>
      <c r="AH1174" s="133">
        <v>0.994816862474084</v>
      </c>
      <c r="AI1174" s="135">
        <v>0.92</v>
      </c>
      <c r="AJ1174" s="133">
        <v>0.962462462462462</v>
      </c>
      <c r="AK1174" s="133">
        <v>0.949333333333333</v>
      </c>
      <c r="AL1174" s="133">
        <v>0.966497461928934</v>
      </c>
      <c r="AM1174" s="133">
        <v>0.974640295882008</v>
      </c>
      <c r="AN1174" s="132">
        <v>0.99</v>
      </c>
      <c r="AO1174" s="137">
        <v>1</v>
      </c>
      <c r="AP1174" s="137">
        <v>1</v>
      </c>
      <c r="AQ1174" s="137">
        <v>1</v>
      </c>
      <c r="AR1174" s="137">
        <v>1</v>
      </c>
      <c r="AS1174" s="158">
        <v>0.0721861525408278</v>
      </c>
      <c r="AT1174" s="141">
        <v>0</v>
      </c>
      <c r="AU1174" s="141">
        <v>0</v>
      </c>
      <c r="AV1174" s="141">
        <v>0.05</v>
      </c>
      <c r="AW1174" s="141">
        <v>0.035031847133758</v>
      </c>
      <c r="AX1174" s="95"/>
      <c r="AY1174" s="93"/>
    </row>
    <row r="1175" ht="15" spans="1:51">
      <c r="A1175" s="91"/>
      <c r="B1175" s="95"/>
      <c r="C1175" s="152" t="s">
        <v>1085</v>
      </c>
      <c r="D1175" s="153" t="s">
        <v>25</v>
      </c>
      <c r="E1175" s="130" t="s">
        <v>1086</v>
      </c>
      <c r="F1175" s="195" t="s">
        <v>1205</v>
      </c>
      <c r="G1175" s="195" t="s">
        <v>1205</v>
      </c>
      <c r="H1175" s="195" t="s">
        <v>1205</v>
      </c>
      <c r="I1175" s="195" t="s">
        <v>1205</v>
      </c>
      <c r="J1175" s="132">
        <v>0.9</v>
      </c>
      <c r="K1175" s="133">
        <v>0.92</v>
      </c>
      <c r="L1175" s="133">
        <v>0.96</v>
      </c>
      <c r="M1175" s="134">
        <v>0.88</v>
      </c>
      <c r="N1175" s="133">
        <v>0.914473684210526</v>
      </c>
      <c r="O1175" s="135">
        <v>0.9</v>
      </c>
      <c r="P1175" s="133">
        <v>0.99039780521262</v>
      </c>
      <c r="Q1175" s="133">
        <v>0.968698517298188</v>
      </c>
      <c r="R1175" s="133">
        <v>0.993962678375412</v>
      </c>
      <c r="S1175" s="133">
        <v>0.983252097030152</v>
      </c>
      <c r="T1175" s="135">
        <v>0.9</v>
      </c>
      <c r="U1175" s="133">
        <v>0.938271604938272</v>
      </c>
      <c r="V1175" s="133">
        <v>0.942339373970346</v>
      </c>
      <c r="W1175" s="133">
        <v>0.958836443468716</v>
      </c>
      <c r="X1175" s="133">
        <v>0.943040126955339</v>
      </c>
      <c r="Y1175" s="135">
        <v>0.92</v>
      </c>
      <c r="Z1175" s="135">
        <v>0.971246006389776</v>
      </c>
      <c r="AA1175" s="135">
        <v>0.958668197474168</v>
      </c>
      <c r="AB1175" s="135">
        <v>0.958664546899841</v>
      </c>
      <c r="AC1175" s="135">
        <v>0.967049977885891</v>
      </c>
      <c r="AD1175" s="135">
        <v>0.92</v>
      </c>
      <c r="AE1175" s="133">
        <v>0.997030048916841</v>
      </c>
      <c r="AF1175" s="133">
        <v>0.993969298245614</v>
      </c>
      <c r="AG1175" s="133">
        <v>0.994174434087883</v>
      </c>
      <c r="AH1175" s="133">
        <v>0.99408993271068</v>
      </c>
      <c r="AI1175" s="135">
        <v>0.92</v>
      </c>
      <c r="AJ1175" s="133">
        <v>0.971955719557196</v>
      </c>
      <c r="AK1175" s="133">
        <v>0.973141486810552</v>
      </c>
      <c r="AL1175" s="133">
        <v>0.983272133822929</v>
      </c>
      <c r="AM1175" s="133">
        <v>0.9787575773276</v>
      </c>
      <c r="AN1175" s="132">
        <v>0.99</v>
      </c>
      <c r="AO1175" s="137">
        <v>1</v>
      </c>
      <c r="AP1175" s="137">
        <v>1</v>
      </c>
      <c r="AQ1175" s="137">
        <v>1</v>
      </c>
      <c r="AR1175" s="137">
        <v>1</v>
      </c>
      <c r="AS1175" s="158">
        <v>0.0721861525408278</v>
      </c>
      <c r="AT1175" s="141">
        <v>0</v>
      </c>
      <c r="AU1175" s="141">
        <v>0</v>
      </c>
      <c r="AV1175" s="141">
        <v>0</v>
      </c>
      <c r="AW1175" s="141">
        <v>0.0424028268551237</v>
      </c>
      <c r="AX1175" s="95"/>
      <c r="AY1175" s="93"/>
    </row>
    <row r="1176" ht="15" spans="1:51">
      <c r="A1176" s="91"/>
      <c r="B1176" s="95"/>
      <c r="C1176" s="152" t="s">
        <v>1085</v>
      </c>
      <c r="D1176" s="153" t="s">
        <v>25</v>
      </c>
      <c r="E1176" s="130" t="s">
        <v>1086</v>
      </c>
      <c r="F1176" s="195" t="s">
        <v>1206</v>
      </c>
      <c r="G1176" s="195" t="s">
        <v>1206</v>
      </c>
      <c r="H1176" s="195" t="s">
        <v>1206</v>
      </c>
      <c r="I1176" s="195" t="s">
        <v>1206</v>
      </c>
      <c r="J1176" s="132">
        <v>0.9</v>
      </c>
      <c r="K1176" s="133">
        <v>0.958333333333333</v>
      </c>
      <c r="L1176" s="133">
        <v>0.975609756097561</v>
      </c>
      <c r="M1176" s="134">
        <v>0.930232558139535</v>
      </c>
      <c r="N1176" s="133">
        <v>0.943195266272189</v>
      </c>
      <c r="O1176" s="135">
        <v>0.9</v>
      </c>
      <c r="P1176" s="133">
        <v>0.922692132787631</v>
      </c>
      <c r="Q1176" s="133">
        <v>0.917241379310345</v>
      </c>
      <c r="R1176" s="133">
        <v>0.949037037037037</v>
      </c>
      <c r="S1176" s="133">
        <v>0.951143156878091</v>
      </c>
      <c r="T1176" s="135">
        <v>0.9</v>
      </c>
      <c r="U1176" s="133">
        <v>0.900409276944065</v>
      </c>
      <c r="V1176" s="133">
        <v>0.910344827586207</v>
      </c>
      <c r="W1176" s="133">
        <v>0.920296296296296</v>
      </c>
      <c r="X1176" s="133">
        <v>0.915607879706259</v>
      </c>
      <c r="Y1176" s="135">
        <v>0.92</v>
      </c>
      <c r="Z1176" s="135">
        <v>0.936348408710218</v>
      </c>
      <c r="AA1176" s="135">
        <v>0.94949494949495</v>
      </c>
      <c r="AB1176" s="135">
        <v>0.954641350210971</v>
      </c>
      <c r="AC1176" s="135">
        <v>0.95166222265711</v>
      </c>
      <c r="AD1176" s="135">
        <v>0.92</v>
      </c>
      <c r="AE1176" s="133">
        <v>0.993829699712053</v>
      </c>
      <c r="AF1176" s="133">
        <v>0.996671887235709</v>
      </c>
      <c r="AG1176" s="133">
        <v>0.998759305210918</v>
      </c>
      <c r="AH1176" s="133">
        <v>0.995992608126908</v>
      </c>
      <c r="AI1176" s="135">
        <v>0.92</v>
      </c>
      <c r="AJ1176" s="133">
        <v>0.947896228471768</v>
      </c>
      <c r="AK1176" s="133">
        <v>0.959702417854929</v>
      </c>
      <c r="AL1176" s="133">
        <v>0.96485549132948</v>
      </c>
      <c r="AM1176" s="133">
        <v>0.966584771452914</v>
      </c>
      <c r="AN1176" s="132">
        <v>0.99</v>
      </c>
      <c r="AO1176" s="137">
        <v>1</v>
      </c>
      <c r="AP1176" s="137">
        <v>1</v>
      </c>
      <c r="AQ1176" s="137">
        <v>1</v>
      </c>
      <c r="AR1176" s="137">
        <v>1</v>
      </c>
      <c r="AS1176" s="158">
        <v>0.0721861525408278</v>
      </c>
      <c r="AT1176" s="141">
        <v>0.1</v>
      </c>
      <c r="AU1176" s="141">
        <v>0.037037037037037</v>
      </c>
      <c r="AV1176" s="141">
        <v>0.0294117647058824</v>
      </c>
      <c r="AW1176" s="141">
        <v>0.0367775831873905</v>
      </c>
      <c r="AX1176" s="95"/>
      <c r="AY1176" s="93"/>
    </row>
    <row r="1177" ht="15" spans="1:51">
      <c r="A1177" s="91"/>
      <c r="B1177" s="95"/>
      <c r="C1177" s="152" t="s">
        <v>1085</v>
      </c>
      <c r="D1177" s="153" t="s">
        <v>25</v>
      </c>
      <c r="E1177" s="130" t="s">
        <v>1086</v>
      </c>
      <c r="F1177" s="195" t="s">
        <v>1207</v>
      </c>
      <c r="G1177" s="195" t="s">
        <v>1207</v>
      </c>
      <c r="H1177" s="195" t="s">
        <v>1207</v>
      </c>
      <c r="I1177" s="195" t="s">
        <v>1207</v>
      </c>
      <c r="J1177" s="132">
        <v>0.9</v>
      </c>
      <c r="K1177" s="133">
        <v>0.944444444444444</v>
      </c>
      <c r="L1177" s="133">
        <v>0.914893617021277</v>
      </c>
      <c r="M1177" s="134">
        <v>0.916666666666667</v>
      </c>
      <c r="N1177" s="133">
        <v>0.92534174553102</v>
      </c>
      <c r="O1177" s="135">
        <v>0.9</v>
      </c>
      <c r="P1177" s="133">
        <v>0.903087478559177</v>
      </c>
      <c r="Q1177" s="133">
        <v>0.81651376146789</v>
      </c>
      <c r="R1177" s="133">
        <v>0.863387978142076</v>
      </c>
      <c r="S1177" s="133">
        <v>0.892102810382142</v>
      </c>
      <c r="T1177" s="135">
        <v>0.9</v>
      </c>
      <c r="U1177" s="133">
        <v>0.916809605488851</v>
      </c>
      <c r="V1177" s="133">
        <v>0.920489296636086</v>
      </c>
      <c r="W1177" s="133">
        <v>0.924647684785735</v>
      </c>
      <c r="X1177" s="133">
        <v>0.918263534541318</v>
      </c>
      <c r="Y1177" s="135">
        <v>0.92</v>
      </c>
      <c r="Z1177" s="135">
        <v>0.928671984983576</v>
      </c>
      <c r="AA1177" s="135">
        <v>0.922602739726027</v>
      </c>
      <c r="AB1177" s="135">
        <v>0.911534154535274</v>
      </c>
      <c r="AC1177" s="135">
        <v>0.941523279352227</v>
      </c>
      <c r="AD1177" s="135">
        <v>0.92</v>
      </c>
      <c r="AE1177" s="133">
        <v>0.995095367847411</v>
      </c>
      <c r="AF1177" s="133">
        <v>0.992966237942122</v>
      </c>
      <c r="AG1177" s="133">
        <v>0.99039780521262</v>
      </c>
      <c r="AH1177" s="133">
        <v>0.990657902390786</v>
      </c>
      <c r="AI1177" s="135">
        <v>0.92</v>
      </c>
      <c r="AJ1177" s="133">
        <v>0.951153932332512</v>
      </c>
      <c r="AK1177" s="133">
        <v>0.952088810984516</v>
      </c>
      <c r="AL1177" s="133">
        <v>0.963411845415047</v>
      </c>
      <c r="AM1177" s="133">
        <v>0.965628555038066</v>
      </c>
      <c r="AN1177" s="132">
        <v>0.99</v>
      </c>
      <c r="AO1177" s="137">
        <v>1</v>
      </c>
      <c r="AP1177" s="137">
        <v>1</v>
      </c>
      <c r="AQ1177" s="137">
        <v>1</v>
      </c>
      <c r="AR1177" s="137">
        <v>1</v>
      </c>
      <c r="AS1177" s="158">
        <v>0.0721861525408278</v>
      </c>
      <c r="AT1177" s="141">
        <v>0.0666666666666667</v>
      </c>
      <c r="AU1177" s="141">
        <v>0</v>
      </c>
      <c r="AV1177" s="141">
        <v>0.0454545454545455</v>
      </c>
      <c r="AW1177" s="141">
        <v>0.0212201591511936</v>
      </c>
      <c r="AX1177" s="95"/>
      <c r="AY1177" s="93"/>
    </row>
    <row r="1178" ht="15" spans="1:51">
      <c r="A1178" s="91"/>
      <c r="B1178" s="95"/>
      <c r="C1178" s="152" t="s">
        <v>1085</v>
      </c>
      <c r="D1178" s="153" t="s">
        <v>25</v>
      </c>
      <c r="E1178" s="130" t="s">
        <v>1086</v>
      </c>
      <c r="F1178" s="195" t="s">
        <v>1208</v>
      </c>
      <c r="G1178" s="195" t="s">
        <v>1208</v>
      </c>
      <c r="H1178" s="195" t="s">
        <v>1208</v>
      </c>
      <c r="I1178" s="195" t="s">
        <v>1208</v>
      </c>
      <c r="J1178" s="132">
        <v>0.9</v>
      </c>
      <c r="K1178" s="133">
        <v>0.92</v>
      </c>
      <c r="L1178" s="133">
        <v>0.925925925925926</v>
      </c>
      <c r="M1178" s="134">
        <v>0.891304347826087</v>
      </c>
      <c r="N1178" s="133">
        <v>0.945917285259809</v>
      </c>
      <c r="O1178" s="135">
        <v>0.9</v>
      </c>
      <c r="P1178" s="133">
        <v>0.954657618753856</v>
      </c>
      <c r="Q1178" s="133">
        <v>0.853422619047619</v>
      </c>
      <c r="R1178" s="133">
        <v>0.907894736842105</v>
      </c>
      <c r="S1178" s="133">
        <v>0.949571423806824</v>
      </c>
      <c r="T1178" s="135">
        <v>0.9</v>
      </c>
      <c r="U1178" s="133">
        <v>0.910857495373226</v>
      </c>
      <c r="V1178" s="133">
        <v>0.921502976190476</v>
      </c>
      <c r="W1178" s="133">
        <v>0.883918128654971</v>
      </c>
      <c r="X1178" s="133">
        <v>0.925357702698196</v>
      </c>
      <c r="Y1178" s="135">
        <v>0.92</v>
      </c>
      <c r="Z1178" s="135">
        <v>0.920731707317073</v>
      </c>
      <c r="AA1178" s="135">
        <v>0.913592233009709</v>
      </c>
      <c r="AB1178" s="135">
        <v>0.818947368421053</v>
      </c>
      <c r="AC1178" s="135">
        <v>0.921099038625633</v>
      </c>
      <c r="AD1178" s="135">
        <v>0.92</v>
      </c>
      <c r="AE1178" s="133">
        <v>0.997034270650264</v>
      </c>
      <c r="AF1178" s="133">
        <v>0.990819997518918</v>
      </c>
      <c r="AG1178" s="133">
        <v>0.970074074074074</v>
      </c>
      <c r="AH1178" s="133">
        <v>0.993610246502808</v>
      </c>
      <c r="AI1178" s="135">
        <v>0.92</v>
      </c>
      <c r="AJ1178" s="133">
        <v>0.941717791411043</v>
      </c>
      <c r="AK1178" s="133">
        <v>0.951344086021505</v>
      </c>
      <c r="AL1178" s="133">
        <v>0.923037455105182</v>
      </c>
      <c r="AM1178" s="133">
        <v>0.958746938249323</v>
      </c>
      <c r="AN1178" s="132">
        <v>0.99</v>
      </c>
      <c r="AO1178" s="137">
        <v>1</v>
      </c>
      <c r="AP1178" s="137">
        <v>1</v>
      </c>
      <c r="AQ1178" s="137">
        <v>1</v>
      </c>
      <c r="AR1178" s="137">
        <v>1</v>
      </c>
      <c r="AS1178" s="158">
        <v>0.0721861525408278</v>
      </c>
      <c r="AT1178" s="141">
        <v>0.0540540540540541</v>
      </c>
      <c r="AU1178" s="141">
        <v>0.0303030303030303</v>
      </c>
      <c r="AV1178" s="141">
        <v>0.0606060606060606</v>
      </c>
      <c r="AW1178" s="141">
        <v>0.0464135021097046</v>
      </c>
      <c r="AX1178" s="95"/>
      <c r="AY1178" s="93"/>
    </row>
    <row r="1179" ht="15" spans="1:51">
      <c r="A1179" s="91"/>
      <c r="B1179" s="95"/>
      <c r="C1179" s="152" t="s">
        <v>1085</v>
      </c>
      <c r="D1179" s="153" t="s">
        <v>25</v>
      </c>
      <c r="E1179" s="130" t="s">
        <v>1086</v>
      </c>
      <c r="F1179" s="195" t="s">
        <v>1209</v>
      </c>
      <c r="G1179" s="195" t="s">
        <v>1209</v>
      </c>
      <c r="H1179" s="195" t="s">
        <v>1209</v>
      </c>
      <c r="I1179" s="195" t="s">
        <v>1209</v>
      </c>
      <c r="J1179" s="132">
        <v>0.9</v>
      </c>
      <c r="K1179" s="133">
        <v>0.931034482758621</v>
      </c>
      <c r="L1179" s="133">
        <v>0.888888888888889</v>
      </c>
      <c r="M1179" s="134">
        <v>0.882352941176471</v>
      </c>
      <c r="N1179" s="133">
        <v>0.923459244532803</v>
      </c>
      <c r="O1179" s="135">
        <v>0.9</v>
      </c>
      <c r="P1179" s="133">
        <v>0.973695942933571</v>
      </c>
      <c r="Q1179" s="133">
        <v>0.956748306409588</v>
      </c>
      <c r="R1179" s="133">
        <v>0.965842821438489</v>
      </c>
      <c r="S1179" s="133">
        <v>0.964913731782766</v>
      </c>
      <c r="T1179" s="135">
        <v>0.9</v>
      </c>
      <c r="U1179" s="133">
        <v>0.945162728488631</v>
      </c>
      <c r="V1179" s="133">
        <v>0.9421573736321</v>
      </c>
      <c r="W1179" s="133">
        <v>0.933074146070536</v>
      </c>
      <c r="X1179" s="133">
        <v>0.933764536566806</v>
      </c>
      <c r="Y1179" s="135">
        <v>0.92</v>
      </c>
      <c r="Z1179" s="135">
        <v>0.96360153256705</v>
      </c>
      <c r="AA1179" s="135">
        <v>0.943790849673203</v>
      </c>
      <c r="AB1179" s="135">
        <v>0.92378752886836</v>
      </c>
      <c r="AC1179" s="135">
        <v>0.957623870791131</v>
      </c>
      <c r="AD1179" s="135">
        <v>0.92</v>
      </c>
      <c r="AE1179" s="133">
        <v>0.999348958333333</v>
      </c>
      <c r="AF1179" s="133">
        <v>0.996607614021862</v>
      </c>
      <c r="AG1179" s="133">
        <v>0.998331943286072</v>
      </c>
      <c r="AH1179" s="133">
        <v>0.996148327165622</v>
      </c>
      <c r="AI1179" s="135">
        <v>0.92</v>
      </c>
      <c r="AJ1179" s="133">
        <v>0.972923638576209</v>
      </c>
      <c r="AK1179" s="133">
        <v>0.967970204841713</v>
      </c>
      <c r="AL1179" s="133">
        <v>0.96777392166584</v>
      </c>
      <c r="AM1179" s="133">
        <v>0.973500342996519</v>
      </c>
      <c r="AN1179" s="132">
        <v>0.99</v>
      </c>
      <c r="AO1179" s="137">
        <v>1</v>
      </c>
      <c r="AP1179" s="137">
        <v>1</v>
      </c>
      <c r="AQ1179" s="137">
        <v>1</v>
      </c>
      <c r="AR1179" s="137">
        <v>1</v>
      </c>
      <c r="AS1179" s="158">
        <v>0.0721861525408278</v>
      </c>
      <c r="AT1179" s="141">
        <v>0</v>
      </c>
      <c r="AU1179" s="141">
        <v>0.0434782608695652</v>
      </c>
      <c r="AV1179" s="141">
        <v>0</v>
      </c>
      <c r="AW1179" s="141">
        <v>0.0336134453781513</v>
      </c>
      <c r="AX1179" s="95"/>
      <c r="AY1179" s="93"/>
    </row>
    <row r="1180" ht="15" spans="1:51">
      <c r="A1180" s="91"/>
      <c r="B1180" s="95"/>
      <c r="C1180" s="152" t="s">
        <v>1085</v>
      </c>
      <c r="D1180" s="153" t="s">
        <v>25</v>
      </c>
      <c r="E1180" s="130" t="s">
        <v>1086</v>
      </c>
      <c r="F1180" s="195" t="s">
        <v>1210</v>
      </c>
      <c r="G1180" s="195" t="s">
        <v>1210</v>
      </c>
      <c r="H1180" s="195" t="s">
        <v>1210</v>
      </c>
      <c r="I1180" s="195" t="s">
        <v>1210</v>
      </c>
      <c r="J1180" s="132">
        <v>0.9</v>
      </c>
      <c r="K1180" s="133">
        <v>0.896551724137931</v>
      </c>
      <c r="L1180" s="133">
        <v>0.904761904761905</v>
      </c>
      <c r="M1180" s="134">
        <v>0.921052631578947</v>
      </c>
      <c r="N1180" s="133">
        <v>0.913434903047091</v>
      </c>
      <c r="O1180" s="135">
        <v>0.9</v>
      </c>
      <c r="P1180" s="133">
        <v>0.966468122656078</v>
      </c>
      <c r="Q1180" s="133">
        <v>0.9683578832515</v>
      </c>
      <c r="R1180" s="133">
        <v>0.954012757751076</v>
      </c>
      <c r="S1180" s="133">
        <v>0.962283552764465</v>
      </c>
      <c r="T1180" s="135">
        <v>0.9</v>
      </c>
      <c r="U1180" s="133">
        <v>0.949481579527906</v>
      </c>
      <c r="V1180" s="133">
        <v>0.953082378614293</v>
      </c>
      <c r="W1180" s="133">
        <v>0.936656282450675</v>
      </c>
      <c r="X1180" s="133">
        <v>0.938687820195009</v>
      </c>
      <c r="Y1180" s="135">
        <v>0.92</v>
      </c>
      <c r="Z1180" s="135">
        <v>0.909230769230769</v>
      </c>
      <c r="AA1180" s="135">
        <v>0.885632594710507</v>
      </c>
      <c r="AB1180" s="135">
        <v>0.87109375</v>
      </c>
      <c r="AC1180" s="135">
        <v>0.900341701731101</v>
      </c>
      <c r="AD1180" s="135">
        <v>0.92</v>
      </c>
      <c r="AE1180" s="133">
        <v>0.996597916223687</v>
      </c>
      <c r="AF1180" s="133">
        <v>0.997949859418932</v>
      </c>
      <c r="AG1180" s="133">
        <v>0.99100273829704</v>
      </c>
      <c r="AH1180" s="133">
        <v>0.968869297739694</v>
      </c>
      <c r="AI1180" s="135">
        <v>0.92</v>
      </c>
      <c r="AJ1180" s="133">
        <v>0.951264651449722</v>
      </c>
      <c r="AK1180" s="133">
        <v>0.956178444532175</v>
      </c>
      <c r="AL1180" s="133">
        <v>0.970310211689522</v>
      </c>
      <c r="AM1180" s="133">
        <v>0.965268780700721</v>
      </c>
      <c r="AN1180" s="132">
        <v>0.99</v>
      </c>
      <c r="AO1180" s="137">
        <v>1</v>
      </c>
      <c r="AP1180" s="137">
        <v>1</v>
      </c>
      <c r="AQ1180" s="137">
        <v>1</v>
      </c>
      <c r="AR1180" s="137">
        <v>1</v>
      </c>
      <c r="AS1180" s="158">
        <v>0.0721861525408278</v>
      </c>
      <c r="AT1180" s="141">
        <v>0.0833333333333333</v>
      </c>
      <c r="AU1180" s="141">
        <v>0.0666666666666667</v>
      </c>
      <c r="AV1180" s="141">
        <v>0.0256410256410256</v>
      </c>
      <c r="AW1180" s="141">
        <v>0.0347826086956522</v>
      </c>
      <c r="AX1180" s="95"/>
      <c r="AY1180" s="93"/>
    </row>
    <row r="1181" ht="15" spans="1:51">
      <c r="A1181" s="91"/>
      <c r="B1181" s="95"/>
      <c r="C1181" s="152" t="s">
        <v>1085</v>
      </c>
      <c r="D1181" s="153" t="s">
        <v>25</v>
      </c>
      <c r="E1181" s="130" t="s">
        <v>1086</v>
      </c>
      <c r="F1181" s="195" t="s">
        <v>1211</v>
      </c>
      <c r="G1181" s="195" t="s">
        <v>1211</v>
      </c>
      <c r="H1181" s="195" t="s">
        <v>1211</v>
      </c>
      <c r="I1181" s="195" t="s">
        <v>1211</v>
      </c>
      <c r="J1181" s="132">
        <v>0.9</v>
      </c>
      <c r="K1181" s="133">
        <v>1</v>
      </c>
      <c r="L1181" s="133">
        <v>1</v>
      </c>
      <c r="M1181" s="134">
        <v>0.769230769230769</v>
      </c>
      <c r="N1181" s="133">
        <v>0.925925925925926</v>
      </c>
      <c r="O1181" s="135">
        <v>0.9</v>
      </c>
      <c r="P1181" s="133">
        <v>0.965288035450517</v>
      </c>
      <c r="Q1181" s="133">
        <v>0.98647506339814</v>
      </c>
      <c r="R1181" s="133">
        <v>0.93899577663069</v>
      </c>
      <c r="S1181" s="133">
        <v>0.952529383167949</v>
      </c>
      <c r="T1181" s="135">
        <v>0.9</v>
      </c>
      <c r="U1181" s="133">
        <v>0.938700147710487</v>
      </c>
      <c r="V1181" s="133">
        <v>0.928994082840237</v>
      </c>
      <c r="W1181" s="133">
        <v>0.935241670577194</v>
      </c>
      <c r="X1181" s="133">
        <v>0.927850381766708</v>
      </c>
      <c r="Y1181" s="135">
        <v>0.92</v>
      </c>
      <c r="Z1181" s="135">
        <v>0.955403087478559</v>
      </c>
      <c r="AA1181" s="135">
        <v>0.900804289544236</v>
      </c>
      <c r="AB1181" s="135">
        <v>0.925764192139738</v>
      </c>
      <c r="AC1181" s="135">
        <v>0.957431382703263</v>
      </c>
      <c r="AD1181" s="135">
        <v>0.92</v>
      </c>
      <c r="AE1181" s="133">
        <v>0.997223764575236</v>
      </c>
      <c r="AF1181" s="133">
        <v>0.993265993265993</v>
      </c>
      <c r="AG1181" s="133">
        <v>0.967741935483871</v>
      </c>
      <c r="AH1181" s="133">
        <v>0.991385180141508</v>
      </c>
      <c r="AI1181" s="135">
        <v>0.92</v>
      </c>
      <c r="AJ1181" s="133">
        <v>0.969540526587506</v>
      </c>
      <c r="AK1181" s="133">
        <v>0.948619139370585</v>
      </c>
      <c r="AL1181" s="133">
        <v>0.966101694915254</v>
      </c>
      <c r="AM1181" s="133">
        <v>0.976180872994533</v>
      </c>
      <c r="AN1181" s="132">
        <v>0.99</v>
      </c>
      <c r="AO1181" s="137">
        <v>1</v>
      </c>
      <c r="AP1181" s="137">
        <v>1</v>
      </c>
      <c r="AQ1181" s="137">
        <v>1</v>
      </c>
      <c r="AR1181" s="137">
        <v>1</v>
      </c>
      <c r="AS1181" s="158">
        <v>0.0721861525408278</v>
      </c>
      <c r="AT1181" s="141">
        <v>0.0833333333333333</v>
      </c>
      <c r="AU1181" s="141">
        <v>0.285714285714286</v>
      </c>
      <c r="AV1181" s="141">
        <v>0</v>
      </c>
      <c r="AW1181" s="141">
        <v>0.112068965517241</v>
      </c>
      <c r="AX1181" s="95"/>
      <c r="AY1181" s="93"/>
    </row>
    <row r="1182" ht="15" spans="1:51">
      <c r="A1182" s="91"/>
      <c r="B1182" s="95"/>
      <c r="C1182" s="152" t="s">
        <v>1085</v>
      </c>
      <c r="D1182" s="153" t="s">
        <v>25</v>
      </c>
      <c r="E1182" s="130" t="s">
        <v>1086</v>
      </c>
      <c r="F1182" s="195" t="s">
        <v>1212</v>
      </c>
      <c r="G1182" s="195" t="s">
        <v>1212</v>
      </c>
      <c r="H1182" s="195" t="s">
        <v>1212</v>
      </c>
      <c r="I1182" s="195" t="s">
        <v>1212</v>
      </c>
      <c r="J1182" s="132">
        <v>0.9</v>
      </c>
      <c r="K1182" s="133">
        <v>0.982142857142857</v>
      </c>
      <c r="L1182" s="133">
        <v>0.975609756097561</v>
      </c>
      <c r="M1182" s="134">
        <v>0.979591836734694</v>
      </c>
      <c r="N1182" s="133">
        <v>0.955067920585162</v>
      </c>
      <c r="O1182" s="135">
        <v>0.9</v>
      </c>
      <c r="P1182" s="133">
        <v>0.968295904887715</v>
      </c>
      <c r="Q1182" s="133">
        <v>0.983479607640681</v>
      </c>
      <c r="R1182" s="133">
        <v>0.982484948002189</v>
      </c>
      <c r="S1182" s="133">
        <v>0.976910186587606</v>
      </c>
      <c r="T1182" s="135">
        <v>0.9</v>
      </c>
      <c r="U1182" s="133">
        <v>0.930867459269044</v>
      </c>
      <c r="V1182" s="133">
        <v>0.945276200309757</v>
      </c>
      <c r="W1182" s="133">
        <v>0.92911877394636</v>
      </c>
      <c r="X1182" s="133">
        <v>0.934581547484773</v>
      </c>
      <c r="Y1182" s="135">
        <v>0.92</v>
      </c>
      <c r="Z1182" s="135">
        <v>0.949752883031301</v>
      </c>
      <c r="AA1182" s="135">
        <v>0.95258019525802</v>
      </c>
      <c r="AB1182" s="135">
        <v>0.89980732177264</v>
      </c>
      <c r="AC1182" s="135">
        <v>0.951522107449309</v>
      </c>
      <c r="AD1182" s="135">
        <v>0.92</v>
      </c>
      <c r="AE1182" s="133">
        <v>0.998419388830348</v>
      </c>
      <c r="AF1182" s="133">
        <v>0.997991967871486</v>
      </c>
      <c r="AG1182" s="133">
        <v>1</v>
      </c>
      <c r="AH1182" s="133">
        <v>0.998513587746793</v>
      </c>
      <c r="AI1182" s="135">
        <v>0.92</v>
      </c>
      <c r="AJ1182" s="133">
        <v>0.960401721664276</v>
      </c>
      <c r="AK1182" s="133">
        <v>0.969856819894499</v>
      </c>
      <c r="AL1182" s="133">
        <v>0.968128444763959</v>
      </c>
      <c r="AM1182" s="133">
        <v>0.974229433943481</v>
      </c>
      <c r="AN1182" s="132">
        <v>0.99</v>
      </c>
      <c r="AO1182" s="137">
        <v>1</v>
      </c>
      <c r="AP1182" s="137">
        <v>1</v>
      </c>
      <c r="AQ1182" s="137">
        <v>1</v>
      </c>
      <c r="AR1182" s="137">
        <v>1</v>
      </c>
      <c r="AS1182" s="158">
        <v>0.0721861525408278</v>
      </c>
      <c r="AT1182" s="141">
        <v>0.0588235294117647</v>
      </c>
      <c r="AU1182" s="141">
        <v>0.0434782608695652</v>
      </c>
      <c r="AV1182" s="141">
        <v>0</v>
      </c>
      <c r="AW1182" s="141">
        <v>0.0404040404040404</v>
      </c>
      <c r="AX1182" s="95"/>
      <c r="AY1182" s="93"/>
    </row>
    <row r="1183" ht="15" spans="1:51">
      <c r="A1183" s="91"/>
      <c r="B1183" s="95"/>
      <c r="C1183" s="152" t="s">
        <v>1085</v>
      </c>
      <c r="D1183" s="153" t="s">
        <v>25</v>
      </c>
      <c r="E1183" s="130" t="s">
        <v>1086</v>
      </c>
      <c r="F1183" s="195" t="s">
        <v>1213</v>
      </c>
      <c r="G1183" s="195" t="s">
        <v>1213</v>
      </c>
      <c r="H1183" s="195" t="s">
        <v>1213</v>
      </c>
      <c r="I1183" s="195" t="s">
        <v>1213</v>
      </c>
      <c r="J1183" s="132">
        <v>0.9</v>
      </c>
      <c r="K1183" s="133">
        <v>0.977272727272727</v>
      </c>
      <c r="L1183" s="133">
        <v>1</v>
      </c>
      <c r="M1183" s="134">
        <v>1</v>
      </c>
      <c r="N1183" s="133">
        <v>0.984476067270375</v>
      </c>
      <c r="O1183" s="135">
        <v>0.9</v>
      </c>
      <c r="P1183" s="133">
        <v>0.968592260235558</v>
      </c>
      <c r="Q1183" s="133">
        <v>0.935785953177258</v>
      </c>
      <c r="R1183" s="133">
        <v>0.963500931098696</v>
      </c>
      <c r="S1183" s="133">
        <v>0.961596949544928</v>
      </c>
      <c r="T1183" s="135">
        <v>0.9</v>
      </c>
      <c r="U1183" s="133">
        <v>0.915872125630959</v>
      </c>
      <c r="V1183" s="133">
        <v>0.876254180602007</v>
      </c>
      <c r="W1183" s="133">
        <v>0.946741154562384</v>
      </c>
      <c r="X1183" s="133">
        <v>0.916589119135704</v>
      </c>
      <c r="Y1183" s="135">
        <v>0.92</v>
      </c>
      <c r="Z1183" s="135">
        <v>0.913472070098576</v>
      </c>
      <c r="AA1183" s="135">
        <v>0.928429423459245</v>
      </c>
      <c r="AB1183" s="135">
        <v>0.940874035989717</v>
      </c>
      <c r="AC1183" s="135">
        <v>0.93493344661569</v>
      </c>
      <c r="AD1183" s="135">
        <v>0.92</v>
      </c>
      <c r="AE1183" s="133">
        <v>0.99406779661017</v>
      </c>
      <c r="AF1183" s="133">
        <v>0.956671251719395</v>
      </c>
      <c r="AG1183" s="133">
        <v>0.995555555555556</v>
      </c>
      <c r="AH1183" s="133">
        <v>0.992752850900565</v>
      </c>
      <c r="AI1183" s="135">
        <v>0.92</v>
      </c>
      <c r="AJ1183" s="133">
        <v>0.945103857566766</v>
      </c>
      <c r="AK1183" s="133">
        <v>0.929429429429429</v>
      </c>
      <c r="AL1183" s="133">
        <v>0.982433311646064</v>
      </c>
      <c r="AM1183" s="133">
        <v>0.965093496493881</v>
      </c>
      <c r="AN1183" s="132">
        <v>0.99</v>
      </c>
      <c r="AO1183" s="137">
        <v>1</v>
      </c>
      <c r="AP1183" s="137">
        <v>1</v>
      </c>
      <c r="AQ1183" s="137">
        <v>1</v>
      </c>
      <c r="AR1183" s="137">
        <v>1</v>
      </c>
      <c r="AS1183" s="158">
        <v>0.0721861525408278</v>
      </c>
      <c r="AT1183" s="141">
        <v>0</v>
      </c>
      <c r="AU1183" s="141">
        <v>0.125</v>
      </c>
      <c r="AV1183" s="141">
        <v>0</v>
      </c>
      <c r="AW1183" s="141">
        <v>0.032258064516129</v>
      </c>
      <c r="AX1183" s="95"/>
      <c r="AY1183" s="93"/>
    </row>
    <row r="1184" ht="15" spans="1:51">
      <c r="A1184" s="91"/>
      <c r="B1184" s="95"/>
      <c r="C1184" s="152" t="s">
        <v>1085</v>
      </c>
      <c r="D1184" s="153" t="s">
        <v>25</v>
      </c>
      <c r="E1184" s="130" t="s">
        <v>1086</v>
      </c>
      <c r="F1184" s="195" t="s">
        <v>1214</v>
      </c>
      <c r="G1184" s="195" t="s">
        <v>1214</v>
      </c>
      <c r="H1184" s="195" t="s">
        <v>1214</v>
      </c>
      <c r="I1184" s="195" t="s">
        <v>1214</v>
      </c>
      <c r="J1184" s="132">
        <v>0.9</v>
      </c>
      <c r="K1184" s="133">
        <v>0.95</v>
      </c>
      <c r="L1184" s="133">
        <v>1</v>
      </c>
      <c r="M1184" s="134">
        <v>1</v>
      </c>
      <c r="N1184" s="133">
        <v>0.968992248062015</v>
      </c>
      <c r="O1184" s="135">
        <v>0.9</v>
      </c>
      <c r="P1184" s="133">
        <v>0.965873836608066</v>
      </c>
      <c r="Q1184" s="133">
        <v>0.874680306905371</v>
      </c>
      <c r="R1184" s="133">
        <v>0.934939005317485</v>
      </c>
      <c r="S1184" s="133">
        <v>0.945404896421846</v>
      </c>
      <c r="T1184" s="135">
        <v>0.9</v>
      </c>
      <c r="U1184" s="133">
        <v>0.942088934850052</v>
      </c>
      <c r="V1184" s="133">
        <v>0.879795396419437</v>
      </c>
      <c r="W1184" s="133">
        <v>0.948701908038786</v>
      </c>
      <c r="X1184" s="133">
        <v>0.916647834274953</v>
      </c>
      <c r="Y1184" s="135">
        <v>0.92</v>
      </c>
      <c r="Z1184" s="135">
        <v>0.96976241900648</v>
      </c>
      <c r="AA1184" s="135">
        <v>0.926174496644295</v>
      </c>
      <c r="AB1184" s="135">
        <v>0.965432098765432</v>
      </c>
      <c r="AC1184" s="135">
        <v>0.939957588609512</v>
      </c>
      <c r="AD1184" s="135">
        <v>0.92</v>
      </c>
      <c r="AE1184" s="133">
        <v>0.989785060651202</v>
      </c>
      <c r="AF1184" s="133">
        <v>0.998262164846077</v>
      </c>
      <c r="AG1184" s="133">
        <v>0.99874843554443</v>
      </c>
      <c r="AH1184" s="133">
        <v>0.994822957944523</v>
      </c>
      <c r="AI1184" s="135">
        <v>0.92</v>
      </c>
      <c r="AJ1184" s="133">
        <v>0.974162011173184</v>
      </c>
      <c r="AK1184" s="133">
        <v>0.957407407407407</v>
      </c>
      <c r="AL1184" s="133">
        <v>0.988062187673515</v>
      </c>
      <c r="AM1184" s="133">
        <v>0.966758127307466</v>
      </c>
      <c r="AN1184" s="132">
        <v>0.99</v>
      </c>
      <c r="AO1184" s="137">
        <v>1</v>
      </c>
      <c r="AP1184" s="137">
        <v>1</v>
      </c>
      <c r="AQ1184" s="137">
        <v>1</v>
      </c>
      <c r="AR1184" s="137">
        <v>1</v>
      </c>
      <c r="AS1184" s="158">
        <v>0.0721861525408278</v>
      </c>
      <c r="AT1184" s="141">
        <v>0.111111111111111</v>
      </c>
      <c r="AU1184" s="141">
        <v>0</v>
      </c>
      <c r="AV1184" s="141">
        <v>0.0909090909090909</v>
      </c>
      <c r="AW1184" s="141">
        <v>0.0425531914893617</v>
      </c>
      <c r="AX1184" s="95"/>
      <c r="AY1184" s="93"/>
    </row>
    <row r="1185" ht="15" spans="1:51">
      <c r="A1185" s="91"/>
      <c r="B1185" s="95"/>
      <c r="C1185" s="152" t="s">
        <v>1085</v>
      </c>
      <c r="D1185" s="153" t="s">
        <v>25</v>
      </c>
      <c r="E1185" s="130" t="s">
        <v>1086</v>
      </c>
      <c r="F1185" s="195" t="s">
        <v>1215</v>
      </c>
      <c r="G1185" s="195" t="s">
        <v>1215</v>
      </c>
      <c r="H1185" s="195" t="s">
        <v>1215</v>
      </c>
      <c r="I1185" s="195" t="s">
        <v>1215</v>
      </c>
      <c r="J1185" s="132">
        <v>0.9</v>
      </c>
      <c r="K1185" s="133">
        <v>1</v>
      </c>
      <c r="L1185" s="133">
        <v>0.976190476190476</v>
      </c>
      <c r="M1185" s="134">
        <v>1</v>
      </c>
      <c r="N1185" s="133">
        <v>0.949</v>
      </c>
      <c r="O1185" s="135">
        <v>0.9</v>
      </c>
      <c r="P1185" s="133">
        <v>0.982289275172188</v>
      </c>
      <c r="Q1185" s="133">
        <v>0.99236641221374</v>
      </c>
      <c r="R1185" s="133">
        <v>0.988135213790016</v>
      </c>
      <c r="S1185" s="133">
        <v>0.985611785359896</v>
      </c>
      <c r="T1185" s="135">
        <v>0.9</v>
      </c>
      <c r="U1185" s="133">
        <v>0.967858314201377</v>
      </c>
      <c r="V1185" s="133">
        <v>0.970363718006287</v>
      </c>
      <c r="W1185" s="133">
        <v>0.972464741437206</v>
      </c>
      <c r="X1185" s="133">
        <v>0.962280233061089</v>
      </c>
      <c r="Y1185" s="135">
        <v>0.92</v>
      </c>
      <c r="Z1185" s="135">
        <v>0</v>
      </c>
      <c r="AA1185" s="135" t="s">
        <v>35</v>
      </c>
      <c r="AB1185" s="135" t="s">
        <v>35</v>
      </c>
      <c r="AC1185" s="135">
        <v>0</v>
      </c>
      <c r="AD1185" s="135">
        <v>0.92</v>
      </c>
      <c r="AE1185" s="133">
        <v>0.99811320754717</v>
      </c>
      <c r="AF1185" s="133">
        <v>0.998888888888889</v>
      </c>
      <c r="AG1185" s="133">
        <v>0.998783454987834</v>
      </c>
      <c r="AH1185" s="133">
        <v>0.99874704833502</v>
      </c>
      <c r="AI1185" s="135">
        <v>0.92</v>
      </c>
      <c r="AJ1185" s="133">
        <v>0.976728941330711</v>
      </c>
      <c r="AK1185" s="133">
        <v>0.976650202065559</v>
      </c>
      <c r="AL1185" s="133">
        <v>0.988135213790016</v>
      </c>
      <c r="AM1185" s="133">
        <v>0.984530836556076</v>
      </c>
      <c r="AN1185" s="132">
        <v>0.99</v>
      </c>
      <c r="AO1185" s="137">
        <v>1</v>
      </c>
      <c r="AP1185" s="137">
        <v>1</v>
      </c>
      <c r="AQ1185" s="137">
        <v>1</v>
      </c>
      <c r="AR1185" s="137">
        <v>1</v>
      </c>
      <c r="AS1185" s="158">
        <v>0.0721861525408278</v>
      </c>
      <c r="AT1185" s="141">
        <v>0</v>
      </c>
      <c r="AU1185" s="141">
        <v>0</v>
      </c>
      <c r="AV1185" s="141">
        <v>0.0555555555555556</v>
      </c>
      <c r="AW1185" s="141">
        <v>0.0208333333333333</v>
      </c>
      <c r="AX1185" s="95"/>
      <c r="AY1185" s="93"/>
    </row>
    <row r="1186" ht="15" spans="1:51">
      <c r="A1186" s="91"/>
      <c r="B1186" s="95"/>
      <c r="C1186" s="152" t="s">
        <v>1085</v>
      </c>
      <c r="D1186" s="153" t="s">
        <v>25</v>
      </c>
      <c r="E1186" s="130" t="s">
        <v>1086</v>
      </c>
      <c r="F1186" s="195" t="s">
        <v>1216</v>
      </c>
      <c r="G1186" s="195" t="s">
        <v>1216</v>
      </c>
      <c r="H1186" s="195" t="s">
        <v>1216</v>
      </c>
      <c r="I1186" s="195" t="s">
        <v>1216</v>
      </c>
      <c r="J1186" s="132">
        <v>0.9</v>
      </c>
      <c r="K1186" s="133">
        <v>0.876543209876543</v>
      </c>
      <c r="L1186" s="133">
        <v>0.936507936507937</v>
      </c>
      <c r="M1186" s="134">
        <v>0.946666666666667</v>
      </c>
      <c r="N1186" s="133">
        <v>0.911764705882353</v>
      </c>
      <c r="O1186" s="135">
        <v>0.9</v>
      </c>
      <c r="P1186" s="133">
        <v>0.963852947217088</v>
      </c>
      <c r="Q1186" s="133">
        <v>0.966612377850163</v>
      </c>
      <c r="R1186" s="133">
        <v>0.959602649006623</v>
      </c>
      <c r="S1186" s="133">
        <v>0.955380424369153</v>
      </c>
      <c r="T1186" s="135">
        <v>0.9</v>
      </c>
      <c r="U1186" s="133">
        <v>0.917436845348121</v>
      </c>
      <c r="V1186" s="133">
        <v>0.923181324647123</v>
      </c>
      <c r="W1186" s="133">
        <v>0.93112582781457</v>
      </c>
      <c r="X1186" s="133">
        <v>0.92249889617368</v>
      </c>
      <c r="Y1186" s="135">
        <v>0.92</v>
      </c>
      <c r="Z1186" s="135">
        <v>0</v>
      </c>
      <c r="AA1186" s="135">
        <v>0</v>
      </c>
      <c r="AB1186" s="135" t="s">
        <v>35</v>
      </c>
      <c r="AC1186" s="135">
        <v>0</v>
      </c>
      <c r="AD1186" s="135">
        <v>0.92</v>
      </c>
      <c r="AE1186" s="133">
        <v>0.996275605214153</v>
      </c>
      <c r="AF1186" s="133">
        <v>0.988493723849372</v>
      </c>
      <c r="AG1186" s="133">
        <v>0.993377483443709</v>
      </c>
      <c r="AH1186" s="133">
        <v>0.98515873015873</v>
      </c>
      <c r="AI1186" s="135">
        <v>0.92</v>
      </c>
      <c r="AJ1186" s="133">
        <v>0.947109471094711</v>
      </c>
      <c r="AK1186" s="133">
        <v>0.937856173677069</v>
      </c>
      <c r="AL1186" s="133">
        <v>0.966490066225166</v>
      </c>
      <c r="AM1186" s="133">
        <v>0.959224303814339</v>
      </c>
      <c r="AN1186" s="132">
        <v>0.99</v>
      </c>
      <c r="AO1186" s="137">
        <v>1</v>
      </c>
      <c r="AP1186" s="137">
        <v>1</v>
      </c>
      <c r="AQ1186" s="137">
        <v>1</v>
      </c>
      <c r="AR1186" s="137">
        <v>1</v>
      </c>
      <c r="AS1186" s="158">
        <v>0.0721861525408278</v>
      </c>
      <c r="AT1186" s="141">
        <v>0.125</v>
      </c>
      <c r="AU1186" s="141">
        <v>0.037037037037037</v>
      </c>
      <c r="AV1186" s="141">
        <v>0.0833333333333333</v>
      </c>
      <c r="AW1186" s="141">
        <v>0.0588235294117647</v>
      </c>
      <c r="AX1186" s="95"/>
      <c r="AY1186" s="93"/>
    </row>
    <row r="1187" ht="15" spans="1:51">
      <c r="A1187" s="91"/>
      <c r="B1187" s="95"/>
      <c r="C1187" s="152" t="s">
        <v>1085</v>
      </c>
      <c r="D1187" s="153" t="s">
        <v>25</v>
      </c>
      <c r="E1187" s="130" t="s">
        <v>1086</v>
      </c>
      <c r="F1187" s="195" t="s">
        <v>1217</v>
      </c>
      <c r="G1187" s="195" t="s">
        <v>1217</v>
      </c>
      <c r="H1187" s="195" t="s">
        <v>1217</v>
      </c>
      <c r="I1187" s="195" t="s">
        <v>1217</v>
      </c>
      <c r="J1187" s="132">
        <v>0.9</v>
      </c>
      <c r="K1187" s="133">
        <v>0.945945945945946</v>
      </c>
      <c r="L1187" s="133">
        <v>0.967741935483871</v>
      </c>
      <c r="M1187" s="134">
        <v>0.970588235294118</v>
      </c>
      <c r="N1187" s="133">
        <v>0.949152542372881</v>
      </c>
      <c r="O1187" s="135">
        <v>0.9</v>
      </c>
      <c r="P1187" s="133">
        <v>0.987220447284345</v>
      </c>
      <c r="Q1187" s="133">
        <v>0.993793638479441</v>
      </c>
      <c r="R1187" s="133">
        <v>0.995511049723757</v>
      </c>
      <c r="S1187" s="133">
        <v>0.988912754423647</v>
      </c>
      <c r="T1187" s="135">
        <v>0.9</v>
      </c>
      <c r="U1187" s="133">
        <v>0.975505857294995</v>
      </c>
      <c r="V1187" s="133">
        <v>0.981380915438324</v>
      </c>
      <c r="W1187" s="133">
        <v>0.983770718232044</v>
      </c>
      <c r="X1187" s="133">
        <v>0.972731921857421</v>
      </c>
      <c r="Y1187" s="135">
        <v>0.92</v>
      </c>
      <c r="Z1187" s="135">
        <v>0</v>
      </c>
      <c r="AA1187" s="135" t="s">
        <v>35</v>
      </c>
      <c r="AB1187" s="135" t="s">
        <v>35</v>
      </c>
      <c r="AC1187" s="135">
        <v>0</v>
      </c>
      <c r="AD1187" s="135">
        <v>0.92</v>
      </c>
      <c r="AE1187" s="133">
        <v>0.996957403651116</v>
      </c>
      <c r="AF1187" s="133">
        <v>0.998833138856476</v>
      </c>
      <c r="AG1187" s="133">
        <v>0.998098859315589</v>
      </c>
      <c r="AH1187" s="133">
        <v>0.998103557266824</v>
      </c>
      <c r="AI1187" s="135">
        <v>0.92</v>
      </c>
      <c r="AJ1187" s="133">
        <v>0.985630654603513</v>
      </c>
      <c r="AK1187" s="133">
        <v>0.989914662529092</v>
      </c>
      <c r="AL1187" s="133">
        <v>0.993093922651934</v>
      </c>
      <c r="AM1187" s="133">
        <v>0.990529179536482</v>
      </c>
      <c r="AN1187" s="132">
        <v>0.99</v>
      </c>
      <c r="AO1187" s="137">
        <v>1</v>
      </c>
      <c r="AP1187" s="137">
        <v>1</v>
      </c>
      <c r="AQ1187" s="137">
        <v>1</v>
      </c>
      <c r="AR1187" s="137">
        <v>1</v>
      </c>
      <c r="AS1187" s="158">
        <v>0.0721861525408278</v>
      </c>
      <c r="AT1187" s="141">
        <v>0.0714285714285714</v>
      </c>
      <c r="AU1187" s="141">
        <v>0</v>
      </c>
      <c r="AV1187" s="141">
        <v>0</v>
      </c>
      <c r="AW1187" s="141">
        <v>0.0476190476190476</v>
      </c>
      <c r="AX1187" s="95"/>
      <c r="AY1187" s="93"/>
    </row>
    <row r="1188" ht="15" spans="1:51">
      <c r="A1188" s="91"/>
      <c r="B1188" s="95"/>
      <c r="C1188" s="152" t="s">
        <v>1085</v>
      </c>
      <c r="D1188" s="153" t="s">
        <v>25</v>
      </c>
      <c r="E1188" s="130" t="s">
        <v>1086</v>
      </c>
      <c r="F1188" s="195" t="s">
        <v>1218</v>
      </c>
      <c r="G1188" s="195" t="s">
        <v>1218</v>
      </c>
      <c r="H1188" s="195" t="s">
        <v>1218</v>
      </c>
      <c r="I1188" s="195" t="s">
        <v>1218</v>
      </c>
      <c r="J1188" s="132">
        <v>0.9</v>
      </c>
      <c r="K1188" s="133">
        <v>0.974358974358974</v>
      </c>
      <c r="L1188" s="133">
        <v>0.966101694915254</v>
      </c>
      <c r="M1188" s="134">
        <v>0.930555555555556</v>
      </c>
      <c r="N1188" s="133">
        <v>0.927842565597668</v>
      </c>
      <c r="O1188" s="135">
        <v>0.9</v>
      </c>
      <c r="P1188" s="133">
        <v>0.976907216494845</v>
      </c>
      <c r="Q1188" s="133">
        <v>0.985507246376812</v>
      </c>
      <c r="R1188" s="133">
        <v>0.898343574672722</v>
      </c>
      <c r="S1188" s="133">
        <v>0.946949198403572</v>
      </c>
      <c r="T1188" s="135">
        <v>0.9</v>
      </c>
      <c r="U1188" s="133">
        <v>0.929690721649485</v>
      </c>
      <c r="V1188" s="133">
        <v>0.928985507246377</v>
      </c>
      <c r="W1188" s="133">
        <v>0.932807908095111</v>
      </c>
      <c r="X1188" s="133">
        <v>0.935255022661165</v>
      </c>
      <c r="Y1188" s="135">
        <v>0.92</v>
      </c>
      <c r="Z1188" s="135">
        <v>0</v>
      </c>
      <c r="AA1188" s="135">
        <v>0</v>
      </c>
      <c r="AB1188" s="135" t="s">
        <v>35</v>
      </c>
      <c r="AC1188" s="135">
        <v>0</v>
      </c>
      <c r="AD1188" s="135">
        <v>0.92</v>
      </c>
      <c r="AE1188" s="133">
        <v>0.998420221169036</v>
      </c>
      <c r="AF1188" s="133">
        <v>0.998603351955307</v>
      </c>
      <c r="AG1188" s="133">
        <v>0.977900552486188</v>
      </c>
      <c r="AH1188" s="133">
        <v>0.986986413488296</v>
      </c>
      <c r="AI1188" s="135">
        <v>0.92</v>
      </c>
      <c r="AJ1188" s="133">
        <v>0.95403009688724</v>
      </c>
      <c r="AK1188" s="133">
        <v>0.950173812282735</v>
      </c>
      <c r="AL1188" s="133">
        <v>0.970478226021908</v>
      </c>
      <c r="AM1188" s="133">
        <v>0.971310920959177</v>
      </c>
      <c r="AN1188" s="132">
        <v>0.99</v>
      </c>
      <c r="AO1188" s="137">
        <v>1</v>
      </c>
      <c r="AP1188" s="137">
        <v>1</v>
      </c>
      <c r="AQ1188" s="137">
        <v>1</v>
      </c>
      <c r="AR1188" s="137">
        <v>1</v>
      </c>
      <c r="AS1188" s="158">
        <v>0.0721861525408278</v>
      </c>
      <c r="AT1188" s="141">
        <v>0.0714285714285714</v>
      </c>
      <c r="AU1188" s="141">
        <v>0</v>
      </c>
      <c r="AV1188" s="141">
        <v>0</v>
      </c>
      <c r="AW1188" s="141">
        <v>0.0375722543352601</v>
      </c>
      <c r="AX1188" s="95"/>
      <c r="AY1188" s="93"/>
    </row>
    <row r="1189" ht="15" spans="1:51">
      <c r="A1189" s="91"/>
      <c r="B1189" s="95"/>
      <c r="C1189" s="152" t="s">
        <v>1085</v>
      </c>
      <c r="D1189" s="153" t="s">
        <v>25</v>
      </c>
      <c r="E1189" s="130" t="s">
        <v>1086</v>
      </c>
      <c r="F1189" s="195" t="s">
        <v>1219</v>
      </c>
      <c r="G1189" s="195" t="s">
        <v>1219</v>
      </c>
      <c r="H1189" s="195" t="s">
        <v>1219</v>
      </c>
      <c r="I1189" s="195" t="s">
        <v>1219</v>
      </c>
      <c r="J1189" s="132">
        <v>0.9</v>
      </c>
      <c r="K1189" s="133">
        <v>1</v>
      </c>
      <c r="L1189" s="133">
        <v>1</v>
      </c>
      <c r="M1189" s="134">
        <v>1</v>
      </c>
      <c r="N1189" s="133">
        <v>0.976608187134503</v>
      </c>
      <c r="O1189" s="135">
        <v>0.9</v>
      </c>
      <c r="P1189" s="133">
        <v>0.975550122249389</v>
      </c>
      <c r="Q1189" s="133">
        <v>0.992662473794549</v>
      </c>
      <c r="R1189" s="133">
        <v>0.986798679867987</v>
      </c>
      <c r="S1189" s="133">
        <v>0.985101593507494</v>
      </c>
      <c r="T1189" s="135">
        <v>0.9</v>
      </c>
      <c r="U1189" s="133">
        <v>0.951915240423798</v>
      </c>
      <c r="V1189" s="133">
        <v>0.965408805031447</v>
      </c>
      <c r="W1189" s="133">
        <v>0.94994499449945</v>
      </c>
      <c r="X1189" s="133">
        <v>0.962383745038801</v>
      </c>
      <c r="Y1189" s="135">
        <v>0.92</v>
      </c>
      <c r="Z1189" s="135">
        <v>0.966404574696212</v>
      </c>
      <c r="AA1189" s="135">
        <v>0.962923728813559</v>
      </c>
      <c r="AB1189" s="135">
        <v>0.962108731466227</v>
      </c>
      <c r="AC1189" s="135">
        <v>0.975630031501575</v>
      </c>
      <c r="AD1189" s="135">
        <v>0.92</v>
      </c>
      <c r="AE1189" s="133">
        <v>0.997577457605508</v>
      </c>
      <c r="AF1189" s="133">
        <v>0.99985116832862</v>
      </c>
      <c r="AG1189" s="133">
        <v>0.999390057944495</v>
      </c>
      <c r="AH1189" s="133">
        <v>0.994858989424207</v>
      </c>
      <c r="AI1189" s="135">
        <v>0.92</v>
      </c>
      <c r="AJ1189" s="133">
        <v>0.97029702970297</v>
      </c>
      <c r="AK1189" s="133">
        <v>0.975763962065332</v>
      </c>
      <c r="AL1189" s="133">
        <v>0.981030927835052</v>
      </c>
      <c r="AM1189" s="133">
        <v>0.98472298263895</v>
      </c>
      <c r="AN1189" s="132">
        <v>0.99</v>
      </c>
      <c r="AO1189" s="137">
        <v>1</v>
      </c>
      <c r="AP1189" s="137">
        <v>1</v>
      </c>
      <c r="AQ1189" s="137">
        <v>1</v>
      </c>
      <c r="AR1189" s="137">
        <v>1</v>
      </c>
      <c r="AS1189" s="158">
        <v>0.0721861525408278</v>
      </c>
      <c r="AT1189" s="141">
        <v>0.0625</v>
      </c>
      <c r="AU1189" s="141">
        <v>0.0625</v>
      </c>
      <c r="AV1189" s="141">
        <v>0.0909090909090909</v>
      </c>
      <c r="AW1189" s="141">
        <v>0.0477611940298507</v>
      </c>
      <c r="AX1189" s="95"/>
      <c r="AY1189" s="93"/>
    </row>
    <row r="1190" ht="15" spans="1:51">
      <c r="A1190" s="91"/>
      <c r="B1190" s="95"/>
      <c r="C1190" s="152" t="s">
        <v>1085</v>
      </c>
      <c r="D1190" s="153" t="s">
        <v>25</v>
      </c>
      <c r="E1190" s="130" t="s">
        <v>1086</v>
      </c>
      <c r="F1190" s="195" t="s">
        <v>1220</v>
      </c>
      <c r="G1190" s="195" t="s">
        <v>1220</v>
      </c>
      <c r="H1190" s="195" t="s">
        <v>1220</v>
      </c>
      <c r="I1190" s="195" t="s">
        <v>1220</v>
      </c>
      <c r="J1190" s="132">
        <v>0.9</v>
      </c>
      <c r="K1190" s="133">
        <v>1</v>
      </c>
      <c r="L1190" s="133">
        <v>0.984848484848485</v>
      </c>
      <c r="M1190" s="134">
        <v>0.970588235294118</v>
      </c>
      <c r="N1190" s="133">
        <v>0.976811594202899</v>
      </c>
      <c r="O1190" s="135">
        <v>0.9</v>
      </c>
      <c r="P1190" s="133">
        <v>0.980036297640653</v>
      </c>
      <c r="Q1190" s="133">
        <v>0.989784335981839</v>
      </c>
      <c r="R1190" s="133">
        <v>0.978126289723483</v>
      </c>
      <c r="S1190" s="133">
        <v>0.986000466651112</v>
      </c>
      <c r="T1190" s="135">
        <v>0.9</v>
      </c>
      <c r="U1190" s="133">
        <v>0.953115547489413</v>
      </c>
      <c r="V1190" s="133">
        <v>0.966704502459326</v>
      </c>
      <c r="W1190" s="133">
        <v>0.96553858852662</v>
      </c>
      <c r="X1190" s="133">
        <v>0.955568147728409</v>
      </c>
      <c r="Y1190" s="135">
        <v>0.92</v>
      </c>
      <c r="Z1190" s="135">
        <v>0.943564862104188</v>
      </c>
      <c r="AA1190" s="135">
        <v>0.956792687993353</v>
      </c>
      <c r="AB1190" s="135">
        <v>0.918866709594334</v>
      </c>
      <c r="AC1190" s="135">
        <v>0.946101358277806</v>
      </c>
      <c r="AD1190" s="135">
        <v>0.92</v>
      </c>
      <c r="AE1190" s="133">
        <v>0.99655600496576</v>
      </c>
      <c r="AF1190" s="133">
        <v>0.98750553832521</v>
      </c>
      <c r="AG1190" s="133">
        <v>0.995401124169647</v>
      </c>
      <c r="AH1190" s="133">
        <v>0.99215130483278</v>
      </c>
      <c r="AI1190" s="135">
        <v>0.92</v>
      </c>
      <c r="AJ1190" s="133">
        <v>0.959706452506231</v>
      </c>
      <c r="AK1190" s="133">
        <v>0.970891089108911</v>
      </c>
      <c r="AL1190" s="133">
        <v>0.967494921081419</v>
      </c>
      <c r="AM1190" s="133">
        <v>0.9692079610606</v>
      </c>
      <c r="AN1190" s="132">
        <v>0.99</v>
      </c>
      <c r="AO1190" s="137">
        <v>1</v>
      </c>
      <c r="AP1190" s="137">
        <v>1</v>
      </c>
      <c r="AQ1190" s="137">
        <v>1</v>
      </c>
      <c r="AR1190" s="137">
        <v>1</v>
      </c>
      <c r="AS1190" s="158">
        <v>0.0721861525408278</v>
      </c>
      <c r="AT1190" s="141">
        <v>0</v>
      </c>
      <c r="AU1190" s="141">
        <v>0.0454545454545455</v>
      </c>
      <c r="AV1190" s="141">
        <v>0.0263157894736842</v>
      </c>
      <c r="AW1190" s="141">
        <v>0.0434108527131783</v>
      </c>
      <c r="AX1190" s="95"/>
      <c r="AY1190" s="93"/>
    </row>
    <row r="1191" ht="15" spans="1:51">
      <c r="A1191" s="91"/>
      <c r="B1191" s="95"/>
      <c r="C1191" s="152" t="s">
        <v>1085</v>
      </c>
      <c r="D1191" s="153" t="s">
        <v>25</v>
      </c>
      <c r="E1191" s="130" t="s">
        <v>1086</v>
      </c>
      <c r="F1191" s="195" t="s">
        <v>1221</v>
      </c>
      <c r="G1191" s="195" t="s">
        <v>1221</v>
      </c>
      <c r="H1191" s="195" t="s">
        <v>1221</v>
      </c>
      <c r="I1191" s="195" t="s">
        <v>1221</v>
      </c>
      <c r="J1191" s="132">
        <v>0.9</v>
      </c>
      <c r="K1191" s="133">
        <v>0.934782608695652</v>
      </c>
      <c r="L1191" s="133">
        <v>0.947368421052632</v>
      </c>
      <c r="M1191" s="134">
        <v>0.973684210526316</v>
      </c>
      <c r="N1191" s="133">
        <v>0.970873786407767</v>
      </c>
      <c r="O1191" s="135">
        <v>0.9</v>
      </c>
      <c r="P1191" s="133">
        <v>0.991298042059463</v>
      </c>
      <c r="Q1191" s="133">
        <v>0.996363636363636</v>
      </c>
      <c r="R1191" s="133">
        <v>0.991150442477876</v>
      </c>
      <c r="S1191" s="133">
        <v>0.989432226815724</v>
      </c>
      <c r="T1191" s="135">
        <v>0.9</v>
      </c>
      <c r="U1191" s="133">
        <v>0.945612762871646</v>
      </c>
      <c r="V1191" s="133">
        <v>0.928181818181818</v>
      </c>
      <c r="W1191" s="133">
        <v>0.961998958875586</v>
      </c>
      <c r="X1191" s="133">
        <v>0.959832676924582</v>
      </c>
      <c r="Y1191" s="135">
        <v>0.92</v>
      </c>
      <c r="Z1191" s="135">
        <v>0.95213963963964</v>
      </c>
      <c r="AA1191" s="135">
        <v>0.966887417218543</v>
      </c>
      <c r="AB1191" s="135">
        <v>0.965608465608466</v>
      </c>
      <c r="AC1191" s="135">
        <v>0.963880948377333</v>
      </c>
      <c r="AD1191" s="135">
        <v>0.92</v>
      </c>
      <c r="AE1191" s="133">
        <v>1</v>
      </c>
      <c r="AF1191" s="133">
        <v>0.993125330512956</v>
      </c>
      <c r="AG1191" s="133">
        <v>0.993428258488499</v>
      </c>
      <c r="AH1191" s="133">
        <v>0.961889735109385</v>
      </c>
      <c r="AI1191" s="135">
        <v>0.92</v>
      </c>
      <c r="AJ1191" s="133">
        <v>0.962282091917591</v>
      </c>
      <c r="AK1191" s="133">
        <v>0.975303292894281</v>
      </c>
      <c r="AL1191" s="133">
        <v>0.980201718341427</v>
      </c>
      <c r="AM1191" s="133">
        <v>0.978122344944775</v>
      </c>
      <c r="AN1191" s="132">
        <v>0.99</v>
      </c>
      <c r="AO1191" s="137">
        <v>1</v>
      </c>
      <c r="AP1191" s="137">
        <v>1</v>
      </c>
      <c r="AQ1191" s="137">
        <v>1</v>
      </c>
      <c r="AR1191" s="137">
        <v>1</v>
      </c>
      <c r="AS1191" s="158">
        <v>0.0721861525408278</v>
      </c>
      <c r="AT1191" s="141">
        <v>0</v>
      </c>
      <c r="AU1191" s="141">
        <v>0.0833333333333333</v>
      </c>
      <c r="AV1191" s="141">
        <v>0</v>
      </c>
      <c r="AW1191" s="141">
        <v>0.0210526315789474</v>
      </c>
      <c r="AX1191" s="95"/>
      <c r="AY1191" s="93"/>
    </row>
    <row r="1192" ht="15" spans="1:51">
      <c r="A1192" s="91"/>
      <c r="B1192" s="95"/>
      <c r="C1192" s="152" t="s">
        <v>1085</v>
      </c>
      <c r="D1192" s="153" t="s">
        <v>25</v>
      </c>
      <c r="E1192" s="130" t="s">
        <v>1086</v>
      </c>
      <c r="F1192" s="195" t="s">
        <v>1222</v>
      </c>
      <c r="G1192" s="195" t="s">
        <v>1222</v>
      </c>
      <c r="H1192" s="195" t="s">
        <v>1222</v>
      </c>
      <c r="I1192" s="195" t="s">
        <v>1222</v>
      </c>
      <c r="J1192" s="132">
        <v>0.9</v>
      </c>
      <c r="K1192" s="133">
        <v>1</v>
      </c>
      <c r="L1192" s="133">
        <v>1</v>
      </c>
      <c r="M1192" s="134">
        <v>0.983606557377049</v>
      </c>
      <c r="N1192" s="133">
        <v>0.993665874901029</v>
      </c>
      <c r="O1192" s="135">
        <v>0.9</v>
      </c>
      <c r="P1192" s="133">
        <v>0.975742367210372</v>
      </c>
      <c r="Q1192" s="133">
        <v>0.954844778927563</v>
      </c>
      <c r="R1192" s="133">
        <v>0.951947682684106</v>
      </c>
      <c r="S1192" s="133">
        <v>0.980659597514395</v>
      </c>
      <c r="T1192" s="135">
        <v>0.9</v>
      </c>
      <c r="U1192" s="133">
        <v>0.941447093266416</v>
      </c>
      <c r="V1192" s="133">
        <v>0.94167450611477</v>
      </c>
      <c r="W1192" s="133">
        <v>0.934887688370771</v>
      </c>
      <c r="X1192" s="133">
        <v>0.949432757539479</v>
      </c>
      <c r="Y1192" s="135">
        <v>0.92</v>
      </c>
      <c r="Z1192" s="135">
        <v>0.956521739130435</v>
      </c>
      <c r="AA1192" s="135">
        <v>0.950943396226415</v>
      </c>
      <c r="AB1192" s="135">
        <v>0.937395659432387</v>
      </c>
      <c r="AC1192" s="135">
        <v>0.965408682049277</v>
      </c>
      <c r="AD1192" s="135">
        <v>0.92</v>
      </c>
      <c r="AE1192" s="133">
        <v>0.978833596036929</v>
      </c>
      <c r="AF1192" s="133">
        <v>0.885046142818744</v>
      </c>
      <c r="AG1192" s="133">
        <v>0.987548039969254</v>
      </c>
      <c r="AH1192" s="133">
        <v>0.96769846370742</v>
      </c>
      <c r="AI1192" s="135">
        <v>0.92</v>
      </c>
      <c r="AJ1192" s="133">
        <v>0.962392221610714</v>
      </c>
      <c r="AK1192" s="133">
        <v>0.965837729213765</v>
      </c>
      <c r="AL1192" s="133">
        <v>0.964588634435963</v>
      </c>
      <c r="AM1192" s="133">
        <v>0.975840154306486</v>
      </c>
      <c r="AN1192" s="132">
        <v>0.99</v>
      </c>
      <c r="AO1192" s="137">
        <v>1</v>
      </c>
      <c r="AP1192" s="137">
        <v>1</v>
      </c>
      <c r="AQ1192" s="137">
        <v>1</v>
      </c>
      <c r="AR1192" s="137">
        <v>1</v>
      </c>
      <c r="AS1192" s="158">
        <v>0.0721861525408278</v>
      </c>
      <c r="AT1192" s="141">
        <v>0</v>
      </c>
      <c r="AU1192" s="141">
        <v>0.0285714285714286</v>
      </c>
      <c r="AV1192" s="141">
        <v>0.075</v>
      </c>
      <c r="AW1192" s="141">
        <v>0.0319573901464714</v>
      </c>
      <c r="AX1192" s="95"/>
      <c r="AY1192" s="93"/>
    </row>
    <row r="1193" ht="15" spans="1:51">
      <c r="A1193" s="91"/>
      <c r="B1193" s="95"/>
      <c r="C1193" s="152" t="s">
        <v>1085</v>
      </c>
      <c r="D1193" s="153" t="s">
        <v>25</v>
      </c>
      <c r="E1193" s="130" t="s">
        <v>1086</v>
      </c>
      <c r="F1193" s="195" t="s">
        <v>1223</v>
      </c>
      <c r="G1193" s="195" t="s">
        <v>1223</v>
      </c>
      <c r="H1193" s="195" t="s">
        <v>1223</v>
      </c>
      <c r="I1193" s="195" t="s">
        <v>1223</v>
      </c>
      <c r="J1193" s="132">
        <v>0.9</v>
      </c>
      <c r="K1193" s="133">
        <v>0.814814814814815</v>
      </c>
      <c r="L1193" s="133">
        <v>0.869565217391304</v>
      </c>
      <c r="M1193" s="134">
        <v>0.869565217391304</v>
      </c>
      <c r="N1193" s="133">
        <v>0.867219917012448</v>
      </c>
      <c r="O1193" s="135">
        <v>0.9</v>
      </c>
      <c r="P1193" s="133">
        <v>0.979569892473118</v>
      </c>
      <c r="Q1193" s="133">
        <v>0.986168741355463</v>
      </c>
      <c r="R1193" s="133">
        <v>0.946266573621772</v>
      </c>
      <c r="S1193" s="133">
        <v>0.969945141065831</v>
      </c>
      <c r="T1193" s="135">
        <v>0.9</v>
      </c>
      <c r="U1193" s="133">
        <v>0.92258064516129</v>
      </c>
      <c r="V1193" s="133">
        <v>0.934993084370678</v>
      </c>
      <c r="W1193" s="133">
        <v>0.95324494068388</v>
      </c>
      <c r="X1193" s="133">
        <v>0.943730407523511</v>
      </c>
      <c r="Y1193" s="135">
        <v>0.92</v>
      </c>
      <c r="Z1193" s="135">
        <v>0.944061962134251</v>
      </c>
      <c r="AA1193" s="135">
        <v>0.971550497866287</v>
      </c>
      <c r="AB1193" s="135">
        <v>0.933333333333333</v>
      </c>
      <c r="AC1193" s="135">
        <v>0.963785757760195</v>
      </c>
      <c r="AD1193" s="135">
        <v>0.92</v>
      </c>
      <c r="AE1193" s="133">
        <v>0.999503229011426</v>
      </c>
      <c r="AF1193" s="133">
        <v>0.99708963911525</v>
      </c>
      <c r="AG1193" s="133">
        <v>0.998536942209217</v>
      </c>
      <c r="AH1193" s="133">
        <v>0.976444869517694</v>
      </c>
      <c r="AI1193" s="135">
        <v>0.92</v>
      </c>
      <c r="AJ1193" s="133">
        <v>0.951242829827916</v>
      </c>
      <c r="AK1193" s="133">
        <v>0.975455820476858</v>
      </c>
      <c r="AL1193" s="133">
        <v>0.971178589809573</v>
      </c>
      <c r="AM1193" s="133">
        <v>0.976214160974424</v>
      </c>
      <c r="AN1193" s="132">
        <v>0.99</v>
      </c>
      <c r="AO1193" s="137">
        <v>1</v>
      </c>
      <c r="AP1193" s="137">
        <v>1</v>
      </c>
      <c r="AQ1193" s="137">
        <v>1</v>
      </c>
      <c r="AR1193" s="137">
        <v>1</v>
      </c>
      <c r="AS1193" s="158">
        <v>0.0721861525408278</v>
      </c>
      <c r="AT1193" s="141">
        <v>0</v>
      </c>
      <c r="AU1193" s="141">
        <v>0</v>
      </c>
      <c r="AV1193" s="141">
        <v>0</v>
      </c>
      <c r="AW1193" s="141">
        <v>0.0838323353293413</v>
      </c>
      <c r="AX1193" s="95"/>
      <c r="AY1193" s="93"/>
    </row>
    <row r="1194" ht="15" spans="1:51">
      <c r="A1194" s="91"/>
      <c r="B1194" s="95"/>
      <c r="C1194" s="152" t="s">
        <v>1085</v>
      </c>
      <c r="D1194" s="153" t="s">
        <v>25</v>
      </c>
      <c r="E1194" s="130" t="s">
        <v>1086</v>
      </c>
      <c r="F1194" s="195" t="s">
        <v>1224</v>
      </c>
      <c r="G1194" s="195" t="s">
        <v>1224</v>
      </c>
      <c r="H1194" s="195" t="s">
        <v>1224</v>
      </c>
      <c r="I1194" s="195" t="s">
        <v>1224</v>
      </c>
      <c r="J1194" s="132">
        <v>0.9</v>
      </c>
      <c r="K1194" s="133">
        <v>0.882352941176471</v>
      </c>
      <c r="L1194" s="133">
        <v>0.872340425531915</v>
      </c>
      <c r="M1194" s="134">
        <v>0.931818181818182</v>
      </c>
      <c r="N1194" s="133">
        <v>0.915836101882614</v>
      </c>
      <c r="O1194" s="135">
        <v>0.9</v>
      </c>
      <c r="P1194" s="133">
        <v>0.952734839476813</v>
      </c>
      <c r="Q1194" s="133">
        <v>0.962542565266742</v>
      </c>
      <c r="R1194" s="133">
        <v>0.945288121489494</v>
      </c>
      <c r="S1194" s="133">
        <v>0.942099504109143</v>
      </c>
      <c r="T1194" s="135">
        <v>0.9</v>
      </c>
      <c r="U1194" s="133">
        <v>0.926872770511296</v>
      </c>
      <c r="V1194" s="133">
        <v>0.918274687854711</v>
      </c>
      <c r="W1194" s="133">
        <v>0.930934054503849</v>
      </c>
      <c r="X1194" s="133">
        <v>0.926093637231392</v>
      </c>
      <c r="Y1194" s="135">
        <v>0.92</v>
      </c>
      <c r="Z1194" s="135">
        <v>0.166666666666667</v>
      </c>
      <c r="AA1194" s="135">
        <v>1</v>
      </c>
      <c r="AB1194" s="135" t="s">
        <v>35</v>
      </c>
      <c r="AC1194" s="135">
        <v>0.545454545454545</v>
      </c>
      <c r="AD1194" s="135">
        <v>0.92</v>
      </c>
      <c r="AE1194" s="133">
        <v>0.998005982053839</v>
      </c>
      <c r="AF1194" s="133">
        <v>0.990586531498914</v>
      </c>
      <c r="AG1194" s="133">
        <v>0.635538805136795</v>
      </c>
      <c r="AH1194" s="133">
        <v>0.926175791976278</v>
      </c>
      <c r="AI1194" s="135">
        <v>0.92</v>
      </c>
      <c r="AJ1194" s="133">
        <v>0.965599051008304</v>
      </c>
      <c r="AK1194" s="133">
        <v>0.960302457466919</v>
      </c>
      <c r="AL1194" s="133">
        <v>0.962986067789561</v>
      </c>
      <c r="AM1194" s="133">
        <v>0.971477115359998</v>
      </c>
      <c r="AN1194" s="132">
        <v>0.99</v>
      </c>
      <c r="AO1194" s="137">
        <v>1</v>
      </c>
      <c r="AP1194" s="137">
        <v>1</v>
      </c>
      <c r="AQ1194" s="137">
        <v>1</v>
      </c>
      <c r="AR1194" s="137">
        <v>1</v>
      </c>
      <c r="AS1194" s="158">
        <v>0.0721861525408278</v>
      </c>
      <c r="AT1194" s="141">
        <v>0</v>
      </c>
      <c r="AU1194" s="141">
        <v>0.0666666666666667</v>
      </c>
      <c r="AV1194" s="141">
        <v>0</v>
      </c>
      <c r="AW1194" s="141">
        <v>0.0318021201413428</v>
      </c>
      <c r="AX1194" s="95"/>
      <c r="AY1194" s="93"/>
    </row>
    <row r="1195" ht="15" spans="1:51">
      <c r="A1195" s="91"/>
      <c r="B1195" s="95"/>
      <c r="C1195" s="152" t="s">
        <v>1085</v>
      </c>
      <c r="D1195" s="153" t="s">
        <v>25</v>
      </c>
      <c r="E1195" s="130" t="s">
        <v>1086</v>
      </c>
      <c r="F1195" s="195" t="s">
        <v>1225</v>
      </c>
      <c r="G1195" s="195" t="s">
        <v>1225</v>
      </c>
      <c r="H1195" s="195" t="s">
        <v>1225</v>
      </c>
      <c r="I1195" s="195" t="s">
        <v>1225</v>
      </c>
      <c r="J1195" s="132">
        <v>0.9</v>
      </c>
      <c r="K1195" s="133">
        <v>0.959459459459459</v>
      </c>
      <c r="L1195" s="133">
        <v>0.984615384615385</v>
      </c>
      <c r="M1195" s="134">
        <v>0.953846153846154</v>
      </c>
      <c r="N1195" s="133">
        <v>0.972685887708649</v>
      </c>
      <c r="O1195" s="135">
        <v>0.9</v>
      </c>
      <c r="P1195" s="133">
        <v>0.966438356164384</v>
      </c>
      <c r="Q1195" s="133">
        <v>0.975559237779619</v>
      </c>
      <c r="R1195" s="133">
        <v>0.972120322817315</v>
      </c>
      <c r="S1195" s="133">
        <v>0.967198314775805</v>
      </c>
      <c r="T1195" s="135">
        <v>0.9</v>
      </c>
      <c r="U1195" s="133">
        <v>0.934931506849315</v>
      </c>
      <c r="V1195" s="133">
        <v>0.951946975973488</v>
      </c>
      <c r="W1195" s="133">
        <v>0.947175348495965</v>
      </c>
      <c r="X1195" s="133">
        <v>0.948880660482278</v>
      </c>
      <c r="Y1195" s="135">
        <v>0.92</v>
      </c>
      <c r="Z1195" s="135">
        <v>0.947793869989896</v>
      </c>
      <c r="AA1195" s="135">
        <v>0.949236076885165</v>
      </c>
      <c r="AB1195" s="135">
        <v>0.898598516075845</v>
      </c>
      <c r="AC1195" s="135">
        <v>0.943406103377409</v>
      </c>
      <c r="AD1195" s="135">
        <v>0.92</v>
      </c>
      <c r="AE1195" s="133">
        <v>0.979200383624048</v>
      </c>
      <c r="AF1195" s="133">
        <v>0.99455194439226</v>
      </c>
      <c r="AG1195" s="133">
        <v>0.995194874532835</v>
      </c>
      <c r="AH1195" s="133">
        <v>0.992046868478842</v>
      </c>
      <c r="AI1195" s="135">
        <v>0.92</v>
      </c>
      <c r="AJ1195" s="133">
        <v>0.962308998302207</v>
      </c>
      <c r="AK1195" s="133">
        <v>0.965796579657966</v>
      </c>
      <c r="AL1195" s="133">
        <v>0.960030165912519</v>
      </c>
      <c r="AM1195" s="133">
        <v>0.967684484334357</v>
      </c>
      <c r="AN1195" s="132">
        <v>0.99</v>
      </c>
      <c r="AO1195" s="137">
        <v>1</v>
      </c>
      <c r="AP1195" s="137">
        <v>1</v>
      </c>
      <c r="AQ1195" s="137">
        <v>1</v>
      </c>
      <c r="AR1195" s="137">
        <v>1</v>
      </c>
      <c r="AS1195" s="158">
        <v>0.0721861525408278</v>
      </c>
      <c r="AT1195" s="141">
        <v>0</v>
      </c>
      <c r="AU1195" s="141">
        <v>0.04</v>
      </c>
      <c r="AV1195" s="141">
        <v>0.037037037037037</v>
      </c>
      <c r="AW1195" s="141">
        <v>0.0380549682875264</v>
      </c>
      <c r="AX1195" s="95"/>
      <c r="AY1195" s="93"/>
    </row>
    <row r="1196" ht="15" spans="1:51">
      <c r="A1196" s="91"/>
      <c r="B1196" s="95"/>
      <c r="C1196" s="152" t="s">
        <v>1085</v>
      </c>
      <c r="D1196" s="153" t="s">
        <v>25</v>
      </c>
      <c r="E1196" s="130" t="s">
        <v>1086</v>
      </c>
      <c r="F1196" s="195" t="s">
        <v>1226</v>
      </c>
      <c r="G1196" s="195" t="s">
        <v>1226</v>
      </c>
      <c r="H1196" s="195" t="s">
        <v>1226</v>
      </c>
      <c r="I1196" s="195" t="s">
        <v>1226</v>
      </c>
      <c r="J1196" s="132">
        <v>0.9</v>
      </c>
      <c r="K1196" s="133">
        <v>0.976190476190476</v>
      </c>
      <c r="L1196" s="133">
        <v>0.972222222222222</v>
      </c>
      <c r="M1196" s="134">
        <v>0.974358974358974</v>
      </c>
      <c r="N1196" s="133">
        <v>0.966397849462366</v>
      </c>
      <c r="O1196" s="135">
        <v>0.9</v>
      </c>
      <c r="P1196" s="133">
        <v>0.934651290499725</v>
      </c>
      <c r="Q1196" s="133">
        <v>0.912380952380952</v>
      </c>
      <c r="R1196" s="133">
        <v>0.950180505415162</v>
      </c>
      <c r="S1196" s="133">
        <v>0.924915485439772</v>
      </c>
      <c r="T1196" s="135">
        <v>0.9</v>
      </c>
      <c r="U1196" s="133">
        <v>0.946183415705656</v>
      </c>
      <c r="V1196" s="133">
        <v>0.947301587301587</v>
      </c>
      <c r="W1196" s="133">
        <v>0.93826714801444</v>
      </c>
      <c r="X1196" s="133">
        <v>0.933396595694206</v>
      </c>
      <c r="Y1196" s="135">
        <v>0.92</v>
      </c>
      <c r="Z1196" s="135">
        <v>0.95830920671685</v>
      </c>
      <c r="AA1196" s="135">
        <v>0.957191780821918</v>
      </c>
      <c r="AB1196" s="135">
        <v>0.948941469489415</v>
      </c>
      <c r="AC1196" s="135">
        <v>0.953073893598558</v>
      </c>
      <c r="AD1196" s="135">
        <v>0.92</v>
      </c>
      <c r="AE1196" s="133">
        <v>0.999921525543436</v>
      </c>
      <c r="AF1196" s="133">
        <v>0.976761417216759</v>
      </c>
      <c r="AG1196" s="133">
        <v>0.985398180388633</v>
      </c>
      <c r="AH1196" s="133">
        <v>0.989932383444189</v>
      </c>
      <c r="AI1196" s="135">
        <v>0.92</v>
      </c>
      <c r="AJ1196" s="133">
        <v>0.972104818258664</v>
      </c>
      <c r="AK1196" s="133">
        <v>0.969034608378871</v>
      </c>
      <c r="AL1196" s="133">
        <v>0.969773299748111</v>
      </c>
      <c r="AM1196" s="133">
        <v>0.969687189672294</v>
      </c>
      <c r="AN1196" s="132">
        <v>0.99</v>
      </c>
      <c r="AO1196" s="137">
        <v>1</v>
      </c>
      <c r="AP1196" s="137">
        <v>1</v>
      </c>
      <c r="AQ1196" s="137">
        <v>1</v>
      </c>
      <c r="AR1196" s="137">
        <v>1</v>
      </c>
      <c r="AS1196" s="158">
        <v>0.0721861525408278</v>
      </c>
      <c r="AT1196" s="141">
        <v>0</v>
      </c>
      <c r="AU1196" s="141">
        <v>0.173913043478261</v>
      </c>
      <c r="AV1196" s="141">
        <v>0.0869565217391304</v>
      </c>
      <c r="AW1196" s="141">
        <v>0.0591549295774648</v>
      </c>
      <c r="AX1196" s="95"/>
      <c r="AY1196" s="93"/>
    </row>
    <row r="1197" ht="15" spans="1:51">
      <c r="A1197" s="91"/>
      <c r="B1197" s="95"/>
      <c r="C1197" s="152" t="s">
        <v>1085</v>
      </c>
      <c r="D1197" s="153" t="s">
        <v>25</v>
      </c>
      <c r="E1197" s="130" t="s">
        <v>1086</v>
      </c>
      <c r="F1197" s="195" t="s">
        <v>1227</v>
      </c>
      <c r="G1197" s="195" t="s">
        <v>1227</v>
      </c>
      <c r="H1197" s="195" t="s">
        <v>1227</v>
      </c>
      <c r="I1197" s="195" t="s">
        <v>1227</v>
      </c>
      <c r="J1197" s="132">
        <v>0.9</v>
      </c>
      <c r="K1197" s="133">
        <v>0.982456140350877</v>
      </c>
      <c r="L1197" s="133">
        <v>0.978260869565217</v>
      </c>
      <c r="M1197" s="134">
        <v>0.96078431372549</v>
      </c>
      <c r="N1197" s="133">
        <v>0.985943775100402</v>
      </c>
      <c r="O1197" s="135">
        <v>0.9</v>
      </c>
      <c r="P1197" s="133">
        <v>0.988739556847076</v>
      </c>
      <c r="Q1197" s="133">
        <v>0.988933156263834</v>
      </c>
      <c r="R1197" s="133">
        <v>0.987685348077406</v>
      </c>
      <c r="S1197" s="133">
        <v>0.984920851528384</v>
      </c>
      <c r="T1197" s="135">
        <v>0.9</v>
      </c>
      <c r="U1197" s="133">
        <v>0.939338903014893</v>
      </c>
      <c r="V1197" s="133">
        <v>0.938025675077468</v>
      </c>
      <c r="W1197" s="133">
        <v>0.920834380497612</v>
      </c>
      <c r="X1197" s="133">
        <v>0.928397925764192</v>
      </c>
      <c r="Y1197" s="135">
        <v>0.92</v>
      </c>
      <c r="Z1197" s="135">
        <v>0.964655172413793</v>
      </c>
      <c r="AA1197" s="135">
        <v>0.954858934169279</v>
      </c>
      <c r="AB1197" s="135">
        <v>0.955600403632694</v>
      </c>
      <c r="AC1197" s="135">
        <v>0.961695358801344</v>
      </c>
      <c r="AD1197" s="135">
        <v>0.92</v>
      </c>
      <c r="AE1197" s="133">
        <v>0.999551971326165</v>
      </c>
      <c r="AF1197" s="133">
        <v>0.997460317460317</v>
      </c>
      <c r="AG1197" s="133">
        <v>1</v>
      </c>
      <c r="AH1197" s="133">
        <v>0.998977188197372</v>
      </c>
      <c r="AI1197" s="135">
        <v>0.92</v>
      </c>
      <c r="AJ1197" s="133">
        <v>0.976345357776464</v>
      </c>
      <c r="AK1197" s="133">
        <v>0.971717695900363</v>
      </c>
      <c r="AL1197" s="133">
        <v>0.973440643863179</v>
      </c>
      <c r="AM1197" s="133">
        <v>0.9770006413454</v>
      </c>
      <c r="AN1197" s="132">
        <v>0.99</v>
      </c>
      <c r="AO1197" s="137">
        <v>1</v>
      </c>
      <c r="AP1197" s="137">
        <v>1</v>
      </c>
      <c r="AQ1197" s="137">
        <v>1</v>
      </c>
      <c r="AR1197" s="137">
        <v>1</v>
      </c>
      <c r="AS1197" s="158">
        <v>0.0721861525408278</v>
      </c>
      <c r="AT1197" s="141">
        <v>0</v>
      </c>
      <c r="AU1197" s="141">
        <v>0</v>
      </c>
      <c r="AV1197" s="141">
        <v>0</v>
      </c>
      <c r="AW1197" s="141">
        <v>0.0155339805825243</v>
      </c>
      <c r="AX1197" s="95"/>
      <c r="AY1197" s="93"/>
    </row>
    <row r="1198" ht="15" spans="1:51">
      <c r="A1198" s="91"/>
      <c r="B1198" s="95"/>
      <c r="C1198" s="152" t="s">
        <v>1085</v>
      </c>
      <c r="D1198" s="153" t="s">
        <v>25</v>
      </c>
      <c r="E1198" s="130" t="s">
        <v>1086</v>
      </c>
      <c r="F1198" s="195" t="s">
        <v>1228</v>
      </c>
      <c r="G1198" s="195" t="s">
        <v>1228</v>
      </c>
      <c r="H1198" s="195" t="s">
        <v>1228</v>
      </c>
      <c r="I1198" s="195" t="s">
        <v>1228</v>
      </c>
      <c r="J1198" s="132">
        <v>0.9</v>
      </c>
      <c r="K1198" s="133">
        <v>0.974683544303797</v>
      </c>
      <c r="L1198" s="133">
        <v>0.943661971830986</v>
      </c>
      <c r="M1198" s="134">
        <v>0.969230769230769</v>
      </c>
      <c r="N1198" s="133">
        <v>0.966567607726597</v>
      </c>
      <c r="O1198" s="135">
        <v>0.9</v>
      </c>
      <c r="P1198" s="133">
        <v>0.969811320754717</v>
      </c>
      <c r="Q1198" s="133">
        <v>0.957219251336898</v>
      </c>
      <c r="R1198" s="133">
        <v>0.957649092480553</v>
      </c>
      <c r="S1198" s="133">
        <v>0.954888578043604</v>
      </c>
      <c r="T1198" s="135">
        <v>0.9</v>
      </c>
      <c r="U1198" s="133">
        <v>0.956918238993711</v>
      </c>
      <c r="V1198" s="133">
        <v>0.941999177293295</v>
      </c>
      <c r="W1198" s="133">
        <v>0.955920484010372</v>
      </c>
      <c r="X1198" s="133">
        <v>0.952778313717924</v>
      </c>
      <c r="Y1198" s="135">
        <v>0.92</v>
      </c>
      <c r="Z1198" s="135">
        <v>0.966666666666667</v>
      </c>
      <c r="AA1198" s="135">
        <v>0.960169941582581</v>
      </c>
      <c r="AB1198" s="135">
        <v>0.962046204620462</v>
      </c>
      <c r="AC1198" s="135">
        <v>0.969957429556051</v>
      </c>
      <c r="AD1198" s="135">
        <v>0.92</v>
      </c>
      <c r="AE1198" s="133">
        <v>0.997575757575758</v>
      </c>
      <c r="AF1198" s="133">
        <v>0.997343251859724</v>
      </c>
      <c r="AG1198" s="133">
        <v>0.998654104979812</v>
      </c>
      <c r="AH1198" s="133">
        <v>0.996999295753085</v>
      </c>
      <c r="AI1198" s="135">
        <v>0.92</v>
      </c>
      <c r="AJ1198" s="133">
        <v>0.977441077441077</v>
      </c>
      <c r="AK1198" s="133">
        <v>0.973354958294717</v>
      </c>
      <c r="AL1198" s="133">
        <v>0.984931506849315</v>
      </c>
      <c r="AM1198" s="133">
        <v>0.982838004369883</v>
      </c>
      <c r="AN1198" s="132">
        <v>0.99</v>
      </c>
      <c r="AO1198" s="137">
        <v>1</v>
      </c>
      <c r="AP1198" s="137">
        <v>1</v>
      </c>
      <c r="AQ1198" s="137">
        <v>1</v>
      </c>
      <c r="AR1198" s="137">
        <v>1</v>
      </c>
      <c r="AS1198" s="158">
        <v>0.0721861525408278</v>
      </c>
      <c r="AT1198" s="141">
        <v>0.0434782608695652</v>
      </c>
      <c r="AU1198" s="141">
        <v>0.0526315789473684</v>
      </c>
      <c r="AV1198" s="141">
        <v>0</v>
      </c>
      <c r="AW1198" s="141">
        <v>0.0573248407643312</v>
      </c>
      <c r="AX1198" s="95"/>
      <c r="AY1198" s="93"/>
    </row>
    <row r="1199" ht="15" spans="1:51">
      <c r="A1199" s="91"/>
      <c r="B1199" s="95"/>
      <c r="C1199" s="152" t="s">
        <v>1085</v>
      </c>
      <c r="D1199" s="153" t="s">
        <v>25</v>
      </c>
      <c r="E1199" s="130" t="s">
        <v>1086</v>
      </c>
      <c r="F1199" s="195" t="s">
        <v>1229</v>
      </c>
      <c r="G1199" s="195" t="s">
        <v>1229</v>
      </c>
      <c r="H1199" s="195" t="s">
        <v>1229</v>
      </c>
      <c r="I1199" s="195" t="s">
        <v>1229</v>
      </c>
      <c r="J1199" s="132">
        <v>0.9</v>
      </c>
      <c r="K1199" s="133">
        <v>0.945945945945946</v>
      </c>
      <c r="L1199" s="133">
        <v>0.875</v>
      </c>
      <c r="M1199" s="134">
        <v>0.970588235294118</v>
      </c>
      <c r="N1199" s="133">
        <v>0.947530864197531</v>
      </c>
      <c r="O1199" s="135">
        <v>0.9</v>
      </c>
      <c r="P1199" s="133">
        <v>0.955085865257596</v>
      </c>
      <c r="Q1199" s="133">
        <v>0.978330658105939</v>
      </c>
      <c r="R1199" s="133">
        <v>0.966346153846154</v>
      </c>
      <c r="S1199" s="133">
        <v>0.953406440728428</v>
      </c>
      <c r="T1199" s="135">
        <v>0.9</v>
      </c>
      <c r="U1199" s="133">
        <v>0.933949801849406</v>
      </c>
      <c r="V1199" s="133">
        <v>0.930979133226324</v>
      </c>
      <c r="W1199" s="133">
        <v>0.948863636363636</v>
      </c>
      <c r="X1199" s="133">
        <v>0.939463107229693</v>
      </c>
      <c r="Y1199" s="135">
        <v>0.92</v>
      </c>
      <c r="Z1199" s="135">
        <v>0.931851851851852</v>
      </c>
      <c r="AA1199" s="135">
        <v>0.90855106888361</v>
      </c>
      <c r="AB1199" s="135">
        <v>0.923636363636364</v>
      </c>
      <c r="AC1199" s="135">
        <v>0.946366272960363</v>
      </c>
      <c r="AD1199" s="135">
        <v>0.92</v>
      </c>
      <c r="AE1199" s="133">
        <v>0.998690242305174</v>
      </c>
      <c r="AF1199" s="133">
        <v>0.998847262247839</v>
      </c>
      <c r="AG1199" s="133">
        <v>0.996400287976962</v>
      </c>
      <c r="AH1199" s="133">
        <v>0.996477660955004</v>
      </c>
      <c r="AI1199" s="135">
        <v>0.92</v>
      </c>
      <c r="AJ1199" s="133">
        <v>0.955307262569832</v>
      </c>
      <c r="AK1199" s="133">
        <v>0.948275862068966</v>
      </c>
      <c r="AL1199" s="133">
        <v>0.969344608879493</v>
      </c>
      <c r="AM1199" s="133">
        <v>0.971480724526889</v>
      </c>
      <c r="AN1199" s="132">
        <v>0.99</v>
      </c>
      <c r="AO1199" s="137">
        <v>1</v>
      </c>
      <c r="AP1199" s="137">
        <v>1</v>
      </c>
      <c r="AQ1199" s="137">
        <v>1</v>
      </c>
      <c r="AR1199" s="137">
        <v>1</v>
      </c>
      <c r="AS1199" s="158">
        <v>0.0721861525408278</v>
      </c>
      <c r="AT1199" s="141">
        <v>0</v>
      </c>
      <c r="AU1199" s="141">
        <v>0</v>
      </c>
      <c r="AV1199" s="141">
        <v>0</v>
      </c>
      <c r="AW1199" s="141">
        <v>0.0177777777777778</v>
      </c>
      <c r="AX1199" s="95"/>
      <c r="AY1199" s="93"/>
    </row>
    <row r="1200" ht="15" spans="1:51">
      <c r="A1200" s="91"/>
      <c r="B1200" s="95"/>
      <c r="C1200" s="152" t="s">
        <v>1085</v>
      </c>
      <c r="D1200" s="153" t="s">
        <v>25</v>
      </c>
      <c r="E1200" s="130" t="s">
        <v>1086</v>
      </c>
      <c r="F1200" s="195" t="s">
        <v>1230</v>
      </c>
      <c r="G1200" s="195" t="s">
        <v>1230</v>
      </c>
      <c r="H1200" s="195" t="s">
        <v>1230</v>
      </c>
      <c r="I1200" s="195" t="s">
        <v>1230</v>
      </c>
      <c r="J1200" s="132">
        <v>0.9</v>
      </c>
      <c r="K1200" s="133">
        <v>1</v>
      </c>
      <c r="L1200" s="133">
        <v>0.971428571428571</v>
      </c>
      <c r="M1200" s="134">
        <v>0.974358974358974</v>
      </c>
      <c r="N1200" s="133">
        <v>0.991803278688525</v>
      </c>
      <c r="O1200" s="135">
        <v>0.9</v>
      </c>
      <c r="P1200" s="133">
        <v>0.980460921843687</v>
      </c>
      <c r="Q1200" s="133">
        <v>0.983455882352941</v>
      </c>
      <c r="R1200" s="133">
        <v>0.983940042826552</v>
      </c>
      <c r="S1200" s="133">
        <v>0.967493782173636</v>
      </c>
      <c r="T1200" s="135">
        <v>0.9</v>
      </c>
      <c r="U1200" s="133">
        <v>0.954909819639279</v>
      </c>
      <c r="V1200" s="133">
        <v>0.946691176470588</v>
      </c>
      <c r="W1200" s="133">
        <v>0.963597430406852</v>
      </c>
      <c r="X1200" s="133">
        <v>0.948387221161818</v>
      </c>
      <c r="Y1200" s="135">
        <v>0.92</v>
      </c>
      <c r="Z1200" s="135">
        <v>0.960808328230251</v>
      </c>
      <c r="AA1200" s="135">
        <v>0.953752181500873</v>
      </c>
      <c r="AB1200" s="135">
        <v>0.975473801560758</v>
      </c>
      <c r="AC1200" s="135">
        <v>0.955764455480667</v>
      </c>
      <c r="AD1200" s="135">
        <v>0.92</v>
      </c>
      <c r="AE1200" s="133">
        <v>0.996340455672294</v>
      </c>
      <c r="AF1200" s="133">
        <v>0.991611962071481</v>
      </c>
      <c r="AG1200" s="133">
        <v>1</v>
      </c>
      <c r="AH1200" s="133">
        <v>0.995421834328587</v>
      </c>
      <c r="AI1200" s="135">
        <v>0.92</v>
      </c>
      <c r="AJ1200" s="133">
        <v>0.974931129476584</v>
      </c>
      <c r="AK1200" s="133">
        <v>0.974460431654676</v>
      </c>
      <c r="AL1200" s="133">
        <v>0.985151187904968</v>
      </c>
      <c r="AM1200" s="133">
        <v>0.976363500149835</v>
      </c>
      <c r="AN1200" s="132">
        <v>0.99</v>
      </c>
      <c r="AO1200" s="137">
        <v>1</v>
      </c>
      <c r="AP1200" s="137">
        <v>1</v>
      </c>
      <c r="AQ1200" s="137">
        <v>1</v>
      </c>
      <c r="AR1200" s="137">
        <v>1</v>
      </c>
      <c r="AS1200" s="158">
        <v>0.0721861525408278</v>
      </c>
      <c r="AT1200" s="141">
        <v>0.0434782608695652</v>
      </c>
      <c r="AU1200" s="141">
        <v>0</v>
      </c>
      <c r="AV1200" s="141">
        <v>0</v>
      </c>
      <c r="AW1200" s="141">
        <v>0.0704225352112676</v>
      </c>
      <c r="AX1200" s="95"/>
      <c r="AY1200" s="93"/>
    </row>
    <row r="1201" ht="15" spans="1:51">
      <c r="A1201" s="91"/>
      <c r="B1201" s="95"/>
      <c r="C1201" s="152" t="s">
        <v>1085</v>
      </c>
      <c r="D1201" s="153" t="s">
        <v>25</v>
      </c>
      <c r="E1201" s="130" t="s">
        <v>1086</v>
      </c>
      <c r="F1201" s="195" t="s">
        <v>1231</v>
      </c>
      <c r="G1201" s="195" t="s">
        <v>1231</v>
      </c>
      <c r="H1201" s="195" t="s">
        <v>1231</v>
      </c>
      <c r="I1201" s="195" t="s">
        <v>1231</v>
      </c>
      <c r="J1201" s="132">
        <v>0.9</v>
      </c>
      <c r="K1201" s="133">
        <v>0.975903614457831</v>
      </c>
      <c r="L1201" s="133">
        <v>0.951612903225806</v>
      </c>
      <c r="M1201" s="134">
        <v>0.954545454545455</v>
      </c>
      <c r="N1201" s="133">
        <v>0.955588452997779</v>
      </c>
      <c r="O1201" s="135">
        <v>0.9</v>
      </c>
      <c r="P1201" s="133">
        <v>0.972724577527424</v>
      </c>
      <c r="Q1201" s="133">
        <v>0.972313296903461</v>
      </c>
      <c r="R1201" s="133">
        <v>0.96964656964657</v>
      </c>
      <c r="S1201" s="133">
        <v>0.96852698353468</v>
      </c>
      <c r="T1201" s="135">
        <v>0.9</v>
      </c>
      <c r="U1201" s="133">
        <v>0.936851467536318</v>
      </c>
      <c r="V1201" s="133">
        <v>0.944626593806922</v>
      </c>
      <c r="W1201" s="133">
        <v>0.935550935550936</v>
      </c>
      <c r="X1201" s="133">
        <v>0.938838098791921</v>
      </c>
      <c r="Y1201" s="135">
        <v>0.92</v>
      </c>
      <c r="Z1201" s="135">
        <v>0.952178185391418</v>
      </c>
      <c r="AA1201" s="135">
        <v>0.960038058991437</v>
      </c>
      <c r="AB1201" s="135">
        <v>0.946547884187082</v>
      </c>
      <c r="AC1201" s="135">
        <v>0.95472868829783</v>
      </c>
      <c r="AD1201" s="135">
        <v>0.92</v>
      </c>
      <c r="AE1201" s="133">
        <v>0.99862700228833</v>
      </c>
      <c r="AF1201" s="133">
        <v>0.995037220843672</v>
      </c>
      <c r="AG1201" s="133">
        <v>0.973908413205538</v>
      </c>
      <c r="AH1201" s="133">
        <v>0.993673066115553</v>
      </c>
      <c r="AI1201" s="135">
        <v>0.92</v>
      </c>
      <c r="AJ1201" s="133">
        <v>0.967475879240585</v>
      </c>
      <c r="AK1201" s="133">
        <v>0.973798225706623</v>
      </c>
      <c r="AL1201" s="133">
        <v>0.976936819879812</v>
      </c>
      <c r="AM1201" s="133">
        <v>0.975083775123371</v>
      </c>
      <c r="AN1201" s="132">
        <v>0.99</v>
      </c>
      <c r="AO1201" s="137">
        <v>1</v>
      </c>
      <c r="AP1201" s="137">
        <v>1</v>
      </c>
      <c r="AQ1201" s="137">
        <v>1</v>
      </c>
      <c r="AR1201" s="137">
        <v>1</v>
      </c>
      <c r="AS1201" s="158">
        <v>0.0721861525408278</v>
      </c>
      <c r="AT1201" s="141">
        <v>0</v>
      </c>
      <c r="AU1201" s="141">
        <v>0</v>
      </c>
      <c r="AV1201" s="141">
        <v>0.0476190476190476</v>
      </c>
      <c r="AW1201" s="141">
        <v>0.0520231213872832</v>
      </c>
      <c r="AX1201" s="95"/>
      <c r="AY1201" s="93"/>
    </row>
    <row r="1202" ht="15" spans="1:51">
      <c r="A1202" s="91"/>
      <c r="B1202" s="95"/>
      <c r="C1202" s="152" t="s">
        <v>1085</v>
      </c>
      <c r="D1202" s="153" t="s">
        <v>25</v>
      </c>
      <c r="E1202" s="130" t="s">
        <v>1086</v>
      </c>
      <c r="F1202" s="195" t="s">
        <v>1232</v>
      </c>
      <c r="G1202" s="195" t="s">
        <v>1232</v>
      </c>
      <c r="H1202" s="195" t="s">
        <v>1232</v>
      </c>
      <c r="I1202" s="195" t="s">
        <v>1232</v>
      </c>
      <c r="J1202" s="132">
        <v>0.9</v>
      </c>
      <c r="K1202" s="133">
        <v>1</v>
      </c>
      <c r="L1202" s="133">
        <v>0.981818181818182</v>
      </c>
      <c r="M1202" s="134">
        <v>1</v>
      </c>
      <c r="N1202" s="133">
        <v>0.994540491355778</v>
      </c>
      <c r="O1202" s="135">
        <v>0.9</v>
      </c>
      <c r="P1202" s="133">
        <v>0.99301048427359</v>
      </c>
      <c r="Q1202" s="133">
        <v>0.992252681764005</v>
      </c>
      <c r="R1202" s="133">
        <v>0.9938570966699</v>
      </c>
      <c r="S1202" s="133">
        <v>0.989268277464943</v>
      </c>
      <c r="T1202" s="135">
        <v>0.9</v>
      </c>
      <c r="U1202" s="133">
        <v>0.950074887668497</v>
      </c>
      <c r="V1202" s="133">
        <v>0.955899880810489</v>
      </c>
      <c r="W1202" s="133">
        <v>0.966698997736825</v>
      </c>
      <c r="X1202" s="133">
        <v>0.95120809870689</v>
      </c>
      <c r="Y1202" s="135">
        <v>0.92</v>
      </c>
      <c r="Z1202" s="135">
        <v>0.961733697774307</v>
      </c>
      <c r="AA1202" s="135">
        <v>0.97583081570997</v>
      </c>
      <c r="AB1202" s="135">
        <v>0.982456140350877</v>
      </c>
      <c r="AC1202" s="135">
        <v>0.970842716605428</v>
      </c>
      <c r="AD1202" s="135">
        <v>0.92</v>
      </c>
      <c r="AE1202" s="133">
        <v>0.996895052784103</v>
      </c>
      <c r="AF1202" s="133">
        <v>0.998891106675538</v>
      </c>
      <c r="AG1202" s="133">
        <v>0.998214285714286</v>
      </c>
      <c r="AH1202" s="133">
        <v>0.978384801672658</v>
      </c>
      <c r="AI1202" s="135">
        <v>0.92</v>
      </c>
      <c r="AJ1202" s="133">
        <v>0.970646221248631</v>
      </c>
      <c r="AK1202" s="133">
        <v>0.981098109810981</v>
      </c>
      <c r="AL1202" s="133">
        <v>0.989560572954601</v>
      </c>
      <c r="AM1202" s="133">
        <v>0.982614585685256</v>
      </c>
      <c r="AN1202" s="132">
        <v>0.99</v>
      </c>
      <c r="AO1202" s="137">
        <v>1</v>
      </c>
      <c r="AP1202" s="137">
        <v>1</v>
      </c>
      <c r="AQ1202" s="137">
        <v>1</v>
      </c>
      <c r="AR1202" s="137">
        <v>1</v>
      </c>
      <c r="AS1202" s="158">
        <v>0.0721861525408278</v>
      </c>
      <c r="AT1202" s="141">
        <v>0.0344827586206897</v>
      </c>
      <c r="AU1202" s="141">
        <v>0.0606060606060606</v>
      </c>
      <c r="AV1202" s="141">
        <v>0</v>
      </c>
      <c r="AW1202" s="141">
        <v>0.0287610619469027</v>
      </c>
      <c r="AX1202" s="95"/>
      <c r="AY1202" s="93"/>
    </row>
    <row r="1203" ht="15" spans="1:51">
      <c r="A1203" s="91"/>
      <c r="B1203" s="95"/>
      <c r="C1203" s="152" t="s">
        <v>1085</v>
      </c>
      <c r="D1203" s="153" t="s">
        <v>25</v>
      </c>
      <c r="E1203" s="130" t="s">
        <v>1086</v>
      </c>
      <c r="F1203" s="195" t="s">
        <v>1233</v>
      </c>
      <c r="G1203" s="195" t="s">
        <v>1233</v>
      </c>
      <c r="H1203" s="195" t="s">
        <v>1233</v>
      </c>
      <c r="I1203" s="195" t="s">
        <v>1233</v>
      </c>
      <c r="J1203" s="132">
        <v>0.9</v>
      </c>
      <c r="K1203" s="133">
        <v>0.958904109589041</v>
      </c>
      <c r="L1203" s="133">
        <v>1</v>
      </c>
      <c r="M1203" s="134">
        <v>0.984126984126984</v>
      </c>
      <c r="N1203" s="133">
        <v>0.982825917252147</v>
      </c>
      <c r="O1203" s="135">
        <v>0.9</v>
      </c>
      <c r="P1203" s="133">
        <v>0.972852233676976</v>
      </c>
      <c r="Q1203" s="133">
        <v>0.959336754836163</v>
      </c>
      <c r="R1203" s="133">
        <v>0.982315491629333</v>
      </c>
      <c r="S1203" s="133">
        <v>0.980385039054677</v>
      </c>
      <c r="T1203" s="135">
        <v>0.9</v>
      </c>
      <c r="U1203" s="133">
        <v>0.942268041237113</v>
      </c>
      <c r="V1203" s="133">
        <v>0.949861823924201</v>
      </c>
      <c r="W1203" s="133">
        <v>0.950483376562132</v>
      </c>
      <c r="X1203" s="133">
        <v>0.950468155417585</v>
      </c>
      <c r="Y1203" s="135">
        <v>0.92</v>
      </c>
      <c r="Z1203" s="135">
        <v>0.961001902346227</v>
      </c>
      <c r="AA1203" s="135">
        <v>0.962426437301947</v>
      </c>
      <c r="AB1203" s="135">
        <v>0.94873595505618</v>
      </c>
      <c r="AC1203" s="135">
        <v>0.964753214753215</v>
      </c>
      <c r="AD1203" s="135">
        <v>0.92</v>
      </c>
      <c r="AE1203" s="133">
        <v>0.99274470428192</v>
      </c>
      <c r="AF1203" s="133">
        <v>0.991626409017713</v>
      </c>
      <c r="AG1203" s="133">
        <v>0.958150680928166</v>
      </c>
      <c r="AH1203" s="133">
        <v>0.964319482114882</v>
      </c>
      <c r="AI1203" s="135">
        <v>0.92</v>
      </c>
      <c r="AJ1203" s="133">
        <v>0.971475680131904</v>
      </c>
      <c r="AK1203" s="133">
        <v>0.975959510754956</v>
      </c>
      <c r="AL1203" s="133">
        <v>0.97811120917917</v>
      </c>
      <c r="AM1203" s="133">
        <v>0.979780206445154</v>
      </c>
      <c r="AN1203" s="132">
        <v>0.99</v>
      </c>
      <c r="AO1203" s="137">
        <v>1</v>
      </c>
      <c r="AP1203" s="137">
        <v>1</v>
      </c>
      <c r="AQ1203" s="137">
        <v>1</v>
      </c>
      <c r="AR1203" s="137">
        <v>1</v>
      </c>
      <c r="AS1203" s="158">
        <v>0.0721861525408278</v>
      </c>
      <c r="AT1203" s="141">
        <v>0.103448275862069</v>
      </c>
      <c r="AU1203" s="141">
        <v>0.037037037037037</v>
      </c>
      <c r="AV1203" s="141">
        <v>0</v>
      </c>
      <c r="AW1203" s="141">
        <v>0.040785498489426</v>
      </c>
      <c r="AX1203" s="95"/>
      <c r="AY1203" s="93"/>
    </row>
    <row r="1204" ht="15" spans="1:51">
      <c r="A1204" s="91"/>
      <c r="B1204" s="95"/>
      <c r="C1204" s="152" t="s">
        <v>1085</v>
      </c>
      <c r="D1204" s="153" t="s">
        <v>25</v>
      </c>
      <c r="E1204" s="130" t="s">
        <v>1086</v>
      </c>
      <c r="F1204" s="195" t="s">
        <v>1234</v>
      </c>
      <c r="G1204" s="195" t="s">
        <v>1234</v>
      </c>
      <c r="H1204" s="195" t="s">
        <v>1234</v>
      </c>
      <c r="I1204" s="195" t="s">
        <v>1234</v>
      </c>
      <c r="J1204" s="132">
        <v>0.9</v>
      </c>
      <c r="K1204" s="133">
        <v>1</v>
      </c>
      <c r="L1204" s="133">
        <v>1</v>
      </c>
      <c r="M1204" s="134">
        <v>1</v>
      </c>
      <c r="N1204" s="133">
        <v>0.990291262135922</v>
      </c>
      <c r="O1204" s="135">
        <v>0.9</v>
      </c>
      <c r="P1204" s="133">
        <v>0.984289617486339</v>
      </c>
      <c r="Q1204" s="133">
        <v>0.985433357611071</v>
      </c>
      <c r="R1204" s="133">
        <v>0.992303745510518</v>
      </c>
      <c r="S1204" s="133">
        <v>0.988854784396698</v>
      </c>
      <c r="T1204" s="135">
        <v>0.9</v>
      </c>
      <c r="U1204" s="133">
        <v>0.965846994535519</v>
      </c>
      <c r="V1204" s="133">
        <v>0.973780043699927</v>
      </c>
      <c r="W1204" s="133">
        <v>0.970241149307337</v>
      </c>
      <c r="X1204" s="133">
        <v>0.965342551479572</v>
      </c>
      <c r="Y1204" s="135">
        <v>0.92</v>
      </c>
      <c r="Z1204" s="135">
        <v>0.968775020016013</v>
      </c>
      <c r="AA1204" s="135">
        <v>0.980176211453744</v>
      </c>
      <c r="AB1204" s="135">
        <v>0.979782270606532</v>
      </c>
      <c r="AC1204" s="135">
        <v>0.977199315979479</v>
      </c>
      <c r="AD1204" s="135">
        <v>0.92</v>
      </c>
      <c r="AE1204" s="133">
        <v>0.998370611761221</v>
      </c>
      <c r="AF1204" s="133">
        <v>0.991273465246068</v>
      </c>
      <c r="AG1204" s="133">
        <v>0.98123562617604</v>
      </c>
      <c r="AH1204" s="133">
        <v>0.951718083030826</v>
      </c>
      <c r="AI1204" s="135">
        <v>0.92</v>
      </c>
      <c r="AJ1204" s="133">
        <v>0.981938813122005</v>
      </c>
      <c r="AK1204" s="133">
        <v>0.988163086365629</v>
      </c>
      <c r="AL1204" s="133">
        <v>0.988811728395062</v>
      </c>
      <c r="AM1204" s="133">
        <v>0.987237003534086</v>
      </c>
      <c r="AN1204" s="132">
        <v>0.99</v>
      </c>
      <c r="AO1204" s="137">
        <v>1</v>
      </c>
      <c r="AP1204" s="137">
        <v>1</v>
      </c>
      <c r="AQ1204" s="137">
        <v>1</v>
      </c>
      <c r="AR1204" s="137">
        <v>0.9971870604782</v>
      </c>
      <c r="AS1204" s="158">
        <v>0.0721861525408278</v>
      </c>
      <c r="AT1204" s="141">
        <v>0.142857142857143</v>
      </c>
      <c r="AU1204" s="141">
        <v>0</v>
      </c>
      <c r="AV1204" s="141">
        <v>0</v>
      </c>
      <c r="AW1204" s="141">
        <v>0.0432900432900433</v>
      </c>
      <c r="AX1204" s="95"/>
      <c r="AY1204" s="93"/>
    </row>
    <row r="1205" ht="15" spans="1:51">
      <c r="A1205" s="91"/>
      <c r="B1205" s="95"/>
      <c r="C1205" s="152" t="s">
        <v>1085</v>
      </c>
      <c r="D1205" s="153" t="s">
        <v>25</v>
      </c>
      <c r="E1205" s="130" t="s">
        <v>1086</v>
      </c>
      <c r="F1205" s="195" t="s">
        <v>1235</v>
      </c>
      <c r="G1205" s="195" t="s">
        <v>1235</v>
      </c>
      <c r="H1205" s="195" t="s">
        <v>1235</v>
      </c>
      <c r="I1205" s="195" t="s">
        <v>1235</v>
      </c>
      <c r="J1205" s="132">
        <v>0.9</v>
      </c>
      <c r="K1205" s="133">
        <v>1</v>
      </c>
      <c r="L1205" s="133">
        <v>0.96875</v>
      </c>
      <c r="M1205" s="134">
        <v>0.967741935483871</v>
      </c>
      <c r="N1205" s="133">
        <v>0.984984984984985</v>
      </c>
      <c r="O1205" s="135">
        <v>0.9</v>
      </c>
      <c r="P1205" s="133">
        <v>0.991397849462366</v>
      </c>
      <c r="Q1205" s="133">
        <v>0.995260663507109</v>
      </c>
      <c r="R1205" s="133">
        <v>0.984089845577913</v>
      </c>
      <c r="S1205" s="133">
        <v>0.990903577926016</v>
      </c>
      <c r="T1205" s="135">
        <v>0.9</v>
      </c>
      <c r="U1205" s="133">
        <v>0.949820788530466</v>
      </c>
      <c r="V1205" s="133">
        <v>0.957345971563981</v>
      </c>
      <c r="W1205" s="133">
        <v>0.947122133832475</v>
      </c>
      <c r="X1205" s="133">
        <v>0.952117444916111</v>
      </c>
      <c r="Y1205" s="135">
        <v>0.92</v>
      </c>
      <c r="Z1205" s="135">
        <v>0.95404984423676</v>
      </c>
      <c r="AA1205" s="135">
        <v>0.969367588932806</v>
      </c>
      <c r="AB1205" s="135">
        <v>0.97275641025641</v>
      </c>
      <c r="AC1205" s="135">
        <v>0.969498641639911</v>
      </c>
      <c r="AD1205" s="135">
        <v>0.92</v>
      </c>
      <c r="AE1205" s="133">
        <v>0.998254364089776</v>
      </c>
      <c r="AF1205" s="133">
        <v>0.998564364332429</v>
      </c>
      <c r="AG1205" s="133">
        <v>1</v>
      </c>
      <c r="AH1205" s="133">
        <v>0.997776631808537</v>
      </c>
      <c r="AI1205" s="135">
        <v>0.92</v>
      </c>
      <c r="AJ1205" s="133">
        <v>0.97237775289287</v>
      </c>
      <c r="AK1205" s="133">
        <v>0.980245829675154</v>
      </c>
      <c r="AL1205" s="133">
        <v>0.985874683085838</v>
      </c>
      <c r="AM1205" s="133">
        <v>0.983077115751902</v>
      </c>
      <c r="AN1205" s="132">
        <v>0.99</v>
      </c>
      <c r="AO1205" s="137">
        <v>1</v>
      </c>
      <c r="AP1205" s="137">
        <v>1</v>
      </c>
      <c r="AQ1205" s="137">
        <v>1</v>
      </c>
      <c r="AR1205" s="137">
        <v>1</v>
      </c>
      <c r="AS1205" s="158">
        <v>0.0721861525408278</v>
      </c>
      <c r="AT1205" s="141">
        <v>0</v>
      </c>
      <c r="AU1205" s="141">
        <v>0</v>
      </c>
      <c r="AV1205" s="141">
        <v>0</v>
      </c>
      <c r="AW1205" s="141">
        <v>0.0336538461538462</v>
      </c>
      <c r="AX1205" s="95"/>
      <c r="AY1205" s="93"/>
    </row>
    <row r="1206" ht="15" spans="1:51">
      <c r="A1206" s="91"/>
      <c r="B1206" s="95"/>
      <c r="C1206" s="152" t="s">
        <v>1085</v>
      </c>
      <c r="D1206" s="153" t="s">
        <v>25</v>
      </c>
      <c r="E1206" s="130" t="s">
        <v>1086</v>
      </c>
      <c r="F1206" s="195" t="s">
        <v>1236</v>
      </c>
      <c r="G1206" s="195" t="s">
        <v>1236</v>
      </c>
      <c r="H1206" s="195" t="s">
        <v>1236</v>
      </c>
      <c r="I1206" s="195" t="s">
        <v>1236</v>
      </c>
      <c r="J1206" s="132">
        <v>0.9</v>
      </c>
      <c r="K1206" s="133">
        <v>1</v>
      </c>
      <c r="L1206" s="133">
        <v>1</v>
      </c>
      <c r="M1206" s="134">
        <v>1</v>
      </c>
      <c r="N1206" s="133">
        <v>0.986206896551724</v>
      </c>
      <c r="O1206" s="135">
        <v>0.9</v>
      </c>
      <c r="P1206" s="133">
        <v>0.977864583333333</v>
      </c>
      <c r="Q1206" s="133">
        <v>0.987534626038781</v>
      </c>
      <c r="R1206" s="133">
        <v>0.979659609796596</v>
      </c>
      <c r="S1206" s="133">
        <v>0.9862317690022</v>
      </c>
      <c r="T1206" s="135">
        <v>0.9</v>
      </c>
      <c r="U1206" s="133">
        <v>0.947916666666667</v>
      </c>
      <c r="V1206" s="133">
        <v>0.954293628808864</v>
      </c>
      <c r="W1206" s="133">
        <v>0.957243669572437</v>
      </c>
      <c r="X1206" s="133">
        <v>0.952026674529907</v>
      </c>
      <c r="Y1206" s="135">
        <v>0.92</v>
      </c>
      <c r="Z1206" s="135">
        <v>0.962829736211031</v>
      </c>
      <c r="AA1206" s="135">
        <v>0.965456155890168</v>
      </c>
      <c r="AB1206" s="135">
        <v>0.957475994513032</v>
      </c>
      <c r="AC1206" s="135">
        <v>0.971865832538084</v>
      </c>
      <c r="AD1206" s="135">
        <v>0.92</v>
      </c>
      <c r="AE1206" s="133">
        <v>0.996581196581197</v>
      </c>
      <c r="AF1206" s="133">
        <v>0.99255424762445</v>
      </c>
      <c r="AG1206" s="133">
        <v>0.997527608373166</v>
      </c>
      <c r="AH1206" s="133">
        <v>0.979133684425921</v>
      </c>
      <c r="AI1206" s="135">
        <v>0.92</v>
      </c>
      <c r="AJ1206" s="133">
        <v>0.973799126637555</v>
      </c>
      <c r="AK1206" s="133">
        <v>0.976680917217256</v>
      </c>
      <c r="AL1206" s="133">
        <v>0.982478496336413</v>
      </c>
      <c r="AM1206" s="133">
        <v>0.984169521494088</v>
      </c>
      <c r="AN1206" s="132">
        <v>0.99</v>
      </c>
      <c r="AO1206" s="137">
        <v>1</v>
      </c>
      <c r="AP1206" s="137">
        <v>1</v>
      </c>
      <c r="AQ1206" s="137">
        <v>1</v>
      </c>
      <c r="AR1206" s="137">
        <v>1</v>
      </c>
      <c r="AS1206" s="158">
        <v>0.0721861525408278</v>
      </c>
      <c r="AT1206" s="141">
        <v>0</v>
      </c>
      <c r="AU1206" s="141">
        <v>0</v>
      </c>
      <c r="AV1206" s="141">
        <v>0.125</v>
      </c>
      <c r="AW1206" s="141">
        <v>0.0358974358974359</v>
      </c>
      <c r="AX1206" s="95"/>
      <c r="AY1206" s="93"/>
    </row>
    <row r="1207" ht="15" spans="1:51">
      <c r="A1207" s="91"/>
      <c r="B1207" s="95"/>
      <c r="C1207" s="152" t="s">
        <v>1085</v>
      </c>
      <c r="D1207" s="153" t="s">
        <v>25</v>
      </c>
      <c r="E1207" s="130" t="s">
        <v>1086</v>
      </c>
      <c r="F1207" s="195" t="s">
        <v>1237</v>
      </c>
      <c r="G1207" s="195" t="s">
        <v>1237</v>
      </c>
      <c r="H1207" s="195" t="s">
        <v>1237</v>
      </c>
      <c r="I1207" s="195" t="s">
        <v>1237</v>
      </c>
      <c r="J1207" s="132">
        <v>0.9</v>
      </c>
      <c r="K1207" s="133">
        <v>0.928571428571429</v>
      </c>
      <c r="L1207" s="133">
        <v>0.956521739130435</v>
      </c>
      <c r="M1207" s="134">
        <v>0.88</v>
      </c>
      <c r="N1207" s="133">
        <v>0.937106918238994</v>
      </c>
      <c r="O1207" s="135">
        <v>0.9</v>
      </c>
      <c r="P1207" s="133">
        <v>0.978170478170478</v>
      </c>
      <c r="Q1207" s="133">
        <v>0.899241603466956</v>
      </c>
      <c r="R1207" s="133">
        <v>0.989655172413793</v>
      </c>
      <c r="S1207" s="133">
        <v>0.983767937046752</v>
      </c>
      <c r="T1207" s="135">
        <v>0.9</v>
      </c>
      <c r="U1207" s="133">
        <v>0.938669438669439</v>
      </c>
      <c r="V1207" s="133">
        <v>0.923076923076923</v>
      </c>
      <c r="W1207" s="133">
        <v>0.939080459770115</v>
      </c>
      <c r="X1207" s="133">
        <v>0.943372936275266</v>
      </c>
      <c r="Y1207" s="135">
        <v>0.92</v>
      </c>
      <c r="Z1207" s="135">
        <v>0.953112368633791</v>
      </c>
      <c r="AA1207" s="135">
        <v>0.95625</v>
      </c>
      <c r="AB1207" s="135">
        <v>0.952182952182952</v>
      </c>
      <c r="AC1207" s="135">
        <v>0.957494407158837</v>
      </c>
      <c r="AD1207" s="135">
        <v>0.92</v>
      </c>
      <c r="AE1207" s="133">
        <v>0.996875542440549</v>
      </c>
      <c r="AF1207" s="133">
        <v>0.996049165935031</v>
      </c>
      <c r="AG1207" s="133">
        <v>0.998535871156662</v>
      </c>
      <c r="AH1207" s="133">
        <v>0.941822476325026</v>
      </c>
      <c r="AI1207" s="135">
        <v>0.92</v>
      </c>
      <c r="AJ1207" s="133">
        <v>0.964529331514325</v>
      </c>
      <c r="AK1207" s="133">
        <v>0.961694718514219</v>
      </c>
      <c r="AL1207" s="133">
        <v>0.973885637100405</v>
      </c>
      <c r="AM1207" s="133">
        <v>0.97334727952428</v>
      </c>
      <c r="AN1207" s="132">
        <v>0.99</v>
      </c>
      <c r="AO1207" s="137">
        <v>1</v>
      </c>
      <c r="AP1207" s="137">
        <v>1</v>
      </c>
      <c r="AQ1207" s="137">
        <v>1</v>
      </c>
      <c r="AR1207" s="137">
        <v>1</v>
      </c>
      <c r="AS1207" s="158">
        <v>0.0721861525408278</v>
      </c>
      <c r="AT1207" s="141">
        <v>0.111111111111111</v>
      </c>
      <c r="AU1207" s="141">
        <v>0.117647058823529</v>
      </c>
      <c r="AV1207" s="141">
        <v>0.0769230769230769</v>
      </c>
      <c r="AW1207" s="141">
        <v>0.0576923076923077</v>
      </c>
      <c r="AX1207" s="95"/>
      <c r="AY1207" s="93"/>
    </row>
    <row r="1208" ht="15" spans="1:51">
      <c r="A1208" s="91"/>
      <c r="B1208" s="95"/>
      <c r="C1208" s="152" t="s">
        <v>1085</v>
      </c>
      <c r="D1208" s="153" t="s">
        <v>25</v>
      </c>
      <c r="E1208" s="130" t="s">
        <v>1086</v>
      </c>
      <c r="F1208" s="195" t="s">
        <v>1238</v>
      </c>
      <c r="G1208" s="195" t="s">
        <v>1238</v>
      </c>
      <c r="H1208" s="195" t="s">
        <v>1238</v>
      </c>
      <c r="I1208" s="195" t="s">
        <v>1238</v>
      </c>
      <c r="J1208" s="132">
        <v>0.9</v>
      </c>
      <c r="K1208" s="133">
        <v>0.886792452830189</v>
      </c>
      <c r="L1208" s="133">
        <v>0.844444444444444</v>
      </c>
      <c r="M1208" s="134">
        <v>0.877551020408163</v>
      </c>
      <c r="N1208" s="133">
        <v>0.904094827586207</v>
      </c>
      <c r="O1208" s="135">
        <v>0.9</v>
      </c>
      <c r="P1208" s="133">
        <v>0.984423676012461</v>
      </c>
      <c r="Q1208" s="133">
        <v>0.963942307692308</v>
      </c>
      <c r="R1208" s="133">
        <v>0.919296987087518</v>
      </c>
      <c r="S1208" s="133">
        <v>0.929827374271819</v>
      </c>
      <c r="T1208" s="135">
        <v>0.9</v>
      </c>
      <c r="U1208" s="133">
        <v>0.90809968847352</v>
      </c>
      <c r="V1208" s="133">
        <v>0.926081730769231</v>
      </c>
      <c r="W1208" s="133">
        <v>0.934361549497848</v>
      </c>
      <c r="X1208" s="133">
        <v>0.923467479023035</v>
      </c>
      <c r="Y1208" s="135">
        <v>0.92</v>
      </c>
      <c r="Z1208" s="135">
        <v>0.939876670092497</v>
      </c>
      <c r="AA1208" s="135">
        <v>0.950443786982249</v>
      </c>
      <c r="AB1208" s="135">
        <v>0.9476688867745</v>
      </c>
      <c r="AC1208" s="135">
        <v>0.957220049556677</v>
      </c>
      <c r="AD1208" s="135">
        <v>0.92</v>
      </c>
      <c r="AE1208" s="133">
        <v>0.968388106416275</v>
      </c>
      <c r="AF1208" s="133">
        <v>0.997175141242938</v>
      </c>
      <c r="AG1208" s="133">
        <v>0.99616122840691</v>
      </c>
      <c r="AH1208" s="133">
        <v>0.993043830620652</v>
      </c>
      <c r="AI1208" s="135">
        <v>0.92</v>
      </c>
      <c r="AJ1208" s="133">
        <v>0.953770661157025</v>
      </c>
      <c r="AK1208" s="133">
        <v>0.96816976127321</v>
      </c>
      <c r="AL1208" s="133">
        <v>0.973177083333333</v>
      </c>
      <c r="AM1208" s="133">
        <v>0.975190201021842</v>
      </c>
      <c r="AN1208" s="132">
        <v>0.99</v>
      </c>
      <c r="AO1208" s="137">
        <v>1</v>
      </c>
      <c r="AP1208" s="137">
        <v>1</v>
      </c>
      <c r="AQ1208" s="137">
        <v>1</v>
      </c>
      <c r="AR1208" s="137">
        <v>1</v>
      </c>
      <c r="AS1208" s="158">
        <v>0.0721861525408278</v>
      </c>
      <c r="AT1208" s="141">
        <v>0.0454545454545455</v>
      </c>
      <c r="AU1208" s="141">
        <v>0.0833333333333333</v>
      </c>
      <c r="AV1208" s="141">
        <v>0.0526315789473684</v>
      </c>
      <c r="AW1208" s="141">
        <v>0.0538461538461538</v>
      </c>
      <c r="AX1208" s="95"/>
      <c r="AY1208" s="93"/>
    </row>
    <row r="1209" ht="15" spans="1:51">
      <c r="A1209" s="91"/>
      <c r="B1209" s="95"/>
      <c r="C1209" s="152" t="s">
        <v>1085</v>
      </c>
      <c r="D1209" s="153" t="s">
        <v>25</v>
      </c>
      <c r="E1209" s="130" t="s">
        <v>1086</v>
      </c>
      <c r="F1209" s="195" t="s">
        <v>1239</v>
      </c>
      <c r="G1209" s="195" t="s">
        <v>1239</v>
      </c>
      <c r="H1209" s="195" t="s">
        <v>1239</v>
      </c>
      <c r="I1209" s="195" t="s">
        <v>1239</v>
      </c>
      <c r="J1209" s="132">
        <v>0.9</v>
      </c>
      <c r="K1209" s="133">
        <v>1</v>
      </c>
      <c r="L1209" s="133">
        <v>1</v>
      </c>
      <c r="M1209" s="134">
        <v>0.939393939393939</v>
      </c>
      <c r="N1209" s="133">
        <v>0.991465149359886</v>
      </c>
      <c r="O1209" s="135">
        <v>0.9</v>
      </c>
      <c r="P1209" s="133">
        <v>0.989247311827957</v>
      </c>
      <c r="Q1209" s="133">
        <v>0.994807892004154</v>
      </c>
      <c r="R1209" s="133">
        <v>0.936842105263158</v>
      </c>
      <c r="S1209" s="133">
        <v>0.978905768835968</v>
      </c>
      <c r="T1209" s="135">
        <v>0.9</v>
      </c>
      <c r="U1209" s="133">
        <v>0.950372208436725</v>
      </c>
      <c r="V1209" s="133">
        <v>0.948078920041537</v>
      </c>
      <c r="W1209" s="133">
        <v>0.964736842105263</v>
      </c>
      <c r="X1209" s="133">
        <v>0.957067337302402</v>
      </c>
      <c r="Y1209" s="135">
        <v>0.92</v>
      </c>
      <c r="Z1209" s="135">
        <v>0.964084507042254</v>
      </c>
      <c r="AA1209" s="135">
        <v>0.962472406181015</v>
      </c>
      <c r="AB1209" s="135">
        <v>0.983483483483483</v>
      </c>
      <c r="AC1209" s="135">
        <v>0.97709306173475</v>
      </c>
      <c r="AD1209" s="135">
        <v>0.92</v>
      </c>
      <c r="AE1209" s="133">
        <v>0.999019607843137</v>
      </c>
      <c r="AF1209" s="133">
        <v>0.997422680412371</v>
      </c>
      <c r="AG1209" s="133">
        <v>1</v>
      </c>
      <c r="AH1209" s="133">
        <v>0.994329665394116</v>
      </c>
      <c r="AI1209" s="135">
        <v>0.92</v>
      </c>
      <c r="AJ1209" s="133">
        <v>0.9695701787752</v>
      </c>
      <c r="AK1209" s="133">
        <v>0.97752808988764</v>
      </c>
      <c r="AL1209" s="133">
        <v>0.985970381917381</v>
      </c>
      <c r="AM1209" s="133">
        <v>0.985808635724757</v>
      </c>
      <c r="AN1209" s="132">
        <v>0.99</v>
      </c>
      <c r="AO1209" s="137">
        <v>1</v>
      </c>
      <c r="AP1209" s="137">
        <v>1</v>
      </c>
      <c r="AQ1209" s="137">
        <v>1</v>
      </c>
      <c r="AR1209" s="137">
        <v>1</v>
      </c>
      <c r="AS1209" s="158">
        <v>0.0721861525408278</v>
      </c>
      <c r="AT1209" s="141">
        <v>0.111111111111111</v>
      </c>
      <c r="AU1209" s="141">
        <v>0.4</v>
      </c>
      <c r="AV1209" s="141">
        <v>0</v>
      </c>
      <c r="AW1209" s="141">
        <v>0.0559006211180124</v>
      </c>
      <c r="AX1209" s="95"/>
      <c r="AY1209" s="93"/>
    </row>
    <row r="1210" ht="15" spans="1:51">
      <c r="A1210" s="91"/>
      <c r="B1210" s="95"/>
      <c r="C1210" s="152" t="s">
        <v>1085</v>
      </c>
      <c r="D1210" s="153" t="s">
        <v>25</v>
      </c>
      <c r="E1210" s="130" t="s">
        <v>1086</v>
      </c>
      <c r="F1210" s="195" t="s">
        <v>1240</v>
      </c>
      <c r="G1210" s="195" t="s">
        <v>1240</v>
      </c>
      <c r="H1210" s="195" t="s">
        <v>1240</v>
      </c>
      <c r="I1210" s="195" t="s">
        <v>1240</v>
      </c>
      <c r="J1210" s="132">
        <v>0.9</v>
      </c>
      <c r="K1210" s="133">
        <v>1</v>
      </c>
      <c r="L1210" s="133">
        <v>1</v>
      </c>
      <c r="M1210" s="134">
        <v>1</v>
      </c>
      <c r="N1210" s="133">
        <v>0.988782051282051</v>
      </c>
      <c r="O1210" s="135">
        <v>0.9</v>
      </c>
      <c r="P1210" s="133">
        <v>0.927980132450331</v>
      </c>
      <c r="Q1210" s="133">
        <v>0.902738432483475</v>
      </c>
      <c r="R1210" s="133">
        <v>0.922594142259414</v>
      </c>
      <c r="S1210" s="133">
        <v>0.951215409201783</v>
      </c>
      <c r="T1210" s="135">
        <v>0.9</v>
      </c>
      <c r="U1210" s="133">
        <v>0.939569536423841</v>
      </c>
      <c r="V1210" s="133">
        <v>0.946175637393768</v>
      </c>
      <c r="W1210" s="133">
        <v>0.960251046025105</v>
      </c>
      <c r="X1210" s="133">
        <v>0.944654722853057</v>
      </c>
      <c r="Y1210" s="135">
        <v>0.92</v>
      </c>
      <c r="Z1210" s="135">
        <v>0.948474576271186</v>
      </c>
      <c r="AA1210" s="135">
        <v>0.959810874704492</v>
      </c>
      <c r="AB1210" s="135">
        <v>0.968576709796673</v>
      </c>
      <c r="AC1210" s="135">
        <v>0.969670163022874</v>
      </c>
      <c r="AD1210" s="135">
        <v>0.92</v>
      </c>
      <c r="AE1210" s="133">
        <v>0.997412373559163</v>
      </c>
      <c r="AF1210" s="133">
        <v>0.997868939797549</v>
      </c>
      <c r="AG1210" s="133">
        <v>0.981818181818182</v>
      </c>
      <c r="AH1210" s="133">
        <v>0.994876747307428</v>
      </c>
      <c r="AI1210" s="135">
        <v>0.92</v>
      </c>
      <c r="AJ1210" s="133">
        <v>0.962728289228476</v>
      </c>
      <c r="AK1210" s="133">
        <v>0.974278215223097</v>
      </c>
      <c r="AL1210" s="133">
        <v>0.981655116184264</v>
      </c>
      <c r="AM1210" s="133">
        <v>0.982291649132257</v>
      </c>
      <c r="AN1210" s="132">
        <v>0.99</v>
      </c>
      <c r="AO1210" s="137">
        <v>1</v>
      </c>
      <c r="AP1210" s="137">
        <v>1</v>
      </c>
      <c r="AQ1210" s="137">
        <v>1</v>
      </c>
      <c r="AR1210" s="137">
        <v>1</v>
      </c>
      <c r="AS1210" s="158">
        <v>0.0721861525408278</v>
      </c>
      <c r="AT1210" s="141">
        <v>0</v>
      </c>
      <c r="AU1210" s="141">
        <v>0</v>
      </c>
      <c r="AV1210" s="141">
        <v>0</v>
      </c>
      <c r="AW1210" s="141">
        <v>0.023696682464455</v>
      </c>
      <c r="AX1210" s="95"/>
      <c r="AY1210" s="93"/>
    </row>
    <row r="1211" ht="15" spans="1:51">
      <c r="A1211" s="91"/>
      <c r="B1211" s="95"/>
      <c r="C1211" s="152" t="s">
        <v>1085</v>
      </c>
      <c r="D1211" s="153" t="s">
        <v>25</v>
      </c>
      <c r="E1211" s="130" t="s">
        <v>1086</v>
      </c>
      <c r="F1211" s="195" t="s">
        <v>1241</v>
      </c>
      <c r="G1211" s="195" t="s">
        <v>1241</v>
      </c>
      <c r="H1211" s="195" t="s">
        <v>1241</v>
      </c>
      <c r="I1211" s="195" t="s">
        <v>1241</v>
      </c>
      <c r="J1211" s="132">
        <v>0.9</v>
      </c>
      <c r="K1211" s="133">
        <v>0.982758620689655</v>
      </c>
      <c r="L1211" s="133">
        <v>0.925925925925926</v>
      </c>
      <c r="M1211" s="134">
        <v>0.945454545454545</v>
      </c>
      <c r="N1211" s="133">
        <v>0.963981042654028</v>
      </c>
      <c r="O1211" s="135">
        <v>0.9</v>
      </c>
      <c r="P1211" s="133">
        <v>0.987437185929648</v>
      </c>
      <c r="Q1211" s="133">
        <v>0.986026731470231</v>
      </c>
      <c r="R1211" s="133">
        <v>0.989885807504078</v>
      </c>
      <c r="S1211" s="133">
        <v>0.979453087060636</v>
      </c>
      <c r="T1211" s="135">
        <v>0.9</v>
      </c>
      <c r="U1211" s="133">
        <v>0.927638190954774</v>
      </c>
      <c r="V1211" s="133">
        <v>0.931956257594168</v>
      </c>
      <c r="W1211" s="133">
        <v>0.950407830342577</v>
      </c>
      <c r="X1211" s="133">
        <v>0.938476480734129</v>
      </c>
      <c r="Y1211" s="135">
        <v>0.92</v>
      </c>
      <c r="Z1211" s="135">
        <v>0.889964788732394</v>
      </c>
      <c r="AA1211" s="135">
        <v>0.934512115258677</v>
      </c>
      <c r="AB1211" s="135">
        <v>0.925044091710758</v>
      </c>
      <c r="AC1211" s="135">
        <v>0.94598304594933</v>
      </c>
      <c r="AD1211" s="135">
        <v>0.92</v>
      </c>
      <c r="AE1211" s="133">
        <v>0.99</v>
      </c>
      <c r="AF1211" s="133">
        <v>0.99250936329588</v>
      </c>
      <c r="AG1211" s="133">
        <v>1</v>
      </c>
      <c r="AH1211" s="133">
        <v>0.991859737006888</v>
      </c>
      <c r="AI1211" s="135">
        <v>0.92</v>
      </c>
      <c r="AJ1211" s="133">
        <v>0.931252932895354</v>
      </c>
      <c r="AK1211" s="133">
        <v>0.960277427490542</v>
      </c>
      <c r="AL1211" s="133">
        <v>0.969992855441772</v>
      </c>
      <c r="AM1211" s="133">
        <v>0.971178538975149</v>
      </c>
      <c r="AN1211" s="132">
        <v>0.99</v>
      </c>
      <c r="AO1211" s="137">
        <v>1</v>
      </c>
      <c r="AP1211" s="137">
        <v>1</v>
      </c>
      <c r="AQ1211" s="137">
        <v>1</v>
      </c>
      <c r="AR1211" s="137">
        <v>1</v>
      </c>
      <c r="AS1211" s="158">
        <v>0.0721861525408278</v>
      </c>
      <c r="AT1211" s="141">
        <v>0</v>
      </c>
      <c r="AU1211" s="141">
        <v>0.0714285714285714</v>
      </c>
      <c r="AV1211" s="141">
        <v>0</v>
      </c>
      <c r="AW1211" s="141">
        <v>0.0267558528428094</v>
      </c>
      <c r="AX1211" s="95"/>
      <c r="AY1211" s="93"/>
    </row>
    <row r="1212" ht="15" spans="1:51">
      <c r="A1212" s="91"/>
      <c r="B1212" s="95"/>
      <c r="C1212" s="152" t="s">
        <v>1085</v>
      </c>
      <c r="D1212" s="153" t="s">
        <v>25</v>
      </c>
      <c r="E1212" s="130" t="s">
        <v>1086</v>
      </c>
      <c r="F1212" s="195" t="s">
        <v>1242</v>
      </c>
      <c r="G1212" s="195" t="s">
        <v>1242</v>
      </c>
      <c r="H1212" s="195" t="s">
        <v>1242</v>
      </c>
      <c r="I1212" s="195" t="s">
        <v>1242</v>
      </c>
      <c r="J1212" s="132">
        <v>0.9</v>
      </c>
      <c r="K1212" s="133">
        <v>0.894736842105263</v>
      </c>
      <c r="L1212" s="133">
        <v>0.896551724137931</v>
      </c>
      <c r="M1212" s="134">
        <v>0.833333333333333</v>
      </c>
      <c r="N1212" s="133">
        <v>0.89776357827476</v>
      </c>
      <c r="O1212" s="135">
        <v>0.9</v>
      </c>
      <c r="P1212" s="133">
        <v>0.948566226672736</v>
      </c>
      <c r="Q1212" s="133">
        <v>0.935643564356436</v>
      </c>
      <c r="R1212" s="133">
        <v>0.928571428571429</v>
      </c>
      <c r="S1212" s="133">
        <v>0.917757922153089</v>
      </c>
      <c r="T1212" s="135">
        <v>0.9</v>
      </c>
      <c r="U1212" s="133">
        <v>0.872098315885298</v>
      </c>
      <c r="V1212" s="133">
        <v>0.875530410183876</v>
      </c>
      <c r="W1212" s="133">
        <v>0.837467921300257</v>
      </c>
      <c r="X1212" s="133">
        <v>0.845300969468962</v>
      </c>
      <c r="Y1212" s="135">
        <v>0.92</v>
      </c>
      <c r="Z1212" s="135">
        <v>0.933707865168539</v>
      </c>
      <c r="AA1212" s="135">
        <v>0.939393939393939</v>
      </c>
      <c r="AB1212" s="135">
        <v>0.904392764857881</v>
      </c>
      <c r="AC1212" s="135">
        <v>0.929199901323904</v>
      </c>
      <c r="AD1212" s="135">
        <v>0.92</v>
      </c>
      <c r="AE1212" s="133">
        <v>0.998788895099683</v>
      </c>
      <c r="AF1212" s="133">
        <v>0.999019367492032</v>
      </c>
      <c r="AG1212" s="133">
        <v>0.963648380700595</v>
      </c>
      <c r="AH1212" s="133">
        <v>0.996865878544183</v>
      </c>
      <c r="AI1212" s="135">
        <v>0.92</v>
      </c>
      <c r="AJ1212" s="133">
        <v>0.951409135082604</v>
      </c>
      <c r="AK1212" s="133">
        <v>0.955715756951596</v>
      </c>
      <c r="AL1212" s="133">
        <v>0.934311926605505</v>
      </c>
      <c r="AM1212" s="133">
        <v>0.958889893703764</v>
      </c>
      <c r="AN1212" s="132">
        <v>0.99</v>
      </c>
      <c r="AO1212" s="137">
        <v>1</v>
      </c>
      <c r="AP1212" s="137">
        <v>1</v>
      </c>
      <c r="AQ1212" s="137">
        <v>1</v>
      </c>
      <c r="AR1212" s="137">
        <v>1</v>
      </c>
      <c r="AS1212" s="158">
        <v>0.0721861525408278</v>
      </c>
      <c r="AT1212" s="141">
        <v>0.12</v>
      </c>
      <c r="AU1212" s="141">
        <v>0</v>
      </c>
      <c r="AV1212" s="141">
        <v>0.04</v>
      </c>
      <c r="AW1212" s="141">
        <v>0.0530973451327434</v>
      </c>
      <c r="AX1212" s="95"/>
      <c r="AY1212" s="93"/>
    </row>
    <row r="1213" ht="15" spans="1:51">
      <c r="A1213" s="91"/>
      <c r="B1213" s="95"/>
      <c r="C1213" s="152" t="s">
        <v>1085</v>
      </c>
      <c r="D1213" s="153" t="s">
        <v>25</v>
      </c>
      <c r="E1213" s="130" t="s">
        <v>1086</v>
      </c>
      <c r="F1213" s="195" t="s">
        <v>1243</v>
      </c>
      <c r="G1213" s="195" t="s">
        <v>1243</v>
      </c>
      <c r="H1213" s="195" t="s">
        <v>1243</v>
      </c>
      <c r="I1213" s="195" t="s">
        <v>1243</v>
      </c>
      <c r="J1213" s="132">
        <v>0.9</v>
      </c>
      <c r="K1213" s="133">
        <v>0.909090909090909</v>
      </c>
      <c r="L1213" s="133">
        <v>1</v>
      </c>
      <c r="M1213" s="134">
        <v>0.934782608695652</v>
      </c>
      <c r="N1213" s="133">
        <v>0.88133764832794</v>
      </c>
      <c r="O1213" s="135">
        <v>0.9</v>
      </c>
      <c r="P1213" s="133">
        <v>0.955850681981335</v>
      </c>
      <c r="Q1213" s="133">
        <v>0.955316742081448</v>
      </c>
      <c r="R1213" s="133">
        <v>0.946490618485059</v>
      </c>
      <c r="S1213" s="133">
        <v>0.86335368043088</v>
      </c>
      <c r="T1213" s="135">
        <v>0.9</v>
      </c>
      <c r="U1213" s="133">
        <v>0.876525484565686</v>
      </c>
      <c r="V1213" s="133">
        <v>0.845588235294118</v>
      </c>
      <c r="W1213" s="133">
        <v>0.793606671299514</v>
      </c>
      <c r="X1213" s="133">
        <v>0.673307001795332</v>
      </c>
      <c r="Y1213" s="135">
        <v>0.92</v>
      </c>
      <c r="Z1213" s="135">
        <v>0.914335664335664</v>
      </c>
      <c r="AA1213" s="135">
        <v>0.866071428571429</v>
      </c>
      <c r="AB1213" s="135">
        <v>0.785407725321888</v>
      </c>
      <c r="AC1213" s="135">
        <v>0.692829518797946</v>
      </c>
      <c r="AD1213" s="135">
        <v>0.92</v>
      </c>
      <c r="AE1213" s="133">
        <v>1</v>
      </c>
      <c r="AF1213" s="133">
        <v>0.986111111111111</v>
      </c>
      <c r="AG1213" s="133">
        <v>1</v>
      </c>
      <c r="AH1213" s="133">
        <v>0.983817951959545</v>
      </c>
      <c r="AI1213" s="135">
        <v>0.92</v>
      </c>
      <c r="AJ1213" s="133">
        <v>0.933587786259542</v>
      </c>
      <c r="AK1213" s="133">
        <v>0.913560016386727</v>
      </c>
      <c r="AL1213" s="133">
        <v>0.904605263157895</v>
      </c>
      <c r="AM1213" s="133">
        <v>0.854826625459484</v>
      </c>
      <c r="AN1213" s="132">
        <v>0.99</v>
      </c>
      <c r="AO1213" s="137">
        <v>1</v>
      </c>
      <c r="AP1213" s="137">
        <v>1</v>
      </c>
      <c r="AQ1213" s="137">
        <v>1</v>
      </c>
      <c r="AR1213" s="137">
        <v>1</v>
      </c>
      <c r="AS1213" s="158">
        <v>0.0721861525408278</v>
      </c>
      <c r="AT1213" s="141">
        <v>0.037037037037037</v>
      </c>
      <c r="AU1213" s="141">
        <v>0.0909090909090909</v>
      </c>
      <c r="AV1213" s="141">
        <v>0.03125</v>
      </c>
      <c r="AW1213" s="141">
        <v>0.0436681222707424</v>
      </c>
      <c r="AX1213" s="95"/>
      <c r="AY1213" s="93"/>
    </row>
    <row r="1214" ht="15" spans="1:51">
      <c r="A1214" s="91"/>
      <c r="B1214" s="95"/>
      <c r="C1214" s="152" t="s">
        <v>1085</v>
      </c>
      <c r="D1214" s="153" t="s">
        <v>25</v>
      </c>
      <c r="E1214" s="130" t="s">
        <v>1086</v>
      </c>
      <c r="F1214" s="195" t="s">
        <v>1244</v>
      </c>
      <c r="G1214" s="195" t="s">
        <v>1244</v>
      </c>
      <c r="H1214" s="195" t="s">
        <v>1244</v>
      </c>
      <c r="I1214" s="195" t="s">
        <v>1244</v>
      </c>
      <c r="J1214" s="132">
        <v>0.9</v>
      </c>
      <c r="K1214" s="133">
        <v>0.958333333333333</v>
      </c>
      <c r="L1214" s="133">
        <v>0.91304347826087</v>
      </c>
      <c r="M1214" s="134">
        <v>0.875</v>
      </c>
      <c r="N1214" s="133">
        <v>0.905548996458087</v>
      </c>
      <c r="O1214" s="135">
        <v>0.9</v>
      </c>
      <c r="P1214" s="133">
        <v>0.968217054263566</v>
      </c>
      <c r="Q1214" s="133">
        <v>0.993444576877235</v>
      </c>
      <c r="R1214" s="133">
        <v>0.995588235294118</v>
      </c>
      <c r="S1214" s="133">
        <v>0.983595810528562</v>
      </c>
      <c r="T1214" s="135">
        <v>0.9</v>
      </c>
      <c r="U1214" s="133">
        <v>0.928682170542636</v>
      </c>
      <c r="V1214" s="133">
        <v>0.942193087008343</v>
      </c>
      <c r="W1214" s="133">
        <v>0.897058823529412</v>
      </c>
      <c r="X1214" s="133">
        <v>0.902138947753571</v>
      </c>
      <c r="Y1214" s="135">
        <v>0.92</v>
      </c>
      <c r="Z1214" s="135">
        <v>0.941972920696325</v>
      </c>
      <c r="AA1214" s="135">
        <v>0.9424</v>
      </c>
      <c r="AB1214" s="135">
        <v>0.866666666666667</v>
      </c>
      <c r="AC1214" s="135">
        <v>0.938431938431938</v>
      </c>
      <c r="AD1214" s="135">
        <v>0.92</v>
      </c>
      <c r="AE1214" s="133">
        <v>1</v>
      </c>
      <c r="AF1214" s="133">
        <v>1</v>
      </c>
      <c r="AG1214" s="133">
        <v>1</v>
      </c>
      <c r="AH1214" s="133">
        <v>0.999199038846616</v>
      </c>
      <c r="AI1214" s="135">
        <v>0.92</v>
      </c>
      <c r="AJ1214" s="133">
        <v>0.967081604426003</v>
      </c>
      <c r="AK1214" s="133">
        <v>0.968302214502822</v>
      </c>
      <c r="AL1214" s="133">
        <v>0.930914826498423</v>
      </c>
      <c r="AM1214" s="133">
        <v>0.967797477198717</v>
      </c>
      <c r="AN1214" s="132">
        <v>0.99</v>
      </c>
      <c r="AO1214" s="137">
        <v>1</v>
      </c>
      <c r="AP1214" s="137">
        <v>1</v>
      </c>
      <c r="AQ1214" s="137">
        <v>1</v>
      </c>
      <c r="AR1214" s="137">
        <v>1</v>
      </c>
      <c r="AS1214" s="158">
        <v>0.0721861525408278</v>
      </c>
      <c r="AT1214" s="141">
        <v>0.0952380952380952</v>
      </c>
      <c r="AU1214" s="141">
        <v>0.117647058823529</v>
      </c>
      <c r="AV1214" s="141">
        <v>0.0434782608695652</v>
      </c>
      <c r="AW1214" s="141">
        <v>0.0449438202247191</v>
      </c>
      <c r="AX1214" s="95"/>
      <c r="AY1214" s="93"/>
    </row>
    <row r="1215" ht="15" spans="1:51">
      <c r="A1215" s="91"/>
      <c r="B1215" s="95"/>
      <c r="C1215" s="152" t="s">
        <v>1085</v>
      </c>
      <c r="D1215" s="153" t="s">
        <v>125</v>
      </c>
      <c r="E1215" s="130" t="s">
        <v>1086</v>
      </c>
      <c r="F1215" s="195" t="s">
        <v>1245</v>
      </c>
      <c r="G1215" s="195" t="s">
        <v>1245</v>
      </c>
      <c r="H1215" s="195" t="s">
        <v>1245</v>
      </c>
      <c r="I1215" s="195" t="s">
        <v>1245</v>
      </c>
      <c r="J1215" s="132">
        <v>0.9</v>
      </c>
      <c r="K1215" s="133" t="s">
        <v>35</v>
      </c>
      <c r="L1215" s="133" t="s">
        <v>35</v>
      </c>
      <c r="M1215" s="134" t="s">
        <v>35</v>
      </c>
      <c r="N1215" s="133" t="s">
        <v>35</v>
      </c>
      <c r="O1215" s="135">
        <v>0.9</v>
      </c>
      <c r="P1215" s="133" t="s">
        <v>35</v>
      </c>
      <c r="Q1215" s="133">
        <v>0.333333333333333</v>
      </c>
      <c r="R1215" s="133" t="s">
        <v>35</v>
      </c>
      <c r="S1215" s="133">
        <v>0.0454545454545455</v>
      </c>
      <c r="T1215" s="135">
        <v>0.9</v>
      </c>
      <c r="U1215" s="133" t="s">
        <v>35</v>
      </c>
      <c r="V1215" s="133">
        <v>1</v>
      </c>
      <c r="W1215" s="133" t="s">
        <v>35</v>
      </c>
      <c r="X1215" s="133">
        <v>0.636363636363636</v>
      </c>
      <c r="Y1215" s="135">
        <v>0.92</v>
      </c>
      <c r="Z1215" s="135" t="s">
        <v>35</v>
      </c>
      <c r="AA1215" s="135" t="s">
        <v>35</v>
      </c>
      <c r="AB1215" s="135" t="s">
        <v>35</v>
      </c>
      <c r="AC1215" s="135">
        <v>1</v>
      </c>
      <c r="AD1215" s="135">
        <v>0.92</v>
      </c>
      <c r="AE1215" s="133">
        <v>0.995973472288015</v>
      </c>
      <c r="AF1215" s="133">
        <v>0.96315221711236</v>
      </c>
      <c r="AG1215" s="133">
        <v>0.998679867986799</v>
      </c>
      <c r="AH1215" s="133">
        <v>0.90688941110775</v>
      </c>
      <c r="AI1215" s="135">
        <v>0.92</v>
      </c>
      <c r="AJ1215" s="133" t="s">
        <v>35</v>
      </c>
      <c r="AK1215" s="133">
        <v>1</v>
      </c>
      <c r="AL1215" s="133">
        <v>1</v>
      </c>
      <c r="AM1215" s="133">
        <v>0.833333333333333</v>
      </c>
      <c r="AN1215" s="132">
        <v>0.99</v>
      </c>
      <c r="AO1215" s="137">
        <v>1</v>
      </c>
      <c r="AP1215" s="137">
        <v>1</v>
      </c>
      <c r="AQ1215" s="137">
        <v>1</v>
      </c>
      <c r="AR1215" s="137">
        <v>1</v>
      </c>
      <c r="AS1215" s="158">
        <v>0.0721861525408278</v>
      </c>
      <c r="AT1215" s="141" t="s">
        <v>35</v>
      </c>
      <c r="AU1215" s="141" t="s">
        <v>35</v>
      </c>
      <c r="AV1215" s="141" t="s">
        <v>35</v>
      </c>
      <c r="AW1215" s="141" t="s">
        <v>35</v>
      </c>
      <c r="AX1215" s="95"/>
      <c r="AY1215" s="93"/>
    </row>
    <row r="1216" ht="15" spans="1:51">
      <c r="A1216" s="91"/>
      <c r="B1216" s="95"/>
      <c r="C1216" s="152" t="s">
        <v>1085</v>
      </c>
      <c r="D1216" s="153" t="s">
        <v>25</v>
      </c>
      <c r="E1216" s="130" t="s">
        <v>1086</v>
      </c>
      <c r="F1216" s="195" t="s">
        <v>1246</v>
      </c>
      <c r="G1216" s="195" t="s">
        <v>1246</v>
      </c>
      <c r="H1216" s="195" t="s">
        <v>1246</v>
      </c>
      <c r="I1216" s="195" t="s">
        <v>1246</v>
      </c>
      <c r="J1216" s="132">
        <v>0.9</v>
      </c>
      <c r="K1216" s="133">
        <v>1</v>
      </c>
      <c r="L1216" s="133">
        <v>0.952380952380952</v>
      </c>
      <c r="M1216" s="134">
        <v>1</v>
      </c>
      <c r="N1216" s="133">
        <v>0.961728395061728</v>
      </c>
      <c r="O1216" s="135">
        <v>0.9</v>
      </c>
      <c r="P1216" s="133">
        <v>0.949669707455175</v>
      </c>
      <c r="Q1216" s="133">
        <v>0.988955823293173</v>
      </c>
      <c r="R1216" s="133">
        <v>0.934840821184171</v>
      </c>
      <c r="S1216" s="133">
        <v>0.912087221936116</v>
      </c>
      <c r="T1216" s="135">
        <v>0.9</v>
      </c>
      <c r="U1216" s="133">
        <v>0.894306385655867</v>
      </c>
      <c r="V1216" s="133">
        <v>0.899598393574297</v>
      </c>
      <c r="W1216" s="133">
        <v>0.808985421005653</v>
      </c>
      <c r="X1216" s="133">
        <v>0.824538705990228</v>
      </c>
      <c r="Y1216" s="135">
        <v>0.92</v>
      </c>
      <c r="Z1216" s="135">
        <v>0.922893481717011</v>
      </c>
      <c r="AA1216" s="135">
        <v>0.925474254742547</v>
      </c>
      <c r="AB1216" s="135">
        <v>0.854054054054054</v>
      </c>
      <c r="AC1216" s="135">
        <v>0.898225117951022</v>
      </c>
      <c r="AD1216" s="135">
        <v>0.92</v>
      </c>
      <c r="AE1216" s="133">
        <v>0.999237417386884</v>
      </c>
      <c r="AF1216" s="133">
        <v>0.996667835847071</v>
      </c>
      <c r="AG1216" s="133">
        <v>0.997918353186076</v>
      </c>
      <c r="AH1216" s="133">
        <v>0.994072153470858</v>
      </c>
      <c r="AI1216" s="135">
        <v>0.92</v>
      </c>
      <c r="AJ1216" s="133">
        <v>0.942091031996395</v>
      </c>
      <c r="AK1216" s="133">
        <v>0.943956043956044</v>
      </c>
      <c r="AL1216" s="133">
        <v>0.906537282941777</v>
      </c>
      <c r="AM1216" s="133">
        <v>0.941893168007883</v>
      </c>
      <c r="AN1216" s="132">
        <v>0.99</v>
      </c>
      <c r="AO1216" s="137">
        <v>1</v>
      </c>
      <c r="AP1216" s="137">
        <v>1</v>
      </c>
      <c r="AQ1216" s="137">
        <v>1</v>
      </c>
      <c r="AR1216" s="137">
        <v>1</v>
      </c>
      <c r="AS1216" s="158">
        <v>0.0721861525408278</v>
      </c>
      <c r="AT1216" s="141">
        <v>0</v>
      </c>
      <c r="AU1216" s="141">
        <v>0</v>
      </c>
      <c r="AV1216" s="141">
        <v>0.0483870967741935</v>
      </c>
      <c r="AW1216" s="141">
        <v>0.0278787878787879</v>
      </c>
      <c r="AX1216" s="95"/>
      <c r="AY1216" s="93"/>
    </row>
    <row r="1217" ht="15" spans="1:51">
      <c r="A1217" s="91"/>
      <c r="B1217" s="95"/>
      <c r="C1217" s="152" t="s">
        <v>1085</v>
      </c>
      <c r="D1217" s="153" t="s">
        <v>25</v>
      </c>
      <c r="E1217" s="130" t="s">
        <v>1086</v>
      </c>
      <c r="F1217" s="196" t="s">
        <v>1247</v>
      </c>
      <c r="G1217" s="196" t="s">
        <v>1247</v>
      </c>
      <c r="H1217" s="196" t="s">
        <v>1247</v>
      </c>
      <c r="I1217" s="196" t="s">
        <v>1247</v>
      </c>
      <c r="J1217" s="132">
        <v>0.9</v>
      </c>
      <c r="K1217" s="133">
        <v>0.970588235294118</v>
      </c>
      <c r="L1217" s="133">
        <v>0.931034482758621</v>
      </c>
      <c r="M1217" s="134">
        <v>0.96551724137931</v>
      </c>
      <c r="N1217" s="133">
        <v>0.955673758865248</v>
      </c>
      <c r="O1217" s="135">
        <v>0.9</v>
      </c>
      <c r="P1217" s="133">
        <v>0.942857142857143</v>
      </c>
      <c r="Q1217" s="133">
        <v>0.972920696324952</v>
      </c>
      <c r="R1217" s="133">
        <v>0.984737139626908</v>
      </c>
      <c r="S1217" s="133">
        <v>0.948770589639532</v>
      </c>
      <c r="T1217" s="135">
        <v>0.9</v>
      </c>
      <c r="U1217" s="133">
        <v>0.896048632218845</v>
      </c>
      <c r="V1217" s="133">
        <v>0.896518375241779</v>
      </c>
      <c r="W1217" s="133">
        <v>0.832108535895986</v>
      </c>
      <c r="X1217" s="133">
        <v>0.871258056815469</v>
      </c>
      <c r="Y1217" s="135">
        <v>0.92</v>
      </c>
      <c r="Z1217" s="135">
        <v>0.9055330634278</v>
      </c>
      <c r="AA1217" s="135">
        <v>0.886543535620053</v>
      </c>
      <c r="AB1217" s="135">
        <v>0.775590551181102</v>
      </c>
      <c r="AC1217" s="135">
        <v>0.877559294546929</v>
      </c>
      <c r="AD1217" s="135">
        <v>0.92</v>
      </c>
      <c r="AE1217" s="133">
        <v>0.996739130434783</v>
      </c>
      <c r="AF1217" s="133">
        <v>0.999559665345663</v>
      </c>
      <c r="AG1217" s="133">
        <v>0.997521685254027</v>
      </c>
      <c r="AH1217" s="133">
        <v>0.997492629085503</v>
      </c>
      <c r="AI1217" s="135">
        <v>0.92</v>
      </c>
      <c r="AJ1217" s="133">
        <v>0.935875943000838</v>
      </c>
      <c r="AK1217" s="133">
        <v>0.930644019815994</v>
      </c>
      <c r="AL1217" s="133">
        <v>0.872960949085517</v>
      </c>
      <c r="AM1217" s="133">
        <v>0.936763398894857</v>
      </c>
      <c r="AN1217" s="132">
        <v>0.99</v>
      </c>
      <c r="AO1217" s="137">
        <v>1</v>
      </c>
      <c r="AP1217" s="137">
        <v>1</v>
      </c>
      <c r="AQ1217" s="137">
        <v>1</v>
      </c>
      <c r="AR1217" s="137">
        <v>1</v>
      </c>
      <c r="AS1217" s="158">
        <v>0.0721861525408278</v>
      </c>
      <c r="AT1217" s="141">
        <v>0.16</v>
      </c>
      <c r="AU1217" s="141">
        <v>0.1</v>
      </c>
      <c r="AV1217" s="141">
        <v>0.0416666666666667</v>
      </c>
      <c r="AW1217" s="141">
        <v>0.069164265129683</v>
      </c>
      <c r="AX1217" s="95"/>
      <c r="AY1217" s="93"/>
    </row>
    <row r="1218" ht="15" spans="1:51">
      <c r="A1218" s="91"/>
      <c r="B1218" s="95"/>
      <c r="C1218" s="152" t="s">
        <v>1085</v>
      </c>
      <c r="D1218" s="153" t="s">
        <v>125</v>
      </c>
      <c r="E1218" s="130" t="s">
        <v>1086</v>
      </c>
      <c r="F1218" s="195" t="s">
        <v>1248</v>
      </c>
      <c r="G1218" s="195" t="s">
        <v>1248</v>
      </c>
      <c r="H1218" s="195" t="s">
        <v>1248</v>
      </c>
      <c r="I1218" s="195" t="s">
        <v>1248</v>
      </c>
      <c r="J1218" s="132">
        <v>0.9</v>
      </c>
      <c r="K1218" s="133" t="s">
        <v>35</v>
      </c>
      <c r="L1218" s="133" t="s">
        <v>35</v>
      </c>
      <c r="M1218" s="134" t="s">
        <v>35</v>
      </c>
      <c r="N1218" s="133" t="s">
        <v>35</v>
      </c>
      <c r="O1218" s="135">
        <v>0.9</v>
      </c>
      <c r="P1218" s="133">
        <v>0</v>
      </c>
      <c r="Q1218" s="133" t="s">
        <v>35</v>
      </c>
      <c r="R1218" s="133">
        <v>0</v>
      </c>
      <c r="S1218" s="133">
        <v>0.166666666666667</v>
      </c>
      <c r="T1218" s="135">
        <v>0.9</v>
      </c>
      <c r="U1218" s="133">
        <v>0</v>
      </c>
      <c r="V1218" s="133" t="s">
        <v>35</v>
      </c>
      <c r="W1218" s="133">
        <v>0</v>
      </c>
      <c r="X1218" s="133">
        <v>0.777777777777778</v>
      </c>
      <c r="Y1218" s="135">
        <v>0.92</v>
      </c>
      <c r="Z1218" s="135" t="s">
        <v>35</v>
      </c>
      <c r="AA1218" s="135" t="s">
        <v>35</v>
      </c>
      <c r="AB1218" s="135" t="s">
        <v>35</v>
      </c>
      <c r="AC1218" s="135" t="s">
        <v>35</v>
      </c>
      <c r="AD1218" s="135">
        <v>0.92</v>
      </c>
      <c r="AE1218" s="133">
        <v>0.998015676158349</v>
      </c>
      <c r="AF1218" s="133">
        <v>0.997252118158919</v>
      </c>
      <c r="AG1218" s="133">
        <v>0.997646555412923</v>
      </c>
      <c r="AH1218" s="133">
        <v>0.973509270252534</v>
      </c>
      <c r="AI1218" s="135">
        <v>0.92</v>
      </c>
      <c r="AJ1218" s="133">
        <v>0</v>
      </c>
      <c r="AK1218" s="133" t="s">
        <v>35</v>
      </c>
      <c r="AL1218" s="133">
        <v>0</v>
      </c>
      <c r="AM1218" s="133">
        <v>0.84</v>
      </c>
      <c r="AN1218" s="132">
        <v>0.99</v>
      </c>
      <c r="AO1218" s="137">
        <v>1</v>
      </c>
      <c r="AP1218" s="137">
        <v>1</v>
      </c>
      <c r="AQ1218" s="137">
        <v>1</v>
      </c>
      <c r="AR1218" s="137">
        <v>1</v>
      </c>
      <c r="AS1218" s="158">
        <v>0.0721861525408278</v>
      </c>
      <c r="AT1218" s="141" t="s">
        <v>35</v>
      </c>
      <c r="AU1218" s="141" t="s">
        <v>35</v>
      </c>
      <c r="AV1218" s="141" t="s">
        <v>35</v>
      </c>
      <c r="AW1218" s="141" t="s">
        <v>35</v>
      </c>
      <c r="AX1218" s="95"/>
      <c r="AY1218" s="93"/>
    </row>
    <row r="1219" ht="15" spans="1:51">
      <c r="A1219" s="91"/>
      <c r="B1219" s="95"/>
      <c r="C1219" s="152" t="s">
        <v>1085</v>
      </c>
      <c r="D1219" s="153" t="s">
        <v>125</v>
      </c>
      <c r="E1219" s="130" t="s">
        <v>1086</v>
      </c>
      <c r="F1219" s="195" t="s">
        <v>1249</v>
      </c>
      <c r="G1219" s="195" t="s">
        <v>1249</v>
      </c>
      <c r="H1219" s="195" t="s">
        <v>1249</v>
      </c>
      <c r="I1219" s="195" t="s">
        <v>1249</v>
      </c>
      <c r="J1219" s="132">
        <v>0.9</v>
      </c>
      <c r="K1219" s="133" t="s">
        <v>35</v>
      </c>
      <c r="L1219" s="133" t="s">
        <v>35</v>
      </c>
      <c r="M1219" s="134" t="s">
        <v>35</v>
      </c>
      <c r="N1219" s="133" t="s">
        <v>35</v>
      </c>
      <c r="O1219" s="135">
        <v>0.9</v>
      </c>
      <c r="P1219" s="133">
        <v>0.624579124579125</v>
      </c>
      <c r="Q1219" s="133">
        <v>0.988405797101449</v>
      </c>
      <c r="R1219" s="133">
        <v>0.97934595524957</v>
      </c>
      <c r="S1219" s="133">
        <v>0.888888888888889</v>
      </c>
      <c r="T1219" s="135">
        <v>0.9</v>
      </c>
      <c r="U1219" s="133">
        <v>0.996632996632997</v>
      </c>
      <c r="V1219" s="133">
        <v>0.994202898550725</v>
      </c>
      <c r="W1219" s="133">
        <v>0.982788296041308</v>
      </c>
      <c r="X1219" s="133">
        <v>0.995884773662551</v>
      </c>
      <c r="Y1219" s="135">
        <v>0.92</v>
      </c>
      <c r="Z1219" s="135">
        <v>1</v>
      </c>
      <c r="AA1219" s="135">
        <v>0.99236641221374</v>
      </c>
      <c r="AB1219" s="135">
        <v>1</v>
      </c>
      <c r="AC1219" s="135">
        <v>0.997455470737914</v>
      </c>
      <c r="AD1219" s="135">
        <v>0.92</v>
      </c>
      <c r="AE1219" s="133">
        <v>0.996625483045774</v>
      </c>
      <c r="AF1219" s="133">
        <v>0.990923875977126</v>
      </c>
      <c r="AG1219" s="133">
        <v>0.651013156631134</v>
      </c>
      <c r="AH1219" s="133">
        <v>0.958864797084124</v>
      </c>
      <c r="AI1219" s="135">
        <v>0.92</v>
      </c>
      <c r="AJ1219" s="133">
        <v>0.997113997113997</v>
      </c>
      <c r="AK1219" s="133">
        <v>0.993697478991597</v>
      </c>
      <c r="AL1219" s="133">
        <v>0.986149584487535</v>
      </c>
      <c r="AM1219" s="133">
        <v>0.996301598663803</v>
      </c>
      <c r="AN1219" s="132">
        <v>0.99</v>
      </c>
      <c r="AO1219" s="137">
        <v>1</v>
      </c>
      <c r="AP1219" s="137">
        <v>1</v>
      </c>
      <c r="AQ1219" s="137">
        <v>1</v>
      </c>
      <c r="AR1219" s="137">
        <v>1</v>
      </c>
      <c r="AS1219" s="158">
        <v>0.0721861525408278</v>
      </c>
      <c r="AT1219" s="141">
        <v>0</v>
      </c>
      <c r="AU1219" s="141">
        <v>0</v>
      </c>
      <c r="AV1219" s="141">
        <v>0</v>
      </c>
      <c r="AW1219" s="141">
        <v>0.00509461426491994</v>
      </c>
      <c r="AX1219" s="95"/>
      <c r="AY1219" s="93"/>
    </row>
    <row r="1220" ht="15" spans="1:51">
      <c r="A1220" s="91"/>
      <c r="B1220" s="95"/>
      <c r="C1220" s="152" t="s">
        <v>1085</v>
      </c>
      <c r="D1220" s="153" t="s">
        <v>25</v>
      </c>
      <c r="E1220" s="130" t="s">
        <v>1086</v>
      </c>
      <c r="F1220" s="197" t="s">
        <v>1250</v>
      </c>
      <c r="G1220" s="197" t="s">
        <v>1250</v>
      </c>
      <c r="H1220" s="197" t="s">
        <v>1250</v>
      </c>
      <c r="I1220" s="197" t="s">
        <v>1250</v>
      </c>
      <c r="J1220" s="132">
        <v>0.9</v>
      </c>
      <c r="K1220" s="133">
        <v>1</v>
      </c>
      <c r="L1220" s="133">
        <v>1</v>
      </c>
      <c r="M1220" s="134">
        <v>0.6</v>
      </c>
      <c r="N1220" s="133">
        <v>0.903726708074534</v>
      </c>
      <c r="O1220" s="135">
        <v>0.9</v>
      </c>
      <c r="P1220" s="133">
        <v>0.92</v>
      </c>
      <c r="Q1220" s="133">
        <v>0.963162623539982</v>
      </c>
      <c r="R1220" s="133">
        <v>0.964389534883721</v>
      </c>
      <c r="S1220" s="133">
        <v>0.944677845112838</v>
      </c>
      <c r="T1220" s="135">
        <v>0.9</v>
      </c>
      <c r="U1220" s="133">
        <v>0.911698113207547</v>
      </c>
      <c r="V1220" s="133">
        <v>0.941599281221923</v>
      </c>
      <c r="W1220" s="133">
        <v>0.909883720930233</v>
      </c>
      <c r="X1220" s="133">
        <v>0.909283563222664</v>
      </c>
      <c r="Y1220" s="135">
        <v>0.92</v>
      </c>
      <c r="Z1220" s="135">
        <v>0.940659340659341</v>
      </c>
      <c r="AA1220" s="135">
        <v>0.959183673469388</v>
      </c>
      <c r="AB1220" s="135">
        <v>0.930894308943089</v>
      </c>
      <c r="AC1220" s="135">
        <v>0.945557882141789</v>
      </c>
      <c r="AD1220" s="135">
        <v>0.92</v>
      </c>
      <c r="AE1220" s="133">
        <v>0.976467391304348</v>
      </c>
      <c r="AF1220" s="133">
        <v>0.772624979906767</v>
      </c>
      <c r="AG1220" s="133">
        <v>0.961671469740634</v>
      </c>
      <c r="AH1220" s="133">
        <v>0.879434374457272</v>
      </c>
      <c r="AI1220" s="135">
        <v>0.92</v>
      </c>
      <c r="AJ1220" s="133">
        <v>0.965749578888265</v>
      </c>
      <c r="AK1220" s="133">
        <v>0.965659340659341</v>
      </c>
      <c r="AL1220" s="133">
        <v>0.959926017262639</v>
      </c>
      <c r="AM1220" s="133">
        <v>0.972431450772574</v>
      </c>
      <c r="AN1220" s="132">
        <v>0.99</v>
      </c>
      <c r="AO1220" s="137">
        <v>1</v>
      </c>
      <c r="AP1220" s="137">
        <v>1</v>
      </c>
      <c r="AQ1220" s="137">
        <v>1</v>
      </c>
      <c r="AR1220" s="137">
        <v>1</v>
      </c>
      <c r="AS1220" s="158">
        <v>0.0721861525408278</v>
      </c>
      <c r="AT1220" s="141">
        <v>0</v>
      </c>
      <c r="AU1220" s="141">
        <v>0.125</v>
      </c>
      <c r="AV1220" s="141">
        <v>0</v>
      </c>
      <c r="AW1220" s="141">
        <v>0.0402684563758389</v>
      </c>
      <c r="AX1220" s="95"/>
      <c r="AY1220" s="93"/>
    </row>
    <row r="1221" ht="15" spans="1:51">
      <c r="A1221" s="91"/>
      <c r="B1221" s="95"/>
      <c r="C1221" s="152" t="s">
        <v>1085</v>
      </c>
      <c r="D1221" s="153" t="s">
        <v>125</v>
      </c>
      <c r="E1221" s="130" t="s">
        <v>1086</v>
      </c>
      <c r="F1221" s="195" t="s">
        <v>1251</v>
      </c>
      <c r="G1221" s="195" t="s">
        <v>1251</v>
      </c>
      <c r="H1221" s="195" t="s">
        <v>1251</v>
      </c>
      <c r="I1221" s="195" t="s">
        <v>1251</v>
      </c>
      <c r="J1221" s="132">
        <v>0.9</v>
      </c>
      <c r="K1221" s="133" t="s">
        <v>35</v>
      </c>
      <c r="L1221" s="133" t="s">
        <v>35</v>
      </c>
      <c r="M1221" s="134" t="s">
        <v>35</v>
      </c>
      <c r="N1221" s="133" t="s">
        <v>35</v>
      </c>
      <c r="O1221" s="135">
        <v>0.9</v>
      </c>
      <c r="P1221" s="133" t="s">
        <v>35</v>
      </c>
      <c r="Q1221" s="133" t="s">
        <v>35</v>
      </c>
      <c r="R1221" s="133" t="s">
        <v>35</v>
      </c>
      <c r="S1221" s="133">
        <v>0</v>
      </c>
      <c r="T1221" s="135">
        <v>0.9</v>
      </c>
      <c r="U1221" s="133" t="s">
        <v>35</v>
      </c>
      <c r="V1221" s="133" t="s">
        <v>35</v>
      </c>
      <c r="W1221" s="133" t="s">
        <v>35</v>
      </c>
      <c r="X1221" s="133">
        <v>1</v>
      </c>
      <c r="Y1221" s="135">
        <v>0.92</v>
      </c>
      <c r="Z1221" s="135" t="s">
        <v>35</v>
      </c>
      <c r="AA1221" s="135" t="s">
        <v>35</v>
      </c>
      <c r="AB1221" s="135" t="s">
        <v>35</v>
      </c>
      <c r="AC1221" s="135" t="s">
        <v>35</v>
      </c>
      <c r="AD1221" s="135">
        <v>0.92</v>
      </c>
      <c r="AE1221" s="133">
        <v>0.975462962962963</v>
      </c>
      <c r="AF1221" s="133">
        <v>0.777015250544662</v>
      </c>
      <c r="AG1221" s="133">
        <v>0.999408633944412</v>
      </c>
      <c r="AH1221" s="133">
        <v>0.91599416542236</v>
      </c>
      <c r="AI1221" s="135">
        <v>0.92</v>
      </c>
      <c r="AJ1221" s="133">
        <v>1</v>
      </c>
      <c r="AK1221" s="133">
        <v>1</v>
      </c>
      <c r="AL1221" s="133" t="s">
        <v>35</v>
      </c>
      <c r="AM1221" s="133">
        <v>1</v>
      </c>
      <c r="AN1221" s="132">
        <v>0.99</v>
      </c>
      <c r="AO1221" s="137">
        <v>1</v>
      </c>
      <c r="AP1221" s="137">
        <v>1</v>
      </c>
      <c r="AQ1221" s="137">
        <v>1</v>
      </c>
      <c r="AR1221" s="137">
        <v>1</v>
      </c>
      <c r="AS1221" s="158">
        <v>0.0721861525408278</v>
      </c>
      <c r="AT1221" s="141" t="s">
        <v>35</v>
      </c>
      <c r="AU1221" s="141" t="s">
        <v>35</v>
      </c>
      <c r="AV1221" s="141" t="s">
        <v>35</v>
      </c>
      <c r="AW1221" s="141" t="s">
        <v>35</v>
      </c>
      <c r="AX1221" s="95"/>
      <c r="AY1221" s="93"/>
    </row>
    <row r="1222" ht="15" spans="1:51">
      <c r="A1222" s="91"/>
      <c r="B1222" s="95"/>
      <c r="C1222" s="152" t="s">
        <v>1085</v>
      </c>
      <c r="D1222" s="153" t="s">
        <v>25</v>
      </c>
      <c r="E1222" s="130" t="s">
        <v>1086</v>
      </c>
      <c r="F1222" s="195" t="s">
        <v>1252</v>
      </c>
      <c r="G1222" s="195" t="s">
        <v>1252</v>
      </c>
      <c r="H1222" s="195" t="s">
        <v>1252</v>
      </c>
      <c r="I1222" s="195" t="s">
        <v>1252</v>
      </c>
      <c r="J1222" s="132">
        <v>0.9</v>
      </c>
      <c r="K1222" s="133">
        <v>0.985074626865672</v>
      </c>
      <c r="L1222" s="133">
        <v>0.967741935483871</v>
      </c>
      <c r="M1222" s="134">
        <v>0.964285714285714</v>
      </c>
      <c r="N1222" s="133">
        <v>0.966471081307628</v>
      </c>
      <c r="O1222" s="135">
        <v>0.9</v>
      </c>
      <c r="P1222" s="133">
        <v>0.979443332726942</v>
      </c>
      <c r="Q1222" s="133">
        <v>0.971488033298647</v>
      </c>
      <c r="R1222" s="133">
        <v>0.98156532988357</v>
      </c>
      <c r="S1222" s="133">
        <v>0.950276106486442</v>
      </c>
      <c r="T1222" s="135">
        <v>0.9</v>
      </c>
      <c r="U1222" s="133">
        <v>0.946334364198654</v>
      </c>
      <c r="V1222" s="133">
        <v>0.958168574401665</v>
      </c>
      <c r="W1222" s="133">
        <v>0.927393272962484</v>
      </c>
      <c r="X1222" s="133">
        <v>0.911489326629852</v>
      </c>
      <c r="Y1222" s="135">
        <v>0.92</v>
      </c>
      <c r="Z1222" s="135">
        <v>0.906627963231737</v>
      </c>
      <c r="AA1222" s="135">
        <v>0.943710910354413</v>
      </c>
      <c r="AB1222" s="135">
        <v>0.952425373134328</v>
      </c>
      <c r="AC1222" s="135">
        <v>0.934866579255112</v>
      </c>
      <c r="AD1222" s="135">
        <v>0.92</v>
      </c>
      <c r="AE1222" s="133">
        <v>0.988986027334504</v>
      </c>
      <c r="AF1222" s="133">
        <v>0.908430830736669</v>
      </c>
      <c r="AG1222" s="133">
        <v>0.994082095190128</v>
      </c>
      <c r="AH1222" s="133">
        <v>0.943374918810946</v>
      </c>
      <c r="AI1222" s="135">
        <v>0.92</v>
      </c>
      <c r="AJ1222" s="133">
        <v>0.952280237937872</v>
      </c>
      <c r="AK1222" s="133">
        <v>0.968609865470852</v>
      </c>
      <c r="AL1222" s="133">
        <v>0.961416563318176</v>
      </c>
      <c r="AM1222" s="133">
        <v>0.964732232399545</v>
      </c>
      <c r="AN1222" s="132">
        <v>0.99</v>
      </c>
      <c r="AO1222" s="137">
        <v>1</v>
      </c>
      <c r="AP1222" s="137">
        <v>1</v>
      </c>
      <c r="AQ1222" s="137">
        <v>1</v>
      </c>
      <c r="AR1222" s="137">
        <v>1</v>
      </c>
      <c r="AS1222" s="158">
        <v>0.0721861525408278</v>
      </c>
      <c r="AT1222" s="141">
        <v>0.0769230769230769</v>
      </c>
      <c r="AU1222" s="141">
        <v>0.151515151515152</v>
      </c>
      <c r="AV1222" s="141">
        <v>0.0784313725490196</v>
      </c>
      <c r="AW1222" s="141">
        <v>0.0509745127436282</v>
      </c>
      <c r="AX1222" s="95"/>
      <c r="AY1222" s="93"/>
    </row>
    <row r="1223" ht="15" spans="1:51">
      <c r="A1223" s="91"/>
      <c r="B1223" s="95"/>
      <c r="C1223" s="152" t="s">
        <v>1085</v>
      </c>
      <c r="D1223" s="153" t="s">
        <v>25</v>
      </c>
      <c r="E1223" s="130" t="s">
        <v>1086</v>
      </c>
      <c r="F1223" s="195" t="s">
        <v>1253</v>
      </c>
      <c r="G1223" s="195" t="s">
        <v>1253</v>
      </c>
      <c r="H1223" s="195" t="s">
        <v>1253</v>
      </c>
      <c r="I1223" s="195" t="s">
        <v>1253</v>
      </c>
      <c r="J1223" s="132">
        <v>0.9</v>
      </c>
      <c r="K1223" s="133">
        <v>0.909090909090909</v>
      </c>
      <c r="L1223" s="133">
        <v>0.971428571428571</v>
      </c>
      <c r="M1223" s="134">
        <v>0.923076923076923</v>
      </c>
      <c r="N1223" s="133">
        <v>0.932374100719425</v>
      </c>
      <c r="O1223" s="135">
        <v>0.9</v>
      </c>
      <c r="P1223" s="133">
        <v>0.954313543599258</v>
      </c>
      <c r="Q1223" s="133">
        <v>0.968105065666041</v>
      </c>
      <c r="R1223" s="133">
        <v>0.93576017130621</v>
      </c>
      <c r="S1223" s="133">
        <v>0.95354770854839</v>
      </c>
      <c r="T1223" s="135">
        <v>0.9</v>
      </c>
      <c r="U1223" s="133">
        <v>0.876855287569573</v>
      </c>
      <c r="V1223" s="133">
        <v>0.915196998123827</v>
      </c>
      <c r="W1223" s="133">
        <v>0.90321199143469</v>
      </c>
      <c r="X1223" s="133">
        <v>0.897512806030033</v>
      </c>
      <c r="Y1223" s="135">
        <v>0.92</v>
      </c>
      <c r="Z1223" s="135">
        <v>0.903381642512077</v>
      </c>
      <c r="AA1223" s="135">
        <v>0.93856103476152</v>
      </c>
      <c r="AB1223" s="135">
        <v>0.889338731443995</v>
      </c>
      <c r="AC1223" s="135">
        <v>0.936565044499148</v>
      </c>
      <c r="AD1223" s="135">
        <v>0.92</v>
      </c>
      <c r="AE1223" s="133">
        <v>0.994563986409966</v>
      </c>
      <c r="AF1223" s="133">
        <v>0.991329479768786</v>
      </c>
      <c r="AG1223" s="133">
        <v>0.976905311778291</v>
      </c>
      <c r="AH1223" s="133">
        <v>0.99453520478601</v>
      </c>
      <c r="AI1223" s="135">
        <v>0.92</v>
      </c>
      <c r="AJ1223" s="133">
        <v>0.934659981197117</v>
      </c>
      <c r="AK1223" s="133">
        <v>0.955920041004613</v>
      </c>
      <c r="AL1223" s="133">
        <v>0.948253557567917</v>
      </c>
      <c r="AM1223" s="133">
        <v>0.966483605858979</v>
      </c>
      <c r="AN1223" s="132">
        <v>0.99</v>
      </c>
      <c r="AO1223" s="137">
        <v>1</v>
      </c>
      <c r="AP1223" s="137">
        <v>1</v>
      </c>
      <c r="AQ1223" s="137">
        <v>1</v>
      </c>
      <c r="AR1223" s="137">
        <v>1</v>
      </c>
      <c r="AS1223" s="158">
        <v>0.0721861525408278</v>
      </c>
      <c r="AT1223" s="141">
        <v>0.0526315789473684</v>
      </c>
      <c r="AU1223" s="141">
        <v>0</v>
      </c>
      <c r="AV1223" s="141">
        <v>0</v>
      </c>
      <c r="AW1223" s="141">
        <v>0.0424597364568082</v>
      </c>
      <c r="AX1223" s="95"/>
      <c r="AY1223" s="93"/>
    </row>
    <row r="1224" ht="15" spans="1:51">
      <c r="A1224" s="91"/>
      <c r="B1224" s="95"/>
      <c r="C1224" s="152" t="s">
        <v>1085</v>
      </c>
      <c r="D1224" s="153" t="s">
        <v>125</v>
      </c>
      <c r="E1224" s="130" t="s">
        <v>1086</v>
      </c>
      <c r="F1224" s="195" t="s">
        <v>1254</v>
      </c>
      <c r="G1224" s="195" t="s">
        <v>1254</v>
      </c>
      <c r="H1224" s="195" t="s">
        <v>1254</v>
      </c>
      <c r="I1224" s="195" t="s">
        <v>1254</v>
      </c>
      <c r="J1224" s="132">
        <v>0.9</v>
      </c>
      <c r="K1224" s="133" t="s">
        <v>35</v>
      </c>
      <c r="L1224" s="133" t="s">
        <v>35</v>
      </c>
      <c r="M1224" s="134" t="s">
        <v>35</v>
      </c>
      <c r="N1224" s="133" t="s">
        <v>35</v>
      </c>
      <c r="O1224" s="135">
        <v>0.9</v>
      </c>
      <c r="P1224" s="133" t="s">
        <v>35</v>
      </c>
      <c r="Q1224" s="133" t="s">
        <v>35</v>
      </c>
      <c r="R1224" s="133" t="s">
        <v>35</v>
      </c>
      <c r="S1224" s="133">
        <v>1</v>
      </c>
      <c r="T1224" s="135">
        <v>0.9</v>
      </c>
      <c r="U1224" s="133" t="s">
        <v>35</v>
      </c>
      <c r="V1224" s="133" t="s">
        <v>35</v>
      </c>
      <c r="W1224" s="133" t="s">
        <v>35</v>
      </c>
      <c r="X1224" s="133">
        <v>1</v>
      </c>
      <c r="Y1224" s="135">
        <v>0.92</v>
      </c>
      <c r="Z1224" s="135" t="s">
        <v>35</v>
      </c>
      <c r="AA1224" s="135" t="s">
        <v>35</v>
      </c>
      <c r="AB1224" s="135" t="s">
        <v>35</v>
      </c>
      <c r="AC1224" s="135">
        <v>1</v>
      </c>
      <c r="AD1224" s="135">
        <v>0.92</v>
      </c>
      <c r="AE1224" s="133">
        <v>0.999151343705799</v>
      </c>
      <c r="AF1224" s="133">
        <v>0.725042301184433</v>
      </c>
      <c r="AG1224" s="133">
        <v>0.996420047732697</v>
      </c>
      <c r="AH1224" s="133">
        <v>0.991512871752674</v>
      </c>
      <c r="AI1224" s="135">
        <v>0.92</v>
      </c>
      <c r="AJ1224" s="133" t="s">
        <v>35</v>
      </c>
      <c r="AK1224" s="133" t="s">
        <v>35</v>
      </c>
      <c r="AL1224" s="133" t="s">
        <v>35</v>
      </c>
      <c r="AM1224" s="133">
        <v>1</v>
      </c>
      <c r="AN1224" s="132">
        <v>0.99</v>
      </c>
      <c r="AO1224" s="137">
        <v>1</v>
      </c>
      <c r="AP1224" s="137">
        <v>1</v>
      </c>
      <c r="AQ1224" s="137">
        <v>1</v>
      </c>
      <c r="AR1224" s="137">
        <v>1</v>
      </c>
      <c r="AS1224" s="158">
        <v>0.0721861525408278</v>
      </c>
      <c r="AT1224" s="141" t="s">
        <v>35</v>
      </c>
      <c r="AU1224" s="141" t="s">
        <v>35</v>
      </c>
      <c r="AV1224" s="141" t="s">
        <v>35</v>
      </c>
      <c r="AW1224" s="141" t="s">
        <v>35</v>
      </c>
      <c r="AX1224" s="95"/>
      <c r="AY1224" s="93"/>
    </row>
    <row r="1225" ht="15" spans="1:51">
      <c r="A1225" s="91"/>
      <c r="B1225" s="95"/>
      <c r="C1225" s="152" t="s">
        <v>1085</v>
      </c>
      <c r="D1225" s="153" t="s">
        <v>25</v>
      </c>
      <c r="E1225" s="130" t="s">
        <v>1086</v>
      </c>
      <c r="F1225" s="195" t="s">
        <v>1255</v>
      </c>
      <c r="G1225" s="195" t="s">
        <v>1255</v>
      </c>
      <c r="H1225" s="195" t="s">
        <v>1255</v>
      </c>
      <c r="I1225" s="195" t="s">
        <v>1255</v>
      </c>
      <c r="J1225" s="132">
        <v>0.9</v>
      </c>
      <c r="K1225" s="133">
        <v>1</v>
      </c>
      <c r="L1225" s="133">
        <v>1</v>
      </c>
      <c r="M1225" s="134">
        <v>1</v>
      </c>
      <c r="N1225" s="133">
        <v>0.9560546875</v>
      </c>
      <c r="O1225" s="135">
        <v>0.9</v>
      </c>
      <c r="P1225" s="133">
        <v>0.935136707388016</v>
      </c>
      <c r="Q1225" s="133">
        <v>0.976138828633406</v>
      </c>
      <c r="R1225" s="133">
        <v>0.938559911036975</v>
      </c>
      <c r="S1225" s="133">
        <v>0.951050773568365</v>
      </c>
      <c r="T1225" s="135">
        <v>0.9</v>
      </c>
      <c r="U1225" s="133">
        <v>0.931064572425829</v>
      </c>
      <c r="V1225" s="133">
        <v>0.9470715835141</v>
      </c>
      <c r="W1225" s="133">
        <v>0.899916597164304</v>
      </c>
      <c r="X1225" s="133">
        <v>0.916565972469022</v>
      </c>
      <c r="Y1225" s="135">
        <v>0.92</v>
      </c>
      <c r="Z1225" s="135">
        <v>0.951145038167939</v>
      </c>
      <c r="AA1225" s="135">
        <v>0.928853754940711</v>
      </c>
      <c r="AB1225" s="135">
        <v>0.929759704251386</v>
      </c>
      <c r="AC1225" s="135">
        <v>0.945415318230852</v>
      </c>
      <c r="AD1225" s="135">
        <v>0.92</v>
      </c>
      <c r="AE1225" s="133">
        <v>0.984303215926493</v>
      </c>
      <c r="AF1225" s="133">
        <v>0.92624699002408</v>
      </c>
      <c r="AG1225" s="133">
        <v>0.997507929315813</v>
      </c>
      <c r="AH1225" s="133">
        <v>0.935236092219416</v>
      </c>
      <c r="AI1225" s="135">
        <v>0.92</v>
      </c>
      <c r="AJ1225" s="133">
        <v>0.964834702042535</v>
      </c>
      <c r="AK1225" s="133">
        <v>0.967699836867863</v>
      </c>
      <c r="AL1225" s="133">
        <v>0.948779898526214</v>
      </c>
      <c r="AM1225" s="133">
        <v>0.970544818879285</v>
      </c>
      <c r="AN1225" s="132">
        <v>0.99</v>
      </c>
      <c r="AO1225" s="137">
        <v>1</v>
      </c>
      <c r="AP1225" s="137">
        <v>1</v>
      </c>
      <c r="AQ1225" s="137">
        <v>1</v>
      </c>
      <c r="AR1225" s="137">
        <v>1</v>
      </c>
      <c r="AS1225" s="158">
        <v>0.0721861525408278</v>
      </c>
      <c r="AT1225" s="141">
        <v>0.0222222222222222</v>
      </c>
      <c r="AU1225" s="141">
        <v>0.0571428571428571</v>
      </c>
      <c r="AV1225" s="141">
        <v>0.0869565217391304</v>
      </c>
      <c r="AW1225" s="141">
        <v>0.03601108033241</v>
      </c>
      <c r="AX1225" s="95"/>
      <c r="AY1225" s="93"/>
    </row>
    <row r="1226" ht="15" spans="1:51">
      <c r="A1226" s="91"/>
      <c r="B1226" s="95"/>
      <c r="C1226" s="152" t="s">
        <v>1085</v>
      </c>
      <c r="D1226" s="153" t="s">
        <v>125</v>
      </c>
      <c r="E1226" s="130" t="s">
        <v>1086</v>
      </c>
      <c r="F1226" s="195" t="s">
        <v>1256</v>
      </c>
      <c r="G1226" s="195" t="s">
        <v>1256</v>
      </c>
      <c r="H1226" s="195" t="s">
        <v>1256</v>
      </c>
      <c r="I1226" s="195" t="s">
        <v>1256</v>
      </c>
      <c r="J1226" s="132">
        <v>0.9</v>
      </c>
      <c r="K1226" s="133" t="s">
        <v>35</v>
      </c>
      <c r="L1226" s="133" t="s">
        <v>35</v>
      </c>
      <c r="M1226" s="134" t="s">
        <v>35</v>
      </c>
      <c r="N1226" s="133" t="s">
        <v>35</v>
      </c>
      <c r="O1226" s="135">
        <v>0.9</v>
      </c>
      <c r="P1226" s="133" t="s">
        <v>35</v>
      </c>
      <c r="Q1226" s="133">
        <v>0</v>
      </c>
      <c r="R1226" s="133">
        <v>0</v>
      </c>
      <c r="S1226" s="133">
        <v>0</v>
      </c>
      <c r="T1226" s="135">
        <v>0.9</v>
      </c>
      <c r="U1226" s="133" t="s">
        <v>35</v>
      </c>
      <c r="V1226" s="133">
        <v>1</v>
      </c>
      <c r="W1226" s="133">
        <v>1</v>
      </c>
      <c r="X1226" s="133">
        <v>1</v>
      </c>
      <c r="Y1226" s="135">
        <v>0.92</v>
      </c>
      <c r="Z1226" s="135" t="s">
        <v>35</v>
      </c>
      <c r="AA1226" s="135" t="s">
        <v>35</v>
      </c>
      <c r="AB1226" s="135" t="s">
        <v>35</v>
      </c>
      <c r="AC1226" s="135">
        <v>1</v>
      </c>
      <c r="AD1226" s="135">
        <v>0.92</v>
      </c>
      <c r="AE1226" s="133">
        <v>0.995650244118953</v>
      </c>
      <c r="AF1226" s="133">
        <v>0.995139573070608</v>
      </c>
      <c r="AG1226" s="133">
        <v>0.988421762589928</v>
      </c>
      <c r="AH1226" s="133">
        <v>0.991177705094598</v>
      </c>
      <c r="AI1226" s="135">
        <v>0.92</v>
      </c>
      <c r="AJ1226" s="133">
        <v>1</v>
      </c>
      <c r="AK1226" s="133">
        <v>1</v>
      </c>
      <c r="AL1226" s="133">
        <v>1</v>
      </c>
      <c r="AM1226" s="133">
        <v>1</v>
      </c>
      <c r="AN1226" s="132">
        <v>0.99</v>
      </c>
      <c r="AO1226" s="137">
        <v>1</v>
      </c>
      <c r="AP1226" s="137">
        <v>1</v>
      </c>
      <c r="AQ1226" s="137">
        <v>1</v>
      </c>
      <c r="AR1226" s="137">
        <v>1</v>
      </c>
      <c r="AS1226" s="158">
        <v>0.0721861525408278</v>
      </c>
      <c r="AT1226" s="141" t="s">
        <v>35</v>
      </c>
      <c r="AU1226" s="141" t="s">
        <v>35</v>
      </c>
      <c r="AV1226" s="141" t="s">
        <v>35</v>
      </c>
      <c r="AW1226" s="141" t="s">
        <v>35</v>
      </c>
      <c r="AX1226" s="95"/>
      <c r="AY1226" s="93"/>
    </row>
    <row r="1227" ht="15" spans="1:51">
      <c r="A1227" s="91"/>
      <c r="B1227" s="95"/>
      <c r="C1227" s="152" t="s">
        <v>1085</v>
      </c>
      <c r="D1227" s="153" t="s">
        <v>125</v>
      </c>
      <c r="E1227" s="130" t="s">
        <v>1086</v>
      </c>
      <c r="F1227" s="195" t="s">
        <v>1257</v>
      </c>
      <c r="G1227" s="195" t="s">
        <v>1257</v>
      </c>
      <c r="H1227" s="195" t="s">
        <v>1257</v>
      </c>
      <c r="I1227" s="195" t="s">
        <v>1257</v>
      </c>
      <c r="J1227" s="132">
        <v>0.9</v>
      </c>
      <c r="K1227" s="133" t="s">
        <v>35</v>
      </c>
      <c r="L1227" s="133" t="s">
        <v>35</v>
      </c>
      <c r="M1227" s="134" t="s">
        <v>35</v>
      </c>
      <c r="N1227" s="133" t="s">
        <v>35</v>
      </c>
      <c r="O1227" s="135">
        <v>0.9</v>
      </c>
      <c r="P1227" s="133">
        <v>0</v>
      </c>
      <c r="Q1227" s="133">
        <v>0</v>
      </c>
      <c r="R1227" s="133" t="s">
        <v>35</v>
      </c>
      <c r="S1227" s="133">
        <v>0</v>
      </c>
      <c r="T1227" s="135">
        <v>0.9</v>
      </c>
      <c r="U1227" s="133">
        <v>1</v>
      </c>
      <c r="V1227" s="133">
        <v>1</v>
      </c>
      <c r="W1227" s="133" t="s">
        <v>35</v>
      </c>
      <c r="X1227" s="133">
        <v>1</v>
      </c>
      <c r="Y1227" s="135">
        <v>0.92</v>
      </c>
      <c r="Z1227" s="135">
        <v>0</v>
      </c>
      <c r="AA1227" s="135" t="s">
        <v>35</v>
      </c>
      <c r="AB1227" s="135" t="s">
        <v>35</v>
      </c>
      <c r="AC1227" s="135">
        <v>0.5</v>
      </c>
      <c r="AD1227" s="135">
        <v>0.92</v>
      </c>
      <c r="AE1227" s="133">
        <v>0.9944909651829</v>
      </c>
      <c r="AF1227" s="133">
        <v>0.998365567965132</v>
      </c>
      <c r="AG1227" s="133">
        <v>0.998613037447989</v>
      </c>
      <c r="AH1227" s="133">
        <v>0.996968919548093</v>
      </c>
      <c r="AI1227" s="135">
        <v>0.92</v>
      </c>
      <c r="AJ1227" s="133">
        <v>0.666666666666667</v>
      </c>
      <c r="AK1227" s="133">
        <v>1</v>
      </c>
      <c r="AL1227" s="133" t="s">
        <v>35</v>
      </c>
      <c r="AM1227" s="133">
        <v>0.916666666666667</v>
      </c>
      <c r="AN1227" s="132">
        <v>0.99</v>
      </c>
      <c r="AO1227" s="137">
        <v>1</v>
      </c>
      <c r="AP1227" s="137">
        <v>1</v>
      </c>
      <c r="AQ1227" s="137">
        <v>1</v>
      </c>
      <c r="AR1227" s="137">
        <v>1</v>
      </c>
      <c r="AS1227" s="158">
        <v>0.0721861525408278</v>
      </c>
      <c r="AT1227" s="141" t="s">
        <v>35</v>
      </c>
      <c r="AU1227" s="141" t="s">
        <v>35</v>
      </c>
      <c r="AV1227" s="141" t="s">
        <v>35</v>
      </c>
      <c r="AW1227" s="141" t="s">
        <v>35</v>
      </c>
      <c r="AX1227" s="95"/>
      <c r="AY1227" s="93"/>
    </row>
    <row r="1228" ht="15" spans="1:51">
      <c r="A1228" s="91"/>
      <c r="B1228" s="95"/>
      <c r="C1228" s="152" t="s">
        <v>1085</v>
      </c>
      <c r="D1228" s="153" t="s">
        <v>25</v>
      </c>
      <c r="E1228" s="130" t="s">
        <v>1086</v>
      </c>
      <c r="F1228" s="195" t="s">
        <v>1258</v>
      </c>
      <c r="G1228" s="195" t="s">
        <v>1258</v>
      </c>
      <c r="H1228" s="195" t="s">
        <v>1258</v>
      </c>
      <c r="I1228" s="195" t="s">
        <v>1258</v>
      </c>
      <c r="J1228" s="132">
        <v>0.9</v>
      </c>
      <c r="K1228" s="133">
        <v>0.846153846153846</v>
      </c>
      <c r="L1228" s="133">
        <v>0.88</v>
      </c>
      <c r="M1228" s="134">
        <v>0.916666666666667</v>
      </c>
      <c r="N1228" s="133">
        <v>0.917211328976035</v>
      </c>
      <c r="O1228" s="135">
        <v>0.9</v>
      </c>
      <c r="P1228" s="133">
        <v>0.983156581409857</v>
      </c>
      <c r="Q1228" s="133">
        <v>0.988106129917658</v>
      </c>
      <c r="R1228" s="133">
        <v>0.977058823529412</v>
      </c>
      <c r="S1228" s="133">
        <v>0.871217174337311</v>
      </c>
      <c r="T1228" s="135">
        <v>0.9</v>
      </c>
      <c r="U1228" s="133">
        <v>0.920149719276357</v>
      </c>
      <c r="V1228" s="133">
        <v>0.924977127172919</v>
      </c>
      <c r="W1228" s="133">
        <v>0.902941176470588</v>
      </c>
      <c r="X1228" s="133">
        <v>0.83270337705971</v>
      </c>
      <c r="Y1228" s="135">
        <v>0.92</v>
      </c>
      <c r="Z1228" s="135">
        <v>0.915447154471545</v>
      </c>
      <c r="AA1228" s="135">
        <v>0.911174785100286</v>
      </c>
      <c r="AB1228" s="135">
        <v>0.845323741007194</v>
      </c>
      <c r="AC1228" s="135">
        <v>0.86918506893846</v>
      </c>
      <c r="AD1228" s="135">
        <v>0.92</v>
      </c>
      <c r="AE1228" s="133">
        <v>1</v>
      </c>
      <c r="AF1228" s="133">
        <v>0.996103896103896</v>
      </c>
      <c r="AG1228" s="133">
        <v>0.994649227110583</v>
      </c>
      <c r="AH1228" s="133">
        <v>0.997702362840376</v>
      </c>
      <c r="AI1228" s="135">
        <v>0.92</v>
      </c>
      <c r="AJ1228" s="133">
        <v>0.945897204688909</v>
      </c>
      <c r="AK1228" s="133">
        <v>0.952149791955617</v>
      </c>
      <c r="AL1228" s="133">
        <v>0.930267812026276</v>
      </c>
      <c r="AM1228" s="133">
        <v>0.938544998178211</v>
      </c>
      <c r="AN1228" s="132">
        <v>0.99</v>
      </c>
      <c r="AO1228" s="137">
        <v>1</v>
      </c>
      <c r="AP1228" s="137">
        <v>1</v>
      </c>
      <c r="AQ1228" s="137">
        <v>1</v>
      </c>
      <c r="AR1228" s="137">
        <v>1</v>
      </c>
      <c r="AS1228" s="158">
        <v>0.0721861525408278</v>
      </c>
      <c r="AT1228" s="141">
        <v>0</v>
      </c>
      <c r="AU1228" s="141">
        <v>0.0526315789473684</v>
      </c>
      <c r="AV1228" s="141">
        <v>0</v>
      </c>
      <c r="AW1228" s="141">
        <v>0.0101522842639594</v>
      </c>
      <c r="AX1228" s="95"/>
      <c r="AY1228" s="93"/>
    </row>
    <row r="1229" ht="15" spans="1:51">
      <c r="A1229" s="91"/>
      <c r="B1229" s="95"/>
      <c r="C1229" s="152" t="s">
        <v>1085</v>
      </c>
      <c r="D1229" s="153" t="s">
        <v>25</v>
      </c>
      <c r="E1229" s="130" t="s">
        <v>1086</v>
      </c>
      <c r="F1229" s="195" t="s">
        <v>1259</v>
      </c>
      <c r="G1229" s="195" t="s">
        <v>1259</v>
      </c>
      <c r="H1229" s="195" t="s">
        <v>1259</v>
      </c>
      <c r="I1229" s="195" t="s">
        <v>1259</v>
      </c>
      <c r="J1229" s="132">
        <v>0.9</v>
      </c>
      <c r="K1229" s="133">
        <v>1</v>
      </c>
      <c r="L1229" s="133">
        <v>0.933333333333333</v>
      </c>
      <c r="M1229" s="134">
        <v>0.896551724137931</v>
      </c>
      <c r="N1229" s="133">
        <v>0.963730569948187</v>
      </c>
      <c r="O1229" s="135">
        <v>0.9</v>
      </c>
      <c r="P1229" s="133">
        <v>0.943714821763602</v>
      </c>
      <c r="Q1229" s="133">
        <v>0.91301703163017</v>
      </c>
      <c r="R1229" s="133">
        <v>0.970909090909091</v>
      </c>
      <c r="S1229" s="133">
        <v>0.965588168747557</v>
      </c>
      <c r="T1229" s="135">
        <v>0.9</v>
      </c>
      <c r="U1229" s="133">
        <v>0.916041275797373</v>
      </c>
      <c r="V1229" s="133">
        <v>0.923357664233577</v>
      </c>
      <c r="W1229" s="133">
        <v>0.924090909090909</v>
      </c>
      <c r="X1229" s="133">
        <v>0.929942201287615</v>
      </c>
      <c r="Y1229" s="135">
        <v>0.92</v>
      </c>
      <c r="Z1229" s="135">
        <v>0.947452229299363</v>
      </c>
      <c r="AA1229" s="135">
        <v>0.966796875</v>
      </c>
      <c r="AB1229" s="135">
        <v>0.964769647696477</v>
      </c>
      <c r="AC1229" s="135">
        <v>0.965955515206537</v>
      </c>
      <c r="AD1229" s="135">
        <v>0.92</v>
      </c>
      <c r="AE1229" s="133">
        <v>0.999665812632282</v>
      </c>
      <c r="AF1229" s="133">
        <v>0.999841068022886</v>
      </c>
      <c r="AG1229" s="133">
        <v>0.999214454045562</v>
      </c>
      <c r="AH1229" s="133">
        <v>0.998678055324958</v>
      </c>
      <c r="AI1229" s="135">
        <v>0.92</v>
      </c>
      <c r="AJ1229" s="133">
        <v>0.97102499094531</v>
      </c>
      <c r="AK1229" s="133">
        <v>0.974525243168133</v>
      </c>
      <c r="AL1229" s="133">
        <v>0.970839813374806</v>
      </c>
      <c r="AM1229" s="133">
        <v>0.981115318877979</v>
      </c>
      <c r="AN1229" s="132">
        <v>0.99</v>
      </c>
      <c r="AO1229" s="137">
        <v>1</v>
      </c>
      <c r="AP1229" s="137">
        <v>1</v>
      </c>
      <c r="AQ1229" s="137">
        <v>1</v>
      </c>
      <c r="AR1229" s="137">
        <v>1</v>
      </c>
      <c r="AS1229" s="158">
        <v>0.0721861525408278</v>
      </c>
      <c r="AT1229" s="141">
        <v>0.0454545454545455</v>
      </c>
      <c r="AU1229" s="141">
        <v>0.142857142857143</v>
      </c>
      <c r="AV1229" s="141">
        <v>0</v>
      </c>
      <c r="AW1229" s="141">
        <v>0.0237467018469657</v>
      </c>
      <c r="AX1229" s="95"/>
      <c r="AY1229" s="93"/>
    </row>
    <row r="1230" ht="15" spans="1:51">
      <c r="A1230" s="91"/>
      <c r="B1230" s="95"/>
      <c r="C1230" s="152" t="s">
        <v>1085</v>
      </c>
      <c r="D1230" s="153" t="s">
        <v>25</v>
      </c>
      <c r="E1230" s="130" t="s">
        <v>1086</v>
      </c>
      <c r="F1230" s="195" t="s">
        <v>1260</v>
      </c>
      <c r="G1230" s="195" t="s">
        <v>1260</v>
      </c>
      <c r="H1230" s="195" t="s">
        <v>1260</v>
      </c>
      <c r="I1230" s="195" t="s">
        <v>1260</v>
      </c>
      <c r="J1230" s="132">
        <v>0.9</v>
      </c>
      <c r="K1230" s="133">
        <v>0.972972972972973</v>
      </c>
      <c r="L1230" s="133">
        <v>0.983333333333333</v>
      </c>
      <c r="M1230" s="134">
        <v>0.983870967741935</v>
      </c>
      <c r="N1230" s="133">
        <v>0.980784627702162</v>
      </c>
      <c r="O1230" s="135">
        <v>0.9</v>
      </c>
      <c r="P1230" s="133">
        <v>0.967504332755633</v>
      </c>
      <c r="Q1230" s="133">
        <v>0.961832061068702</v>
      </c>
      <c r="R1230" s="133">
        <v>0.926126126126126</v>
      </c>
      <c r="S1230" s="133">
        <v>0.900250844681069</v>
      </c>
      <c r="T1230" s="135">
        <v>0.9</v>
      </c>
      <c r="U1230" s="133">
        <v>0.881715771230503</v>
      </c>
      <c r="V1230" s="133">
        <v>0.868091603053435</v>
      </c>
      <c r="W1230" s="133">
        <v>0.83023023023023</v>
      </c>
      <c r="X1230" s="133">
        <v>0.810654926453022</v>
      </c>
      <c r="Y1230" s="135">
        <v>0.92</v>
      </c>
      <c r="Z1230" s="135">
        <v>0.921963824289406</v>
      </c>
      <c r="AA1230" s="135">
        <v>0.890611541774332</v>
      </c>
      <c r="AB1230" s="135">
        <v>0.827628361858191</v>
      </c>
      <c r="AC1230" s="135">
        <v>0.880550298442277</v>
      </c>
      <c r="AD1230" s="135">
        <v>0.92</v>
      </c>
      <c r="AE1230" s="133">
        <v>0.993644532106071</v>
      </c>
      <c r="AF1230" s="133">
        <v>0.393210283454186</v>
      </c>
      <c r="AG1230" s="133">
        <v>0.996805111821086</v>
      </c>
      <c r="AH1230" s="133">
        <v>0.952676447846216</v>
      </c>
      <c r="AI1230" s="135">
        <v>0.92</v>
      </c>
      <c r="AJ1230" s="133">
        <v>0.95467032967033</v>
      </c>
      <c r="AK1230" s="133">
        <v>0.941627225602885</v>
      </c>
      <c r="AL1230" s="133">
        <v>0.924307586444177</v>
      </c>
      <c r="AM1230" s="133">
        <v>0.946304039810623</v>
      </c>
      <c r="AN1230" s="132">
        <v>0.99</v>
      </c>
      <c r="AO1230" s="137">
        <v>1</v>
      </c>
      <c r="AP1230" s="137">
        <v>1</v>
      </c>
      <c r="AQ1230" s="137">
        <v>1</v>
      </c>
      <c r="AR1230" s="137">
        <v>1</v>
      </c>
      <c r="AS1230" s="158">
        <v>0.0721861525408278</v>
      </c>
      <c r="AT1230" s="141">
        <v>0.107692307692308</v>
      </c>
      <c r="AU1230" s="141">
        <v>0.0185185185185185</v>
      </c>
      <c r="AV1230" s="141">
        <v>0.0357142857142857</v>
      </c>
      <c r="AW1230" s="141">
        <v>0.0453479280688038</v>
      </c>
      <c r="AX1230" s="95"/>
      <c r="AY1230" s="93"/>
    </row>
    <row r="1231" ht="15" spans="1:51">
      <c r="A1231" s="91"/>
      <c r="B1231" s="95"/>
      <c r="C1231" s="152" t="s">
        <v>1085</v>
      </c>
      <c r="D1231" s="153" t="s">
        <v>125</v>
      </c>
      <c r="E1231" s="130" t="s">
        <v>1086</v>
      </c>
      <c r="F1231" s="195" t="s">
        <v>1261</v>
      </c>
      <c r="G1231" s="195" t="s">
        <v>1261</v>
      </c>
      <c r="H1231" s="195" t="s">
        <v>1261</v>
      </c>
      <c r="I1231" s="195" t="s">
        <v>1261</v>
      </c>
      <c r="J1231" s="132">
        <v>0.9</v>
      </c>
      <c r="K1231" s="133" t="s">
        <v>35</v>
      </c>
      <c r="L1231" s="133" t="s">
        <v>35</v>
      </c>
      <c r="M1231" s="134" t="s">
        <v>35</v>
      </c>
      <c r="N1231" s="133" t="s">
        <v>35</v>
      </c>
      <c r="O1231" s="135">
        <v>0.9</v>
      </c>
      <c r="P1231" s="133" t="s">
        <v>35</v>
      </c>
      <c r="Q1231" s="133">
        <v>0</v>
      </c>
      <c r="R1231" s="133" t="s">
        <v>35</v>
      </c>
      <c r="S1231" s="133">
        <v>0</v>
      </c>
      <c r="T1231" s="135">
        <v>0.9</v>
      </c>
      <c r="U1231" s="133" t="s">
        <v>35</v>
      </c>
      <c r="V1231" s="133">
        <v>1</v>
      </c>
      <c r="W1231" s="133" t="s">
        <v>35</v>
      </c>
      <c r="X1231" s="133">
        <v>0.666666666666667</v>
      </c>
      <c r="Y1231" s="135">
        <v>0.92</v>
      </c>
      <c r="Z1231" s="135" t="s">
        <v>35</v>
      </c>
      <c r="AA1231" s="135" t="s">
        <v>35</v>
      </c>
      <c r="AB1231" s="135" t="s">
        <v>35</v>
      </c>
      <c r="AC1231" s="135" t="s">
        <v>35</v>
      </c>
      <c r="AD1231" s="135">
        <v>0.92</v>
      </c>
      <c r="AE1231" s="133" t="s">
        <v>35</v>
      </c>
      <c r="AF1231" s="133" t="s">
        <v>35</v>
      </c>
      <c r="AG1231" s="133" t="s">
        <v>35</v>
      </c>
      <c r="AH1231" s="133">
        <v>0.814747794616603</v>
      </c>
      <c r="AI1231" s="135">
        <v>0.92</v>
      </c>
      <c r="AJ1231" s="133" t="s">
        <v>35</v>
      </c>
      <c r="AK1231" s="133">
        <v>1</v>
      </c>
      <c r="AL1231" s="133" t="s">
        <v>35</v>
      </c>
      <c r="AM1231" s="133">
        <v>0.75</v>
      </c>
      <c r="AN1231" s="132">
        <v>0.99</v>
      </c>
      <c r="AO1231" s="137" t="s">
        <v>35</v>
      </c>
      <c r="AP1231" s="137" t="s">
        <v>35</v>
      </c>
      <c r="AQ1231" s="137" t="s">
        <v>35</v>
      </c>
      <c r="AR1231" s="137">
        <v>1</v>
      </c>
      <c r="AS1231" s="158">
        <v>0.0721861525408278</v>
      </c>
      <c r="AT1231" s="141" t="s">
        <v>35</v>
      </c>
      <c r="AU1231" s="141" t="s">
        <v>35</v>
      </c>
      <c r="AV1231" s="141" t="s">
        <v>35</v>
      </c>
      <c r="AW1231" s="141" t="s">
        <v>35</v>
      </c>
      <c r="AX1231" s="95"/>
      <c r="AY1231" s="93"/>
    </row>
    <row r="1232" ht="15" spans="1:51">
      <c r="A1232" s="91"/>
      <c r="B1232" s="95"/>
      <c r="C1232" s="152" t="s">
        <v>1085</v>
      </c>
      <c r="D1232" s="153" t="s">
        <v>25</v>
      </c>
      <c r="E1232" s="130" t="s">
        <v>1086</v>
      </c>
      <c r="F1232" s="195" t="s">
        <v>1262</v>
      </c>
      <c r="G1232" s="195" t="s">
        <v>1262</v>
      </c>
      <c r="H1232" s="195" t="s">
        <v>1262</v>
      </c>
      <c r="I1232" s="195" t="s">
        <v>1262</v>
      </c>
      <c r="J1232" s="132">
        <v>0.9</v>
      </c>
      <c r="K1232" s="133">
        <v>0.945945945945946</v>
      </c>
      <c r="L1232" s="133">
        <v>1</v>
      </c>
      <c r="M1232" s="134">
        <v>0.814814814814815</v>
      </c>
      <c r="N1232" s="133">
        <v>0.909849749582638</v>
      </c>
      <c r="O1232" s="135">
        <v>0.9</v>
      </c>
      <c r="P1232" s="133">
        <v>0.98236559139785</v>
      </c>
      <c r="Q1232" s="133">
        <v>0.984605516356639</v>
      </c>
      <c r="R1232" s="133">
        <v>0.977711101585941</v>
      </c>
      <c r="S1232" s="133">
        <v>0.970164537628437</v>
      </c>
      <c r="T1232" s="135">
        <v>0.9</v>
      </c>
      <c r="U1232" s="133">
        <v>0.908817204301075</v>
      </c>
      <c r="V1232" s="133">
        <v>0.911481719050674</v>
      </c>
      <c r="W1232" s="133">
        <v>0.887698242606087</v>
      </c>
      <c r="X1232" s="133">
        <v>0.884858372674257</v>
      </c>
      <c r="Y1232" s="135">
        <v>0.92</v>
      </c>
      <c r="Z1232" s="135">
        <v>0.945190156599553</v>
      </c>
      <c r="AA1232" s="135">
        <v>0.939262472885033</v>
      </c>
      <c r="AB1232" s="135">
        <v>0.892265193370166</v>
      </c>
      <c r="AC1232" s="135">
        <v>0.937530227309366</v>
      </c>
      <c r="AD1232" s="135">
        <v>0.92</v>
      </c>
      <c r="AE1232" s="133">
        <v>0.988392725121987</v>
      </c>
      <c r="AF1232" s="133">
        <v>0.87180667433832</v>
      </c>
      <c r="AG1232" s="133">
        <v>0.98936170212766</v>
      </c>
      <c r="AH1232" s="133">
        <v>0.981123193522572</v>
      </c>
      <c r="AI1232" s="135">
        <v>0.92</v>
      </c>
      <c r="AJ1232" s="133">
        <v>0.964285714285714</v>
      </c>
      <c r="AK1232" s="133">
        <v>0.967821782178218</v>
      </c>
      <c r="AL1232" s="133">
        <v>0.937314540059347</v>
      </c>
      <c r="AM1232" s="133">
        <v>0.964443809795802</v>
      </c>
      <c r="AN1232" s="132">
        <v>0.99</v>
      </c>
      <c r="AO1232" s="137">
        <v>1</v>
      </c>
      <c r="AP1232" s="137">
        <v>1</v>
      </c>
      <c r="AQ1232" s="137">
        <v>1</v>
      </c>
      <c r="AR1232" s="137">
        <v>1</v>
      </c>
      <c r="AS1232" s="158">
        <v>0.0721861525408278</v>
      </c>
      <c r="AT1232" s="141">
        <v>0</v>
      </c>
      <c r="AU1232" s="141">
        <v>0</v>
      </c>
      <c r="AV1232" s="141">
        <v>0</v>
      </c>
      <c r="AW1232" s="141">
        <v>0.0294117647058824</v>
      </c>
      <c r="AX1232" s="95"/>
      <c r="AY1232" s="93"/>
    </row>
    <row r="1233" ht="15" spans="1:51">
      <c r="A1233" s="91"/>
      <c r="B1233" s="95"/>
      <c r="C1233" s="152" t="s">
        <v>1085</v>
      </c>
      <c r="D1233" s="153" t="s">
        <v>125</v>
      </c>
      <c r="E1233" s="130" t="s">
        <v>1086</v>
      </c>
      <c r="F1233" s="195" t="s">
        <v>1263</v>
      </c>
      <c r="G1233" s="195" t="s">
        <v>1263</v>
      </c>
      <c r="H1233" s="195" t="s">
        <v>1263</v>
      </c>
      <c r="I1233" s="195" t="s">
        <v>1263</v>
      </c>
      <c r="J1233" s="132">
        <v>0.9</v>
      </c>
      <c r="K1233" s="133" t="s">
        <v>35</v>
      </c>
      <c r="L1233" s="133" t="s">
        <v>35</v>
      </c>
      <c r="M1233" s="134" t="s">
        <v>35</v>
      </c>
      <c r="N1233" s="133" t="s">
        <v>35</v>
      </c>
      <c r="O1233" s="135">
        <v>0.9</v>
      </c>
      <c r="P1233" s="133" t="s">
        <v>35</v>
      </c>
      <c r="Q1233" s="133" t="s">
        <v>35</v>
      </c>
      <c r="R1233" s="133" t="s">
        <v>35</v>
      </c>
      <c r="S1233" s="133">
        <v>0</v>
      </c>
      <c r="T1233" s="135">
        <v>0.9</v>
      </c>
      <c r="U1233" s="133" t="s">
        <v>35</v>
      </c>
      <c r="V1233" s="133" t="s">
        <v>35</v>
      </c>
      <c r="W1233" s="133" t="s">
        <v>35</v>
      </c>
      <c r="X1233" s="133">
        <v>0.888888888888889</v>
      </c>
      <c r="Y1233" s="135">
        <v>0.92</v>
      </c>
      <c r="Z1233" s="135" t="s">
        <v>35</v>
      </c>
      <c r="AA1233" s="135" t="s">
        <v>35</v>
      </c>
      <c r="AB1233" s="135" t="s">
        <v>35</v>
      </c>
      <c r="AC1233" s="135">
        <v>1</v>
      </c>
      <c r="AD1233" s="135">
        <v>0.92</v>
      </c>
      <c r="AE1233" s="133">
        <v>0.997987252599799</v>
      </c>
      <c r="AF1233" s="133">
        <v>0.261593016912166</v>
      </c>
      <c r="AG1233" s="133">
        <v>0.998833138856476</v>
      </c>
      <c r="AH1233" s="133">
        <v>0.827334896443923</v>
      </c>
      <c r="AI1233" s="135">
        <v>0.92</v>
      </c>
      <c r="AJ1233" s="133" t="s">
        <v>35</v>
      </c>
      <c r="AK1233" s="133" t="s">
        <v>35</v>
      </c>
      <c r="AL1233" s="133" t="s">
        <v>35</v>
      </c>
      <c r="AM1233" s="133">
        <v>1</v>
      </c>
      <c r="AN1233" s="132">
        <v>0.99</v>
      </c>
      <c r="AO1233" s="137">
        <v>1</v>
      </c>
      <c r="AP1233" s="137">
        <v>1</v>
      </c>
      <c r="AQ1233" s="137">
        <v>1</v>
      </c>
      <c r="AR1233" s="137">
        <v>1</v>
      </c>
      <c r="AS1233" s="158">
        <v>0.0721861525408278</v>
      </c>
      <c r="AT1233" s="141" t="s">
        <v>35</v>
      </c>
      <c r="AU1233" s="141" t="s">
        <v>35</v>
      </c>
      <c r="AV1233" s="141" t="s">
        <v>35</v>
      </c>
      <c r="AW1233" s="141" t="s">
        <v>35</v>
      </c>
      <c r="AX1233" s="95"/>
      <c r="AY1233" s="93"/>
    </row>
    <row r="1234" ht="15" spans="1:51">
      <c r="A1234" s="91"/>
      <c r="B1234" s="95"/>
      <c r="C1234" s="152" t="s">
        <v>1085</v>
      </c>
      <c r="D1234" s="153" t="s">
        <v>25</v>
      </c>
      <c r="E1234" s="130" t="s">
        <v>1086</v>
      </c>
      <c r="F1234" s="195" t="s">
        <v>1264</v>
      </c>
      <c r="G1234" s="195" t="s">
        <v>1264</v>
      </c>
      <c r="H1234" s="195" t="s">
        <v>1264</v>
      </c>
      <c r="I1234" s="195" t="s">
        <v>1264</v>
      </c>
      <c r="J1234" s="132">
        <v>0.9</v>
      </c>
      <c r="K1234" s="133">
        <v>0.91044776119403</v>
      </c>
      <c r="L1234" s="133">
        <v>0.923076923076923</v>
      </c>
      <c r="M1234" s="134">
        <v>0.890909090909091</v>
      </c>
      <c r="N1234" s="133">
        <v>0.928242870285189</v>
      </c>
      <c r="O1234" s="135">
        <v>0.9</v>
      </c>
      <c r="P1234" s="133">
        <v>0.964767616191904</v>
      </c>
      <c r="Q1234" s="133">
        <v>0.972140762463343</v>
      </c>
      <c r="R1234" s="133">
        <v>0.955108721066168</v>
      </c>
      <c r="S1234" s="133">
        <v>0.957508286705515</v>
      </c>
      <c r="T1234" s="135">
        <v>0.9</v>
      </c>
      <c r="U1234" s="133">
        <v>0.934532733633183</v>
      </c>
      <c r="V1234" s="133">
        <v>0.935850439882698</v>
      </c>
      <c r="W1234" s="133">
        <v>0.895955108721066</v>
      </c>
      <c r="X1234" s="133">
        <v>0.90857082113279</v>
      </c>
      <c r="Y1234" s="135">
        <v>0.92</v>
      </c>
      <c r="Z1234" s="135">
        <v>0.940673131774102</v>
      </c>
      <c r="AA1234" s="135">
        <v>0.94478527607362</v>
      </c>
      <c r="AB1234" s="135">
        <v>0.952012383900929</v>
      </c>
      <c r="AC1234" s="135">
        <v>0.944743216059773</v>
      </c>
      <c r="AD1234" s="135">
        <v>0.92</v>
      </c>
      <c r="AE1234" s="133">
        <v>0.998851387170878</v>
      </c>
      <c r="AF1234" s="133">
        <v>0.999033193683532</v>
      </c>
      <c r="AG1234" s="133">
        <v>0.987272420768712</v>
      </c>
      <c r="AH1234" s="133">
        <v>0.981571462431856</v>
      </c>
      <c r="AI1234" s="135">
        <v>0.92</v>
      </c>
      <c r="AJ1234" s="133">
        <v>0.963168867268937</v>
      </c>
      <c r="AK1234" s="133">
        <v>0.967359050445104</v>
      </c>
      <c r="AL1234" s="133">
        <v>0.956733698964046</v>
      </c>
      <c r="AM1234" s="133">
        <v>0.971301633984372</v>
      </c>
      <c r="AN1234" s="132">
        <v>0.99</v>
      </c>
      <c r="AO1234" s="137">
        <v>1</v>
      </c>
      <c r="AP1234" s="137">
        <v>1</v>
      </c>
      <c r="AQ1234" s="137">
        <v>1</v>
      </c>
      <c r="AR1234" s="137">
        <v>1</v>
      </c>
      <c r="AS1234" s="158">
        <v>0.0721861525408278</v>
      </c>
      <c r="AT1234" s="141">
        <v>0.0571428571428571</v>
      </c>
      <c r="AU1234" s="141">
        <v>0.121212121212121</v>
      </c>
      <c r="AV1234" s="141">
        <v>0</v>
      </c>
      <c r="AW1234" s="141">
        <v>0.028657616892911</v>
      </c>
      <c r="AX1234" s="95"/>
      <c r="AY1234" s="93"/>
    </row>
    <row r="1235" ht="15" spans="1:51">
      <c r="A1235" s="91"/>
      <c r="B1235" s="95"/>
      <c r="C1235" s="152" t="s">
        <v>1085</v>
      </c>
      <c r="D1235" s="153" t="s">
        <v>25</v>
      </c>
      <c r="E1235" s="130" t="s">
        <v>1086</v>
      </c>
      <c r="F1235" s="195" t="s">
        <v>1265</v>
      </c>
      <c r="G1235" s="195" t="s">
        <v>1265</v>
      </c>
      <c r="H1235" s="195" t="s">
        <v>1265</v>
      </c>
      <c r="I1235" s="195" t="s">
        <v>1265</v>
      </c>
      <c r="J1235" s="132">
        <v>0.9</v>
      </c>
      <c r="K1235" s="133">
        <v>0.926829268292683</v>
      </c>
      <c r="L1235" s="133">
        <v>0.923076923076923</v>
      </c>
      <c r="M1235" s="134">
        <v>0.941176470588235</v>
      </c>
      <c r="N1235" s="133">
        <v>0.947960618846695</v>
      </c>
      <c r="O1235" s="135">
        <v>0.9</v>
      </c>
      <c r="P1235" s="133">
        <v>0.963406052076003</v>
      </c>
      <c r="Q1235" s="133">
        <v>0.96399810516343</v>
      </c>
      <c r="R1235" s="133">
        <v>0.972946222368855</v>
      </c>
      <c r="S1235" s="133">
        <v>0.954441981223312</v>
      </c>
      <c r="T1235" s="135">
        <v>0.9</v>
      </c>
      <c r="U1235" s="133">
        <v>0.933497536945813</v>
      </c>
      <c r="V1235" s="133">
        <v>0.936522974893415</v>
      </c>
      <c r="W1235" s="133">
        <v>0.917848894754207</v>
      </c>
      <c r="X1235" s="133">
        <v>0.910104000833197</v>
      </c>
      <c r="Y1235" s="135">
        <v>0.92</v>
      </c>
      <c r="Z1235" s="135">
        <v>0.932432432432432</v>
      </c>
      <c r="AA1235" s="135">
        <v>0.952136752136752</v>
      </c>
      <c r="AB1235" s="135">
        <v>0.942857142857143</v>
      </c>
      <c r="AC1235" s="135">
        <v>0.939332385401855</v>
      </c>
      <c r="AD1235" s="135">
        <v>0.92</v>
      </c>
      <c r="AE1235" s="133">
        <v>0.99763749244547</v>
      </c>
      <c r="AF1235" s="133">
        <v>0.933468251960536</v>
      </c>
      <c r="AG1235" s="133">
        <v>0.997549420029407</v>
      </c>
      <c r="AH1235" s="133">
        <v>0.951839259546716</v>
      </c>
      <c r="AI1235" s="135">
        <v>0.92</v>
      </c>
      <c r="AJ1235" s="133">
        <v>0.962361433359113</v>
      </c>
      <c r="AK1235" s="133">
        <v>0.966246290801187</v>
      </c>
      <c r="AL1235" s="133">
        <v>0.966254218222722</v>
      </c>
      <c r="AM1235" s="133">
        <v>0.967127732240437</v>
      </c>
      <c r="AN1235" s="132">
        <v>0.99</v>
      </c>
      <c r="AO1235" s="137">
        <v>1</v>
      </c>
      <c r="AP1235" s="137">
        <v>1</v>
      </c>
      <c r="AQ1235" s="137">
        <v>1</v>
      </c>
      <c r="AR1235" s="137">
        <v>1</v>
      </c>
      <c r="AS1235" s="158">
        <v>0.0721861525408278</v>
      </c>
      <c r="AT1235" s="141">
        <v>0.0689655172413793</v>
      </c>
      <c r="AU1235" s="141">
        <v>0</v>
      </c>
      <c r="AV1235" s="141">
        <v>0.0588235294117647</v>
      </c>
      <c r="AW1235" s="141">
        <v>0.0694698354661792</v>
      </c>
      <c r="AX1235" s="95"/>
      <c r="AY1235" s="93"/>
    </row>
    <row r="1236" ht="15" spans="1:51">
      <c r="A1236" s="91"/>
      <c r="B1236" s="95"/>
      <c r="C1236" s="152" t="s">
        <v>1085</v>
      </c>
      <c r="D1236" s="153" t="s">
        <v>125</v>
      </c>
      <c r="E1236" s="130" t="s">
        <v>1086</v>
      </c>
      <c r="F1236" s="195" t="s">
        <v>1266</v>
      </c>
      <c r="G1236" s="195" t="s">
        <v>1266</v>
      </c>
      <c r="H1236" s="195" t="s">
        <v>1266</v>
      </c>
      <c r="I1236" s="195" t="s">
        <v>1266</v>
      </c>
      <c r="J1236" s="132">
        <v>0.9</v>
      </c>
      <c r="K1236" s="133" t="s">
        <v>35</v>
      </c>
      <c r="L1236" s="133" t="s">
        <v>35</v>
      </c>
      <c r="M1236" s="134" t="s">
        <v>35</v>
      </c>
      <c r="N1236" s="133" t="s">
        <v>35</v>
      </c>
      <c r="O1236" s="135">
        <v>0.9</v>
      </c>
      <c r="P1236" s="133">
        <v>0.333333333333333</v>
      </c>
      <c r="Q1236" s="133">
        <v>0</v>
      </c>
      <c r="R1236" s="133">
        <v>0</v>
      </c>
      <c r="S1236" s="133">
        <v>0.291666666666667</v>
      </c>
      <c r="T1236" s="135">
        <v>0.9</v>
      </c>
      <c r="U1236" s="133">
        <v>0.666666666666667</v>
      </c>
      <c r="V1236" s="133">
        <v>0.666666666666667</v>
      </c>
      <c r="W1236" s="133">
        <v>1</v>
      </c>
      <c r="X1236" s="133">
        <v>0.875</v>
      </c>
      <c r="Y1236" s="135">
        <v>0.92</v>
      </c>
      <c r="Z1236" s="135" t="s">
        <v>35</v>
      </c>
      <c r="AA1236" s="135" t="s">
        <v>35</v>
      </c>
      <c r="AB1236" s="135" t="s">
        <v>35</v>
      </c>
      <c r="AC1236" s="135">
        <v>1</v>
      </c>
      <c r="AD1236" s="135">
        <v>0.92</v>
      </c>
      <c r="AE1236" s="133">
        <v>0.998843018669471</v>
      </c>
      <c r="AF1236" s="133">
        <v>0.998297085583613</v>
      </c>
      <c r="AG1236" s="133">
        <v>0.998596921997632</v>
      </c>
      <c r="AH1236" s="133">
        <v>0.972731823301214</v>
      </c>
      <c r="AI1236" s="135">
        <v>0.92</v>
      </c>
      <c r="AJ1236" s="133">
        <v>0.666666666666667</v>
      </c>
      <c r="AK1236" s="133">
        <v>0.571428571428571</v>
      </c>
      <c r="AL1236" s="133">
        <v>1</v>
      </c>
      <c r="AM1236" s="133">
        <v>0.866666666666667</v>
      </c>
      <c r="AN1236" s="132">
        <v>0.99</v>
      </c>
      <c r="AO1236" s="137">
        <v>1</v>
      </c>
      <c r="AP1236" s="137">
        <v>1</v>
      </c>
      <c r="AQ1236" s="137">
        <v>1</v>
      </c>
      <c r="AR1236" s="137">
        <v>1</v>
      </c>
      <c r="AS1236" s="158">
        <v>0.0721861525408278</v>
      </c>
      <c r="AT1236" s="141" t="s">
        <v>35</v>
      </c>
      <c r="AU1236" s="141" t="s">
        <v>35</v>
      </c>
      <c r="AV1236" s="141" t="s">
        <v>35</v>
      </c>
      <c r="AW1236" s="141">
        <v>0</v>
      </c>
      <c r="AX1236" s="95"/>
      <c r="AY1236" s="93"/>
    </row>
    <row r="1237" ht="15" spans="1:51">
      <c r="A1237" s="91"/>
      <c r="B1237" s="95"/>
      <c r="C1237" s="152" t="s">
        <v>1085</v>
      </c>
      <c r="D1237" s="153" t="s">
        <v>25</v>
      </c>
      <c r="E1237" s="130" t="s">
        <v>1086</v>
      </c>
      <c r="F1237" s="195" t="s">
        <v>1267</v>
      </c>
      <c r="G1237" s="195" t="s">
        <v>1267</v>
      </c>
      <c r="H1237" s="195" t="s">
        <v>1267</v>
      </c>
      <c r="I1237" s="195" t="s">
        <v>1267</v>
      </c>
      <c r="J1237" s="132">
        <v>0.9</v>
      </c>
      <c r="K1237" s="133">
        <v>0.964912280701754</v>
      </c>
      <c r="L1237" s="133">
        <v>0.962264150943396</v>
      </c>
      <c r="M1237" s="134">
        <v>0.956521739130435</v>
      </c>
      <c r="N1237" s="133">
        <v>0.961839530332681</v>
      </c>
      <c r="O1237" s="135">
        <v>0.9</v>
      </c>
      <c r="P1237" s="133">
        <v>0.981590386090514</v>
      </c>
      <c r="Q1237" s="133">
        <v>0.9801393728223</v>
      </c>
      <c r="R1237" s="133">
        <v>0.964449818621524</v>
      </c>
      <c r="S1237" s="133">
        <v>0.856434038137242</v>
      </c>
      <c r="T1237" s="135">
        <v>0.9</v>
      </c>
      <c r="U1237" s="133">
        <v>0.906929174124265</v>
      </c>
      <c r="V1237" s="133">
        <v>0.918466898954704</v>
      </c>
      <c r="W1237" s="133">
        <v>0.831197097944377</v>
      </c>
      <c r="X1237" s="133">
        <v>0.818923768755135</v>
      </c>
      <c r="Y1237" s="135">
        <v>0.92</v>
      </c>
      <c r="Z1237" s="135">
        <v>0.922622950819672</v>
      </c>
      <c r="AA1237" s="135">
        <v>0.941501103752759</v>
      </c>
      <c r="AB1237" s="135">
        <v>0.892265193370166</v>
      </c>
      <c r="AC1237" s="135">
        <v>0.928787224859732</v>
      </c>
      <c r="AD1237" s="135">
        <v>0.92</v>
      </c>
      <c r="AE1237" s="133">
        <v>0.977836683602091</v>
      </c>
      <c r="AF1237" s="133">
        <v>0.940122945974701</v>
      </c>
      <c r="AG1237" s="133">
        <v>0.996663190823775</v>
      </c>
      <c r="AH1237" s="133">
        <v>0.968015724883507</v>
      </c>
      <c r="AI1237" s="135">
        <v>0.92</v>
      </c>
      <c r="AJ1237" s="133">
        <v>0.946100073583517</v>
      </c>
      <c r="AK1237" s="133">
        <v>0.960275423728814</v>
      </c>
      <c r="AL1237" s="133">
        <v>0.932702202099197</v>
      </c>
      <c r="AM1237" s="133">
        <v>0.958700139371593</v>
      </c>
      <c r="AN1237" s="132">
        <v>0.99</v>
      </c>
      <c r="AO1237" s="137">
        <v>1</v>
      </c>
      <c r="AP1237" s="137">
        <v>1</v>
      </c>
      <c r="AQ1237" s="137">
        <v>1</v>
      </c>
      <c r="AR1237" s="137">
        <v>1</v>
      </c>
      <c r="AS1237" s="158">
        <v>0.0721861525408278</v>
      </c>
      <c r="AT1237" s="141">
        <v>0.109375</v>
      </c>
      <c r="AU1237" s="141">
        <v>0.0555555555555556</v>
      </c>
      <c r="AV1237" s="141">
        <v>0</v>
      </c>
      <c r="AW1237" s="141">
        <v>0.0219298245614035</v>
      </c>
      <c r="AX1237" s="95"/>
      <c r="AY1237" s="93"/>
    </row>
    <row r="1238" ht="15" spans="1:51">
      <c r="A1238" s="91"/>
      <c r="B1238" s="95"/>
      <c r="C1238" s="152" t="s">
        <v>1085</v>
      </c>
      <c r="D1238" s="153" t="s">
        <v>125</v>
      </c>
      <c r="E1238" s="130" t="s">
        <v>1086</v>
      </c>
      <c r="F1238" s="195" t="s">
        <v>1268</v>
      </c>
      <c r="G1238" s="195" t="s">
        <v>1268</v>
      </c>
      <c r="H1238" s="195" t="s">
        <v>1268</v>
      </c>
      <c r="I1238" s="195" t="s">
        <v>1268</v>
      </c>
      <c r="J1238" s="132">
        <v>0.9</v>
      </c>
      <c r="K1238" s="133" t="s">
        <v>35</v>
      </c>
      <c r="L1238" s="133" t="s">
        <v>35</v>
      </c>
      <c r="M1238" s="134" t="s">
        <v>35</v>
      </c>
      <c r="N1238" s="133" t="s">
        <v>35</v>
      </c>
      <c r="O1238" s="135">
        <v>0.9</v>
      </c>
      <c r="P1238" s="133" t="s">
        <v>35</v>
      </c>
      <c r="Q1238" s="133">
        <v>0</v>
      </c>
      <c r="R1238" s="133" t="s">
        <v>35</v>
      </c>
      <c r="S1238" s="133">
        <v>0</v>
      </c>
      <c r="T1238" s="135">
        <v>0.9</v>
      </c>
      <c r="U1238" s="133" t="s">
        <v>35</v>
      </c>
      <c r="V1238" s="133">
        <v>1</v>
      </c>
      <c r="W1238" s="133" t="s">
        <v>35</v>
      </c>
      <c r="X1238" s="133">
        <v>1</v>
      </c>
      <c r="Y1238" s="135">
        <v>0.92</v>
      </c>
      <c r="Z1238" s="135" t="s">
        <v>35</v>
      </c>
      <c r="AA1238" s="135" t="s">
        <v>35</v>
      </c>
      <c r="AB1238" s="135" t="s">
        <v>35</v>
      </c>
      <c r="AC1238" s="135">
        <v>1</v>
      </c>
      <c r="AD1238" s="135">
        <v>0.92</v>
      </c>
      <c r="AE1238" s="133">
        <v>0.895750332005312</v>
      </c>
      <c r="AF1238" s="133">
        <v>0.764430577223089</v>
      </c>
      <c r="AG1238" s="133">
        <v>1</v>
      </c>
      <c r="AH1238" s="133">
        <v>0.897925584458347</v>
      </c>
      <c r="AI1238" s="135">
        <v>0.92</v>
      </c>
      <c r="AJ1238" s="133" t="s">
        <v>35</v>
      </c>
      <c r="AK1238" s="133">
        <v>1</v>
      </c>
      <c r="AL1238" s="133" t="s">
        <v>35</v>
      </c>
      <c r="AM1238" s="133">
        <v>1</v>
      </c>
      <c r="AN1238" s="132">
        <v>0.99</v>
      </c>
      <c r="AO1238" s="137">
        <v>1</v>
      </c>
      <c r="AP1238" s="137">
        <v>1</v>
      </c>
      <c r="AQ1238" s="137">
        <v>1</v>
      </c>
      <c r="AR1238" s="137">
        <v>1</v>
      </c>
      <c r="AS1238" s="158">
        <v>0.0721861525408278</v>
      </c>
      <c r="AT1238" s="141" t="s">
        <v>35</v>
      </c>
      <c r="AU1238" s="141" t="s">
        <v>35</v>
      </c>
      <c r="AV1238" s="141" t="s">
        <v>35</v>
      </c>
      <c r="AW1238" s="141" t="s">
        <v>35</v>
      </c>
      <c r="AX1238" s="95"/>
      <c r="AY1238" s="93"/>
    </row>
    <row r="1239" ht="15" spans="1:51">
      <c r="A1239" s="91"/>
      <c r="B1239" s="95"/>
      <c r="C1239" s="152" t="s">
        <v>1085</v>
      </c>
      <c r="D1239" s="153" t="s">
        <v>125</v>
      </c>
      <c r="E1239" s="130" t="s">
        <v>1086</v>
      </c>
      <c r="F1239" s="195" t="s">
        <v>1269</v>
      </c>
      <c r="G1239" s="195" t="s">
        <v>1269</v>
      </c>
      <c r="H1239" s="195" t="s">
        <v>1269</v>
      </c>
      <c r="I1239" s="195" t="s">
        <v>1269</v>
      </c>
      <c r="J1239" s="132">
        <v>0.9</v>
      </c>
      <c r="K1239" s="133" t="s">
        <v>35</v>
      </c>
      <c r="L1239" s="133" t="s">
        <v>35</v>
      </c>
      <c r="M1239" s="134" t="s">
        <v>35</v>
      </c>
      <c r="N1239" s="133" t="s">
        <v>35</v>
      </c>
      <c r="O1239" s="135">
        <v>0.9</v>
      </c>
      <c r="P1239" s="133">
        <v>0</v>
      </c>
      <c r="Q1239" s="133">
        <v>0</v>
      </c>
      <c r="R1239" s="133">
        <v>0</v>
      </c>
      <c r="S1239" s="133">
        <v>0</v>
      </c>
      <c r="T1239" s="135">
        <v>0.9</v>
      </c>
      <c r="U1239" s="133">
        <v>1</v>
      </c>
      <c r="V1239" s="133">
        <v>1</v>
      </c>
      <c r="W1239" s="133">
        <v>1</v>
      </c>
      <c r="X1239" s="133">
        <v>1</v>
      </c>
      <c r="Y1239" s="135">
        <v>0.92</v>
      </c>
      <c r="Z1239" s="135" t="s">
        <v>35</v>
      </c>
      <c r="AA1239" s="135">
        <v>1</v>
      </c>
      <c r="AB1239" s="135" t="s">
        <v>35</v>
      </c>
      <c r="AC1239" s="135">
        <v>1</v>
      </c>
      <c r="AD1239" s="135">
        <v>0.92</v>
      </c>
      <c r="AE1239" s="133">
        <v>0.996129236116597</v>
      </c>
      <c r="AF1239" s="133">
        <v>0.99596351013159</v>
      </c>
      <c r="AG1239" s="133">
        <v>0.989175179143162</v>
      </c>
      <c r="AH1239" s="133">
        <v>0.96578410339595</v>
      </c>
      <c r="AI1239" s="135">
        <v>0.92</v>
      </c>
      <c r="AJ1239" s="133">
        <v>1</v>
      </c>
      <c r="AK1239" s="133">
        <v>1</v>
      </c>
      <c r="AL1239" s="133">
        <v>1</v>
      </c>
      <c r="AM1239" s="133">
        <v>1</v>
      </c>
      <c r="AN1239" s="132">
        <v>0.99</v>
      </c>
      <c r="AO1239" s="137">
        <v>1</v>
      </c>
      <c r="AP1239" s="137">
        <v>1</v>
      </c>
      <c r="AQ1239" s="137">
        <v>1</v>
      </c>
      <c r="AR1239" s="137">
        <v>1</v>
      </c>
      <c r="AS1239" s="158">
        <v>0.0721861525408278</v>
      </c>
      <c r="AT1239" s="141" t="s">
        <v>35</v>
      </c>
      <c r="AU1239" s="141" t="s">
        <v>35</v>
      </c>
      <c r="AV1239" s="141" t="s">
        <v>35</v>
      </c>
      <c r="AW1239" s="141" t="s">
        <v>35</v>
      </c>
      <c r="AX1239" s="95"/>
      <c r="AY1239" s="93"/>
    </row>
    <row r="1240" ht="15" spans="1:51">
      <c r="A1240" s="91"/>
      <c r="B1240" s="95"/>
      <c r="C1240" s="152" t="s">
        <v>1085</v>
      </c>
      <c r="D1240" s="153" t="s">
        <v>81</v>
      </c>
      <c r="E1240" s="130" t="s">
        <v>1086</v>
      </c>
      <c r="F1240" s="195" t="s">
        <v>1270</v>
      </c>
      <c r="G1240" s="195" t="s">
        <v>1270</v>
      </c>
      <c r="H1240" s="195" t="s">
        <v>1270</v>
      </c>
      <c r="I1240" s="195" t="s">
        <v>1270</v>
      </c>
      <c r="J1240" s="132">
        <v>0.9</v>
      </c>
      <c r="K1240" s="133" t="s">
        <v>35</v>
      </c>
      <c r="L1240" s="133" t="s">
        <v>35</v>
      </c>
      <c r="M1240" s="134" t="s">
        <v>35</v>
      </c>
      <c r="N1240" s="133" t="s">
        <v>35</v>
      </c>
      <c r="O1240" s="135">
        <v>0.9</v>
      </c>
      <c r="P1240" s="133">
        <v>0</v>
      </c>
      <c r="Q1240" s="133" t="s">
        <v>35</v>
      </c>
      <c r="R1240" s="133" t="s">
        <v>35</v>
      </c>
      <c r="S1240" s="133">
        <v>0</v>
      </c>
      <c r="T1240" s="135">
        <v>0.9</v>
      </c>
      <c r="U1240" s="133">
        <v>0</v>
      </c>
      <c r="V1240" s="133" t="s">
        <v>35</v>
      </c>
      <c r="W1240" s="133" t="s">
        <v>35</v>
      </c>
      <c r="X1240" s="133">
        <v>0.933333333333333</v>
      </c>
      <c r="Y1240" s="135">
        <v>0.92</v>
      </c>
      <c r="Z1240" s="135" t="s">
        <v>35</v>
      </c>
      <c r="AA1240" s="135" t="s">
        <v>35</v>
      </c>
      <c r="AB1240" s="135" t="s">
        <v>35</v>
      </c>
      <c r="AC1240" s="135">
        <v>1</v>
      </c>
      <c r="AD1240" s="135">
        <v>0.92</v>
      </c>
      <c r="AE1240" s="133">
        <v>0.995590112568179</v>
      </c>
      <c r="AF1240" s="133">
        <v>0.836293807009121</v>
      </c>
      <c r="AG1240" s="133">
        <v>0.977011494252874</v>
      </c>
      <c r="AH1240" s="133">
        <v>0.939948843897535</v>
      </c>
      <c r="AI1240" s="135">
        <v>0.92</v>
      </c>
      <c r="AJ1240" s="133">
        <v>0</v>
      </c>
      <c r="AK1240" s="133" t="s">
        <v>35</v>
      </c>
      <c r="AL1240" s="133" t="s">
        <v>35</v>
      </c>
      <c r="AM1240" s="133">
        <v>0.941176470588235</v>
      </c>
      <c r="AN1240" s="132">
        <v>0.99</v>
      </c>
      <c r="AO1240" s="137">
        <v>1</v>
      </c>
      <c r="AP1240" s="137">
        <v>1</v>
      </c>
      <c r="AQ1240" s="137">
        <v>1</v>
      </c>
      <c r="AR1240" s="137">
        <v>1</v>
      </c>
      <c r="AS1240" s="158">
        <v>0.0721861525408278</v>
      </c>
      <c r="AT1240" s="141" t="s">
        <v>35</v>
      </c>
      <c r="AU1240" s="141" t="s">
        <v>35</v>
      </c>
      <c r="AV1240" s="141" t="s">
        <v>35</v>
      </c>
      <c r="AW1240" s="141" t="s">
        <v>35</v>
      </c>
      <c r="AX1240" s="95"/>
      <c r="AY1240" s="93"/>
    </row>
    <row r="1241" ht="15" spans="1:51">
      <c r="A1241" s="91"/>
      <c r="B1241" s="95"/>
      <c r="C1241" s="152" t="s">
        <v>1085</v>
      </c>
      <c r="D1241" s="153" t="s">
        <v>25</v>
      </c>
      <c r="E1241" s="130" t="s">
        <v>1086</v>
      </c>
      <c r="F1241" s="195" t="s">
        <v>1271</v>
      </c>
      <c r="G1241" s="195" t="s">
        <v>1271</v>
      </c>
      <c r="H1241" s="195" t="s">
        <v>1271</v>
      </c>
      <c r="I1241" s="195" t="s">
        <v>1271</v>
      </c>
      <c r="J1241" s="132">
        <v>0.9</v>
      </c>
      <c r="K1241" s="133">
        <v>0.973684210526316</v>
      </c>
      <c r="L1241" s="133">
        <v>0.972602739726027</v>
      </c>
      <c r="M1241" s="134">
        <v>0.984615384615385</v>
      </c>
      <c r="N1241" s="133">
        <v>0.965442764578834</v>
      </c>
      <c r="O1241" s="135">
        <v>0.9</v>
      </c>
      <c r="P1241" s="133">
        <v>0.966126656848306</v>
      </c>
      <c r="Q1241" s="133">
        <v>0.973333333333333</v>
      </c>
      <c r="R1241" s="133">
        <v>0.964247020585049</v>
      </c>
      <c r="S1241" s="133">
        <v>0.945358344637384</v>
      </c>
      <c r="T1241" s="135">
        <v>0.9</v>
      </c>
      <c r="U1241" s="133">
        <v>0.935382916053019</v>
      </c>
      <c r="V1241" s="133">
        <v>0.93469387755102</v>
      </c>
      <c r="W1241" s="133">
        <v>0.910617551462622</v>
      </c>
      <c r="X1241" s="133">
        <v>0.898855605434937</v>
      </c>
      <c r="Y1241" s="135">
        <v>0.92</v>
      </c>
      <c r="Z1241" s="135">
        <v>0.910379515317787</v>
      </c>
      <c r="AA1241" s="135">
        <v>0.928035982008996</v>
      </c>
      <c r="AB1241" s="135">
        <v>0.863691194209891</v>
      </c>
      <c r="AC1241" s="135">
        <v>0.912395747119119</v>
      </c>
      <c r="AD1241" s="135">
        <v>0.92</v>
      </c>
      <c r="AE1241" s="133">
        <v>0.999074930619796</v>
      </c>
      <c r="AF1241" s="133">
        <v>0.995432098765432</v>
      </c>
      <c r="AG1241" s="133">
        <v>0.998663697104677</v>
      </c>
      <c r="AH1241" s="133">
        <v>0.993004529441369</v>
      </c>
      <c r="AI1241" s="135">
        <v>0.92</v>
      </c>
      <c r="AJ1241" s="133">
        <v>0.951437196482478</v>
      </c>
      <c r="AK1241" s="133">
        <v>0.962866839688561</v>
      </c>
      <c r="AL1241" s="133">
        <v>0.939550949913644</v>
      </c>
      <c r="AM1241" s="133">
        <v>0.95980954113972</v>
      </c>
      <c r="AN1241" s="132">
        <v>0.99</v>
      </c>
      <c r="AO1241" s="137">
        <v>1</v>
      </c>
      <c r="AP1241" s="137">
        <v>1</v>
      </c>
      <c r="AQ1241" s="137">
        <v>1</v>
      </c>
      <c r="AR1241" s="137">
        <v>1</v>
      </c>
      <c r="AS1241" s="158">
        <v>0.0721861525408278</v>
      </c>
      <c r="AT1241" s="141">
        <v>0.0416666666666667</v>
      </c>
      <c r="AU1241" s="141">
        <v>0.0350877192982456</v>
      </c>
      <c r="AV1241" s="141">
        <v>0.0238095238095238</v>
      </c>
      <c r="AW1241" s="141">
        <v>0.0390309555854643</v>
      </c>
      <c r="AX1241" s="95"/>
      <c r="AY1241" s="93"/>
    </row>
    <row r="1242" ht="15" spans="1:51">
      <c r="A1242" s="91"/>
      <c r="B1242" s="95"/>
      <c r="C1242" s="152" t="s">
        <v>1085</v>
      </c>
      <c r="D1242" s="153" t="s">
        <v>25</v>
      </c>
      <c r="E1242" s="130" t="s">
        <v>1086</v>
      </c>
      <c r="F1242" s="198" t="s">
        <v>1272</v>
      </c>
      <c r="G1242" s="198" t="s">
        <v>1272</v>
      </c>
      <c r="H1242" s="198" t="s">
        <v>1272</v>
      </c>
      <c r="I1242" s="198" t="s">
        <v>1272</v>
      </c>
      <c r="J1242" s="132">
        <v>0.9</v>
      </c>
      <c r="K1242" s="133" t="s">
        <v>35</v>
      </c>
      <c r="L1242" s="133" t="s">
        <v>35</v>
      </c>
      <c r="M1242" s="134" t="s">
        <v>35</v>
      </c>
      <c r="N1242" s="133" t="s">
        <v>35</v>
      </c>
      <c r="O1242" s="135">
        <v>0.9</v>
      </c>
      <c r="P1242" s="133">
        <v>0</v>
      </c>
      <c r="Q1242" s="133">
        <v>0</v>
      </c>
      <c r="R1242" s="133">
        <v>0</v>
      </c>
      <c r="S1242" s="133">
        <v>0</v>
      </c>
      <c r="T1242" s="135">
        <v>0.9</v>
      </c>
      <c r="U1242" s="133">
        <v>1</v>
      </c>
      <c r="V1242" s="133">
        <v>1</v>
      </c>
      <c r="W1242" s="133">
        <v>1</v>
      </c>
      <c r="X1242" s="133">
        <v>0.990974729241877</v>
      </c>
      <c r="Y1242" s="135">
        <v>0.92</v>
      </c>
      <c r="Z1242" s="135" t="s">
        <v>35</v>
      </c>
      <c r="AA1242" s="135">
        <v>1</v>
      </c>
      <c r="AB1242" s="135">
        <v>1</v>
      </c>
      <c r="AC1242" s="135">
        <v>0.98</v>
      </c>
      <c r="AD1242" s="135">
        <v>0.92</v>
      </c>
      <c r="AE1242" s="133">
        <v>0.998338870431894</v>
      </c>
      <c r="AF1242" s="133">
        <v>0.993473531544597</v>
      </c>
      <c r="AG1242" s="133">
        <v>0.998965873836608</v>
      </c>
      <c r="AH1242" s="133">
        <v>0.988401263170321</v>
      </c>
      <c r="AI1242" s="135">
        <v>0.92</v>
      </c>
      <c r="AJ1242" s="133">
        <v>1</v>
      </c>
      <c r="AK1242" s="133">
        <v>1</v>
      </c>
      <c r="AL1242" s="133">
        <v>1</v>
      </c>
      <c r="AM1242" s="133">
        <v>0.989296636085627</v>
      </c>
      <c r="AN1242" s="132">
        <v>0.99</v>
      </c>
      <c r="AO1242" s="137">
        <v>1</v>
      </c>
      <c r="AP1242" s="137">
        <v>1</v>
      </c>
      <c r="AQ1242" s="137">
        <v>1</v>
      </c>
      <c r="AR1242" s="137">
        <v>0.995871180842279</v>
      </c>
      <c r="AS1242" s="158">
        <v>0.0721861525408278</v>
      </c>
      <c r="AT1242" s="141" t="s">
        <v>35</v>
      </c>
      <c r="AU1242" s="141" t="s">
        <v>35</v>
      </c>
      <c r="AV1242" s="141" t="s">
        <v>35</v>
      </c>
      <c r="AW1242" s="141" t="s">
        <v>35</v>
      </c>
      <c r="AX1242" s="95"/>
      <c r="AY1242" s="93"/>
    </row>
    <row r="1243" ht="15" spans="1:51">
      <c r="A1243" s="91"/>
      <c r="B1243" s="95"/>
      <c r="C1243" s="152" t="s">
        <v>1085</v>
      </c>
      <c r="D1243" s="153" t="s">
        <v>25</v>
      </c>
      <c r="E1243" s="130" t="s">
        <v>1086</v>
      </c>
      <c r="F1243" s="195" t="s">
        <v>1273</v>
      </c>
      <c r="G1243" s="195" t="s">
        <v>1273</v>
      </c>
      <c r="H1243" s="195" t="s">
        <v>1273</v>
      </c>
      <c r="I1243" s="195" t="s">
        <v>1273</v>
      </c>
      <c r="J1243" s="132">
        <v>0.9</v>
      </c>
      <c r="K1243" s="133">
        <v>0.979166666666667</v>
      </c>
      <c r="L1243" s="133">
        <v>1</v>
      </c>
      <c r="M1243" s="134">
        <v>0.977777777777778</v>
      </c>
      <c r="N1243" s="133">
        <v>0.985159817351598</v>
      </c>
      <c r="O1243" s="135">
        <v>0.9</v>
      </c>
      <c r="P1243" s="133">
        <v>0.986034546122749</v>
      </c>
      <c r="Q1243" s="133">
        <v>0.951588502269289</v>
      </c>
      <c r="R1243" s="133">
        <v>0.954326923076923</v>
      </c>
      <c r="S1243" s="133">
        <v>0.972081934816023</v>
      </c>
      <c r="T1243" s="135">
        <v>0.9</v>
      </c>
      <c r="U1243" s="133">
        <v>0.91694230062477</v>
      </c>
      <c r="V1243" s="133">
        <v>0.916288451840645</v>
      </c>
      <c r="W1243" s="133">
        <v>0.844436813186813</v>
      </c>
      <c r="X1243" s="133">
        <v>0.878368204774303</v>
      </c>
      <c r="Y1243" s="135">
        <v>0.92</v>
      </c>
      <c r="Z1243" s="135">
        <v>0.888990825688073</v>
      </c>
      <c r="AA1243" s="135">
        <v>0.89943342776204</v>
      </c>
      <c r="AB1243" s="135">
        <v>0.775193798449612</v>
      </c>
      <c r="AC1243" s="135">
        <v>0.896134944879798</v>
      </c>
      <c r="AD1243" s="135">
        <v>0.92</v>
      </c>
      <c r="AE1243" s="133">
        <v>0.993056894889103</v>
      </c>
      <c r="AF1243" s="133">
        <v>0.972743791641429</v>
      </c>
      <c r="AG1243" s="133">
        <v>0.992557600606088</v>
      </c>
      <c r="AH1243" s="133">
        <v>0.958205194865584</v>
      </c>
      <c r="AI1243" s="135">
        <v>0.92</v>
      </c>
      <c r="AJ1243" s="133">
        <v>0.938384897745149</v>
      </c>
      <c r="AK1243" s="133">
        <v>0.952805648457822</v>
      </c>
      <c r="AL1243" s="133">
        <v>0.874672107257359</v>
      </c>
      <c r="AM1243" s="133">
        <v>0.944920844327177</v>
      </c>
      <c r="AN1243" s="132">
        <v>0.99</v>
      </c>
      <c r="AO1243" s="137">
        <v>1</v>
      </c>
      <c r="AP1243" s="137">
        <v>1</v>
      </c>
      <c r="AQ1243" s="137">
        <v>1</v>
      </c>
      <c r="AR1243" s="137">
        <v>1</v>
      </c>
      <c r="AS1243" s="158">
        <v>0.0721861525408278</v>
      </c>
      <c r="AT1243" s="141">
        <v>0.0434782608695652</v>
      </c>
      <c r="AU1243" s="141">
        <v>0.117647058823529</v>
      </c>
      <c r="AV1243" s="141">
        <v>0.15</v>
      </c>
      <c r="AW1243" s="141">
        <v>0.0105540897097625</v>
      </c>
      <c r="AX1243" s="95"/>
      <c r="AY1243" s="93"/>
    </row>
    <row r="1244" ht="15" spans="1:51">
      <c r="A1244" s="91"/>
      <c r="B1244" s="95"/>
      <c r="C1244" s="152" t="s">
        <v>1085</v>
      </c>
      <c r="D1244" s="153" t="s">
        <v>25</v>
      </c>
      <c r="E1244" s="130" t="s">
        <v>1086</v>
      </c>
      <c r="F1244" s="195" t="s">
        <v>1274</v>
      </c>
      <c r="G1244" s="195" t="s">
        <v>1274</v>
      </c>
      <c r="H1244" s="195" t="s">
        <v>1274</v>
      </c>
      <c r="I1244" s="195" t="s">
        <v>1274</v>
      </c>
      <c r="J1244" s="132">
        <v>0.9</v>
      </c>
      <c r="K1244" s="133">
        <v>0.963636363636364</v>
      </c>
      <c r="L1244" s="133">
        <v>1</v>
      </c>
      <c r="M1244" s="134">
        <v>0.96</v>
      </c>
      <c r="N1244" s="133">
        <v>0.967229394240318</v>
      </c>
      <c r="O1244" s="135">
        <v>0.9</v>
      </c>
      <c r="P1244" s="133">
        <v>0.95120534417659</v>
      </c>
      <c r="Q1244" s="133">
        <v>0.943527367506516</v>
      </c>
      <c r="R1244" s="133">
        <v>0.95972027972028</v>
      </c>
      <c r="S1244" s="133">
        <v>0.938183108587651</v>
      </c>
      <c r="T1244" s="135">
        <v>0.9</v>
      </c>
      <c r="U1244" s="133">
        <v>0.905024687772292</v>
      </c>
      <c r="V1244" s="133">
        <v>0.879235447437011</v>
      </c>
      <c r="W1244" s="133">
        <v>0.883636363636364</v>
      </c>
      <c r="X1244" s="133">
        <v>0.889105748757984</v>
      </c>
      <c r="Y1244" s="135">
        <v>0.92</v>
      </c>
      <c r="Z1244" s="135">
        <v>0.923780487804878</v>
      </c>
      <c r="AA1244" s="135">
        <v>0.888311688311688</v>
      </c>
      <c r="AB1244" s="135">
        <v>0.886323268206039</v>
      </c>
      <c r="AC1244" s="135">
        <v>0.909190192759242</v>
      </c>
      <c r="AD1244" s="135">
        <v>0.92</v>
      </c>
      <c r="AE1244" s="133">
        <v>0.997062810664257</v>
      </c>
      <c r="AF1244" s="133">
        <v>0.998443005818241</v>
      </c>
      <c r="AG1244" s="133">
        <v>0.952959830866808</v>
      </c>
      <c r="AH1244" s="133">
        <v>0.989858264581078</v>
      </c>
      <c r="AI1244" s="135">
        <v>0.92</v>
      </c>
      <c r="AJ1244" s="133">
        <v>0.954793944491169</v>
      </c>
      <c r="AK1244" s="133">
        <v>0.930361210543443</v>
      </c>
      <c r="AL1244" s="133">
        <v>0.937182894418942</v>
      </c>
      <c r="AM1244" s="133">
        <v>0.955409306982667</v>
      </c>
      <c r="AN1244" s="132">
        <v>0.99</v>
      </c>
      <c r="AO1244" s="137">
        <v>1</v>
      </c>
      <c r="AP1244" s="137">
        <v>1</v>
      </c>
      <c r="AQ1244" s="137">
        <v>1</v>
      </c>
      <c r="AR1244" s="137">
        <v>1</v>
      </c>
      <c r="AS1244" s="158">
        <v>0.0721861525408278</v>
      </c>
      <c r="AT1244" s="141">
        <v>0.0294117647058824</v>
      </c>
      <c r="AU1244" s="141">
        <v>0.0833333333333333</v>
      </c>
      <c r="AV1244" s="141">
        <v>0.04</v>
      </c>
      <c r="AW1244" s="141">
        <v>0.0735849056603774</v>
      </c>
      <c r="AX1244" s="95"/>
      <c r="AY1244" s="93"/>
    </row>
    <row r="1245" ht="15" spans="1:51">
      <c r="A1245" s="91"/>
      <c r="B1245" s="95"/>
      <c r="C1245" s="152" t="s">
        <v>1085</v>
      </c>
      <c r="D1245" s="153" t="s">
        <v>25</v>
      </c>
      <c r="E1245" s="130" t="s">
        <v>1086</v>
      </c>
      <c r="F1245" s="195" t="s">
        <v>1275</v>
      </c>
      <c r="G1245" s="195" t="s">
        <v>1275</v>
      </c>
      <c r="H1245" s="195" t="s">
        <v>1275</v>
      </c>
      <c r="I1245" s="195" t="s">
        <v>1275</v>
      </c>
      <c r="J1245" s="132">
        <v>0.9</v>
      </c>
      <c r="K1245" s="133">
        <v>1</v>
      </c>
      <c r="L1245" s="133">
        <v>1</v>
      </c>
      <c r="M1245" s="134">
        <v>0.95</v>
      </c>
      <c r="N1245" s="133">
        <v>0.990804597701149</v>
      </c>
      <c r="O1245" s="135">
        <v>0.9</v>
      </c>
      <c r="P1245" s="133">
        <v>0.956454121306376</v>
      </c>
      <c r="Q1245" s="133">
        <v>0.934798534798535</v>
      </c>
      <c r="R1245" s="133">
        <v>0.956211327939077</v>
      </c>
      <c r="S1245" s="133">
        <v>0.942308520256598</v>
      </c>
      <c r="T1245" s="135">
        <v>0.9</v>
      </c>
      <c r="U1245" s="133">
        <v>0.900984966303784</v>
      </c>
      <c r="V1245" s="133">
        <v>0.904761904761905</v>
      </c>
      <c r="W1245" s="133">
        <v>0.901475487862922</v>
      </c>
      <c r="X1245" s="133">
        <v>0.902742497954966</v>
      </c>
      <c r="Y1245" s="135">
        <v>0.92</v>
      </c>
      <c r="Z1245" s="135">
        <v>0.92156862745098</v>
      </c>
      <c r="AA1245" s="135">
        <v>0.918502202643172</v>
      </c>
      <c r="AB1245" s="135">
        <v>0.795986622073579</v>
      </c>
      <c r="AC1245" s="135">
        <v>0.922601217508938</v>
      </c>
      <c r="AD1245" s="135">
        <v>0.92</v>
      </c>
      <c r="AE1245" s="133">
        <v>0.993796526054591</v>
      </c>
      <c r="AF1245" s="133">
        <v>0.950253715114172</v>
      </c>
      <c r="AG1245" s="133">
        <v>0.992527754056362</v>
      </c>
      <c r="AH1245" s="133">
        <v>0.956887849024335</v>
      </c>
      <c r="AI1245" s="135">
        <v>0.92</v>
      </c>
      <c r="AJ1245" s="133">
        <v>0.943190094683175</v>
      </c>
      <c r="AK1245" s="133">
        <v>0.947223749312809</v>
      </c>
      <c r="AL1245" s="133">
        <v>0.93125</v>
      </c>
      <c r="AM1245" s="133">
        <v>0.963685970779792</v>
      </c>
      <c r="AN1245" s="132">
        <v>0.99</v>
      </c>
      <c r="AO1245" s="137">
        <v>1</v>
      </c>
      <c r="AP1245" s="137">
        <v>1</v>
      </c>
      <c r="AQ1245" s="137">
        <v>1</v>
      </c>
      <c r="AR1245" s="137">
        <v>1</v>
      </c>
      <c r="AS1245" s="158">
        <v>0.0721861525408278</v>
      </c>
      <c r="AT1245" s="141">
        <v>0.12</v>
      </c>
      <c r="AU1245" s="141">
        <v>0</v>
      </c>
      <c r="AV1245" s="141">
        <v>0</v>
      </c>
      <c r="AW1245" s="141">
        <v>0.0354523227383863</v>
      </c>
      <c r="AX1245" s="95"/>
      <c r="AY1245" s="93"/>
    </row>
    <row r="1246" ht="15" spans="1:51">
      <c r="A1246" s="91"/>
      <c r="B1246" s="95"/>
      <c r="C1246" s="152" t="s">
        <v>1085</v>
      </c>
      <c r="D1246" s="153" t="s">
        <v>125</v>
      </c>
      <c r="E1246" s="130" t="s">
        <v>1086</v>
      </c>
      <c r="F1246" s="195" t="s">
        <v>1276</v>
      </c>
      <c r="G1246" s="195" t="s">
        <v>1276</v>
      </c>
      <c r="H1246" s="195" t="s">
        <v>1276</v>
      </c>
      <c r="I1246" s="195" t="s">
        <v>1276</v>
      </c>
      <c r="J1246" s="132">
        <v>0.9</v>
      </c>
      <c r="K1246" s="133" t="s">
        <v>35</v>
      </c>
      <c r="L1246" s="133" t="s">
        <v>35</v>
      </c>
      <c r="M1246" s="134" t="s">
        <v>35</v>
      </c>
      <c r="N1246" s="133" t="s">
        <v>35</v>
      </c>
      <c r="O1246" s="135">
        <v>0.9</v>
      </c>
      <c r="P1246" s="133">
        <v>0.484251968503937</v>
      </c>
      <c r="Q1246" s="133">
        <v>0.463687150837989</v>
      </c>
      <c r="R1246" s="133">
        <v>0.5</v>
      </c>
      <c r="S1246" s="133">
        <v>0.453281288119053</v>
      </c>
      <c r="T1246" s="135">
        <v>0.9</v>
      </c>
      <c r="U1246" s="133">
        <v>1</v>
      </c>
      <c r="V1246" s="133">
        <v>1</v>
      </c>
      <c r="W1246" s="133">
        <v>0.993197278911565</v>
      </c>
      <c r="X1246" s="133">
        <v>0.995364723103196</v>
      </c>
      <c r="Y1246" s="135">
        <v>0.92</v>
      </c>
      <c r="Z1246" s="135">
        <v>1</v>
      </c>
      <c r="AA1246" s="135">
        <v>1</v>
      </c>
      <c r="AB1246" s="135">
        <v>0.984615384615385</v>
      </c>
      <c r="AC1246" s="135">
        <v>0.988647114474929</v>
      </c>
      <c r="AD1246" s="135">
        <v>0.92</v>
      </c>
      <c r="AE1246" s="133">
        <v>0.974160631994733</v>
      </c>
      <c r="AF1246" s="133">
        <v>0.92679484917975</v>
      </c>
      <c r="AG1246" s="133">
        <v>0.977272727272727</v>
      </c>
      <c r="AH1246" s="133">
        <v>0.963026137560829</v>
      </c>
      <c r="AI1246" s="135">
        <v>0.92</v>
      </c>
      <c r="AJ1246" s="133">
        <v>1</v>
      </c>
      <c r="AK1246" s="133">
        <v>1</v>
      </c>
      <c r="AL1246" s="133">
        <v>0.99171270718232</v>
      </c>
      <c r="AM1246" s="133">
        <v>0.994229659549913</v>
      </c>
      <c r="AN1246" s="132">
        <v>0.99</v>
      </c>
      <c r="AO1246" s="137">
        <v>1</v>
      </c>
      <c r="AP1246" s="137">
        <v>1</v>
      </c>
      <c r="AQ1246" s="137">
        <v>1</v>
      </c>
      <c r="AR1246" s="137">
        <v>1</v>
      </c>
      <c r="AS1246" s="158">
        <v>0.0721861525408278</v>
      </c>
      <c r="AT1246" s="141" t="s">
        <v>35</v>
      </c>
      <c r="AU1246" s="141" t="s">
        <v>35</v>
      </c>
      <c r="AV1246" s="141">
        <v>0</v>
      </c>
      <c r="AW1246" s="141">
        <v>0</v>
      </c>
      <c r="AX1246" s="95"/>
      <c r="AY1246" s="93"/>
    </row>
    <row r="1247" ht="15" spans="1:51">
      <c r="A1247" s="91"/>
      <c r="B1247" s="95"/>
      <c r="C1247" s="152" t="s">
        <v>1085</v>
      </c>
      <c r="D1247" s="153" t="s">
        <v>125</v>
      </c>
      <c r="E1247" s="130" t="s">
        <v>1086</v>
      </c>
      <c r="F1247" s="195" t="s">
        <v>1277</v>
      </c>
      <c r="G1247" s="195" t="s">
        <v>1277</v>
      </c>
      <c r="H1247" s="195" t="s">
        <v>1277</v>
      </c>
      <c r="I1247" s="195" t="s">
        <v>1277</v>
      </c>
      <c r="J1247" s="132">
        <v>0.9</v>
      </c>
      <c r="K1247" s="133" t="s">
        <v>35</v>
      </c>
      <c r="L1247" s="133" t="s">
        <v>35</v>
      </c>
      <c r="M1247" s="134" t="s">
        <v>35</v>
      </c>
      <c r="N1247" s="133" t="s">
        <v>35</v>
      </c>
      <c r="O1247" s="135">
        <v>0.9</v>
      </c>
      <c r="P1247" s="133">
        <v>0</v>
      </c>
      <c r="Q1247" s="133" t="s">
        <v>35</v>
      </c>
      <c r="R1247" s="133">
        <v>0</v>
      </c>
      <c r="S1247" s="133">
        <v>0</v>
      </c>
      <c r="T1247" s="135">
        <v>0.9</v>
      </c>
      <c r="U1247" s="133">
        <v>1</v>
      </c>
      <c r="V1247" s="133" t="s">
        <v>35</v>
      </c>
      <c r="W1247" s="133">
        <v>1</v>
      </c>
      <c r="X1247" s="133">
        <v>1</v>
      </c>
      <c r="Y1247" s="135">
        <v>0.92</v>
      </c>
      <c r="Z1247" s="135" t="s">
        <v>35</v>
      </c>
      <c r="AA1247" s="135">
        <v>0</v>
      </c>
      <c r="AB1247" s="135" t="s">
        <v>35</v>
      </c>
      <c r="AC1247" s="135">
        <v>0.666666666666667</v>
      </c>
      <c r="AD1247" s="135">
        <v>0.92</v>
      </c>
      <c r="AE1247" s="133">
        <v>0.995293908719588</v>
      </c>
      <c r="AF1247" s="133">
        <v>0.977677981772553</v>
      </c>
      <c r="AG1247" s="133">
        <v>0.996791241978105</v>
      </c>
      <c r="AH1247" s="133">
        <v>0.977021900650211</v>
      </c>
      <c r="AI1247" s="135">
        <v>0.92</v>
      </c>
      <c r="AJ1247" s="133">
        <v>1</v>
      </c>
      <c r="AK1247" s="133">
        <v>0</v>
      </c>
      <c r="AL1247" s="133">
        <v>1</v>
      </c>
      <c r="AM1247" s="133">
        <v>0.95</v>
      </c>
      <c r="AN1247" s="132">
        <v>0.99</v>
      </c>
      <c r="AO1247" s="137">
        <v>1</v>
      </c>
      <c r="AP1247" s="137">
        <v>1</v>
      </c>
      <c r="AQ1247" s="137">
        <v>1</v>
      </c>
      <c r="AR1247" s="137">
        <v>1</v>
      </c>
      <c r="AS1247" s="158">
        <v>0.0721861525408278</v>
      </c>
      <c r="AT1247" s="141" t="s">
        <v>35</v>
      </c>
      <c r="AU1247" s="141" t="s">
        <v>35</v>
      </c>
      <c r="AV1247" s="141" t="s">
        <v>35</v>
      </c>
      <c r="AW1247" s="141" t="s">
        <v>35</v>
      </c>
      <c r="AX1247" s="95"/>
      <c r="AY1247" s="93"/>
    </row>
    <row r="1248" ht="15" spans="1:51">
      <c r="A1248" s="91"/>
      <c r="B1248" s="95"/>
      <c r="C1248" s="152" t="s">
        <v>1085</v>
      </c>
      <c r="D1248" s="153" t="s">
        <v>25</v>
      </c>
      <c r="E1248" s="130" t="s">
        <v>1086</v>
      </c>
      <c r="F1248" s="195" t="s">
        <v>1278</v>
      </c>
      <c r="G1248" s="195" t="s">
        <v>1278</v>
      </c>
      <c r="H1248" s="195" t="s">
        <v>1278</v>
      </c>
      <c r="I1248" s="195" t="s">
        <v>1278</v>
      </c>
      <c r="J1248" s="132">
        <v>0.9</v>
      </c>
      <c r="K1248" s="133">
        <v>0.952380952380952</v>
      </c>
      <c r="L1248" s="133">
        <v>0.971428571428571</v>
      </c>
      <c r="M1248" s="134">
        <v>1</v>
      </c>
      <c r="N1248" s="133">
        <v>0.94489247311828</v>
      </c>
      <c r="O1248" s="135">
        <v>0.9</v>
      </c>
      <c r="P1248" s="133">
        <v>0.983910891089109</v>
      </c>
      <c r="Q1248" s="133">
        <v>0.992998833138857</v>
      </c>
      <c r="R1248" s="133">
        <v>0.975049900199601</v>
      </c>
      <c r="S1248" s="133">
        <v>0.946695220708702</v>
      </c>
      <c r="T1248" s="135">
        <v>0.9</v>
      </c>
      <c r="U1248" s="133">
        <v>0.923019801980198</v>
      </c>
      <c r="V1248" s="133">
        <v>0.926779463243874</v>
      </c>
      <c r="W1248" s="133">
        <v>0.869510978043912</v>
      </c>
      <c r="X1248" s="133">
        <v>0.868897158638768</v>
      </c>
      <c r="Y1248" s="135">
        <v>0.92</v>
      </c>
      <c r="Z1248" s="135">
        <v>0.8926735218509</v>
      </c>
      <c r="AA1248" s="135">
        <v>0.905587668593449</v>
      </c>
      <c r="AB1248" s="135">
        <v>0.871331828442438</v>
      </c>
      <c r="AC1248" s="135">
        <v>0.897542973681655</v>
      </c>
      <c r="AD1248" s="135">
        <v>0.92</v>
      </c>
      <c r="AE1248" s="133">
        <v>0.998385037181702</v>
      </c>
      <c r="AF1248" s="133">
        <v>0.892310789049919</v>
      </c>
      <c r="AG1248" s="133">
        <v>0.997516409437644</v>
      </c>
      <c r="AH1248" s="133">
        <v>0.984617202143435</v>
      </c>
      <c r="AI1248" s="135">
        <v>0.92</v>
      </c>
      <c r="AJ1248" s="133">
        <v>0.95232994108195</v>
      </c>
      <c r="AK1248" s="133">
        <v>0.956122677412133</v>
      </c>
      <c r="AL1248" s="133">
        <v>0.923862012655644</v>
      </c>
      <c r="AM1248" s="133">
        <v>0.951759305514973</v>
      </c>
      <c r="AN1248" s="132">
        <v>0.99</v>
      </c>
      <c r="AO1248" s="137">
        <v>1</v>
      </c>
      <c r="AP1248" s="137">
        <v>1</v>
      </c>
      <c r="AQ1248" s="137">
        <v>1</v>
      </c>
      <c r="AR1248" s="137">
        <v>1</v>
      </c>
      <c r="AS1248" s="158">
        <v>0.0721861525408278</v>
      </c>
      <c r="AT1248" s="141">
        <v>0.117647058823529</v>
      </c>
      <c r="AU1248" s="141">
        <v>0.111111111111111</v>
      </c>
      <c r="AV1248" s="141">
        <v>0</v>
      </c>
      <c r="AW1248" s="141">
        <v>0.0306345733041575</v>
      </c>
      <c r="AX1248" s="95"/>
      <c r="AY1248" s="93"/>
    </row>
    <row r="1249" ht="15" spans="1:51">
      <c r="A1249" s="91"/>
      <c r="B1249" s="95"/>
      <c r="C1249" s="152" t="s">
        <v>1085</v>
      </c>
      <c r="D1249" s="153" t="s">
        <v>125</v>
      </c>
      <c r="E1249" s="130" t="s">
        <v>1086</v>
      </c>
      <c r="F1249" s="195" t="s">
        <v>1279</v>
      </c>
      <c r="G1249" s="195" t="s">
        <v>1279</v>
      </c>
      <c r="H1249" s="195" t="s">
        <v>1279</v>
      </c>
      <c r="I1249" s="195" t="s">
        <v>1279</v>
      </c>
      <c r="J1249" s="132">
        <v>0.9</v>
      </c>
      <c r="K1249" s="133" t="s">
        <v>35</v>
      </c>
      <c r="L1249" s="133" t="s">
        <v>35</v>
      </c>
      <c r="M1249" s="134" t="s">
        <v>35</v>
      </c>
      <c r="N1249" s="133" t="s">
        <v>35</v>
      </c>
      <c r="O1249" s="135">
        <v>0.9</v>
      </c>
      <c r="P1249" s="133">
        <v>0</v>
      </c>
      <c r="Q1249" s="133">
        <v>0</v>
      </c>
      <c r="R1249" s="133">
        <v>0</v>
      </c>
      <c r="S1249" s="133">
        <v>0</v>
      </c>
      <c r="T1249" s="135">
        <v>0.9</v>
      </c>
      <c r="U1249" s="133">
        <v>1</v>
      </c>
      <c r="V1249" s="133">
        <v>1</v>
      </c>
      <c r="W1249" s="133">
        <v>1</v>
      </c>
      <c r="X1249" s="133">
        <v>0.947368421052632</v>
      </c>
      <c r="Y1249" s="135">
        <v>0.92</v>
      </c>
      <c r="Z1249" s="135" t="s">
        <v>35</v>
      </c>
      <c r="AA1249" s="135">
        <v>1</v>
      </c>
      <c r="AB1249" s="135" t="s">
        <v>35</v>
      </c>
      <c r="AC1249" s="135">
        <v>1</v>
      </c>
      <c r="AD1249" s="135">
        <v>0.92</v>
      </c>
      <c r="AE1249" s="133">
        <v>0.99918019347434</v>
      </c>
      <c r="AF1249" s="133">
        <v>0.999590079934413</v>
      </c>
      <c r="AG1249" s="133">
        <v>0.996958174904943</v>
      </c>
      <c r="AH1249" s="133">
        <v>0.996234885236406</v>
      </c>
      <c r="AI1249" s="135">
        <v>0.92</v>
      </c>
      <c r="AJ1249" s="133">
        <v>1</v>
      </c>
      <c r="AK1249" s="133">
        <v>1</v>
      </c>
      <c r="AL1249" s="133">
        <v>1</v>
      </c>
      <c r="AM1249" s="133">
        <v>0.94478527607362</v>
      </c>
      <c r="AN1249" s="132">
        <v>0.99</v>
      </c>
      <c r="AO1249" s="137">
        <v>1</v>
      </c>
      <c r="AP1249" s="137">
        <v>1</v>
      </c>
      <c r="AQ1249" s="137">
        <v>1</v>
      </c>
      <c r="AR1249" s="137">
        <v>1</v>
      </c>
      <c r="AS1249" s="158">
        <v>0.0721861525408278</v>
      </c>
      <c r="AT1249" s="141" t="s">
        <v>35</v>
      </c>
      <c r="AU1249" s="141" t="s">
        <v>35</v>
      </c>
      <c r="AV1249" s="141" t="s">
        <v>35</v>
      </c>
      <c r="AW1249" s="141" t="s">
        <v>35</v>
      </c>
      <c r="AX1249" s="95"/>
      <c r="AY1249" s="93"/>
    </row>
    <row r="1250" ht="15" spans="1:51">
      <c r="A1250" s="91"/>
      <c r="B1250" s="95"/>
      <c r="C1250" s="152" t="s">
        <v>1085</v>
      </c>
      <c r="D1250" s="153" t="s">
        <v>25</v>
      </c>
      <c r="E1250" s="130" t="s">
        <v>1086</v>
      </c>
      <c r="F1250" s="195" t="s">
        <v>1280</v>
      </c>
      <c r="G1250" s="195" t="s">
        <v>1280</v>
      </c>
      <c r="H1250" s="195" t="s">
        <v>1280</v>
      </c>
      <c r="I1250" s="195" t="s">
        <v>1280</v>
      </c>
      <c r="J1250" s="132">
        <v>0.9</v>
      </c>
      <c r="K1250" s="133">
        <v>0.986666666666667</v>
      </c>
      <c r="L1250" s="133">
        <v>1</v>
      </c>
      <c r="M1250" s="134">
        <v>1</v>
      </c>
      <c r="N1250" s="133">
        <v>0.990790483499616</v>
      </c>
      <c r="O1250" s="135">
        <v>0.9</v>
      </c>
      <c r="P1250" s="133">
        <v>0.956403269754768</v>
      </c>
      <c r="Q1250" s="133">
        <v>0.940588988476312</v>
      </c>
      <c r="R1250" s="133">
        <v>0.943595342066958</v>
      </c>
      <c r="S1250" s="133">
        <v>0.941254930665691</v>
      </c>
      <c r="T1250" s="135">
        <v>0.9</v>
      </c>
      <c r="U1250" s="133">
        <v>0.906383806928766</v>
      </c>
      <c r="V1250" s="133">
        <v>0.896030729833547</v>
      </c>
      <c r="W1250" s="133">
        <v>0.824417758369723</v>
      </c>
      <c r="X1250" s="133">
        <v>0.872514334512627</v>
      </c>
      <c r="Y1250" s="135">
        <v>0.92</v>
      </c>
      <c r="Z1250" s="135">
        <v>0.88894472361809</v>
      </c>
      <c r="AA1250" s="135">
        <v>0.883040935672515</v>
      </c>
      <c r="AB1250" s="135">
        <v>0.770506108202443</v>
      </c>
      <c r="AC1250" s="135">
        <v>0.879364870206878</v>
      </c>
      <c r="AD1250" s="135">
        <v>0.92</v>
      </c>
      <c r="AE1250" s="133">
        <v>0.992039514698125</v>
      </c>
      <c r="AF1250" s="133">
        <v>0.892286390122887</v>
      </c>
      <c r="AG1250" s="133">
        <v>0.996135646687697</v>
      </c>
      <c r="AH1250" s="133">
        <v>0.973343150280838</v>
      </c>
      <c r="AI1250" s="135">
        <v>0.92</v>
      </c>
      <c r="AJ1250" s="133">
        <v>0.938552188552189</v>
      </c>
      <c r="AK1250" s="133">
        <v>0.930223739097459</v>
      </c>
      <c r="AL1250" s="133">
        <v>0.874699519230769</v>
      </c>
      <c r="AM1250" s="133">
        <v>0.935369225552338</v>
      </c>
      <c r="AN1250" s="132">
        <v>0.99</v>
      </c>
      <c r="AO1250" s="137">
        <v>1</v>
      </c>
      <c r="AP1250" s="137">
        <v>1</v>
      </c>
      <c r="AQ1250" s="137">
        <v>1</v>
      </c>
      <c r="AR1250" s="137">
        <v>1</v>
      </c>
      <c r="AS1250" s="158">
        <v>0.0721861525408278</v>
      </c>
      <c r="AT1250" s="141">
        <v>0.0740740740740741</v>
      </c>
      <c r="AU1250" s="141">
        <v>0.0377358490566038</v>
      </c>
      <c r="AV1250" s="141">
        <v>0.0158730158730159</v>
      </c>
      <c r="AW1250" s="141">
        <v>0.0358974358974359</v>
      </c>
      <c r="AX1250" s="95"/>
      <c r="AY1250" s="93"/>
    </row>
    <row r="1251" ht="15" spans="1:51">
      <c r="A1251" s="91"/>
      <c r="B1251" s="95"/>
      <c r="C1251" s="152" t="s">
        <v>1085</v>
      </c>
      <c r="D1251" s="153" t="s">
        <v>25</v>
      </c>
      <c r="E1251" s="130" t="s">
        <v>1086</v>
      </c>
      <c r="F1251" s="195" t="s">
        <v>1281</v>
      </c>
      <c r="G1251" s="195" t="s">
        <v>1281</v>
      </c>
      <c r="H1251" s="195" t="s">
        <v>1281</v>
      </c>
      <c r="I1251" s="195" t="s">
        <v>1281</v>
      </c>
      <c r="J1251" s="132">
        <v>0.9</v>
      </c>
      <c r="K1251" s="133">
        <v>0.943396226415094</v>
      </c>
      <c r="L1251" s="133">
        <v>0.92156862745098</v>
      </c>
      <c r="M1251" s="134">
        <v>0.760869565217391</v>
      </c>
      <c r="N1251" s="133">
        <v>0.867867867867868</v>
      </c>
      <c r="O1251" s="135">
        <v>0.9</v>
      </c>
      <c r="P1251" s="133">
        <v>0.943850267379679</v>
      </c>
      <c r="Q1251" s="133">
        <v>0.930607651912978</v>
      </c>
      <c r="R1251" s="133">
        <v>0.945020496744635</v>
      </c>
      <c r="S1251" s="133">
        <v>0.941268504031773</v>
      </c>
      <c r="T1251" s="135">
        <v>0.9</v>
      </c>
      <c r="U1251" s="133">
        <v>0.856417112299465</v>
      </c>
      <c r="V1251" s="133">
        <v>0.870967741935484</v>
      </c>
      <c r="W1251" s="133">
        <v>0.802748975162768</v>
      </c>
      <c r="X1251" s="133">
        <v>0.807941005919102</v>
      </c>
      <c r="Y1251" s="135">
        <v>0.92</v>
      </c>
      <c r="Z1251" s="135">
        <v>0.857898215465962</v>
      </c>
      <c r="AA1251" s="135">
        <v>0.875139353400223</v>
      </c>
      <c r="AB1251" s="135">
        <v>0.68232044198895</v>
      </c>
      <c r="AC1251" s="135">
        <v>0.859919763110135</v>
      </c>
      <c r="AD1251" s="135">
        <v>0.92</v>
      </c>
      <c r="AE1251" s="133">
        <v>0.997116493656286</v>
      </c>
      <c r="AF1251" s="133">
        <v>0.970451503838839</v>
      </c>
      <c r="AG1251" s="133">
        <v>0.997564935064935</v>
      </c>
      <c r="AH1251" s="133">
        <v>0.963109116807375</v>
      </c>
      <c r="AI1251" s="135">
        <v>0.92</v>
      </c>
      <c r="AJ1251" s="133">
        <v>0.910544347164066</v>
      </c>
      <c r="AK1251" s="133">
        <v>0.931799045747965</v>
      </c>
      <c r="AL1251" s="133">
        <v>0.857963875205255</v>
      </c>
      <c r="AM1251" s="133">
        <v>0.927227414330218</v>
      </c>
      <c r="AN1251" s="132">
        <v>0.99</v>
      </c>
      <c r="AO1251" s="137">
        <v>1</v>
      </c>
      <c r="AP1251" s="137">
        <v>1</v>
      </c>
      <c r="AQ1251" s="137">
        <v>1</v>
      </c>
      <c r="AR1251" s="137">
        <v>1</v>
      </c>
      <c r="AS1251" s="158">
        <v>0.0721861525408278</v>
      </c>
      <c r="AT1251" s="141">
        <v>0.0444444444444444</v>
      </c>
      <c r="AU1251" s="141">
        <v>0</v>
      </c>
      <c r="AV1251" s="141">
        <v>0.0204081632653061</v>
      </c>
      <c r="AW1251" s="141">
        <v>0.036096256684492</v>
      </c>
      <c r="AX1251" s="95"/>
      <c r="AY1251" s="93"/>
    </row>
    <row r="1252" ht="15" spans="1:51">
      <c r="A1252" s="91"/>
      <c r="B1252" s="95"/>
      <c r="C1252" s="152" t="s">
        <v>1085</v>
      </c>
      <c r="D1252" s="153" t="s">
        <v>25</v>
      </c>
      <c r="E1252" s="130" t="s">
        <v>1086</v>
      </c>
      <c r="F1252" s="195" t="s">
        <v>1282</v>
      </c>
      <c r="G1252" s="195" t="s">
        <v>1282</v>
      </c>
      <c r="H1252" s="195" t="s">
        <v>1282</v>
      </c>
      <c r="I1252" s="195" t="s">
        <v>1282</v>
      </c>
      <c r="J1252" s="132">
        <v>0.9</v>
      </c>
      <c r="K1252" s="133">
        <v>1</v>
      </c>
      <c r="L1252" s="133">
        <v>1</v>
      </c>
      <c r="M1252" s="134">
        <v>1</v>
      </c>
      <c r="N1252" s="133">
        <v>0.992920353982301</v>
      </c>
      <c r="O1252" s="135">
        <v>0.9</v>
      </c>
      <c r="P1252" s="133">
        <v>0.987425149700599</v>
      </c>
      <c r="Q1252" s="133">
        <v>0.977030352748154</v>
      </c>
      <c r="R1252" s="133">
        <v>0.98104008667389</v>
      </c>
      <c r="S1252" s="133">
        <v>0.979348802041491</v>
      </c>
      <c r="T1252" s="135">
        <v>0.9</v>
      </c>
      <c r="U1252" s="133">
        <v>0.95688622754491</v>
      </c>
      <c r="V1252" s="133">
        <v>0.940114848236259</v>
      </c>
      <c r="W1252" s="133">
        <v>0.835861321776815</v>
      </c>
      <c r="X1252" s="133">
        <v>0.918222201219224</v>
      </c>
      <c r="Y1252" s="135">
        <v>0.92</v>
      </c>
      <c r="Z1252" s="135">
        <v>0.947445255474453</v>
      </c>
      <c r="AA1252" s="135">
        <v>0.956616052060738</v>
      </c>
      <c r="AB1252" s="135">
        <v>0.835016835016835</v>
      </c>
      <c r="AC1252" s="135">
        <v>0.919620317075634</v>
      </c>
      <c r="AD1252" s="135">
        <v>0.92</v>
      </c>
      <c r="AE1252" s="133">
        <v>0.995325282430853</v>
      </c>
      <c r="AF1252" s="133">
        <v>0.96394772420009</v>
      </c>
      <c r="AG1252" s="133">
        <v>0.996433264501596</v>
      </c>
      <c r="AH1252" s="133">
        <v>0.988090555826503</v>
      </c>
      <c r="AI1252" s="135">
        <v>0.92</v>
      </c>
      <c r="AJ1252" s="133">
        <v>0.969426751592357</v>
      </c>
      <c r="AK1252" s="133">
        <v>0.961950059453032</v>
      </c>
      <c r="AL1252" s="133">
        <v>0.881529850746269</v>
      </c>
      <c r="AM1252" s="133">
        <v>0.94788735090843</v>
      </c>
      <c r="AN1252" s="132">
        <v>0.99</v>
      </c>
      <c r="AO1252" s="137">
        <v>1</v>
      </c>
      <c r="AP1252" s="137">
        <v>1</v>
      </c>
      <c r="AQ1252" s="137">
        <v>1</v>
      </c>
      <c r="AR1252" s="137">
        <v>1</v>
      </c>
      <c r="AS1252" s="158">
        <v>0.0721861525408278</v>
      </c>
      <c r="AT1252" s="141">
        <v>0.0833333333333333</v>
      </c>
      <c r="AU1252" s="141">
        <v>0.142857142857143</v>
      </c>
      <c r="AV1252" s="141">
        <v>0.0666666666666667</v>
      </c>
      <c r="AW1252" s="141">
        <v>0.0566037735849057</v>
      </c>
      <c r="AX1252" s="95"/>
      <c r="AY1252" s="93"/>
    </row>
    <row r="1253" ht="15" spans="1:51">
      <c r="A1253" s="91"/>
      <c r="B1253" s="95"/>
      <c r="C1253" s="152" t="s">
        <v>1085</v>
      </c>
      <c r="D1253" s="153" t="s">
        <v>25</v>
      </c>
      <c r="E1253" s="130" t="s">
        <v>1086</v>
      </c>
      <c r="F1253" s="195" t="s">
        <v>1283</v>
      </c>
      <c r="G1253" s="195" t="s">
        <v>1283</v>
      </c>
      <c r="H1253" s="195" t="s">
        <v>1283</v>
      </c>
      <c r="I1253" s="195" t="s">
        <v>1283</v>
      </c>
      <c r="J1253" s="132">
        <v>0.9</v>
      </c>
      <c r="K1253" s="133">
        <v>0.950819672131147</v>
      </c>
      <c r="L1253" s="133">
        <v>0.928571428571429</v>
      </c>
      <c r="M1253" s="134">
        <v>0.87719298245614</v>
      </c>
      <c r="N1253" s="133">
        <v>0.951307484220018</v>
      </c>
      <c r="O1253" s="135">
        <v>0.9</v>
      </c>
      <c r="P1253" s="133">
        <v>0.985332182916307</v>
      </c>
      <c r="Q1253" s="133">
        <v>0.979838709677419</v>
      </c>
      <c r="R1253" s="133">
        <v>0.989044097507532</v>
      </c>
      <c r="S1253" s="133">
        <v>0.984789304131315</v>
      </c>
      <c r="T1253" s="135">
        <v>0.9</v>
      </c>
      <c r="U1253" s="133">
        <v>0.905378199597354</v>
      </c>
      <c r="V1253" s="133">
        <v>0.896057347670251</v>
      </c>
      <c r="W1253" s="133">
        <v>0.84004382360997</v>
      </c>
      <c r="X1253" s="133">
        <v>0.890244621974676</v>
      </c>
      <c r="Y1253" s="135">
        <v>0.92</v>
      </c>
      <c r="Z1253" s="135">
        <v>0.929737402413059</v>
      </c>
      <c r="AA1253" s="135">
        <v>0.92223439211391</v>
      </c>
      <c r="AB1253" s="135">
        <v>0.837795275590551</v>
      </c>
      <c r="AC1253" s="135">
        <v>0.929704205274412</v>
      </c>
      <c r="AD1253" s="135">
        <v>0.92</v>
      </c>
      <c r="AE1253" s="133">
        <v>0.998919386211368</v>
      </c>
      <c r="AF1253" s="133">
        <v>0.999209798498617</v>
      </c>
      <c r="AG1253" s="133">
        <v>0.999032882011605</v>
      </c>
      <c r="AH1253" s="133">
        <v>0.998768273313669</v>
      </c>
      <c r="AI1253" s="135">
        <v>0.92</v>
      </c>
      <c r="AJ1253" s="133">
        <v>0.952108063855915</v>
      </c>
      <c r="AK1253" s="133">
        <v>0.945344772799492</v>
      </c>
      <c r="AL1253" s="133">
        <v>0.891040597293514</v>
      </c>
      <c r="AM1253" s="133">
        <v>0.951743952835381</v>
      </c>
      <c r="AN1253" s="132">
        <v>0.99</v>
      </c>
      <c r="AO1253" s="137">
        <v>1</v>
      </c>
      <c r="AP1253" s="137">
        <v>1</v>
      </c>
      <c r="AQ1253" s="137">
        <v>1</v>
      </c>
      <c r="AR1253" s="137">
        <v>1</v>
      </c>
      <c r="AS1253" s="158">
        <v>0.0721861525408278</v>
      </c>
      <c r="AT1253" s="141">
        <v>0.0714285714285714</v>
      </c>
      <c r="AU1253" s="141">
        <v>0.027027027027027</v>
      </c>
      <c r="AV1253" s="141">
        <v>0.105263157894737</v>
      </c>
      <c r="AW1253" s="141">
        <v>0.0571428571428571</v>
      </c>
      <c r="AX1253" s="95"/>
      <c r="AY1253" s="93"/>
    </row>
    <row r="1254" ht="15" spans="1:51">
      <c r="A1254" s="91"/>
      <c r="B1254" s="95"/>
      <c r="C1254" s="152" t="s">
        <v>1085</v>
      </c>
      <c r="D1254" s="153" t="s">
        <v>25</v>
      </c>
      <c r="E1254" s="130" t="s">
        <v>1086</v>
      </c>
      <c r="F1254" s="195" t="s">
        <v>1284</v>
      </c>
      <c r="G1254" s="195" t="s">
        <v>1284</v>
      </c>
      <c r="H1254" s="195" t="s">
        <v>1284</v>
      </c>
      <c r="I1254" s="195" t="s">
        <v>1284</v>
      </c>
      <c r="J1254" s="132">
        <v>0.9</v>
      </c>
      <c r="K1254" s="133">
        <v>1</v>
      </c>
      <c r="L1254" s="133">
        <v>0.96551724137931</v>
      </c>
      <c r="M1254" s="134">
        <v>1</v>
      </c>
      <c r="N1254" s="133">
        <v>0.991708126036484</v>
      </c>
      <c r="O1254" s="135">
        <v>0.9</v>
      </c>
      <c r="P1254" s="133">
        <v>0.982758620689655</v>
      </c>
      <c r="Q1254" s="133">
        <v>0.984193011647255</v>
      </c>
      <c r="R1254" s="133">
        <v>0.986322987901105</v>
      </c>
      <c r="S1254" s="133">
        <v>0.98321934710569</v>
      </c>
      <c r="T1254" s="135">
        <v>0.9</v>
      </c>
      <c r="U1254" s="133">
        <v>0.937931034482759</v>
      </c>
      <c r="V1254" s="133">
        <v>0.916805324459235</v>
      </c>
      <c r="W1254" s="133">
        <v>0.872698579694897</v>
      </c>
      <c r="X1254" s="133">
        <v>0.914099038755317</v>
      </c>
      <c r="Y1254" s="135">
        <v>0.92</v>
      </c>
      <c r="Z1254" s="135">
        <v>0.940443213296399</v>
      </c>
      <c r="AA1254" s="135">
        <v>0.925690021231423</v>
      </c>
      <c r="AB1254" s="135">
        <v>0.798634812286689</v>
      </c>
      <c r="AC1254" s="135">
        <v>0.931673306772908</v>
      </c>
      <c r="AD1254" s="135">
        <v>0.92</v>
      </c>
      <c r="AE1254" s="133">
        <v>0.993932708218423</v>
      </c>
      <c r="AF1254" s="133">
        <v>0.985812807881773</v>
      </c>
      <c r="AG1254" s="133">
        <v>0.989291958041958</v>
      </c>
      <c r="AH1254" s="133">
        <v>0.991745574773397</v>
      </c>
      <c r="AI1254" s="135">
        <v>0.92</v>
      </c>
      <c r="AJ1254" s="133">
        <v>0.958587088915956</v>
      </c>
      <c r="AK1254" s="133">
        <v>0.957611940298507</v>
      </c>
      <c r="AL1254" s="133">
        <v>0.889293849658314</v>
      </c>
      <c r="AM1254" s="133">
        <v>0.958937703172823</v>
      </c>
      <c r="AN1254" s="132">
        <v>0.99</v>
      </c>
      <c r="AO1254" s="137">
        <v>1</v>
      </c>
      <c r="AP1254" s="137">
        <v>1</v>
      </c>
      <c r="AQ1254" s="137">
        <v>1</v>
      </c>
      <c r="AR1254" s="137">
        <v>1</v>
      </c>
      <c r="AS1254" s="158">
        <v>0.0721861525408278</v>
      </c>
      <c r="AT1254" s="141">
        <v>0.0769230769230769</v>
      </c>
      <c r="AU1254" s="141">
        <v>0</v>
      </c>
      <c r="AV1254" s="141">
        <v>0.157894736842105</v>
      </c>
      <c r="AW1254" s="141">
        <v>0.0669642857142857</v>
      </c>
      <c r="AX1254" s="95"/>
      <c r="AY1254" s="93"/>
    </row>
    <row r="1255" ht="15" spans="1:51">
      <c r="A1255" s="91"/>
      <c r="B1255" s="95"/>
      <c r="C1255" s="152" t="s">
        <v>1085</v>
      </c>
      <c r="D1255" s="153" t="s">
        <v>25</v>
      </c>
      <c r="E1255" s="130" t="s">
        <v>1086</v>
      </c>
      <c r="F1255" s="195" t="s">
        <v>1285</v>
      </c>
      <c r="G1255" s="195" t="s">
        <v>1285</v>
      </c>
      <c r="H1255" s="195" t="s">
        <v>1285</v>
      </c>
      <c r="I1255" s="195" t="s">
        <v>1285</v>
      </c>
      <c r="J1255" s="132">
        <v>0.9</v>
      </c>
      <c r="K1255" s="133">
        <v>0.955882352941177</v>
      </c>
      <c r="L1255" s="133">
        <v>0.931034482758621</v>
      </c>
      <c r="M1255" s="134">
        <v>0.950819672131147</v>
      </c>
      <c r="N1255" s="133">
        <v>0.941126997476871</v>
      </c>
      <c r="O1255" s="135">
        <v>0.9</v>
      </c>
      <c r="P1255" s="133">
        <v>0.962446657183499</v>
      </c>
      <c r="Q1255" s="133">
        <v>0.957497048406139</v>
      </c>
      <c r="R1255" s="133">
        <v>0.951559726096881</v>
      </c>
      <c r="S1255" s="133">
        <v>0.953822467123541</v>
      </c>
      <c r="T1255" s="135">
        <v>0.9</v>
      </c>
      <c r="U1255" s="133">
        <v>0.913229018492176</v>
      </c>
      <c r="V1255" s="133">
        <v>0.88508461235734</v>
      </c>
      <c r="W1255" s="133">
        <v>0.887902612224195</v>
      </c>
      <c r="X1255" s="133">
        <v>0.908200592702352</v>
      </c>
      <c r="Y1255" s="135">
        <v>0.92</v>
      </c>
      <c r="Z1255" s="135">
        <v>0.913965087281795</v>
      </c>
      <c r="AA1255" s="135">
        <v>0.941343424787133</v>
      </c>
      <c r="AB1255" s="135">
        <v>0.902192242833052</v>
      </c>
      <c r="AC1255" s="135">
        <v>0.93355685681904</v>
      </c>
      <c r="AD1255" s="135">
        <v>0.92</v>
      </c>
      <c r="AE1255" s="133">
        <v>0.977034559643255</v>
      </c>
      <c r="AF1255" s="133">
        <v>0.850339265138907</v>
      </c>
      <c r="AG1255" s="133">
        <v>0.996630160067397</v>
      </c>
      <c r="AH1255" s="133">
        <v>0.964912859058043</v>
      </c>
      <c r="AI1255" s="135">
        <v>0.92</v>
      </c>
      <c r="AJ1255" s="133">
        <v>0.943348310216839</v>
      </c>
      <c r="AK1255" s="133">
        <v>0.95279089141905</v>
      </c>
      <c r="AL1255" s="133">
        <v>0.943562610229277</v>
      </c>
      <c r="AM1255" s="133">
        <v>0.964405235563158</v>
      </c>
      <c r="AN1255" s="132">
        <v>0.99</v>
      </c>
      <c r="AO1255" s="137">
        <v>1</v>
      </c>
      <c r="AP1255" s="137">
        <v>1</v>
      </c>
      <c r="AQ1255" s="137">
        <v>1</v>
      </c>
      <c r="AR1255" s="137">
        <v>1</v>
      </c>
      <c r="AS1255" s="158">
        <v>0.0721861525408278</v>
      </c>
      <c r="AT1255" s="141">
        <v>0</v>
      </c>
      <c r="AU1255" s="141">
        <v>0</v>
      </c>
      <c r="AV1255" s="141">
        <v>0.032258064516129</v>
      </c>
      <c r="AW1255" s="141">
        <v>0.0188284518828452</v>
      </c>
      <c r="AX1255" s="95"/>
      <c r="AY1255" s="93"/>
    </row>
    <row r="1256" ht="15" spans="1:51">
      <c r="A1256" s="91"/>
      <c r="B1256" s="95"/>
      <c r="C1256" s="152" t="s">
        <v>1085</v>
      </c>
      <c r="D1256" s="153" t="s">
        <v>125</v>
      </c>
      <c r="E1256" s="130" t="s">
        <v>1086</v>
      </c>
      <c r="F1256" s="195" t="s">
        <v>1286</v>
      </c>
      <c r="G1256" s="195" t="s">
        <v>1286</v>
      </c>
      <c r="H1256" s="195" t="s">
        <v>1286</v>
      </c>
      <c r="I1256" s="195" t="s">
        <v>1286</v>
      </c>
      <c r="J1256" s="132">
        <v>0.9</v>
      </c>
      <c r="K1256" s="133" t="s">
        <v>35</v>
      </c>
      <c r="L1256" s="133" t="s">
        <v>35</v>
      </c>
      <c r="M1256" s="134" t="s">
        <v>35</v>
      </c>
      <c r="N1256" s="133" t="s">
        <v>35</v>
      </c>
      <c r="O1256" s="135">
        <v>0.9</v>
      </c>
      <c r="P1256" s="133">
        <v>1</v>
      </c>
      <c r="Q1256" s="133" t="s">
        <v>35</v>
      </c>
      <c r="R1256" s="133">
        <v>1</v>
      </c>
      <c r="S1256" s="133">
        <v>0.88</v>
      </c>
      <c r="T1256" s="135">
        <v>0.9</v>
      </c>
      <c r="U1256" s="133">
        <v>1</v>
      </c>
      <c r="V1256" s="133" t="s">
        <v>35</v>
      </c>
      <c r="W1256" s="133">
        <v>1</v>
      </c>
      <c r="X1256" s="133">
        <v>0.92</v>
      </c>
      <c r="Y1256" s="135">
        <v>0.92</v>
      </c>
      <c r="Z1256" s="135" t="s">
        <v>35</v>
      </c>
      <c r="AA1256" s="135" t="s">
        <v>35</v>
      </c>
      <c r="AB1256" s="135" t="s">
        <v>35</v>
      </c>
      <c r="AC1256" s="135" t="s">
        <v>35</v>
      </c>
      <c r="AD1256" s="135">
        <v>0.92</v>
      </c>
      <c r="AE1256" s="133">
        <v>0.996028594122319</v>
      </c>
      <c r="AF1256" s="133">
        <v>0.996009023078258</v>
      </c>
      <c r="AG1256" s="133">
        <v>0.998374277456647</v>
      </c>
      <c r="AH1256" s="133">
        <v>0.986217148520135</v>
      </c>
      <c r="AI1256" s="135">
        <v>0.92</v>
      </c>
      <c r="AJ1256" s="133">
        <v>1</v>
      </c>
      <c r="AK1256" s="133">
        <v>1</v>
      </c>
      <c r="AL1256" s="133">
        <v>1</v>
      </c>
      <c r="AM1256" s="133">
        <v>0.951219512195122</v>
      </c>
      <c r="AN1256" s="132">
        <v>0.99</v>
      </c>
      <c r="AO1256" s="137">
        <v>1</v>
      </c>
      <c r="AP1256" s="137">
        <v>1</v>
      </c>
      <c r="AQ1256" s="137">
        <v>1</v>
      </c>
      <c r="AR1256" s="137">
        <v>1</v>
      </c>
      <c r="AS1256" s="158">
        <v>0.0721861525408278</v>
      </c>
      <c r="AT1256" s="141" t="s">
        <v>35</v>
      </c>
      <c r="AU1256" s="141" t="s">
        <v>35</v>
      </c>
      <c r="AV1256" s="141" t="s">
        <v>35</v>
      </c>
      <c r="AW1256" s="141">
        <v>0.285714285714286</v>
      </c>
      <c r="AX1256" s="95"/>
      <c r="AY1256" s="93"/>
    </row>
    <row r="1257" ht="15" spans="1:51">
      <c r="A1257" s="91"/>
      <c r="B1257" s="95"/>
      <c r="C1257" s="152" t="s">
        <v>1085</v>
      </c>
      <c r="D1257" s="153" t="s">
        <v>25</v>
      </c>
      <c r="E1257" s="130" t="s">
        <v>1086</v>
      </c>
      <c r="F1257" s="195" t="s">
        <v>1287</v>
      </c>
      <c r="G1257" s="195" t="s">
        <v>1287</v>
      </c>
      <c r="H1257" s="195" t="s">
        <v>1287</v>
      </c>
      <c r="I1257" s="195" t="s">
        <v>1287</v>
      </c>
      <c r="J1257" s="132">
        <v>0.9</v>
      </c>
      <c r="K1257" s="133">
        <v>0.945945945945946</v>
      </c>
      <c r="L1257" s="133">
        <v>1</v>
      </c>
      <c r="M1257" s="134">
        <v>0.916666666666667</v>
      </c>
      <c r="N1257" s="133">
        <v>0.959183673469388</v>
      </c>
      <c r="O1257" s="135">
        <v>0.9</v>
      </c>
      <c r="P1257" s="133">
        <v>0.990340909090909</v>
      </c>
      <c r="Q1257" s="133">
        <v>0.993115318416523</v>
      </c>
      <c r="R1257" s="133">
        <v>0.98817774154097</v>
      </c>
      <c r="S1257" s="133">
        <v>0.978699527375531</v>
      </c>
      <c r="T1257" s="135">
        <v>0.9</v>
      </c>
      <c r="U1257" s="133">
        <v>0.967045454545455</v>
      </c>
      <c r="V1257" s="133">
        <v>0.960413080895009</v>
      </c>
      <c r="W1257" s="133">
        <v>0.972686506318793</v>
      </c>
      <c r="X1257" s="133">
        <v>0.9702613462244</v>
      </c>
      <c r="Y1257" s="135">
        <v>0.92</v>
      </c>
      <c r="Z1257" s="135">
        <v>0.961649089165868</v>
      </c>
      <c r="AA1257" s="135">
        <v>0.957507082152975</v>
      </c>
      <c r="AB1257" s="135">
        <v>0.974</v>
      </c>
      <c r="AC1257" s="135">
        <v>0.975030855406817</v>
      </c>
      <c r="AD1257" s="135">
        <v>0.92</v>
      </c>
      <c r="AE1257" s="133">
        <v>0.998629198080877</v>
      </c>
      <c r="AF1257" s="133">
        <v>0.996954933008526</v>
      </c>
      <c r="AG1257" s="133">
        <v>0.996664813785436</v>
      </c>
      <c r="AH1257" s="133">
        <v>0.996204018919652</v>
      </c>
      <c r="AI1257" s="135">
        <v>0.92</v>
      </c>
      <c r="AJ1257" s="133">
        <v>0.975026757046022</v>
      </c>
      <c r="AK1257" s="133">
        <v>0.97386688444263</v>
      </c>
      <c r="AL1257" s="133">
        <v>0.985519837822184</v>
      </c>
      <c r="AM1257" s="133">
        <v>0.985224524915071</v>
      </c>
      <c r="AN1257" s="132">
        <v>0.99</v>
      </c>
      <c r="AO1257" s="137">
        <v>1</v>
      </c>
      <c r="AP1257" s="137">
        <v>1</v>
      </c>
      <c r="AQ1257" s="137">
        <v>1</v>
      </c>
      <c r="AR1257" s="137">
        <v>1</v>
      </c>
      <c r="AS1257" s="158">
        <v>0.0721861525408278</v>
      </c>
      <c r="AT1257" s="141">
        <v>0</v>
      </c>
      <c r="AU1257" s="141">
        <v>0</v>
      </c>
      <c r="AV1257" s="141">
        <v>0.0714285714285714</v>
      </c>
      <c r="AW1257" s="141">
        <v>0.0343511450381679</v>
      </c>
      <c r="AX1257" s="95"/>
      <c r="AY1257" s="93"/>
    </row>
    <row r="1258" ht="15" spans="1:51">
      <c r="A1258" s="91"/>
      <c r="B1258" s="95"/>
      <c r="C1258" s="152" t="s">
        <v>1085</v>
      </c>
      <c r="D1258" s="153" t="s">
        <v>25</v>
      </c>
      <c r="E1258" s="130" t="s">
        <v>1086</v>
      </c>
      <c r="F1258" s="195" t="s">
        <v>1288</v>
      </c>
      <c r="G1258" s="195" t="s">
        <v>1288</v>
      </c>
      <c r="H1258" s="195" t="s">
        <v>1288</v>
      </c>
      <c r="I1258" s="195" t="s">
        <v>1288</v>
      </c>
      <c r="J1258" s="132">
        <v>0.9</v>
      </c>
      <c r="K1258" s="133">
        <v>0.928571428571429</v>
      </c>
      <c r="L1258" s="133">
        <v>0.882352941176471</v>
      </c>
      <c r="M1258" s="134">
        <v>0.842105263157895</v>
      </c>
      <c r="N1258" s="133">
        <v>0.947930574098798</v>
      </c>
      <c r="O1258" s="135">
        <v>0.9</v>
      </c>
      <c r="P1258" s="133">
        <v>0.992021276595745</v>
      </c>
      <c r="Q1258" s="133">
        <v>0.989583333333333</v>
      </c>
      <c r="R1258" s="133">
        <v>0.965811965811966</v>
      </c>
      <c r="S1258" s="133">
        <v>0.974324711272311</v>
      </c>
      <c r="T1258" s="135">
        <v>0.9</v>
      </c>
      <c r="U1258" s="133">
        <v>0.946276595744681</v>
      </c>
      <c r="V1258" s="133">
        <v>0.918154761904762</v>
      </c>
      <c r="W1258" s="133">
        <v>0.930940170940171</v>
      </c>
      <c r="X1258" s="133">
        <v>0.935744965161783</v>
      </c>
      <c r="Y1258" s="135">
        <v>0.92</v>
      </c>
      <c r="Z1258" s="135">
        <v>0.946798917944094</v>
      </c>
      <c r="AA1258" s="135">
        <v>0.927823050058207</v>
      </c>
      <c r="AB1258" s="135">
        <v>0.951612903225806</v>
      </c>
      <c r="AC1258" s="135">
        <v>0.960401866408844</v>
      </c>
      <c r="AD1258" s="135">
        <v>0.92</v>
      </c>
      <c r="AE1258" s="133">
        <v>0.998734977862113</v>
      </c>
      <c r="AF1258" s="133">
        <v>0.977806788511749</v>
      </c>
      <c r="AG1258" s="133">
        <v>0.998727735368957</v>
      </c>
      <c r="AH1258" s="133">
        <v>0.995947510613663</v>
      </c>
      <c r="AI1258" s="135">
        <v>0.92</v>
      </c>
      <c r="AJ1258" s="133">
        <v>0.963867514218802</v>
      </c>
      <c r="AK1258" s="133">
        <v>0.959652173913043</v>
      </c>
      <c r="AL1258" s="133">
        <v>0.973740241305891</v>
      </c>
      <c r="AM1258" s="133">
        <v>0.977960383822738</v>
      </c>
      <c r="AN1258" s="132">
        <v>0.99</v>
      </c>
      <c r="AO1258" s="137">
        <v>1</v>
      </c>
      <c r="AP1258" s="137">
        <v>1</v>
      </c>
      <c r="AQ1258" s="137">
        <v>1</v>
      </c>
      <c r="AR1258" s="137">
        <v>1</v>
      </c>
      <c r="AS1258" s="158">
        <v>0.0721861525408278</v>
      </c>
      <c r="AT1258" s="141">
        <v>0</v>
      </c>
      <c r="AU1258" s="141">
        <v>0</v>
      </c>
      <c r="AV1258" s="141">
        <v>0</v>
      </c>
      <c r="AW1258" s="141">
        <v>0.056</v>
      </c>
      <c r="AX1258" s="95"/>
      <c r="AY1258" s="93"/>
    </row>
    <row r="1259" ht="15" spans="1:51">
      <c r="A1259" s="91"/>
      <c r="B1259" s="95"/>
      <c r="C1259" s="152" t="s">
        <v>1085</v>
      </c>
      <c r="D1259" s="153" t="s">
        <v>25</v>
      </c>
      <c r="E1259" s="130" t="s">
        <v>1086</v>
      </c>
      <c r="F1259" s="195" t="s">
        <v>1289</v>
      </c>
      <c r="G1259" s="195" t="s">
        <v>1289</v>
      </c>
      <c r="H1259" s="195" t="s">
        <v>1289</v>
      </c>
      <c r="I1259" s="195" t="s">
        <v>1289</v>
      </c>
      <c r="J1259" s="132">
        <v>0.9</v>
      </c>
      <c r="K1259" s="133">
        <v>0.904761904761905</v>
      </c>
      <c r="L1259" s="133">
        <v>0.861111111111111</v>
      </c>
      <c r="M1259" s="134">
        <v>0.878048780487805</v>
      </c>
      <c r="N1259" s="133">
        <v>0.895334174022699</v>
      </c>
      <c r="O1259" s="135">
        <v>0.9</v>
      </c>
      <c r="P1259" s="133">
        <v>0.982766439909297</v>
      </c>
      <c r="Q1259" s="133">
        <v>0.976352887676216</v>
      </c>
      <c r="R1259" s="133">
        <v>0.920475892298059</v>
      </c>
      <c r="S1259" s="133">
        <v>0.961270455745205</v>
      </c>
      <c r="T1259" s="135">
        <v>0.9</v>
      </c>
      <c r="U1259" s="133">
        <v>0.920634920634921</v>
      </c>
      <c r="V1259" s="133">
        <v>0.917235106866758</v>
      </c>
      <c r="W1259" s="133">
        <v>0.954289292423294</v>
      </c>
      <c r="X1259" s="133">
        <v>0.93811367235615</v>
      </c>
      <c r="Y1259" s="135">
        <v>0.92</v>
      </c>
      <c r="Z1259" s="135">
        <v>0.908045977011494</v>
      </c>
      <c r="AA1259" s="135">
        <v>0.930885529157667</v>
      </c>
      <c r="AB1259" s="135">
        <v>0.941616766467066</v>
      </c>
      <c r="AC1259" s="135">
        <v>0.945126945126945</v>
      </c>
      <c r="AD1259" s="135">
        <v>0.92</v>
      </c>
      <c r="AE1259" s="133">
        <v>0.998163789937569</v>
      </c>
      <c r="AF1259" s="133">
        <v>0.998564764980265</v>
      </c>
      <c r="AG1259" s="133">
        <v>0.998067165982121</v>
      </c>
      <c r="AH1259" s="133">
        <v>0.998393363129144</v>
      </c>
      <c r="AI1259" s="135">
        <v>0.92</v>
      </c>
      <c r="AJ1259" s="133">
        <v>0.948029197080292</v>
      </c>
      <c r="AK1259" s="133">
        <v>0.959053103007038</v>
      </c>
      <c r="AL1259" s="133">
        <v>0.972847682119205</v>
      </c>
      <c r="AM1259" s="133">
        <v>0.971425800429158</v>
      </c>
      <c r="AN1259" s="132">
        <v>0.99</v>
      </c>
      <c r="AO1259" s="137">
        <v>1</v>
      </c>
      <c r="AP1259" s="137">
        <v>1</v>
      </c>
      <c r="AQ1259" s="137">
        <v>1</v>
      </c>
      <c r="AR1259" s="137">
        <v>1</v>
      </c>
      <c r="AS1259" s="158">
        <v>0.0721861525408278</v>
      </c>
      <c r="AT1259" s="141">
        <v>0</v>
      </c>
      <c r="AU1259" s="141">
        <v>0</v>
      </c>
      <c r="AV1259" s="141">
        <v>0.0588235294117647</v>
      </c>
      <c r="AW1259" s="141">
        <v>0.033210332103321</v>
      </c>
      <c r="AX1259" s="95"/>
      <c r="AY1259" s="93"/>
    </row>
    <row r="1260" ht="15" spans="1:51">
      <c r="A1260" s="91"/>
      <c r="B1260" s="95"/>
      <c r="C1260" s="152" t="s">
        <v>1085</v>
      </c>
      <c r="D1260" s="153" t="s">
        <v>25</v>
      </c>
      <c r="E1260" s="130" t="s">
        <v>1086</v>
      </c>
      <c r="F1260" s="195" t="s">
        <v>1290</v>
      </c>
      <c r="G1260" s="195" t="s">
        <v>1290</v>
      </c>
      <c r="H1260" s="195" t="s">
        <v>1290</v>
      </c>
      <c r="I1260" s="195" t="s">
        <v>1290</v>
      </c>
      <c r="J1260" s="132">
        <v>0.9</v>
      </c>
      <c r="K1260" s="133">
        <v>0.948717948717949</v>
      </c>
      <c r="L1260" s="133">
        <v>0.941176470588235</v>
      </c>
      <c r="M1260" s="134">
        <v>0.947368421052632</v>
      </c>
      <c r="N1260" s="133">
        <v>0.922666666666667</v>
      </c>
      <c r="O1260" s="135">
        <v>0.9</v>
      </c>
      <c r="P1260" s="133">
        <v>0.987073422957601</v>
      </c>
      <c r="Q1260" s="133">
        <v>0.986985944820406</v>
      </c>
      <c r="R1260" s="133">
        <v>0.981562185719075</v>
      </c>
      <c r="S1260" s="133">
        <v>0.980713577799802</v>
      </c>
      <c r="T1260" s="135">
        <v>0.9</v>
      </c>
      <c r="U1260" s="133">
        <v>0.956049638055843</v>
      </c>
      <c r="V1260" s="133">
        <v>0.952628839146278</v>
      </c>
      <c r="W1260" s="133">
        <v>0.960107274555816</v>
      </c>
      <c r="X1260" s="133">
        <v>0.966402378592666</v>
      </c>
      <c r="Y1260" s="135">
        <v>0.92</v>
      </c>
      <c r="Z1260" s="135">
        <v>0.955017301038062</v>
      </c>
      <c r="AA1260" s="135">
        <v>0.968457943925234</v>
      </c>
      <c r="AB1260" s="135">
        <v>0.915594855305466</v>
      </c>
      <c r="AC1260" s="135">
        <v>0.968484328037785</v>
      </c>
      <c r="AD1260" s="135">
        <v>0.92</v>
      </c>
      <c r="AE1260" s="133">
        <v>0.996644295302013</v>
      </c>
      <c r="AF1260" s="133">
        <v>0.996666666666667</v>
      </c>
      <c r="AG1260" s="133">
        <v>0.993243243243243</v>
      </c>
      <c r="AH1260" s="133">
        <v>0.996968106815929</v>
      </c>
      <c r="AI1260" s="135">
        <v>0.92</v>
      </c>
      <c r="AJ1260" s="133">
        <v>0.970873786407767</v>
      </c>
      <c r="AK1260" s="133">
        <v>0.978754051134318</v>
      </c>
      <c r="AL1260" s="133">
        <v>0.969718476460847</v>
      </c>
      <c r="AM1260" s="133">
        <v>0.982875040676863</v>
      </c>
      <c r="AN1260" s="132">
        <v>0.99</v>
      </c>
      <c r="AO1260" s="137">
        <v>1</v>
      </c>
      <c r="AP1260" s="137">
        <v>1</v>
      </c>
      <c r="AQ1260" s="137">
        <v>1</v>
      </c>
      <c r="AR1260" s="137">
        <v>1</v>
      </c>
      <c r="AS1260" s="158">
        <v>0.0721861525408278</v>
      </c>
      <c r="AT1260" s="141">
        <v>0</v>
      </c>
      <c r="AU1260" s="141">
        <v>0</v>
      </c>
      <c r="AV1260" s="141">
        <v>0</v>
      </c>
      <c r="AW1260" s="141">
        <v>0.029126213592233</v>
      </c>
      <c r="AX1260" s="95"/>
      <c r="AY1260" s="93"/>
    </row>
    <row r="1261" ht="15" spans="1:51">
      <c r="A1261" s="91"/>
      <c r="B1261" s="95"/>
      <c r="C1261" s="152" t="s">
        <v>1085</v>
      </c>
      <c r="D1261" s="153" t="s">
        <v>25</v>
      </c>
      <c r="E1261" s="130" t="s">
        <v>1086</v>
      </c>
      <c r="F1261" s="195" t="s">
        <v>1291</v>
      </c>
      <c r="G1261" s="195" t="s">
        <v>1291</v>
      </c>
      <c r="H1261" s="195" t="s">
        <v>1291</v>
      </c>
      <c r="I1261" s="195" t="s">
        <v>1291</v>
      </c>
      <c r="J1261" s="132">
        <v>0.9</v>
      </c>
      <c r="K1261" s="133">
        <v>0.892857142857143</v>
      </c>
      <c r="L1261" s="133">
        <v>1</v>
      </c>
      <c r="M1261" s="134">
        <v>0.96</v>
      </c>
      <c r="N1261" s="133">
        <v>0.954183266932271</v>
      </c>
      <c r="O1261" s="135">
        <v>0.9</v>
      </c>
      <c r="P1261" s="133">
        <v>0.984126984126984</v>
      </c>
      <c r="Q1261" s="133">
        <v>0.985885673959068</v>
      </c>
      <c r="R1261" s="133">
        <v>0.946113989637306</v>
      </c>
      <c r="S1261" s="133">
        <v>0.978413834227788</v>
      </c>
      <c r="T1261" s="135">
        <v>0.9</v>
      </c>
      <c r="U1261" s="133">
        <v>0.957142857142857</v>
      </c>
      <c r="V1261" s="133">
        <v>0.955539872971066</v>
      </c>
      <c r="W1261" s="133">
        <v>0.969948186528497</v>
      </c>
      <c r="X1261" s="133">
        <v>0.963416815742397</v>
      </c>
      <c r="Y1261" s="135">
        <v>0.92</v>
      </c>
      <c r="Z1261" s="135">
        <v>0.967783505154639</v>
      </c>
      <c r="AA1261" s="135">
        <v>0.931354359925789</v>
      </c>
      <c r="AB1261" s="135">
        <v>0.95868772782503</v>
      </c>
      <c r="AC1261" s="135">
        <v>0.963421828908555</v>
      </c>
      <c r="AD1261" s="135">
        <v>0.92</v>
      </c>
      <c r="AE1261" s="133">
        <v>0.997947815889768</v>
      </c>
      <c r="AF1261" s="133">
        <v>0.986362194735173</v>
      </c>
      <c r="AG1261" s="133">
        <v>0.998348472336912</v>
      </c>
      <c r="AH1261" s="133">
        <v>0.995250639337012</v>
      </c>
      <c r="AI1261" s="135">
        <v>0.92</v>
      </c>
      <c r="AJ1261" s="133">
        <v>0.976915520628684</v>
      </c>
      <c r="AK1261" s="133">
        <v>0.968829841594277</v>
      </c>
      <c r="AL1261" s="133">
        <v>0.981474754812931</v>
      </c>
      <c r="AM1261" s="133">
        <v>0.979896717078569</v>
      </c>
      <c r="AN1261" s="132">
        <v>0.99</v>
      </c>
      <c r="AO1261" s="137">
        <v>1</v>
      </c>
      <c r="AP1261" s="137">
        <v>1</v>
      </c>
      <c r="AQ1261" s="137">
        <v>1</v>
      </c>
      <c r="AR1261" s="137">
        <v>1</v>
      </c>
      <c r="AS1261" s="158">
        <v>0.0721861525408278</v>
      </c>
      <c r="AT1261" s="141">
        <v>0</v>
      </c>
      <c r="AU1261" s="141">
        <v>0</v>
      </c>
      <c r="AV1261" s="141">
        <v>0.0588235294117647</v>
      </c>
      <c r="AW1261" s="141">
        <v>0</v>
      </c>
      <c r="AX1261" s="95"/>
      <c r="AY1261" s="93"/>
    </row>
    <row r="1262" ht="15" spans="1:51">
      <c r="A1262" s="91"/>
      <c r="B1262" s="95"/>
      <c r="C1262" s="152" t="s">
        <v>1085</v>
      </c>
      <c r="D1262" s="153" t="s">
        <v>25</v>
      </c>
      <c r="E1262" s="130" t="s">
        <v>1086</v>
      </c>
      <c r="F1262" s="195" t="s">
        <v>1292</v>
      </c>
      <c r="G1262" s="195" t="s">
        <v>1292</v>
      </c>
      <c r="H1262" s="195" t="s">
        <v>1292</v>
      </c>
      <c r="I1262" s="195" t="s">
        <v>1292</v>
      </c>
      <c r="J1262" s="132">
        <v>0.9</v>
      </c>
      <c r="K1262" s="133">
        <v>0.976744186046512</v>
      </c>
      <c r="L1262" s="133">
        <v>0.941176470588235</v>
      </c>
      <c r="M1262" s="134">
        <v>0.923076923076923</v>
      </c>
      <c r="N1262" s="133">
        <v>0.946524064171123</v>
      </c>
      <c r="O1262" s="135">
        <v>0.9</v>
      </c>
      <c r="P1262" s="133">
        <v>0.962359550561798</v>
      </c>
      <c r="Q1262" s="133">
        <v>0.96526508226691</v>
      </c>
      <c r="R1262" s="133">
        <v>0.966491723859507</v>
      </c>
      <c r="S1262" s="133">
        <v>0.956777263656499</v>
      </c>
      <c r="T1262" s="135">
        <v>0.9</v>
      </c>
      <c r="U1262" s="133">
        <v>0.975842696629214</v>
      </c>
      <c r="V1262" s="133">
        <v>0.959171237050579</v>
      </c>
      <c r="W1262" s="133">
        <v>0.976988292289059</v>
      </c>
      <c r="X1262" s="133">
        <v>0.973969869081818</v>
      </c>
      <c r="Y1262" s="135">
        <v>0.92</v>
      </c>
      <c r="Z1262" s="135">
        <v>0.962892483349191</v>
      </c>
      <c r="AA1262" s="135">
        <v>0.968106995884774</v>
      </c>
      <c r="AB1262" s="135">
        <v>0.971789161098738</v>
      </c>
      <c r="AC1262" s="135">
        <v>0.971806901389924</v>
      </c>
      <c r="AD1262" s="135">
        <v>0.92</v>
      </c>
      <c r="AE1262" s="133">
        <v>0.999764539675065</v>
      </c>
      <c r="AF1262" s="133">
        <v>0.997005172883202</v>
      </c>
      <c r="AG1262" s="133">
        <v>0.995047052996533</v>
      </c>
      <c r="AH1262" s="133">
        <v>0.962730614052941</v>
      </c>
      <c r="AI1262" s="135">
        <v>0.92</v>
      </c>
      <c r="AJ1262" s="133">
        <v>0.980925468032497</v>
      </c>
      <c r="AK1262" s="133">
        <v>0.977037887485649</v>
      </c>
      <c r="AL1262" s="133">
        <v>0.984571129707113</v>
      </c>
      <c r="AM1262" s="133">
        <v>0.985178688884017</v>
      </c>
      <c r="AN1262" s="132">
        <v>0.99</v>
      </c>
      <c r="AO1262" s="137">
        <v>1</v>
      </c>
      <c r="AP1262" s="137">
        <v>1</v>
      </c>
      <c r="AQ1262" s="137">
        <v>1</v>
      </c>
      <c r="AR1262" s="137">
        <v>1</v>
      </c>
      <c r="AS1262" s="158">
        <v>0.0721861525408278</v>
      </c>
      <c r="AT1262" s="141">
        <v>0</v>
      </c>
      <c r="AU1262" s="141">
        <v>0</v>
      </c>
      <c r="AV1262" s="141">
        <v>0.0714285714285714</v>
      </c>
      <c r="AW1262" s="141">
        <v>0.0224719101123595</v>
      </c>
      <c r="AX1262" s="95"/>
      <c r="AY1262" s="93"/>
    </row>
    <row r="1263" ht="15" spans="1:51">
      <c r="A1263" s="91"/>
      <c r="B1263" s="95"/>
      <c r="C1263" s="152" t="s">
        <v>1085</v>
      </c>
      <c r="D1263" s="153" t="s">
        <v>25</v>
      </c>
      <c r="E1263" s="130" t="s">
        <v>1086</v>
      </c>
      <c r="F1263" s="195" t="s">
        <v>1293</v>
      </c>
      <c r="G1263" s="195" t="s">
        <v>1293</v>
      </c>
      <c r="H1263" s="195" t="s">
        <v>1293</v>
      </c>
      <c r="I1263" s="195" t="s">
        <v>1293</v>
      </c>
      <c r="J1263" s="132">
        <v>0.9</v>
      </c>
      <c r="K1263" s="133">
        <v>0.914285714285714</v>
      </c>
      <c r="L1263" s="133">
        <v>0.9</v>
      </c>
      <c r="M1263" s="134">
        <v>0.857142857142857</v>
      </c>
      <c r="N1263" s="133">
        <v>0.928571428571429</v>
      </c>
      <c r="O1263" s="135">
        <v>0.9</v>
      </c>
      <c r="P1263" s="133">
        <v>0.950858496151569</v>
      </c>
      <c r="Q1263" s="133">
        <v>0.992575671045117</v>
      </c>
      <c r="R1263" s="133">
        <v>0.992451330949543</v>
      </c>
      <c r="S1263" s="133">
        <v>0.97161489996684</v>
      </c>
      <c r="T1263" s="135">
        <v>0.9</v>
      </c>
      <c r="U1263" s="133">
        <v>0.924807578448786</v>
      </c>
      <c r="V1263" s="133">
        <v>0.966304968589378</v>
      </c>
      <c r="W1263" s="133">
        <v>0.973778307508939</v>
      </c>
      <c r="X1263" s="133">
        <v>0.96445230463137</v>
      </c>
      <c r="Y1263" s="135">
        <v>0.92</v>
      </c>
      <c r="Z1263" s="135">
        <v>0.963582677165354</v>
      </c>
      <c r="AA1263" s="135">
        <v>0.960812772133527</v>
      </c>
      <c r="AB1263" s="135">
        <v>0.969230769230769</v>
      </c>
      <c r="AC1263" s="135">
        <v>0.966360258165461</v>
      </c>
      <c r="AD1263" s="135">
        <v>0.92</v>
      </c>
      <c r="AE1263" s="133">
        <v>0.999222395023328</v>
      </c>
      <c r="AF1263" s="133">
        <v>0.993269230769231</v>
      </c>
      <c r="AG1263" s="133">
        <v>0.996038483305037</v>
      </c>
      <c r="AH1263" s="133">
        <v>0.994442461632591</v>
      </c>
      <c r="AI1263" s="135">
        <v>0.92</v>
      </c>
      <c r="AJ1263" s="133">
        <v>0.973382624768946</v>
      </c>
      <c r="AK1263" s="133">
        <v>0.977049180327869</v>
      </c>
      <c r="AL1263" s="133">
        <v>0.985701779982492</v>
      </c>
      <c r="AM1263" s="133">
        <v>0.982828959386227</v>
      </c>
      <c r="AN1263" s="132">
        <v>0.99</v>
      </c>
      <c r="AO1263" s="137">
        <v>1</v>
      </c>
      <c r="AP1263" s="137">
        <v>1</v>
      </c>
      <c r="AQ1263" s="137">
        <v>1</v>
      </c>
      <c r="AR1263" s="137">
        <v>1</v>
      </c>
      <c r="AS1263" s="158">
        <v>0.0721861525408278</v>
      </c>
      <c r="AT1263" s="141">
        <v>0</v>
      </c>
      <c r="AU1263" s="141">
        <v>0</v>
      </c>
      <c r="AV1263" s="141">
        <v>0.0769230769230769</v>
      </c>
      <c r="AW1263" s="141">
        <v>0.0349344978165939</v>
      </c>
      <c r="AX1263" s="95"/>
      <c r="AY1263" s="93"/>
    </row>
    <row r="1264" ht="15" spans="1:51">
      <c r="A1264" s="91"/>
      <c r="B1264" s="95"/>
      <c r="C1264" s="152" t="s">
        <v>1085</v>
      </c>
      <c r="D1264" s="153" t="s">
        <v>25</v>
      </c>
      <c r="E1264" s="130" t="s">
        <v>1086</v>
      </c>
      <c r="F1264" s="195" t="s">
        <v>1294</v>
      </c>
      <c r="G1264" s="195" t="s">
        <v>1294</v>
      </c>
      <c r="H1264" s="195" t="s">
        <v>1294</v>
      </c>
      <c r="I1264" s="195" t="s">
        <v>1294</v>
      </c>
      <c r="J1264" s="132">
        <v>0.9</v>
      </c>
      <c r="K1264" s="133">
        <v>1</v>
      </c>
      <c r="L1264" s="133">
        <v>0.944444444444444</v>
      </c>
      <c r="M1264" s="134">
        <v>0.894736842105263</v>
      </c>
      <c r="N1264" s="133">
        <v>0.937837837837838</v>
      </c>
      <c r="O1264" s="135">
        <v>0.9</v>
      </c>
      <c r="P1264" s="133">
        <v>0.993223620522749</v>
      </c>
      <c r="Q1264" s="133">
        <v>0.997352162400706</v>
      </c>
      <c r="R1264" s="133">
        <v>0.993029150823828</v>
      </c>
      <c r="S1264" s="133">
        <v>0.97089592760181</v>
      </c>
      <c r="T1264" s="135">
        <v>0.9</v>
      </c>
      <c r="U1264" s="133">
        <v>0.942884801548887</v>
      </c>
      <c r="V1264" s="133">
        <v>0.961165048543689</v>
      </c>
      <c r="W1264" s="133">
        <v>0.966413181242079</v>
      </c>
      <c r="X1264" s="133">
        <v>0.962027149321267</v>
      </c>
      <c r="Y1264" s="135">
        <v>0.92</v>
      </c>
      <c r="Z1264" s="135">
        <v>0.968365553602812</v>
      </c>
      <c r="AA1264" s="135">
        <v>0.968523002421308</v>
      </c>
      <c r="AB1264" s="135">
        <v>0.957236842105263</v>
      </c>
      <c r="AC1264" s="135">
        <v>0.970755483346872</v>
      </c>
      <c r="AD1264" s="135">
        <v>0.92</v>
      </c>
      <c r="AE1264" s="133">
        <v>0.997432605905006</v>
      </c>
      <c r="AF1264" s="133">
        <v>1</v>
      </c>
      <c r="AG1264" s="133">
        <v>0.998310810810811</v>
      </c>
      <c r="AH1264" s="133">
        <v>0.998176450156304</v>
      </c>
      <c r="AI1264" s="135">
        <v>0.92</v>
      </c>
      <c r="AJ1264" s="133">
        <v>0.978776529338327</v>
      </c>
      <c r="AK1264" s="133">
        <v>0.980595084087969</v>
      </c>
      <c r="AL1264" s="133">
        <v>0.980329368709973</v>
      </c>
      <c r="AM1264" s="133">
        <v>0.984975585326155</v>
      </c>
      <c r="AN1264" s="132">
        <v>0.99</v>
      </c>
      <c r="AO1264" s="137">
        <v>1</v>
      </c>
      <c r="AP1264" s="137">
        <v>1</v>
      </c>
      <c r="AQ1264" s="137">
        <v>1</v>
      </c>
      <c r="AR1264" s="137">
        <v>1</v>
      </c>
      <c r="AS1264" s="158">
        <v>0.0721861525408278</v>
      </c>
      <c r="AT1264" s="141">
        <v>0</v>
      </c>
      <c r="AU1264" s="141">
        <v>0</v>
      </c>
      <c r="AV1264" s="141">
        <v>0</v>
      </c>
      <c r="AW1264" s="141">
        <v>0.0560747663551402</v>
      </c>
      <c r="AX1264" s="95"/>
      <c r="AY1264" s="93"/>
    </row>
    <row r="1265" ht="15" spans="1:51">
      <c r="A1265" s="91"/>
      <c r="B1265" s="95"/>
      <c r="C1265" s="152" t="s">
        <v>1085</v>
      </c>
      <c r="D1265" s="153" t="s">
        <v>25</v>
      </c>
      <c r="E1265" s="130" t="s">
        <v>1086</v>
      </c>
      <c r="F1265" s="195" t="s">
        <v>1295</v>
      </c>
      <c r="G1265" s="195" t="s">
        <v>1295</v>
      </c>
      <c r="H1265" s="195" t="s">
        <v>1295</v>
      </c>
      <c r="I1265" s="195" t="s">
        <v>1295</v>
      </c>
      <c r="J1265" s="132">
        <v>0.9</v>
      </c>
      <c r="K1265" s="133">
        <v>0.883720930232558</v>
      </c>
      <c r="L1265" s="133">
        <v>0.794117647058823</v>
      </c>
      <c r="M1265" s="134">
        <v>0.85</v>
      </c>
      <c r="N1265" s="133">
        <v>0.866578599735799</v>
      </c>
      <c r="O1265" s="135">
        <v>0.9</v>
      </c>
      <c r="P1265" s="133">
        <v>0.990684931506849</v>
      </c>
      <c r="Q1265" s="133">
        <v>0.990924560408395</v>
      </c>
      <c r="R1265" s="133">
        <v>0.966497857421114</v>
      </c>
      <c r="S1265" s="133">
        <v>0.97347291842257</v>
      </c>
      <c r="T1265" s="135">
        <v>0.9</v>
      </c>
      <c r="U1265" s="133">
        <v>0.926575342465753</v>
      </c>
      <c r="V1265" s="133">
        <v>0.927963698241634</v>
      </c>
      <c r="W1265" s="133">
        <v>0.947019867549669</v>
      </c>
      <c r="X1265" s="133">
        <v>0.939737390764317</v>
      </c>
      <c r="Y1265" s="135">
        <v>0.92</v>
      </c>
      <c r="Z1265" s="135">
        <v>0.924418604651163</v>
      </c>
      <c r="AA1265" s="135">
        <v>0.926553672316384</v>
      </c>
      <c r="AB1265" s="135">
        <v>0.940772532188841</v>
      </c>
      <c r="AC1265" s="135">
        <v>0.930310868186033</v>
      </c>
      <c r="AD1265" s="135">
        <v>0.92</v>
      </c>
      <c r="AE1265" s="133">
        <v>1</v>
      </c>
      <c r="AF1265" s="133">
        <v>0.997867803837953</v>
      </c>
      <c r="AG1265" s="133">
        <v>1</v>
      </c>
      <c r="AH1265" s="133">
        <v>0.999057366011312</v>
      </c>
      <c r="AI1265" s="135">
        <v>0.92</v>
      </c>
      <c r="AJ1265" s="133">
        <v>0.955547777388869</v>
      </c>
      <c r="AK1265" s="133">
        <v>0.957102387697289</v>
      </c>
      <c r="AL1265" s="133">
        <v>0.971336726493437</v>
      </c>
      <c r="AM1265" s="133">
        <v>0.966821681786994</v>
      </c>
      <c r="AN1265" s="132">
        <v>0.99</v>
      </c>
      <c r="AO1265" s="137">
        <v>1</v>
      </c>
      <c r="AP1265" s="137">
        <v>1</v>
      </c>
      <c r="AQ1265" s="137">
        <v>1</v>
      </c>
      <c r="AR1265" s="137">
        <v>1</v>
      </c>
      <c r="AS1265" s="158">
        <v>0.0721861525408278</v>
      </c>
      <c r="AT1265" s="141">
        <v>0</v>
      </c>
      <c r="AU1265" s="141">
        <v>0</v>
      </c>
      <c r="AV1265" s="141">
        <v>0</v>
      </c>
      <c r="AW1265" s="141">
        <v>0.0425531914893617</v>
      </c>
      <c r="AX1265" s="95"/>
      <c r="AY1265" s="93"/>
    </row>
    <row r="1266" ht="15" spans="1:51">
      <c r="A1266" s="91"/>
      <c r="B1266" s="95"/>
      <c r="C1266" s="152" t="s">
        <v>1085</v>
      </c>
      <c r="D1266" s="153" t="s">
        <v>25</v>
      </c>
      <c r="E1266" s="130" t="s">
        <v>1086</v>
      </c>
      <c r="F1266" s="195" t="s">
        <v>1296</v>
      </c>
      <c r="G1266" s="195" t="s">
        <v>1296</v>
      </c>
      <c r="H1266" s="195" t="s">
        <v>1296</v>
      </c>
      <c r="I1266" s="195" t="s">
        <v>1296</v>
      </c>
      <c r="J1266" s="132">
        <v>0.9</v>
      </c>
      <c r="K1266" s="133">
        <v>1</v>
      </c>
      <c r="L1266" s="133">
        <v>0.961538461538462</v>
      </c>
      <c r="M1266" s="134">
        <v>0.962962962962963</v>
      </c>
      <c r="N1266" s="133">
        <v>0.972549019607843</v>
      </c>
      <c r="O1266" s="135">
        <v>0.9</v>
      </c>
      <c r="P1266" s="133">
        <v>0.991171749598716</v>
      </c>
      <c r="Q1266" s="133">
        <v>0.99374511336982</v>
      </c>
      <c r="R1266" s="133">
        <v>0.991370010787487</v>
      </c>
      <c r="S1266" s="133">
        <v>0.989680901730433</v>
      </c>
      <c r="T1266" s="135">
        <v>0.9</v>
      </c>
      <c r="U1266" s="133">
        <v>0.979133226324238</v>
      </c>
      <c r="V1266" s="133">
        <v>0.983580922595778</v>
      </c>
      <c r="W1266" s="133">
        <v>0.986515641855448</v>
      </c>
      <c r="X1266" s="133">
        <v>0.981584378472773</v>
      </c>
      <c r="Y1266" s="135">
        <v>0.92</v>
      </c>
      <c r="Z1266" s="135">
        <v>0.974093264248705</v>
      </c>
      <c r="AA1266" s="135">
        <v>0.982300884955752</v>
      </c>
      <c r="AB1266" s="135">
        <v>0.986562150055991</v>
      </c>
      <c r="AC1266" s="135">
        <v>0.985813284518828</v>
      </c>
      <c r="AD1266" s="135">
        <v>0.92</v>
      </c>
      <c r="AE1266" s="133">
        <v>0.998757763975155</v>
      </c>
      <c r="AF1266" s="133">
        <v>0.998097050428164</v>
      </c>
      <c r="AG1266" s="133">
        <v>1</v>
      </c>
      <c r="AH1266" s="133">
        <v>0.997515646648512</v>
      </c>
      <c r="AI1266" s="135">
        <v>0.92</v>
      </c>
      <c r="AJ1266" s="133">
        <v>0.982160555004955</v>
      </c>
      <c r="AK1266" s="133">
        <v>0.988758303525805</v>
      </c>
      <c r="AL1266" s="133">
        <v>0.993447397160539</v>
      </c>
      <c r="AM1266" s="133">
        <v>0.992071633115357</v>
      </c>
      <c r="AN1266" s="132">
        <v>0.99</v>
      </c>
      <c r="AO1266" s="137">
        <v>1</v>
      </c>
      <c r="AP1266" s="137">
        <v>1</v>
      </c>
      <c r="AQ1266" s="137">
        <v>1</v>
      </c>
      <c r="AR1266" s="137">
        <v>1</v>
      </c>
      <c r="AS1266" s="158">
        <v>0.0721861525408278</v>
      </c>
      <c r="AT1266" s="141">
        <v>0</v>
      </c>
      <c r="AU1266" s="141">
        <v>0</v>
      </c>
      <c r="AV1266" s="141">
        <v>0</v>
      </c>
      <c r="AW1266" s="141">
        <v>0.019047619047619</v>
      </c>
      <c r="AX1266" s="95"/>
      <c r="AY1266" s="93"/>
    </row>
    <row r="1267" ht="15" spans="1:51">
      <c r="A1267" s="91"/>
      <c r="B1267" s="95"/>
      <c r="C1267" s="152" t="s">
        <v>1085</v>
      </c>
      <c r="D1267" s="153" t="s">
        <v>25</v>
      </c>
      <c r="E1267" s="130" t="s">
        <v>1086</v>
      </c>
      <c r="F1267" s="195" t="s">
        <v>1297</v>
      </c>
      <c r="G1267" s="195" t="s">
        <v>1297</v>
      </c>
      <c r="H1267" s="195" t="s">
        <v>1297</v>
      </c>
      <c r="I1267" s="195" t="s">
        <v>1297</v>
      </c>
      <c r="J1267" s="132">
        <v>0.9</v>
      </c>
      <c r="K1267" s="133">
        <v>1</v>
      </c>
      <c r="L1267" s="133">
        <v>1</v>
      </c>
      <c r="M1267" s="134">
        <v>0.973684210526316</v>
      </c>
      <c r="N1267" s="133">
        <v>0.959731543624161</v>
      </c>
      <c r="O1267" s="135">
        <v>0.9</v>
      </c>
      <c r="P1267" s="133">
        <v>0.982456140350877</v>
      </c>
      <c r="Q1267" s="133">
        <v>0.985371562317145</v>
      </c>
      <c r="R1267" s="133">
        <v>0.985992217898833</v>
      </c>
      <c r="S1267" s="133">
        <v>0.985538088373264</v>
      </c>
      <c r="T1267" s="135">
        <v>0.9</v>
      </c>
      <c r="U1267" s="133">
        <v>0.893567251461988</v>
      </c>
      <c r="V1267" s="133">
        <v>0.886483323581042</v>
      </c>
      <c r="W1267" s="133">
        <v>0.880933852140078</v>
      </c>
      <c r="X1267" s="133">
        <v>0.906134871055582</v>
      </c>
      <c r="Y1267" s="135">
        <v>0.92</v>
      </c>
      <c r="Z1267" s="135">
        <v>0.893970893970894</v>
      </c>
      <c r="AA1267" s="135">
        <v>0.845151953690304</v>
      </c>
      <c r="AB1267" s="135">
        <v>0.901077375122429</v>
      </c>
      <c r="AC1267" s="135">
        <v>0.913325833503784</v>
      </c>
      <c r="AD1267" s="135">
        <v>0.92</v>
      </c>
      <c r="AE1267" s="133">
        <v>1</v>
      </c>
      <c r="AF1267" s="133">
        <v>1</v>
      </c>
      <c r="AG1267" s="133">
        <v>0.991489361702128</v>
      </c>
      <c r="AH1267" s="133">
        <v>0.993741166969513</v>
      </c>
      <c r="AI1267" s="135">
        <v>0.92</v>
      </c>
      <c r="AJ1267" s="133">
        <v>0.928892215568862</v>
      </c>
      <c r="AK1267" s="133">
        <v>0.91</v>
      </c>
      <c r="AL1267" s="133">
        <v>0.945697577276525</v>
      </c>
      <c r="AM1267" s="133">
        <v>0.952384716315981</v>
      </c>
      <c r="AN1267" s="132">
        <v>0.99</v>
      </c>
      <c r="AO1267" s="137">
        <v>1</v>
      </c>
      <c r="AP1267" s="137">
        <v>1</v>
      </c>
      <c r="AQ1267" s="137">
        <v>1</v>
      </c>
      <c r="AR1267" s="137">
        <v>1</v>
      </c>
      <c r="AS1267" s="158">
        <v>0.0721861525408278</v>
      </c>
      <c r="AT1267" s="141">
        <v>0</v>
      </c>
      <c r="AU1267" s="141">
        <v>0</v>
      </c>
      <c r="AV1267" s="141">
        <v>0</v>
      </c>
      <c r="AW1267" s="141">
        <v>0.0625</v>
      </c>
      <c r="AX1267" s="95"/>
      <c r="AY1267" s="93"/>
    </row>
    <row r="1268" ht="15" spans="1:51">
      <c r="A1268" s="91"/>
      <c r="B1268" s="95"/>
      <c r="C1268" s="152" t="s">
        <v>1085</v>
      </c>
      <c r="D1268" s="153" t="s">
        <v>25</v>
      </c>
      <c r="E1268" s="130" t="s">
        <v>1086</v>
      </c>
      <c r="F1268" s="195" t="s">
        <v>1298</v>
      </c>
      <c r="G1268" s="195" t="s">
        <v>1298</v>
      </c>
      <c r="H1268" s="195" t="s">
        <v>1298</v>
      </c>
      <c r="I1268" s="195" t="s">
        <v>1298</v>
      </c>
      <c r="J1268" s="132">
        <v>0.9</v>
      </c>
      <c r="K1268" s="133">
        <v>1</v>
      </c>
      <c r="L1268" s="133">
        <v>0.961538461538462</v>
      </c>
      <c r="M1268" s="134">
        <v>1</v>
      </c>
      <c r="N1268" s="133">
        <v>0.977485928705441</v>
      </c>
      <c r="O1268" s="135">
        <v>0.9</v>
      </c>
      <c r="P1268" s="133">
        <v>0.93558282208589</v>
      </c>
      <c r="Q1268" s="133">
        <v>0.980966325036603</v>
      </c>
      <c r="R1268" s="133">
        <v>0.984913793103448</v>
      </c>
      <c r="S1268" s="133">
        <v>0.983866523035298</v>
      </c>
      <c r="T1268" s="135">
        <v>0.9</v>
      </c>
      <c r="U1268" s="133">
        <v>0.908588957055215</v>
      </c>
      <c r="V1268" s="133">
        <v>0.954612005856515</v>
      </c>
      <c r="W1268" s="133">
        <v>0.963793103448276</v>
      </c>
      <c r="X1268" s="133">
        <v>0.966204875115865</v>
      </c>
      <c r="Y1268" s="135">
        <v>0.92</v>
      </c>
      <c r="Z1268" s="135" t="s">
        <v>35</v>
      </c>
      <c r="AA1268" s="135" t="s">
        <v>35</v>
      </c>
      <c r="AB1268" s="135" t="s">
        <v>35</v>
      </c>
      <c r="AC1268" s="135" t="s">
        <v>35</v>
      </c>
      <c r="AD1268" s="135">
        <v>0.92</v>
      </c>
      <c r="AE1268" s="133">
        <v>0.996212121212121</v>
      </c>
      <c r="AF1268" s="133">
        <v>0.996732026143791</v>
      </c>
      <c r="AG1268" s="133">
        <v>1</v>
      </c>
      <c r="AH1268" s="133">
        <v>0.997529200359389</v>
      </c>
      <c r="AI1268" s="135">
        <v>0.92</v>
      </c>
      <c r="AJ1268" s="133">
        <v>0.912269938650307</v>
      </c>
      <c r="AK1268" s="133">
        <v>0.965592972181552</v>
      </c>
      <c r="AL1268" s="133">
        <v>0.974568965517241</v>
      </c>
      <c r="AM1268" s="133">
        <v>0.979107169697881</v>
      </c>
      <c r="AN1268" s="132">
        <v>0.99</v>
      </c>
      <c r="AO1268" s="137">
        <v>1</v>
      </c>
      <c r="AP1268" s="137">
        <v>1</v>
      </c>
      <c r="AQ1268" s="137">
        <v>1</v>
      </c>
      <c r="AR1268" s="137">
        <v>1</v>
      </c>
      <c r="AS1268" s="158">
        <v>0.0721861525408278</v>
      </c>
      <c r="AT1268" s="141">
        <v>0</v>
      </c>
      <c r="AU1268" s="141">
        <v>0</v>
      </c>
      <c r="AV1268" s="141">
        <v>0.0588235294117647</v>
      </c>
      <c r="AW1268" s="141">
        <v>0.0431654676258993</v>
      </c>
      <c r="AX1268" s="95"/>
      <c r="AY1268" s="93"/>
    </row>
    <row r="1269" ht="15" spans="1:51">
      <c r="A1269" s="91"/>
      <c r="B1269" s="95"/>
      <c r="C1269" s="152" t="s">
        <v>1085</v>
      </c>
      <c r="D1269" s="153" t="s">
        <v>25</v>
      </c>
      <c r="E1269" s="130" t="s">
        <v>1086</v>
      </c>
      <c r="F1269" s="195" t="s">
        <v>1299</v>
      </c>
      <c r="G1269" s="195" t="s">
        <v>1299</v>
      </c>
      <c r="H1269" s="195" t="s">
        <v>1299</v>
      </c>
      <c r="I1269" s="195" t="s">
        <v>1299</v>
      </c>
      <c r="J1269" s="132">
        <v>0.9</v>
      </c>
      <c r="K1269" s="133">
        <v>1</v>
      </c>
      <c r="L1269" s="133">
        <v>1</v>
      </c>
      <c r="M1269" s="134">
        <v>1</v>
      </c>
      <c r="N1269" s="133">
        <v>0.971311475409836</v>
      </c>
      <c r="O1269" s="135">
        <v>0.9</v>
      </c>
      <c r="P1269" s="133">
        <v>0.983480176211454</v>
      </c>
      <c r="Q1269" s="133">
        <v>0.983688833124216</v>
      </c>
      <c r="R1269" s="133">
        <v>0.991784914115011</v>
      </c>
      <c r="S1269" s="133">
        <v>0.984263472054097</v>
      </c>
      <c r="T1269" s="135">
        <v>0.9</v>
      </c>
      <c r="U1269" s="133">
        <v>0.964757709251101</v>
      </c>
      <c r="V1269" s="133">
        <v>0.962358845671267</v>
      </c>
      <c r="W1269" s="133">
        <v>0.938760268857356</v>
      </c>
      <c r="X1269" s="133">
        <v>0.928789080435781</v>
      </c>
      <c r="Y1269" s="135">
        <v>0.92</v>
      </c>
      <c r="Z1269" s="135" t="s">
        <v>35</v>
      </c>
      <c r="AA1269" s="135" t="s">
        <v>35</v>
      </c>
      <c r="AB1269" s="135" t="s">
        <v>35</v>
      </c>
      <c r="AC1269" s="135">
        <v>1</v>
      </c>
      <c r="AD1269" s="135">
        <v>0.92</v>
      </c>
      <c r="AE1269" s="133">
        <v>1</v>
      </c>
      <c r="AF1269" s="133">
        <v>0.994845360824742</v>
      </c>
      <c r="AG1269" s="133">
        <v>1</v>
      </c>
      <c r="AH1269" s="133">
        <v>0.997895622895623</v>
      </c>
      <c r="AI1269" s="135">
        <v>0.92</v>
      </c>
      <c r="AJ1269" s="133">
        <v>0.97136563876652</v>
      </c>
      <c r="AK1269" s="133">
        <v>0.979924717691342</v>
      </c>
      <c r="AL1269" s="133">
        <v>0.991038088125467</v>
      </c>
      <c r="AM1269" s="133">
        <v>0.980048418064947</v>
      </c>
      <c r="AN1269" s="132">
        <v>0.99</v>
      </c>
      <c r="AO1269" s="137">
        <v>1</v>
      </c>
      <c r="AP1269" s="137">
        <v>1</v>
      </c>
      <c r="AQ1269" s="137">
        <v>1</v>
      </c>
      <c r="AR1269" s="137">
        <v>1</v>
      </c>
      <c r="AS1269" s="158">
        <v>0.0721861525408278</v>
      </c>
      <c r="AT1269" s="141">
        <v>0</v>
      </c>
      <c r="AU1269" s="141">
        <v>0</v>
      </c>
      <c r="AV1269" s="141">
        <v>0.5</v>
      </c>
      <c r="AW1269" s="141">
        <v>0.0625</v>
      </c>
      <c r="AX1269" s="95"/>
      <c r="AY1269" s="93"/>
    </row>
    <row r="1270" ht="15" spans="1:51">
      <c r="A1270" s="91"/>
      <c r="B1270" s="95"/>
      <c r="C1270" s="152" t="s">
        <v>1085</v>
      </c>
      <c r="D1270" s="153" t="s">
        <v>25</v>
      </c>
      <c r="E1270" s="130" t="s">
        <v>1086</v>
      </c>
      <c r="F1270" s="195" t="s">
        <v>1300</v>
      </c>
      <c r="G1270" s="195" t="s">
        <v>1300</v>
      </c>
      <c r="H1270" s="195" t="s">
        <v>1300</v>
      </c>
      <c r="I1270" s="195" t="s">
        <v>1300</v>
      </c>
      <c r="J1270" s="132">
        <v>0.9</v>
      </c>
      <c r="K1270" s="133">
        <v>1</v>
      </c>
      <c r="L1270" s="133">
        <v>1</v>
      </c>
      <c r="M1270" s="134">
        <v>0.909090909090909</v>
      </c>
      <c r="N1270" s="133">
        <v>0.969072164948454</v>
      </c>
      <c r="O1270" s="135">
        <v>0.9</v>
      </c>
      <c r="P1270" s="133">
        <v>0.918305597579425</v>
      </c>
      <c r="Q1270" s="133">
        <v>0.918032786885246</v>
      </c>
      <c r="R1270" s="133">
        <v>0.960163432073544</v>
      </c>
      <c r="S1270" s="133">
        <v>0.954225786551511</v>
      </c>
      <c r="T1270" s="135">
        <v>0.9</v>
      </c>
      <c r="U1270" s="133">
        <v>0.927382753403933</v>
      </c>
      <c r="V1270" s="133">
        <v>0.927140255009107</v>
      </c>
      <c r="W1270" s="133">
        <v>0.921348314606742</v>
      </c>
      <c r="X1270" s="133">
        <v>0.905922270203578</v>
      </c>
      <c r="Y1270" s="135">
        <v>0.92</v>
      </c>
      <c r="Z1270" s="135" t="s">
        <v>35</v>
      </c>
      <c r="AA1270" s="135">
        <v>1</v>
      </c>
      <c r="AB1270" s="135">
        <v>0</v>
      </c>
      <c r="AC1270" s="135">
        <v>0.5</v>
      </c>
      <c r="AD1270" s="135">
        <v>0.92</v>
      </c>
      <c r="AE1270" s="133">
        <v>0.99804228660924</v>
      </c>
      <c r="AF1270" s="133">
        <v>0.998315080033698</v>
      </c>
      <c r="AG1270" s="133">
        <v>0.999018645731109</v>
      </c>
      <c r="AH1270" s="133">
        <v>0.986749256914664</v>
      </c>
      <c r="AI1270" s="135">
        <v>0.92</v>
      </c>
      <c r="AJ1270" s="133">
        <v>0.962178517397882</v>
      </c>
      <c r="AK1270" s="133">
        <v>0.945454545454545</v>
      </c>
      <c r="AL1270" s="133">
        <v>0.970408163265306</v>
      </c>
      <c r="AM1270" s="133">
        <v>0.955408905883804</v>
      </c>
      <c r="AN1270" s="132">
        <v>0.99</v>
      </c>
      <c r="AO1270" s="137">
        <v>1</v>
      </c>
      <c r="AP1270" s="137">
        <v>1</v>
      </c>
      <c r="AQ1270" s="137">
        <v>1</v>
      </c>
      <c r="AR1270" s="137">
        <v>1</v>
      </c>
      <c r="AS1270" s="158">
        <v>0.0721861525408278</v>
      </c>
      <c r="AT1270" s="141">
        <v>0</v>
      </c>
      <c r="AU1270" s="141">
        <v>0</v>
      </c>
      <c r="AV1270" s="141">
        <v>0.2</v>
      </c>
      <c r="AW1270" s="141">
        <v>0.015625</v>
      </c>
      <c r="AX1270" s="95"/>
      <c r="AY1270" s="93"/>
    </row>
    <row r="1271" ht="15" spans="1:51">
      <c r="A1271" s="91"/>
      <c r="B1271" s="95"/>
      <c r="C1271" s="152" t="s">
        <v>1085</v>
      </c>
      <c r="D1271" s="153" t="s">
        <v>25</v>
      </c>
      <c r="E1271" s="130" t="s">
        <v>1086</v>
      </c>
      <c r="F1271" s="195" t="s">
        <v>1301</v>
      </c>
      <c r="G1271" s="195" t="s">
        <v>1301</v>
      </c>
      <c r="H1271" s="195" t="s">
        <v>1301</v>
      </c>
      <c r="I1271" s="195" t="s">
        <v>1301</v>
      </c>
      <c r="J1271" s="132">
        <v>0.9</v>
      </c>
      <c r="K1271" s="133">
        <v>0.862068965517241</v>
      </c>
      <c r="L1271" s="133">
        <v>0.821428571428571</v>
      </c>
      <c r="M1271" s="134">
        <v>0.872727272727273</v>
      </c>
      <c r="N1271" s="133">
        <v>0.872679045092838</v>
      </c>
      <c r="O1271" s="135">
        <v>0.9</v>
      </c>
      <c r="P1271" s="133">
        <v>0.993188010899183</v>
      </c>
      <c r="Q1271" s="133">
        <v>0.986601705237515</v>
      </c>
      <c r="R1271" s="133">
        <v>0.989078995267565</v>
      </c>
      <c r="S1271" s="133">
        <v>0.983142370519471</v>
      </c>
      <c r="T1271" s="135">
        <v>0.9</v>
      </c>
      <c r="U1271" s="133">
        <v>0.885558583106267</v>
      </c>
      <c r="V1271" s="133">
        <v>0.880024360535932</v>
      </c>
      <c r="W1271" s="133">
        <v>0.901346923917</v>
      </c>
      <c r="X1271" s="133">
        <v>0.924305179221181</v>
      </c>
      <c r="Y1271" s="135">
        <v>0.92</v>
      </c>
      <c r="Z1271" s="135">
        <v>0.942553191489362</v>
      </c>
      <c r="AA1271" s="135">
        <v>0.917818740399386</v>
      </c>
      <c r="AB1271" s="135">
        <v>0.924294562973159</v>
      </c>
      <c r="AC1271" s="135">
        <v>0.947551985626338</v>
      </c>
      <c r="AD1271" s="135">
        <v>0.92</v>
      </c>
      <c r="AE1271" s="133">
        <v>0.997310381925766</v>
      </c>
      <c r="AF1271" s="133">
        <v>0.997246696035242</v>
      </c>
      <c r="AG1271" s="133">
        <v>0.9979035639413</v>
      </c>
      <c r="AH1271" s="133">
        <v>0.998456154796212</v>
      </c>
      <c r="AI1271" s="135">
        <v>0.92</v>
      </c>
      <c r="AJ1271" s="133">
        <v>0.955169034786869</v>
      </c>
      <c r="AK1271" s="133">
        <v>0.931725543478261</v>
      </c>
      <c r="AL1271" s="133">
        <v>0.953095238095238</v>
      </c>
      <c r="AM1271" s="133">
        <v>0.966131230312102</v>
      </c>
      <c r="AN1271" s="132">
        <v>0.99</v>
      </c>
      <c r="AO1271" s="137">
        <v>1</v>
      </c>
      <c r="AP1271" s="137">
        <v>1</v>
      </c>
      <c r="AQ1271" s="137">
        <v>1</v>
      </c>
      <c r="AR1271" s="137">
        <v>1</v>
      </c>
      <c r="AS1271" s="158">
        <v>0.0721861525408278</v>
      </c>
      <c r="AT1271" s="141">
        <v>0</v>
      </c>
      <c r="AU1271" s="141">
        <v>0</v>
      </c>
      <c r="AV1271" s="141">
        <v>0.0714285714285714</v>
      </c>
      <c r="AW1271" s="141">
        <v>0.0298013245033113</v>
      </c>
      <c r="AX1271" s="95"/>
      <c r="AY1271" s="93"/>
    </row>
    <row r="1272" ht="15" spans="1:51">
      <c r="A1272" s="91"/>
      <c r="B1272" s="95"/>
      <c r="C1272" s="152" t="s">
        <v>1085</v>
      </c>
      <c r="D1272" s="153" t="s">
        <v>25</v>
      </c>
      <c r="E1272" s="130" t="s">
        <v>1086</v>
      </c>
      <c r="F1272" s="195" t="s">
        <v>1302</v>
      </c>
      <c r="G1272" s="195" t="s">
        <v>1302</v>
      </c>
      <c r="H1272" s="195" t="s">
        <v>1302</v>
      </c>
      <c r="I1272" s="195" t="s">
        <v>1302</v>
      </c>
      <c r="J1272" s="132">
        <v>0.9</v>
      </c>
      <c r="K1272" s="133">
        <v>0.944444444444444</v>
      </c>
      <c r="L1272" s="133">
        <v>0.904761904761905</v>
      </c>
      <c r="M1272" s="134">
        <v>0.923076923076923</v>
      </c>
      <c r="N1272" s="133">
        <v>0.940234791889007</v>
      </c>
      <c r="O1272" s="135">
        <v>0.9</v>
      </c>
      <c r="P1272" s="133">
        <v>0.988101140307387</v>
      </c>
      <c r="Q1272" s="133">
        <v>0.987903225806452</v>
      </c>
      <c r="R1272" s="133">
        <v>0.988381099922541</v>
      </c>
      <c r="S1272" s="133">
        <v>0.981855394182706</v>
      </c>
      <c r="T1272" s="135">
        <v>0.9</v>
      </c>
      <c r="U1272" s="133">
        <v>0.949925632126921</v>
      </c>
      <c r="V1272" s="133">
        <v>0.958333333333333</v>
      </c>
      <c r="W1272" s="133">
        <v>0.9570100697134</v>
      </c>
      <c r="X1272" s="133">
        <v>0.958377612469005</v>
      </c>
      <c r="Y1272" s="135">
        <v>0.92</v>
      </c>
      <c r="Z1272" s="135">
        <v>0.970571263704559</v>
      </c>
      <c r="AA1272" s="135">
        <v>0.975903614457831</v>
      </c>
      <c r="AB1272" s="135">
        <v>0.955944055944056</v>
      </c>
      <c r="AC1272" s="135">
        <v>0.972937438369672</v>
      </c>
      <c r="AD1272" s="135">
        <v>0.92</v>
      </c>
      <c r="AE1272" s="133">
        <v>0.999690785405071</v>
      </c>
      <c r="AF1272" s="133">
        <v>0.999659052165019</v>
      </c>
      <c r="AG1272" s="133">
        <v>0.999209486166008</v>
      </c>
      <c r="AH1272" s="133">
        <v>0.999594003747658</v>
      </c>
      <c r="AI1272" s="135">
        <v>0.92</v>
      </c>
      <c r="AJ1272" s="133">
        <v>0.974933333333333</v>
      </c>
      <c r="AK1272" s="133">
        <v>0.981132075471698</v>
      </c>
      <c r="AL1272" s="133">
        <v>0.972326103216156</v>
      </c>
      <c r="AM1272" s="133">
        <v>0.982307472087031</v>
      </c>
      <c r="AN1272" s="132">
        <v>0.99</v>
      </c>
      <c r="AO1272" s="137">
        <v>1</v>
      </c>
      <c r="AP1272" s="137">
        <v>1</v>
      </c>
      <c r="AQ1272" s="137">
        <v>1</v>
      </c>
      <c r="AR1272" s="137">
        <v>1</v>
      </c>
      <c r="AS1272" s="158">
        <v>0.0721861525408278</v>
      </c>
      <c r="AT1272" s="141">
        <v>0.0454545454545455</v>
      </c>
      <c r="AU1272" s="141">
        <v>0.05</v>
      </c>
      <c r="AV1272" s="141">
        <v>0.0526315789473684</v>
      </c>
      <c r="AW1272" s="141">
        <v>0.0414634146341463</v>
      </c>
      <c r="AX1272" s="95"/>
      <c r="AY1272" s="93"/>
    </row>
    <row r="1273" ht="15" spans="1:51">
      <c r="A1273" s="91"/>
      <c r="B1273" s="95"/>
      <c r="C1273" s="152" t="s">
        <v>1085</v>
      </c>
      <c r="D1273" s="153" t="s">
        <v>25</v>
      </c>
      <c r="E1273" s="130" t="s">
        <v>1086</v>
      </c>
      <c r="F1273" s="195" t="s">
        <v>1303</v>
      </c>
      <c r="G1273" s="195" t="s">
        <v>1303</v>
      </c>
      <c r="H1273" s="195" t="s">
        <v>1303</v>
      </c>
      <c r="I1273" s="195" t="s">
        <v>1303</v>
      </c>
      <c r="J1273" s="132">
        <v>0.9</v>
      </c>
      <c r="K1273" s="133">
        <v>0.962962962962963</v>
      </c>
      <c r="L1273" s="133">
        <v>1</v>
      </c>
      <c r="M1273" s="134">
        <v>0.962962962962963</v>
      </c>
      <c r="N1273" s="133">
        <v>0.884920634920635</v>
      </c>
      <c r="O1273" s="135">
        <v>0.9</v>
      </c>
      <c r="P1273" s="133">
        <v>0.987593052109181</v>
      </c>
      <c r="Q1273" s="133">
        <v>0.993594306049822</v>
      </c>
      <c r="R1273" s="133">
        <v>0.991281273692191</v>
      </c>
      <c r="S1273" s="133">
        <v>0.986160463811483</v>
      </c>
      <c r="T1273" s="135">
        <v>0.9</v>
      </c>
      <c r="U1273" s="133">
        <v>0.890818858560794</v>
      </c>
      <c r="V1273" s="133">
        <v>0.913167259786477</v>
      </c>
      <c r="W1273" s="133">
        <v>0.919636087945413</v>
      </c>
      <c r="X1273" s="133">
        <v>0.911048251355901</v>
      </c>
      <c r="Y1273" s="135">
        <v>0.92</v>
      </c>
      <c r="Z1273" s="135">
        <v>0</v>
      </c>
      <c r="AA1273" s="135">
        <v>0</v>
      </c>
      <c r="AB1273" s="135" t="s">
        <v>35</v>
      </c>
      <c r="AC1273" s="135">
        <v>0.5</v>
      </c>
      <c r="AD1273" s="135">
        <v>0.92</v>
      </c>
      <c r="AE1273" s="133">
        <v>1</v>
      </c>
      <c r="AF1273" s="133">
        <v>1</v>
      </c>
      <c r="AG1273" s="133">
        <v>1</v>
      </c>
      <c r="AH1273" s="133">
        <v>0.999581852393895</v>
      </c>
      <c r="AI1273" s="135">
        <v>0.92</v>
      </c>
      <c r="AJ1273" s="133">
        <v>0.959702417854929</v>
      </c>
      <c r="AK1273" s="133">
        <v>0.945945945945946</v>
      </c>
      <c r="AL1273" s="133">
        <v>0.976876421531463</v>
      </c>
      <c r="AM1273" s="133">
        <v>0.980317905563347</v>
      </c>
      <c r="AN1273" s="132">
        <v>0.99</v>
      </c>
      <c r="AO1273" s="137">
        <v>1</v>
      </c>
      <c r="AP1273" s="137">
        <v>1</v>
      </c>
      <c r="AQ1273" s="137">
        <v>1</v>
      </c>
      <c r="AR1273" s="137">
        <v>1</v>
      </c>
      <c r="AS1273" s="158">
        <v>0.0721861525408278</v>
      </c>
      <c r="AT1273" s="141">
        <v>0</v>
      </c>
      <c r="AU1273" s="141">
        <v>0</v>
      </c>
      <c r="AV1273" s="141">
        <v>0</v>
      </c>
      <c r="AW1273" s="141">
        <v>0.00694444444444444</v>
      </c>
      <c r="AX1273" s="95"/>
      <c r="AY1273" s="93"/>
    </row>
    <row r="1274" ht="15" spans="1:51">
      <c r="A1274" s="91"/>
      <c r="B1274" s="95"/>
      <c r="C1274" s="152" t="s">
        <v>1085</v>
      </c>
      <c r="D1274" s="153" t="s">
        <v>25</v>
      </c>
      <c r="E1274" s="130" t="s">
        <v>1086</v>
      </c>
      <c r="F1274" s="195" t="s">
        <v>1304</v>
      </c>
      <c r="G1274" s="195" t="s">
        <v>1304</v>
      </c>
      <c r="H1274" s="195" t="s">
        <v>1304</v>
      </c>
      <c r="I1274" s="195" t="s">
        <v>1304</v>
      </c>
      <c r="J1274" s="132">
        <v>0.9</v>
      </c>
      <c r="K1274" s="133">
        <v>1</v>
      </c>
      <c r="L1274" s="133">
        <v>1</v>
      </c>
      <c r="M1274" s="134">
        <v>1</v>
      </c>
      <c r="N1274" s="133">
        <v>0.996305418719212</v>
      </c>
      <c r="O1274" s="135">
        <v>0.9</v>
      </c>
      <c r="P1274" s="133">
        <v>0.989526764934057</v>
      </c>
      <c r="Q1274" s="133">
        <v>0.987412587412587</v>
      </c>
      <c r="R1274" s="133">
        <v>0.991989319092123</v>
      </c>
      <c r="S1274" s="133">
        <v>0.990830644787824</v>
      </c>
      <c r="T1274" s="135">
        <v>0.9</v>
      </c>
      <c r="U1274" s="133">
        <v>0.956943366951125</v>
      </c>
      <c r="V1274" s="133">
        <v>0.961771561771562</v>
      </c>
      <c r="W1274" s="133">
        <v>0.967957276368491</v>
      </c>
      <c r="X1274" s="133">
        <v>0.975131597227582</v>
      </c>
      <c r="Y1274" s="135">
        <v>0.92</v>
      </c>
      <c r="Z1274" s="135" t="s">
        <v>35</v>
      </c>
      <c r="AA1274" s="135" t="s">
        <v>35</v>
      </c>
      <c r="AB1274" s="135" t="s">
        <v>35</v>
      </c>
      <c r="AC1274" s="135" t="s">
        <v>35</v>
      </c>
      <c r="AD1274" s="135">
        <v>0.92</v>
      </c>
      <c r="AE1274" s="133">
        <v>0.999105545617174</v>
      </c>
      <c r="AF1274" s="133">
        <v>0.991038088125467</v>
      </c>
      <c r="AG1274" s="133">
        <v>0.998796630565584</v>
      </c>
      <c r="AH1274" s="133">
        <v>0.998097977361291</v>
      </c>
      <c r="AI1274" s="135">
        <v>0.92</v>
      </c>
      <c r="AJ1274" s="133">
        <v>0.969743987587277</v>
      </c>
      <c r="AK1274" s="133">
        <v>0.972494172494172</v>
      </c>
      <c r="AL1274" s="133">
        <v>0.980240320427236</v>
      </c>
      <c r="AM1274" s="133">
        <v>0.986909742053997</v>
      </c>
      <c r="AN1274" s="132">
        <v>0.99</v>
      </c>
      <c r="AO1274" s="137">
        <v>1</v>
      </c>
      <c r="AP1274" s="137">
        <v>1</v>
      </c>
      <c r="AQ1274" s="137">
        <v>1</v>
      </c>
      <c r="AR1274" s="137">
        <v>1</v>
      </c>
      <c r="AS1274" s="158">
        <v>0.0721861525408278</v>
      </c>
      <c r="AT1274" s="141">
        <v>0</v>
      </c>
      <c r="AU1274" s="141">
        <v>0.0769230769230769</v>
      </c>
      <c r="AV1274" s="141">
        <v>0</v>
      </c>
      <c r="AW1274" s="141">
        <v>0.0365296803652968</v>
      </c>
      <c r="AX1274" s="95"/>
      <c r="AY1274" s="93"/>
    </row>
    <row r="1275" ht="15" spans="1:51">
      <c r="A1275" s="91"/>
      <c r="B1275" s="95"/>
      <c r="C1275" s="152" t="s">
        <v>1085</v>
      </c>
      <c r="D1275" s="153" t="s">
        <v>25</v>
      </c>
      <c r="E1275" s="130" t="s">
        <v>1086</v>
      </c>
      <c r="F1275" s="195" t="s">
        <v>1305</v>
      </c>
      <c r="G1275" s="195" t="s">
        <v>1305</v>
      </c>
      <c r="H1275" s="195" t="s">
        <v>1305</v>
      </c>
      <c r="I1275" s="195" t="s">
        <v>1305</v>
      </c>
      <c r="J1275" s="132">
        <v>0.9</v>
      </c>
      <c r="K1275" s="133">
        <v>0.791666666666667</v>
      </c>
      <c r="L1275" s="133">
        <v>0.818181818181818</v>
      </c>
      <c r="M1275" s="134">
        <v>0.826086956521739</v>
      </c>
      <c r="N1275" s="133">
        <v>0.848623853211009</v>
      </c>
      <c r="O1275" s="135">
        <v>0.9</v>
      </c>
      <c r="P1275" s="133">
        <v>0.981333333333333</v>
      </c>
      <c r="Q1275" s="133">
        <v>0.977976600137646</v>
      </c>
      <c r="R1275" s="133">
        <v>0.985772357723577</v>
      </c>
      <c r="S1275" s="133">
        <v>0.934151949513233</v>
      </c>
      <c r="T1275" s="135">
        <v>0.9</v>
      </c>
      <c r="U1275" s="133">
        <v>0.936</v>
      </c>
      <c r="V1275" s="133">
        <v>0.896077081899518</v>
      </c>
      <c r="W1275" s="133">
        <v>0.771544715447154</v>
      </c>
      <c r="X1275" s="133">
        <v>0.827772613864292</v>
      </c>
      <c r="Y1275" s="135">
        <v>0.92</v>
      </c>
      <c r="Z1275" s="135" t="s">
        <v>35</v>
      </c>
      <c r="AA1275" s="135" t="s">
        <v>35</v>
      </c>
      <c r="AB1275" s="135" t="s">
        <v>35</v>
      </c>
      <c r="AC1275" s="135">
        <v>0</v>
      </c>
      <c r="AD1275" s="135">
        <v>0.92</v>
      </c>
      <c r="AE1275" s="133">
        <v>0.998448008277289</v>
      </c>
      <c r="AF1275" s="133">
        <v>0.998766193707588</v>
      </c>
      <c r="AG1275" s="133">
        <v>1</v>
      </c>
      <c r="AH1275" s="133">
        <v>0.99248398225727</v>
      </c>
      <c r="AI1275" s="135">
        <v>0.92</v>
      </c>
      <c r="AJ1275" s="133">
        <v>0.943333333333333</v>
      </c>
      <c r="AK1275" s="133">
        <v>0.94769442532691</v>
      </c>
      <c r="AL1275" s="133">
        <v>0.93780487804878</v>
      </c>
      <c r="AM1275" s="133">
        <v>0.953113535195421</v>
      </c>
      <c r="AN1275" s="132">
        <v>0.99</v>
      </c>
      <c r="AO1275" s="137">
        <v>1</v>
      </c>
      <c r="AP1275" s="137">
        <v>1</v>
      </c>
      <c r="AQ1275" s="137">
        <v>1</v>
      </c>
      <c r="AR1275" s="137">
        <v>1</v>
      </c>
      <c r="AS1275" s="158">
        <v>0.0721861525408278</v>
      </c>
      <c r="AT1275" s="141">
        <v>0</v>
      </c>
      <c r="AU1275" s="141">
        <v>0</v>
      </c>
      <c r="AV1275" s="141">
        <v>0</v>
      </c>
      <c r="AW1275" s="141">
        <v>0.0242914979757085</v>
      </c>
      <c r="AX1275" s="95"/>
      <c r="AY1275" s="93"/>
    </row>
    <row r="1276" ht="15" spans="1:51">
      <c r="A1276" s="91"/>
      <c r="B1276" s="95"/>
      <c r="C1276" s="152" t="s">
        <v>1085</v>
      </c>
      <c r="D1276" s="153" t="s">
        <v>25</v>
      </c>
      <c r="E1276" s="130" t="s">
        <v>1086</v>
      </c>
      <c r="F1276" s="195" t="s">
        <v>1306</v>
      </c>
      <c r="G1276" s="195" t="s">
        <v>1306</v>
      </c>
      <c r="H1276" s="195" t="s">
        <v>1306</v>
      </c>
      <c r="I1276" s="195" t="s">
        <v>1306</v>
      </c>
      <c r="J1276" s="132">
        <v>0.9</v>
      </c>
      <c r="K1276" s="133">
        <v>0.96551724137931</v>
      </c>
      <c r="L1276" s="133">
        <v>0.896551724137931</v>
      </c>
      <c r="M1276" s="134">
        <v>0.9375</v>
      </c>
      <c r="N1276" s="133">
        <v>0.934280639431616</v>
      </c>
      <c r="O1276" s="135">
        <v>0.9</v>
      </c>
      <c r="P1276" s="133">
        <v>0.989845002672368</v>
      </c>
      <c r="Q1276" s="133">
        <v>0.967391304347826</v>
      </c>
      <c r="R1276" s="133">
        <v>0.988593155893536</v>
      </c>
      <c r="S1276" s="133">
        <v>0.968831228054175</v>
      </c>
      <c r="T1276" s="135">
        <v>0.9</v>
      </c>
      <c r="U1276" s="133">
        <v>0.809727418492785</v>
      </c>
      <c r="V1276" s="133">
        <v>0.785166240409207</v>
      </c>
      <c r="W1276" s="133">
        <v>0.757034220532319</v>
      </c>
      <c r="X1276" s="133">
        <v>0.762734278808883</v>
      </c>
      <c r="Y1276" s="135">
        <v>0.92</v>
      </c>
      <c r="Z1276" s="135" t="s">
        <v>35</v>
      </c>
      <c r="AA1276" s="135" t="s">
        <v>35</v>
      </c>
      <c r="AB1276" s="135" t="s">
        <v>35</v>
      </c>
      <c r="AC1276" s="135">
        <v>1</v>
      </c>
      <c r="AD1276" s="135">
        <v>0.92</v>
      </c>
      <c r="AE1276" s="133">
        <v>0.997872340425532</v>
      </c>
      <c r="AF1276" s="133">
        <v>0.99870214146658</v>
      </c>
      <c r="AG1276" s="133">
        <v>1</v>
      </c>
      <c r="AH1276" s="133">
        <v>0.99807342784442</v>
      </c>
      <c r="AI1276" s="135">
        <v>0.92</v>
      </c>
      <c r="AJ1276" s="133">
        <v>0.874933190807055</v>
      </c>
      <c r="AK1276" s="133">
        <v>0.881713554987212</v>
      </c>
      <c r="AL1276" s="133">
        <v>0.9106463878327</v>
      </c>
      <c r="AM1276" s="133">
        <v>0.924758886431519</v>
      </c>
      <c r="AN1276" s="132">
        <v>0.99</v>
      </c>
      <c r="AO1276" s="137">
        <v>1</v>
      </c>
      <c r="AP1276" s="137">
        <v>1</v>
      </c>
      <c r="AQ1276" s="137">
        <v>1</v>
      </c>
      <c r="AR1276" s="137">
        <v>1</v>
      </c>
      <c r="AS1276" s="158">
        <v>0.0721861525408278</v>
      </c>
      <c r="AT1276" s="141">
        <v>0</v>
      </c>
      <c r="AU1276" s="141">
        <v>0</v>
      </c>
      <c r="AV1276" s="141">
        <v>0</v>
      </c>
      <c r="AW1276" s="141">
        <v>0.0573248407643312</v>
      </c>
      <c r="AX1276" s="95"/>
      <c r="AY1276" s="93"/>
    </row>
    <row r="1277" ht="15" spans="1:51">
      <c r="A1277" s="91"/>
      <c r="B1277" s="95"/>
      <c r="C1277" s="152" t="s">
        <v>1085</v>
      </c>
      <c r="D1277" s="153" t="s">
        <v>25</v>
      </c>
      <c r="E1277" s="130" t="s">
        <v>1086</v>
      </c>
      <c r="F1277" s="195" t="s">
        <v>1307</v>
      </c>
      <c r="G1277" s="195" t="s">
        <v>1307</v>
      </c>
      <c r="H1277" s="195" t="s">
        <v>1307</v>
      </c>
      <c r="I1277" s="195" t="s">
        <v>1307</v>
      </c>
      <c r="J1277" s="132">
        <v>0.9</v>
      </c>
      <c r="K1277" s="133">
        <v>1</v>
      </c>
      <c r="L1277" s="133">
        <v>1</v>
      </c>
      <c r="M1277" s="134">
        <v>1</v>
      </c>
      <c r="N1277" s="133">
        <v>0.975845410628019</v>
      </c>
      <c r="O1277" s="135">
        <v>0.9</v>
      </c>
      <c r="P1277" s="133">
        <v>0.988540870893812</v>
      </c>
      <c r="Q1277" s="133">
        <v>0.986425339366516</v>
      </c>
      <c r="R1277" s="133">
        <v>0.938323668950975</v>
      </c>
      <c r="S1277" s="133">
        <v>0.970094637223975</v>
      </c>
      <c r="T1277" s="135">
        <v>0.9</v>
      </c>
      <c r="U1277" s="133">
        <v>0.967150496562261</v>
      </c>
      <c r="V1277" s="133">
        <v>0.909502262443439</v>
      </c>
      <c r="W1277" s="133">
        <v>0.949393779652082</v>
      </c>
      <c r="X1277" s="133">
        <v>0.91807570977918</v>
      </c>
      <c r="Y1277" s="135">
        <v>0.92</v>
      </c>
      <c r="Z1277" s="135" t="s">
        <v>35</v>
      </c>
      <c r="AA1277" s="135" t="s">
        <v>35</v>
      </c>
      <c r="AB1277" s="135" t="s">
        <v>35</v>
      </c>
      <c r="AC1277" s="135" t="s">
        <v>35</v>
      </c>
      <c r="AD1277" s="135">
        <v>0.92</v>
      </c>
      <c r="AE1277" s="133">
        <v>0.996632996632997</v>
      </c>
      <c r="AF1277" s="133">
        <v>1</v>
      </c>
      <c r="AG1277" s="133">
        <v>0.989010989010989</v>
      </c>
      <c r="AH1277" s="133">
        <v>0.998399634202103</v>
      </c>
      <c r="AI1277" s="135">
        <v>0.92</v>
      </c>
      <c r="AJ1277" s="133">
        <v>0.974789915966387</v>
      </c>
      <c r="AK1277" s="133">
        <v>0.961990950226244</v>
      </c>
      <c r="AL1277" s="133">
        <v>0.983131259884027</v>
      </c>
      <c r="AM1277" s="133">
        <v>0.973501577287066</v>
      </c>
      <c r="AN1277" s="132">
        <v>0.99</v>
      </c>
      <c r="AO1277" s="137">
        <v>1</v>
      </c>
      <c r="AP1277" s="137">
        <v>1</v>
      </c>
      <c r="AQ1277" s="137">
        <v>1</v>
      </c>
      <c r="AR1277" s="137">
        <v>1</v>
      </c>
      <c r="AS1277" s="158">
        <v>0.0721861525408278</v>
      </c>
      <c r="AT1277" s="141">
        <v>0</v>
      </c>
      <c r="AU1277" s="141" t="s">
        <v>35</v>
      </c>
      <c r="AV1277" s="141">
        <v>0.125</v>
      </c>
      <c r="AW1277" s="141">
        <v>0.0384615384615385</v>
      </c>
      <c r="AX1277" s="95"/>
      <c r="AY1277" s="93"/>
    </row>
    <row r="1278" ht="15" spans="1:51">
      <c r="A1278" s="91"/>
      <c r="B1278" s="95"/>
      <c r="C1278" s="152" t="s">
        <v>1085</v>
      </c>
      <c r="D1278" s="153" t="s">
        <v>25</v>
      </c>
      <c r="E1278" s="130" t="s">
        <v>1086</v>
      </c>
      <c r="F1278" s="195" t="s">
        <v>1308</v>
      </c>
      <c r="G1278" s="195" t="s">
        <v>1308</v>
      </c>
      <c r="H1278" s="195" t="s">
        <v>1308</v>
      </c>
      <c r="I1278" s="195" t="s">
        <v>1308</v>
      </c>
      <c r="J1278" s="132">
        <v>0.9</v>
      </c>
      <c r="K1278" s="133">
        <v>0.846153846153846</v>
      </c>
      <c r="L1278" s="133">
        <v>0.826086956521739</v>
      </c>
      <c r="M1278" s="134">
        <v>0.84</v>
      </c>
      <c r="N1278" s="133">
        <v>0.877551020408163</v>
      </c>
      <c r="O1278" s="135">
        <v>0.9</v>
      </c>
      <c r="P1278" s="133">
        <v>0.946296296296296</v>
      </c>
      <c r="Q1278" s="133">
        <v>0.888354186717998</v>
      </c>
      <c r="R1278" s="133">
        <v>0.879840546697039</v>
      </c>
      <c r="S1278" s="133">
        <v>0.831398063692681</v>
      </c>
      <c r="T1278" s="135">
        <v>0.9</v>
      </c>
      <c r="U1278" s="133">
        <v>0.875925925925926</v>
      </c>
      <c r="V1278" s="133">
        <v>0.841193455245428</v>
      </c>
      <c r="W1278" s="133">
        <v>0.803530751708428</v>
      </c>
      <c r="X1278" s="133">
        <v>0.825545559256607</v>
      </c>
      <c r="Y1278" s="135">
        <v>0.92</v>
      </c>
      <c r="Z1278" s="135" t="s">
        <v>35</v>
      </c>
      <c r="AA1278" s="135" t="s">
        <v>35</v>
      </c>
      <c r="AB1278" s="135" t="s">
        <v>35</v>
      </c>
      <c r="AC1278" s="135" t="s">
        <v>35</v>
      </c>
      <c r="AD1278" s="135">
        <v>0.92</v>
      </c>
      <c r="AE1278" s="133">
        <v>1</v>
      </c>
      <c r="AF1278" s="133">
        <v>1</v>
      </c>
      <c r="AG1278" s="133">
        <v>1</v>
      </c>
      <c r="AH1278" s="133">
        <v>0.943672721721875</v>
      </c>
      <c r="AI1278" s="135">
        <v>0.92</v>
      </c>
      <c r="AJ1278" s="133">
        <v>0.939814814814815</v>
      </c>
      <c r="AK1278" s="133">
        <v>0.947064485081809</v>
      </c>
      <c r="AL1278" s="133">
        <v>0.965261958997722</v>
      </c>
      <c r="AM1278" s="133">
        <v>0.957942906951405</v>
      </c>
      <c r="AN1278" s="132">
        <v>0.99</v>
      </c>
      <c r="AO1278" s="137">
        <v>1</v>
      </c>
      <c r="AP1278" s="137">
        <v>1</v>
      </c>
      <c r="AQ1278" s="137">
        <v>1</v>
      </c>
      <c r="AR1278" s="137">
        <v>1</v>
      </c>
      <c r="AS1278" s="158">
        <v>0.0721861525408278</v>
      </c>
      <c r="AT1278" s="141">
        <v>0</v>
      </c>
      <c r="AU1278" s="141">
        <v>0</v>
      </c>
      <c r="AV1278" s="141">
        <v>0.0833333333333333</v>
      </c>
      <c r="AW1278" s="141">
        <v>0.0529801324503311</v>
      </c>
      <c r="AX1278" s="95"/>
      <c r="AY1278" s="93"/>
    </row>
    <row r="1279" ht="15" spans="1:51">
      <c r="A1279" s="91"/>
      <c r="B1279" s="95"/>
      <c r="C1279" s="152" t="s">
        <v>1085</v>
      </c>
      <c r="D1279" s="153" t="s">
        <v>25</v>
      </c>
      <c r="E1279" s="130" t="s">
        <v>1086</v>
      </c>
      <c r="F1279" s="195" t="s">
        <v>1309</v>
      </c>
      <c r="G1279" s="195" t="s">
        <v>1309</v>
      </c>
      <c r="H1279" s="195" t="s">
        <v>1309</v>
      </c>
      <c r="I1279" s="195" t="s">
        <v>1309</v>
      </c>
      <c r="J1279" s="132">
        <v>0.9</v>
      </c>
      <c r="K1279" s="133">
        <v>1</v>
      </c>
      <c r="L1279" s="133">
        <v>1</v>
      </c>
      <c r="M1279" s="134">
        <v>1</v>
      </c>
      <c r="N1279" s="133">
        <v>0.983298538622129</v>
      </c>
      <c r="O1279" s="135">
        <v>0.9</v>
      </c>
      <c r="P1279" s="133">
        <v>0.992138364779874</v>
      </c>
      <c r="Q1279" s="133">
        <v>0.988983050847458</v>
      </c>
      <c r="R1279" s="133">
        <v>0.982097186700767</v>
      </c>
      <c r="S1279" s="133">
        <v>0.981639660603309</v>
      </c>
      <c r="T1279" s="135">
        <v>0.9</v>
      </c>
      <c r="U1279" s="133">
        <v>0.958333333333333</v>
      </c>
      <c r="V1279" s="133">
        <v>0.942372881355932</v>
      </c>
      <c r="W1279" s="133">
        <v>0.951918158567775</v>
      </c>
      <c r="X1279" s="133">
        <v>0.955588978120832</v>
      </c>
      <c r="Y1279" s="135">
        <v>0.92</v>
      </c>
      <c r="Z1279" s="135" t="s">
        <v>35</v>
      </c>
      <c r="AA1279" s="135" t="s">
        <v>35</v>
      </c>
      <c r="AB1279" s="135" t="s">
        <v>35</v>
      </c>
      <c r="AC1279" s="135" t="s">
        <v>35</v>
      </c>
      <c r="AD1279" s="135">
        <v>0.92</v>
      </c>
      <c r="AE1279" s="133">
        <v>1</v>
      </c>
      <c r="AF1279" s="133">
        <v>1</v>
      </c>
      <c r="AG1279" s="133">
        <v>1</v>
      </c>
      <c r="AH1279" s="133">
        <v>0.998804304503786</v>
      </c>
      <c r="AI1279" s="135">
        <v>0.92</v>
      </c>
      <c r="AJ1279" s="133">
        <v>0.971698113207547</v>
      </c>
      <c r="AK1279" s="133">
        <v>0.964406779661017</v>
      </c>
      <c r="AL1279" s="133">
        <v>0.975959079283887</v>
      </c>
      <c r="AM1279" s="133">
        <v>0.980277533414683</v>
      </c>
      <c r="AN1279" s="132">
        <v>0.99</v>
      </c>
      <c r="AO1279" s="137">
        <v>1</v>
      </c>
      <c r="AP1279" s="137">
        <v>1</v>
      </c>
      <c r="AQ1279" s="137">
        <v>1</v>
      </c>
      <c r="AR1279" s="137">
        <v>1</v>
      </c>
      <c r="AS1279" s="158">
        <v>0.0721861525408278</v>
      </c>
      <c r="AT1279" s="141">
        <v>0</v>
      </c>
      <c r="AU1279" s="141">
        <v>0</v>
      </c>
      <c r="AV1279" s="141">
        <v>0.142857142857143</v>
      </c>
      <c r="AW1279" s="141">
        <v>0.0261437908496732</v>
      </c>
      <c r="AX1279" s="95"/>
      <c r="AY1279" s="93"/>
    </row>
    <row r="1280" ht="15" spans="1:51">
      <c r="A1280" s="91"/>
      <c r="B1280" s="95"/>
      <c r="C1280" s="152" t="s">
        <v>1085</v>
      </c>
      <c r="D1280" s="153" t="s">
        <v>25</v>
      </c>
      <c r="E1280" s="130" t="s">
        <v>1086</v>
      </c>
      <c r="F1280" s="195" t="s">
        <v>1310</v>
      </c>
      <c r="G1280" s="195" t="s">
        <v>1310</v>
      </c>
      <c r="H1280" s="195" t="s">
        <v>1310</v>
      </c>
      <c r="I1280" s="195" t="s">
        <v>1310</v>
      </c>
      <c r="J1280" s="132">
        <v>0.9</v>
      </c>
      <c r="K1280" s="133">
        <v>0.962264150943396</v>
      </c>
      <c r="L1280" s="133">
        <v>0.980392156862745</v>
      </c>
      <c r="M1280" s="134">
        <v>0.980769230769231</v>
      </c>
      <c r="N1280" s="133">
        <v>0.937055837563452</v>
      </c>
      <c r="O1280" s="135">
        <v>0.9</v>
      </c>
      <c r="P1280" s="133">
        <v>0.990109318063509</v>
      </c>
      <c r="Q1280" s="133">
        <v>0.987577639751553</v>
      </c>
      <c r="R1280" s="133">
        <v>0.98129442573887</v>
      </c>
      <c r="S1280" s="133">
        <v>0.981186962928939</v>
      </c>
      <c r="T1280" s="135">
        <v>0.9</v>
      </c>
      <c r="U1280" s="133">
        <v>0.921915668922436</v>
      </c>
      <c r="V1280" s="133">
        <v>0.904347826086957</v>
      </c>
      <c r="W1280" s="133">
        <v>0.931537598204265</v>
      </c>
      <c r="X1280" s="133">
        <v>0.922661767238904</v>
      </c>
      <c r="Y1280" s="135">
        <v>0.92</v>
      </c>
      <c r="Z1280" s="135">
        <v>0.934477379095164</v>
      </c>
      <c r="AA1280" s="135">
        <v>0.926421404682274</v>
      </c>
      <c r="AB1280" s="135">
        <v>0.936440677966102</v>
      </c>
      <c r="AC1280" s="135">
        <v>0.939426427231305</v>
      </c>
      <c r="AD1280" s="135">
        <v>0.92</v>
      </c>
      <c r="AE1280" s="133">
        <v>0.99748427672956</v>
      </c>
      <c r="AF1280" s="133">
        <v>0.989502762430939</v>
      </c>
      <c r="AG1280" s="133">
        <v>1</v>
      </c>
      <c r="AH1280" s="133">
        <v>0.997876652832738</v>
      </c>
      <c r="AI1280" s="135">
        <v>0.92</v>
      </c>
      <c r="AJ1280" s="133">
        <v>0.951625487646294</v>
      </c>
      <c r="AK1280" s="133">
        <v>0.949394155381326</v>
      </c>
      <c r="AL1280" s="133">
        <v>0.962827097089753</v>
      </c>
      <c r="AM1280" s="133">
        <v>0.962263729638603</v>
      </c>
      <c r="AN1280" s="132">
        <v>0.99</v>
      </c>
      <c r="AO1280" s="137">
        <v>1</v>
      </c>
      <c r="AP1280" s="137">
        <v>1</v>
      </c>
      <c r="AQ1280" s="137">
        <v>1</v>
      </c>
      <c r="AR1280" s="137">
        <v>1</v>
      </c>
      <c r="AS1280" s="158">
        <v>0.0721861525408278</v>
      </c>
      <c r="AT1280" s="141">
        <v>0.0769230769230769</v>
      </c>
      <c r="AU1280" s="141">
        <v>0</v>
      </c>
      <c r="AV1280" s="141">
        <v>0</v>
      </c>
      <c r="AW1280" s="141">
        <v>0.0394088669950739</v>
      </c>
      <c r="AX1280" s="95"/>
      <c r="AY1280" s="93"/>
    </row>
    <row r="1281" ht="15" spans="1:51">
      <c r="A1281" s="91"/>
      <c r="B1281" s="95"/>
      <c r="C1281" s="152" t="s">
        <v>1085</v>
      </c>
      <c r="D1281" s="153" t="s">
        <v>25</v>
      </c>
      <c r="E1281" s="130" t="s">
        <v>1086</v>
      </c>
      <c r="F1281" s="195" t="s">
        <v>1311</v>
      </c>
      <c r="G1281" s="195" t="s">
        <v>1311</v>
      </c>
      <c r="H1281" s="195" t="s">
        <v>1311</v>
      </c>
      <c r="I1281" s="195" t="s">
        <v>1311</v>
      </c>
      <c r="J1281" s="132">
        <v>0.9</v>
      </c>
      <c r="K1281" s="133">
        <v>0.904761904761905</v>
      </c>
      <c r="L1281" s="133">
        <v>0.930555555555556</v>
      </c>
      <c r="M1281" s="134">
        <v>0.907894736842105</v>
      </c>
      <c r="N1281" s="133">
        <v>0.946872898453262</v>
      </c>
      <c r="O1281" s="135">
        <v>0.9</v>
      </c>
      <c r="P1281" s="133">
        <v>0.988394584139265</v>
      </c>
      <c r="Q1281" s="133">
        <v>0.988967691095351</v>
      </c>
      <c r="R1281" s="133">
        <v>0.985294117647059</v>
      </c>
      <c r="S1281" s="133">
        <v>0.984212576380943</v>
      </c>
      <c r="T1281" s="135">
        <v>0.9</v>
      </c>
      <c r="U1281" s="133">
        <v>0.931012250161186</v>
      </c>
      <c r="V1281" s="133">
        <v>0.929866036249015</v>
      </c>
      <c r="W1281" s="133">
        <v>0.956372549019608</v>
      </c>
      <c r="X1281" s="133">
        <v>0.947038488691969</v>
      </c>
      <c r="Y1281" s="135">
        <v>0.92</v>
      </c>
      <c r="Z1281" s="135">
        <v>0.954621287954621</v>
      </c>
      <c r="AA1281" s="135">
        <v>0.9390063944909</v>
      </c>
      <c r="AB1281" s="135">
        <v>0.949265687583445</v>
      </c>
      <c r="AC1281" s="135">
        <v>0.961192214111922</v>
      </c>
      <c r="AD1281" s="135">
        <v>0.92</v>
      </c>
      <c r="AE1281" s="133">
        <v>0.990373935579415</v>
      </c>
      <c r="AF1281" s="133">
        <v>0.996942830938551</v>
      </c>
      <c r="AG1281" s="133">
        <v>0.998491249245625</v>
      </c>
      <c r="AH1281" s="133">
        <v>0.989121323323957</v>
      </c>
      <c r="AI1281" s="135">
        <v>0.92</v>
      </c>
      <c r="AJ1281" s="133">
        <v>0.965732087227414</v>
      </c>
      <c r="AK1281" s="133">
        <v>0.956683439072413</v>
      </c>
      <c r="AL1281" s="133">
        <v>0.969811917180338</v>
      </c>
      <c r="AM1281" s="133">
        <v>0.974788652746262</v>
      </c>
      <c r="AN1281" s="132">
        <v>0.99</v>
      </c>
      <c r="AO1281" s="137">
        <v>1</v>
      </c>
      <c r="AP1281" s="137">
        <v>1</v>
      </c>
      <c r="AQ1281" s="137">
        <v>1</v>
      </c>
      <c r="AR1281" s="137">
        <v>1</v>
      </c>
      <c r="AS1281" s="158">
        <v>0.0721861525408278</v>
      </c>
      <c r="AT1281" s="141">
        <v>0</v>
      </c>
      <c r="AU1281" s="141">
        <v>0.0740740740740741</v>
      </c>
      <c r="AV1281" s="141">
        <v>0.0588235294117647</v>
      </c>
      <c r="AW1281" s="141">
        <v>0.0411449016100179</v>
      </c>
      <c r="AX1281" s="95"/>
      <c r="AY1281" s="93"/>
    </row>
    <row r="1282" ht="15" spans="1:51">
      <c r="A1282" s="91"/>
      <c r="B1282" s="95"/>
      <c r="C1282" s="152" t="s">
        <v>1085</v>
      </c>
      <c r="D1282" s="153" t="s">
        <v>25</v>
      </c>
      <c r="E1282" s="130" t="s">
        <v>1086</v>
      </c>
      <c r="F1282" s="195" t="s">
        <v>1312</v>
      </c>
      <c r="G1282" s="195" t="s">
        <v>1312</v>
      </c>
      <c r="H1282" s="195" t="s">
        <v>1312</v>
      </c>
      <c r="I1282" s="195" t="s">
        <v>1312</v>
      </c>
      <c r="J1282" s="132">
        <v>0.9</v>
      </c>
      <c r="K1282" s="133">
        <v>1</v>
      </c>
      <c r="L1282" s="133">
        <v>0.892857142857143</v>
      </c>
      <c r="M1282" s="134">
        <v>0.896551724137931</v>
      </c>
      <c r="N1282" s="133">
        <v>0.913443830570902</v>
      </c>
      <c r="O1282" s="135">
        <v>0.9</v>
      </c>
      <c r="P1282" s="133">
        <v>0.995642701525055</v>
      </c>
      <c r="Q1282" s="133">
        <v>0.950901180857676</v>
      </c>
      <c r="R1282" s="133">
        <v>0.975728155339806</v>
      </c>
      <c r="S1282" s="133">
        <v>0.96557780119424</v>
      </c>
      <c r="T1282" s="135">
        <v>0.9</v>
      </c>
      <c r="U1282" s="133">
        <v>0.726579520697168</v>
      </c>
      <c r="V1282" s="133">
        <v>0.758856432566812</v>
      </c>
      <c r="W1282" s="133">
        <v>0.725914861837192</v>
      </c>
      <c r="X1282" s="133">
        <v>0.712375600046833</v>
      </c>
      <c r="Y1282" s="135">
        <v>0.92</v>
      </c>
      <c r="Z1282" s="135" t="s">
        <v>35</v>
      </c>
      <c r="AA1282" s="135" t="s">
        <v>35</v>
      </c>
      <c r="AB1282" s="135" t="s">
        <v>35</v>
      </c>
      <c r="AC1282" s="135" t="s">
        <v>35</v>
      </c>
      <c r="AD1282" s="135">
        <v>0.92</v>
      </c>
      <c r="AE1282" s="133">
        <v>1</v>
      </c>
      <c r="AF1282" s="133">
        <v>1</v>
      </c>
      <c r="AG1282" s="133">
        <v>1</v>
      </c>
      <c r="AH1282" s="133">
        <v>0.998940864960282</v>
      </c>
      <c r="AI1282" s="135">
        <v>0.92</v>
      </c>
      <c r="AJ1282" s="133">
        <v>0.945533769063181</v>
      </c>
      <c r="AK1282" s="133">
        <v>0.898073337476694</v>
      </c>
      <c r="AL1282" s="133">
        <v>0.948842419716206</v>
      </c>
      <c r="AM1282" s="133">
        <v>0.924860093193153</v>
      </c>
      <c r="AN1282" s="132">
        <v>0.99</v>
      </c>
      <c r="AO1282" s="137">
        <v>1</v>
      </c>
      <c r="AP1282" s="137">
        <v>1</v>
      </c>
      <c r="AQ1282" s="137">
        <v>1</v>
      </c>
      <c r="AR1282" s="137">
        <v>1</v>
      </c>
      <c r="AS1282" s="158">
        <v>0.0721861525408278</v>
      </c>
      <c r="AT1282" s="141">
        <v>0</v>
      </c>
      <c r="AU1282" s="141">
        <v>0.2</v>
      </c>
      <c r="AV1282" s="141">
        <v>0</v>
      </c>
      <c r="AW1282" s="141">
        <v>0.0597014925373134</v>
      </c>
      <c r="AX1282" s="95"/>
      <c r="AY1282" s="93"/>
    </row>
    <row r="1283" ht="15" spans="1:51">
      <c r="A1283" s="91"/>
      <c r="B1283" s="95"/>
      <c r="C1283" s="152" t="s">
        <v>1085</v>
      </c>
      <c r="D1283" s="153" t="s">
        <v>25</v>
      </c>
      <c r="E1283" s="130" t="s">
        <v>1086</v>
      </c>
      <c r="F1283" s="195" t="s">
        <v>1313</v>
      </c>
      <c r="G1283" s="195" t="s">
        <v>1313</v>
      </c>
      <c r="H1283" s="195" t="s">
        <v>1313</v>
      </c>
      <c r="I1283" s="195" t="s">
        <v>1313</v>
      </c>
      <c r="J1283" s="132">
        <v>0.9</v>
      </c>
      <c r="K1283" s="133">
        <v>0.945454545454545</v>
      </c>
      <c r="L1283" s="133">
        <v>0.84</v>
      </c>
      <c r="M1283" s="134">
        <v>0.882352941176471</v>
      </c>
      <c r="N1283" s="133">
        <v>0.883697813121272</v>
      </c>
      <c r="O1283" s="135">
        <v>0.9</v>
      </c>
      <c r="P1283" s="133">
        <v>0.960016319869441</v>
      </c>
      <c r="Q1283" s="133">
        <v>0.93971803597472</v>
      </c>
      <c r="R1283" s="133">
        <v>0.969268809607912</v>
      </c>
      <c r="S1283" s="133">
        <v>0.969669969349205</v>
      </c>
      <c r="T1283" s="135">
        <v>0.9</v>
      </c>
      <c r="U1283" s="133">
        <v>0.833537331701346</v>
      </c>
      <c r="V1283" s="133">
        <v>0.839572192513369</v>
      </c>
      <c r="W1283" s="133">
        <v>0.832567997174143</v>
      </c>
      <c r="X1283" s="133">
        <v>0.832988808895859</v>
      </c>
      <c r="Y1283" s="135">
        <v>0.92</v>
      </c>
      <c r="Z1283" s="135">
        <v>0.914590747330961</v>
      </c>
      <c r="AA1283" s="135">
        <v>0.922222222222222</v>
      </c>
      <c r="AB1283" s="135">
        <v>0.929604022627278</v>
      </c>
      <c r="AC1283" s="135">
        <v>0.930960656893859</v>
      </c>
      <c r="AD1283" s="135">
        <v>0.92</v>
      </c>
      <c r="AE1283" s="133">
        <v>0.981610653138871</v>
      </c>
      <c r="AF1283" s="133">
        <v>0.997236805747444</v>
      </c>
      <c r="AG1283" s="133">
        <v>0.998707592891761</v>
      </c>
      <c r="AH1283" s="133">
        <v>0.995672796871099</v>
      </c>
      <c r="AI1283" s="135">
        <v>0.92</v>
      </c>
      <c r="AJ1283" s="133">
        <v>0.933829787234043</v>
      </c>
      <c r="AK1283" s="133">
        <v>0.943127962085308</v>
      </c>
      <c r="AL1283" s="133">
        <v>0.950689889165347</v>
      </c>
      <c r="AM1283" s="133">
        <v>0.953051300246275</v>
      </c>
      <c r="AN1283" s="132">
        <v>0.99</v>
      </c>
      <c r="AO1283" s="137">
        <v>1</v>
      </c>
      <c r="AP1283" s="137">
        <v>1</v>
      </c>
      <c r="AQ1283" s="137">
        <v>1</v>
      </c>
      <c r="AR1283" s="137">
        <v>1</v>
      </c>
      <c r="AS1283" s="158">
        <v>0.0721861525408278</v>
      </c>
      <c r="AT1283" s="141">
        <v>0.0645161290322581</v>
      </c>
      <c r="AU1283" s="141">
        <v>0.0677966101694915</v>
      </c>
      <c r="AV1283" s="141">
        <v>0.133333333333333</v>
      </c>
      <c r="AW1283" s="141">
        <v>0.0447570332480818</v>
      </c>
      <c r="AX1283" s="95"/>
      <c r="AY1283" s="93"/>
    </row>
    <row r="1284" ht="15" spans="1:51">
      <c r="A1284" s="91"/>
      <c r="B1284" s="95"/>
      <c r="C1284" s="152" t="s">
        <v>1085</v>
      </c>
      <c r="D1284" s="153" t="s">
        <v>25</v>
      </c>
      <c r="E1284" s="130" t="s">
        <v>1086</v>
      </c>
      <c r="F1284" s="195" t="s">
        <v>1314</v>
      </c>
      <c r="G1284" s="195" t="s">
        <v>1314</v>
      </c>
      <c r="H1284" s="195" t="s">
        <v>1314</v>
      </c>
      <c r="I1284" s="195" t="s">
        <v>1314</v>
      </c>
      <c r="J1284" s="132">
        <v>0.9</v>
      </c>
      <c r="K1284" s="133">
        <v>0.944444444444444</v>
      </c>
      <c r="L1284" s="133">
        <v>0.966666666666667</v>
      </c>
      <c r="M1284" s="134">
        <v>0.96969696969697</v>
      </c>
      <c r="N1284" s="133">
        <v>0.976340694006309</v>
      </c>
      <c r="O1284" s="135">
        <v>0.9</v>
      </c>
      <c r="P1284" s="133">
        <v>0.995722840034217</v>
      </c>
      <c r="Q1284" s="133">
        <v>0.995833333333333</v>
      </c>
      <c r="R1284" s="133">
        <v>0.996138996138996</v>
      </c>
      <c r="S1284" s="133">
        <v>0.997128921789062</v>
      </c>
      <c r="T1284" s="135">
        <v>0.9</v>
      </c>
      <c r="U1284" s="133">
        <v>0.964927288280582</v>
      </c>
      <c r="V1284" s="133">
        <v>0.965625</v>
      </c>
      <c r="W1284" s="133">
        <v>0.984555984555985</v>
      </c>
      <c r="X1284" s="133">
        <v>0.974955896087724</v>
      </c>
      <c r="Y1284" s="135">
        <v>0.92</v>
      </c>
      <c r="Z1284" s="135">
        <v>0.970173985086993</v>
      </c>
      <c r="AA1284" s="135">
        <v>0.980023501762632</v>
      </c>
      <c r="AB1284" s="135">
        <v>0.981672394043528</v>
      </c>
      <c r="AC1284" s="135">
        <v>0.986426580138019</v>
      </c>
      <c r="AD1284" s="135">
        <v>0.92</v>
      </c>
      <c r="AE1284" s="133">
        <v>1</v>
      </c>
      <c r="AF1284" s="133">
        <v>1</v>
      </c>
      <c r="AG1284" s="133">
        <v>1</v>
      </c>
      <c r="AH1284" s="133">
        <v>0.998036271225598</v>
      </c>
      <c r="AI1284" s="135">
        <v>0.92</v>
      </c>
      <c r="AJ1284" s="133">
        <v>0.978535353535353</v>
      </c>
      <c r="AK1284" s="133">
        <v>0.981225842076201</v>
      </c>
      <c r="AL1284" s="133">
        <v>0.990935311083642</v>
      </c>
      <c r="AM1284" s="133">
        <v>0.990786131947316</v>
      </c>
      <c r="AN1284" s="132">
        <v>0.99</v>
      </c>
      <c r="AO1284" s="137">
        <v>1</v>
      </c>
      <c r="AP1284" s="137">
        <v>1</v>
      </c>
      <c r="AQ1284" s="137">
        <v>1</v>
      </c>
      <c r="AR1284" s="137">
        <v>1</v>
      </c>
      <c r="AS1284" s="158">
        <v>0.0721861525408278</v>
      </c>
      <c r="AT1284" s="141">
        <v>0</v>
      </c>
      <c r="AU1284" s="141">
        <v>0</v>
      </c>
      <c r="AV1284" s="141">
        <v>0.153846153846154</v>
      </c>
      <c r="AW1284" s="141">
        <v>0.0347826086956522</v>
      </c>
      <c r="AX1284" s="95"/>
      <c r="AY1284" s="93"/>
    </row>
    <row r="1285" ht="15" spans="1:51">
      <c r="A1285" s="91"/>
      <c r="B1285" s="95"/>
      <c r="C1285" s="152" t="s">
        <v>1085</v>
      </c>
      <c r="D1285" s="153" t="s">
        <v>25</v>
      </c>
      <c r="E1285" s="130" t="s">
        <v>1086</v>
      </c>
      <c r="F1285" s="195" t="s">
        <v>1315</v>
      </c>
      <c r="G1285" s="195" t="s">
        <v>1315</v>
      </c>
      <c r="H1285" s="195" t="s">
        <v>1315</v>
      </c>
      <c r="I1285" s="195" t="s">
        <v>1315</v>
      </c>
      <c r="J1285" s="132">
        <v>0.9</v>
      </c>
      <c r="K1285" s="133">
        <v>0.90625</v>
      </c>
      <c r="L1285" s="133">
        <v>0.896551724137931</v>
      </c>
      <c r="M1285" s="134">
        <v>0.966101694915254</v>
      </c>
      <c r="N1285" s="133">
        <v>0.896315338474722</v>
      </c>
      <c r="O1285" s="135">
        <v>0.9</v>
      </c>
      <c r="P1285" s="133">
        <v>0.993321460373998</v>
      </c>
      <c r="Q1285" s="133">
        <v>0.971085651936716</v>
      </c>
      <c r="R1285" s="133">
        <v>0.980623973727422</v>
      </c>
      <c r="S1285" s="133">
        <v>0.963288906667636</v>
      </c>
      <c r="T1285" s="135">
        <v>0.9</v>
      </c>
      <c r="U1285" s="133">
        <v>0.940338379341051</v>
      </c>
      <c r="V1285" s="133">
        <v>0.950900163666121</v>
      </c>
      <c r="W1285" s="133">
        <v>0.947454844006568</v>
      </c>
      <c r="X1285" s="133">
        <v>0.941596814371693</v>
      </c>
      <c r="Y1285" s="135">
        <v>0.92</v>
      </c>
      <c r="Z1285" s="135">
        <v>0.896865061335756</v>
      </c>
      <c r="AA1285" s="135">
        <v>0.961460446247465</v>
      </c>
      <c r="AB1285" s="135">
        <v>0.945659377070908</v>
      </c>
      <c r="AC1285" s="135">
        <v>0.959730854178438</v>
      </c>
      <c r="AD1285" s="135">
        <v>0.92</v>
      </c>
      <c r="AE1285" s="133">
        <v>0.994279176201373</v>
      </c>
      <c r="AF1285" s="133">
        <v>0.995941146626078</v>
      </c>
      <c r="AG1285" s="133">
        <v>0.994431185361973</v>
      </c>
      <c r="AH1285" s="133">
        <v>0.996256337696026</v>
      </c>
      <c r="AI1285" s="135">
        <v>0.92</v>
      </c>
      <c r="AJ1285" s="133">
        <v>0.934337755790421</v>
      </c>
      <c r="AK1285" s="133">
        <v>0.973429951690821</v>
      </c>
      <c r="AL1285" s="133">
        <v>0.970794905577514</v>
      </c>
      <c r="AM1285" s="133">
        <v>0.975462800327872</v>
      </c>
      <c r="AN1285" s="132">
        <v>0.99</v>
      </c>
      <c r="AO1285" s="137">
        <v>1</v>
      </c>
      <c r="AP1285" s="137">
        <v>1</v>
      </c>
      <c r="AQ1285" s="137">
        <v>1</v>
      </c>
      <c r="AR1285" s="137">
        <v>1</v>
      </c>
      <c r="AS1285" s="158">
        <v>0.0721861525408278</v>
      </c>
      <c r="AT1285" s="141">
        <v>0</v>
      </c>
      <c r="AU1285" s="141">
        <v>0.0769230769230769</v>
      </c>
      <c r="AV1285" s="141">
        <v>0</v>
      </c>
      <c r="AW1285" s="141">
        <v>0.042042042042042</v>
      </c>
      <c r="AX1285" s="95"/>
      <c r="AY1285" s="93"/>
    </row>
    <row r="1286" ht="15" spans="1:51">
      <c r="A1286" s="91"/>
      <c r="B1286" s="95"/>
      <c r="C1286" s="152" t="s">
        <v>1085</v>
      </c>
      <c r="D1286" s="153" t="s">
        <v>25</v>
      </c>
      <c r="E1286" s="130" t="s">
        <v>1086</v>
      </c>
      <c r="F1286" s="195" t="s">
        <v>1316</v>
      </c>
      <c r="G1286" s="195" t="s">
        <v>1316</v>
      </c>
      <c r="H1286" s="195" t="s">
        <v>1316</v>
      </c>
      <c r="I1286" s="195" t="s">
        <v>1316</v>
      </c>
      <c r="J1286" s="132">
        <v>0.9</v>
      </c>
      <c r="K1286" s="133">
        <v>1</v>
      </c>
      <c r="L1286" s="133">
        <v>1</v>
      </c>
      <c r="M1286" s="134">
        <v>1</v>
      </c>
      <c r="N1286" s="133">
        <v>0.957996768982229</v>
      </c>
      <c r="O1286" s="135">
        <v>0.9</v>
      </c>
      <c r="P1286" s="133">
        <v>0.992753623188406</v>
      </c>
      <c r="Q1286" s="133">
        <v>0.982092365692743</v>
      </c>
      <c r="R1286" s="133">
        <v>0.986486486486487</v>
      </c>
      <c r="S1286" s="133">
        <v>0.984826737748616</v>
      </c>
      <c r="T1286" s="135">
        <v>0.9</v>
      </c>
      <c r="U1286" s="133">
        <v>0.95</v>
      </c>
      <c r="V1286" s="133">
        <v>0.943449575871819</v>
      </c>
      <c r="W1286" s="133">
        <v>0.955159705159705</v>
      </c>
      <c r="X1286" s="133">
        <v>0.952668990499624</v>
      </c>
      <c r="Y1286" s="135">
        <v>0.92</v>
      </c>
      <c r="Z1286" s="135">
        <v>0.956437560503388</v>
      </c>
      <c r="AA1286" s="135">
        <v>0.955752212389381</v>
      </c>
      <c r="AB1286" s="135">
        <v>0.962219598583235</v>
      </c>
      <c r="AC1286" s="135">
        <v>0.975532631797211</v>
      </c>
      <c r="AD1286" s="135">
        <v>0.92</v>
      </c>
      <c r="AE1286" s="133">
        <v>0.997229916897507</v>
      </c>
      <c r="AF1286" s="133">
        <v>0.996739130434783</v>
      </c>
      <c r="AG1286" s="133">
        <v>1</v>
      </c>
      <c r="AH1286" s="133">
        <v>0.998654024466844</v>
      </c>
      <c r="AI1286" s="135">
        <v>0.92</v>
      </c>
      <c r="AJ1286" s="133">
        <v>0.970990468296726</v>
      </c>
      <c r="AK1286" s="133">
        <v>0.971922246220302</v>
      </c>
      <c r="AL1286" s="133">
        <v>0.976565656565657</v>
      </c>
      <c r="AM1286" s="133">
        <v>0.983442481156555</v>
      </c>
      <c r="AN1286" s="132">
        <v>0.99</v>
      </c>
      <c r="AO1286" s="137">
        <v>1</v>
      </c>
      <c r="AP1286" s="137">
        <v>1</v>
      </c>
      <c r="AQ1286" s="137">
        <v>1</v>
      </c>
      <c r="AR1286" s="137">
        <v>1</v>
      </c>
      <c r="AS1286" s="158">
        <v>0.0721861525408278</v>
      </c>
      <c r="AT1286" s="141">
        <v>0</v>
      </c>
      <c r="AU1286" s="141">
        <v>0</v>
      </c>
      <c r="AV1286" s="141">
        <v>0</v>
      </c>
      <c r="AW1286" s="141">
        <v>0.0305343511450382</v>
      </c>
      <c r="AX1286" s="95"/>
      <c r="AY1286" s="93"/>
    </row>
    <row r="1287" ht="15" spans="1:51">
      <c r="A1287" s="91"/>
      <c r="B1287" s="95"/>
      <c r="C1287" s="152" t="s">
        <v>1085</v>
      </c>
      <c r="D1287" s="153" t="s">
        <v>25</v>
      </c>
      <c r="E1287" s="130" t="s">
        <v>1086</v>
      </c>
      <c r="F1287" s="195" t="s">
        <v>1317</v>
      </c>
      <c r="G1287" s="195" t="s">
        <v>1317</v>
      </c>
      <c r="H1287" s="195" t="s">
        <v>1317</v>
      </c>
      <c r="I1287" s="195" t="s">
        <v>1317</v>
      </c>
      <c r="J1287" s="132">
        <v>0.9</v>
      </c>
      <c r="K1287" s="133">
        <v>1</v>
      </c>
      <c r="L1287" s="133">
        <v>0.964285714285714</v>
      </c>
      <c r="M1287" s="134">
        <v>0.967741935483871</v>
      </c>
      <c r="N1287" s="133">
        <v>0.947189097103918</v>
      </c>
      <c r="O1287" s="135">
        <v>0.9</v>
      </c>
      <c r="P1287" s="133">
        <v>0.991335372069317</v>
      </c>
      <c r="Q1287" s="133">
        <v>0.994021739130435</v>
      </c>
      <c r="R1287" s="133">
        <v>0.981884057971015</v>
      </c>
      <c r="S1287" s="133">
        <v>0.992313053868366</v>
      </c>
      <c r="T1287" s="135">
        <v>0.9</v>
      </c>
      <c r="U1287" s="133">
        <v>0.980632008154944</v>
      </c>
      <c r="V1287" s="133">
        <v>0.966304347826087</v>
      </c>
      <c r="W1287" s="133">
        <v>0.953227931488801</v>
      </c>
      <c r="X1287" s="133">
        <v>0.964990540675097</v>
      </c>
      <c r="Y1287" s="135">
        <v>0.92</v>
      </c>
      <c r="Z1287" s="135" t="s">
        <v>35</v>
      </c>
      <c r="AA1287" s="135" t="s">
        <v>35</v>
      </c>
      <c r="AB1287" s="135" t="s">
        <v>35</v>
      </c>
      <c r="AC1287" s="135" t="s">
        <v>35</v>
      </c>
      <c r="AD1287" s="135">
        <v>0.92</v>
      </c>
      <c r="AE1287" s="133">
        <v>0.998092816274634</v>
      </c>
      <c r="AF1287" s="133">
        <v>0.999515738498789</v>
      </c>
      <c r="AG1287" s="133">
        <v>0.996376811594203</v>
      </c>
      <c r="AH1287" s="133">
        <v>0.998138482315582</v>
      </c>
      <c r="AI1287" s="135">
        <v>0.92</v>
      </c>
      <c r="AJ1287" s="133">
        <v>0.984199796126402</v>
      </c>
      <c r="AK1287" s="133">
        <v>0.972282608695652</v>
      </c>
      <c r="AL1287" s="133">
        <v>0.985507246376812</v>
      </c>
      <c r="AM1287" s="133">
        <v>0.982614756546849</v>
      </c>
      <c r="AN1287" s="132">
        <v>0.99</v>
      </c>
      <c r="AO1287" s="137">
        <v>1</v>
      </c>
      <c r="AP1287" s="137">
        <v>1</v>
      </c>
      <c r="AQ1287" s="137">
        <v>1</v>
      </c>
      <c r="AR1287" s="137">
        <v>1</v>
      </c>
      <c r="AS1287" s="158">
        <v>0.0721861525408278</v>
      </c>
      <c r="AT1287" s="141">
        <v>0.111111111111111</v>
      </c>
      <c r="AU1287" s="141">
        <v>0</v>
      </c>
      <c r="AV1287" s="141">
        <v>0.222222222222222</v>
      </c>
      <c r="AW1287" s="141">
        <v>0.0671140939597315</v>
      </c>
      <c r="AX1287" s="95"/>
      <c r="AY1287" s="93"/>
    </row>
    <row r="1288" ht="15" spans="1:51">
      <c r="A1288" s="91"/>
      <c r="B1288" s="95"/>
      <c r="C1288" s="152" t="s">
        <v>1085</v>
      </c>
      <c r="D1288" s="153" t="s">
        <v>25</v>
      </c>
      <c r="E1288" s="130" t="s">
        <v>1086</v>
      </c>
      <c r="F1288" s="195" t="s">
        <v>1318</v>
      </c>
      <c r="G1288" s="195" t="s">
        <v>1318</v>
      </c>
      <c r="H1288" s="195" t="s">
        <v>1318</v>
      </c>
      <c r="I1288" s="195" t="s">
        <v>1318</v>
      </c>
      <c r="J1288" s="132">
        <v>0.9</v>
      </c>
      <c r="K1288" s="133">
        <v>0.926829268292683</v>
      </c>
      <c r="L1288" s="133">
        <v>0.911764705882353</v>
      </c>
      <c r="M1288" s="134">
        <v>0.897435897435897</v>
      </c>
      <c r="N1288" s="133">
        <v>0.952702702702703</v>
      </c>
      <c r="O1288" s="135">
        <v>0.9</v>
      </c>
      <c r="P1288" s="133">
        <v>0.978429203539823</v>
      </c>
      <c r="Q1288" s="133">
        <v>0.975200583515682</v>
      </c>
      <c r="R1288" s="133">
        <v>0.981865284974093</v>
      </c>
      <c r="S1288" s="133">
        <v>0.969337170217397</v>
      </c>
      <c r="T1288" s="135">
        <v>0.9</v>
      </c>
      <c r="U1288" s="133">
        <v>0.955752212389381</v>
      </c>
      <c r="V1288" s="133">
        <v>0.951130561633844</v>
      </c>
      <c r="W1288" s="133">
        <v>0.967616580310881</v>
      </c>
      <c r="X1288" s="133">
        <v>0.950571905303122</v>
      </c>
      <c r="Y1288" s="135">
        <v>0.92</v>
      </c>
      <c r="Z1288" s="135">
        <v>0.886923562855338</v>
      </c>
      <c r="AA1288" s="135">
        <v>0.960582690659811</v>
      </c>
      <c r="AB1288" s="135">
        <v>0.959134615384615</v>
      </c>
      <c r="AC1288" s="135">
        <v>0.953908767169747</v>
      </c>
      <c r="AD1288" s="135">
        <v>0.92</v>
      </c>
      <c r="AE1288" s="133">
        <v>0.995321139940451</v>
      </c>
      <c r="AF1288" s="133">
        <v>1</v>
      </c>
      <c r="AG1288" s="133">
        <v>0.997453851050286</v>
      </c>
      <c r="AH1288" s="133">
        <v>0.99848079452179</v>
      </c>
      <c r="AI1288" s="135">
        <v>0.92</v>
      </c>
      <c r="AJ1288" s="133">
        <v>0.935122382777942</v>
      </c>
      <c r="AK1288" s="133">
        <v>0.968085106382979</v>
      </c>
      <c r="AL1288" s="133">
        <v>0.97699214365881</v>
      </c>
      <c r="AM1288" s="133">
        <v>0.971867765795268</v>
      </c>
      <c r="AN1288" s="132">
        <v>0.99</v>
      </c>
      <c r="AO1288" s="137">
        <v>1</v>
      </c>
      <c r="AP1288" s="137">
        <v>1</v>
      </c>
      <c r="AQ1288" s="137">
        <v>1</v>
      </c>
      <c r="AR1288" s="137">
        <v>1</v>
      </c>
      <c r="AS1288" s="158">
        <v>0.0721861525408278</v>
      </c>
      <c r="AT1288" s="141">
        <v>0.181818181818182</v>
      </c>
      <c r="AU1288" s="141">
        <v>0.25</v>
      </c>
      <c r="AV1288" s="141">
        <v>0.142857142857143</v>
      </c>
      <c r="AW1288" s="141">
        <v>0.0684931506849315</v>
      </c>
      <c r="AX1288" s="95"/>
      <c r="AY1288" s="93"/>
    </row>
    <row r="1289" ht="15" spans="1:51">
      <c r="A1289" s="91"/>
      <c r="B1289" s="95"/>
      <c r="C1289" s="152" t="s">
        <v>1085</v>
      </c>
      <c r="D1289" s="153" t="s">
        <v>25</v>
      </c>
      <c r="E1289" s="130" t="s">
        <v>1086</v>
      </c>
      <c r="F1289" s="195" t="s">
        <v>1319</v>
      </c>
      <c r="G1289" s="195" t="s">
        <v>1319</v>
      </c>
      <c r="H1289" s="195" t="s">
        <v>1319</v>
      </c>
      <c r="I1289" s="195" t="s">
        <v>1319</v>
      </c>
      <c r="J1289" s="132">
        <v>0.9</v>
      </c>
      <c r="K1289" s="133">
        <v>0.96</v>
      </c>
      <c r="L1289" s="133">
        <v>0.782608695652174</v>
      </c>
      <c r="M1289" s="134">
        <v>0.80952380952381</v>
      </c>
      <c r="N1289" s="133">
        <v>0.886160714285714</v>
      </c>
      <c r="O1289" s="135">
        <v>0.9</v>
      </c>
      <c r="P1289" s="133">
        <v>0.974384236453202</v>
      </c>
      <c r="Q1289" s="133">
        <v>0.968160377358491</v>
      </c>
      <c r="R1289" s="133">
        <v>0.981467753891772</v>
      </c>
      <c r="S1289" s="133">
        <v>0.9649326971566</v>
      </c>
      <c r="T1289" s="135">
        <v>0.9</v>
      </c>
      <c r="U1289" s="133">
        <v>0.896551724137931</v>
      </c>
      <c r="V1289" s="133">
        <v>0.908018867924528</v>
      </c>
      <c r="W1289" s="133">
        <v>0.917716827279466</v>
      </c>
      <c r="X1289" s="133">
        <v>0.905853601768882</v>
      </c>
      <c r="Y1289" s="135">
        <v>0.92</v>
      </c>
      <c r="Z1289" s="135">
        <v>0.958693563880884</v>
      </c>
      <c r="AA1289" s="135">
        <v>0.948170731707317</v>
      </c>
      <c r="AB1289" s="135">
        <v>0.949591280653951</v>
      </c>
      <c r="AC1289" s="135">
        <v>0.956612120889078</v>
      </c>
      <c r="AD1289" s="135">
        <v>0.92</v>
      </c>
      <c r="AE1289" s="133">
        <v>1</v>
      </c>
      <c r="AF1289" s="133">
        <v>1</v>
      </c>
      <c r="AG1289" s="133">
        <v>0.996068152031455</v>
      </c>
      <c r="AH1289" s="133">
        <v>0.996985797486462</v>
      </c>
      <c r="AI1289" s="135">
        <v>0.92</v>
      </c>
      <c r="AJ1289" s="133">
        <v>0.962566844919786</v>
      </c>
      <c r="AK1289" s="133">
        <v>0.96343085106383</v>
      </c>
      <c r="AL1289" s="133">
        <v>0.970715314450312</v>
      </c>
      <c r="AM1289" s="133">
        <v>0.971152119252874</v>
      </c>
      <c r="AN1289" s="132">
        <v>0.99</v>
      </c>
      <c r="AO1289" s="137">
        <v>1</v>
      </c>
      <c r="AP1289" s="137">
        <v>1</v>
      </c>
      <c r="AQ1289" s="137">
        <v>1</v>
      </c>
      <c r="AR1289" s="137">
        <v>1</v>
      </c>
      <c r="AS1289" s="158">
        <v>0.0721861525408278</v>
      </c>
      <c r="AT1289" s="141">
        <v>0.2</v>
      </c>
      <c r="AU1289" s="141">
        <v>0</v>
      </c>
      <c r="AV1289" s="141">
        <v>0</v>
      </c>
      <c r="AW1289" s="141">
        <v>0.0517241379310345</v>
      </c>
      <c r="AX1289" s="95"/>
      <c r="AY1289" s="93"/>
    </row>
    <row r="1290" ht="15" spans="1:51">
      <c r="A1290" s="91"/>
      <c r="B1290" s="95"/>
      <c r="C1290" s="152" t="s">
        <v>1085</v>
      </c>
      <c r="D1290" s="153" t="s">
        <v>25</v>
      </c>
      <c r="E1290" s="130" t="s">
        <v>1086</v>
      </c>
      <c r="F1290" s="195" t="s">
        <v>1320</v>
      </c>
      <c r="G1290" s="195" t="s">
        <v>1320</v>
      </c>
      <c r="H1290" s="195" t="s">
        <v>1320</v>
      </c>
      <c r="I1290" s="195" t="s">
        <v>1320</v>
      </c>
      <c r="J1290" s="132">
        <v>0.9</v>
      </c>
      <c r="K1290" s="133">
        <v>0.978723404255319</v>
      </c>
      <c r="L1290" s="133">
        <v>0.975</v>
      </c>
      <c r="M1290" s="134">
        <v>0.956521739130435</v>
      </c>
      <c r="N1290" s="133">
        <v>0.873988439306358</v>
      </c>
      <c r="O1290" s="135">
        <v>0.9</v>
      </c>
      <c r="P1290" s="133">
        <v>0.992857142857143</v>
      </c>
      <c r="Q1290" s="133">
        <v>0.996003197442046</v>
      </c>
      <c r="R1290" s="133">
        <v>0.987202007528231</v>
      </c>
      <c r="S1290" s="133">
        <v>0.986057885868512</v>
      </c>
      <c r="T1290" s="135">
        <v>0.9</v>
      </c>
      <c r="U1290" s="133">
        <v>0.917293233082707</v>
      </c>
      <c r="V1290" s="133">
        <v>0.920863309352518</v>
      </c>
      <c r="W1290" s="133">
        <v>0.867001254705144</v>
      </c>
      <c r="X1290" s="133">
        <v>0.886763192818693</v>
      </c>
      <c r="Y1290" s="135">
        <v>0.92</v>
      </c>
      <c r="Z1290" s="135" t="s">
        <v>35</v>
      </c>
      <c r="AA1290" s="135" t="s">
        <v>35</v>
      </c>
      <c r="AB1290" s="135" t="s">
        <v>35</v>
      </c>
      <c r="AC1290" s="135" t="s">
        <v>35</v>
      </c>
      <c r="AD1290" s="135">
        <v>0.92</v>
      </c>
      <c r="AE1290" s="133">
        <v>0.996268656716418</v>
      </c>
      <c r="AF1290" s="133">
        <v>0.991853360488798</v>
      </c>
      <c r="AG1290" s="133">
        <v>0.993421052631579</v>
      </c>
      <c r="AH1290" s="133">
        <v>0.996832937450515</v>
      </c>
      <c r="AI1290" s="135">
        <v>0.92</v>
      </c>
      <c r="AJ1290" s="133">
        <v>0.96390977443609</v>
      </c>
      <c r="AK1290" s="133">
        <v>0.966027178257394</v>
      </c>
      <c r="AL1290" s="133">
        <v>0.972396486825596</v>
      </c>
      <c r="AM1290" s="133">
        <v>0.974218272370756</v>
      </c>
      <c r="AN1290" s="132">
        <v>0.99</v>
      </c>
      <c r="AO1290" s="137">
        <v>1</v>
      </c>
      <c r="AP1290" s="137">
        <v>1</v>
      </c>
      <c r="AQ1290" s="137">
        <v>1</v>
      </c>
      <c r="AR1290" s="137">
        <v>1</v>
      </c>
      <c r="AS1290" s="158">
        <v>0.0721861525408278</v>
      </c>
      <c r="AT1290" s="141">
        <v>0.0714285714285714</v>
      </c>
      <c r="AU1290" s="141">
        <v>0</v>
      </c>
      <c r="AV1290" s="141">
        <v>0</v>
      </c>
      <c r="AW1290" s="141">
        <v>0.0346534653465347</v>
      </c>
      <c r="AX1290" s="95"/>
      <c r="AY1290" s="93"/>
    </row>
    <row r="1291" ht="15" spans="1:51">
      <c r="A1291" s="91"/>
      <c r="B1291" s="95"/>
      <c r="C1291" s="152" t="s">
        <v>1085</v>
      </c>
      <c r="D1291" s="153" t="s">
        <v>25</v>
      </c>
      <c r="E1291" s="130" t="s">
        <v>1086</v>
      </c>
      <c r="F1291" s="195" t="s">
        <v>1321</v>
      </c>
      <c r="G1291" s="195" t="s">
        <v>1321</v>
      </c>
      <c r="H1291" s="195" t="s">
        <v>1321</v>
      </c>
      <c r="I1291" s="195" t="s">
        <v>1321</v>
      </c>
      <c r="J1291" s="132">
        <v>0.9</v>
      </c>
      <c r="K1291" s="133">
        <v>0.947368421052632</v>
      </c>
      <c r="L1291" s="133">
        <v>0.764705882352941</v>
      </c>
      <c r="M1291" s="134">
        <v>0.882352941176471</v>
      </c>
      <c r="N1291" s="133">
        <v>0.875370919881306</v>
      </c>
      <c r="O1291" s="135">
        <v>0.9</v>
      </c>
      <c r="P1291" s="133">
        <v>0.971951219512195</v>
      </c>
      <c r="Q1291" s="133">
        <v>0.973478939157566</v>
      </c>
      <c r="R1291" s="133">
        <v>0.982159624413146</v>
      </c>
      <c r="S1291" s="133">
        <v>0.967495530635462</v>
      </c>
      <c r="T1291" s="135">
        <v>0.9</v>
      </c>
      <c r="U1291" s="133">
        <v>0.946341463414634</v>
      </c>
      <c r="V1291" s="133">
        <v>0.939157566302652</v>
      </c>
      <c r="W1291" s="133">
        <v>0.95962441314554</v>
      </c>
      <c r="X1291" s="133">
        <v>0.937266374126442</v>
      </c>
      <c r="Y1291" s="135">
        <v>0.92</v>
      </c>
      <c r="Z1291" s="135">
        <v>0.942815249266862</v>
      </c>
      <c r="AA1291" s="135">
        <v>0.927038626609442</v>
      </c>
      <c r="AB1291" s="135">
        <v>0.968141592920354</v>
      </c>
      <c r="AC1291" s="135">
        <v>0.961165048543689</v>
      </c>
      <c r="AD1291" s="135">
        <v>0.92</v>
      </c>
      <c r="AE1291" s="133">
        <v>0.991935483870968</v>
      </c>
      <c r="AF1291" s="133">
        <v>1</v>
      </c>
      <c r="AG1291" s="133">
        <v>1</v>
      </c>
      <c r="AH1291" s="133">
        <v>0.99522050836411</v>
      </c>
      <c r="AI1291" s="135">
        <v>0.92</v>
      </c>
      <c r="AJ1291" s="133">
        <v>0.96138482023968</v>
      </c>
      <c r="AK1291" s="133">
        <v>0.953929539295393</v>
      </c>
      <c r="AL1291" s="133">
        <v>0.982208588957055</v>
      </c>
      <c r="AM1291" s="133">
        <v>0.976292964985545</v>
      </c>
      <c r="AN1291" s="132">
        <v>0.99</v>
      </c>
      <c r="AO1291" s="137">
        <v>1</v>
      </c>
      <c r="AP1291" s="137">
        <v>1</v>
      </c>
      <c r="AQ1291" s="137">
        <v>1</v>
      </c>
      <c r="AR1291" s="137">
        <v>1</v>
      </c>
      <c r="AS1291" s="158">
        <v>0.0721861525408278</v>
      </c>
      <c r="AT1291" s="141">
        <v>0</v>
      </c>
      <c r="AU1291" s="141">
        <v>0</v>
      </c>
      <c r="AV1291" s="141">
        <v>0</v>
      </c>
      <c r="AW1291" s="141">
        <v>0.0508474576271186</v>
      </c>
      <c r="AX1291" s="95"/>
      <c r="AY1291" s="93"/>
    </row>
    <row r="1292" ht="15" spans="1:51">
      <c r="A1292" s="91"/>
      <c r="B1292" s="95"/>
      <c r="C1292" s="152" t="s">
        <v>1085</v>
      </c>
      <c r="D1292" s="153" t="s">
        <v>125</v>
      </c>
      <c r="E1292" s="130" t="s">
        <v>1086</v>
      </c>
      <c r="F1292" s="195" t="s">
        <v>1322</v>
      </c>
      <c r="G1292" s="195" t="s">
        <v>1322</v>
      </c>
      <c r="H1292" s="195" t="s">
        <v>1322</v>
      </c>
      <c r="I1292" s="195" t="s">
        <v>1322</v>
      </c>
      <c r="J1292" s="132">
        <v>0.9</v>
      </c>
      <c r="K1292" s="133" t="s">
        <v>35</v>
      </c>
      <c r="L1292" s="133" t="s">
        <v>35</v>
      </c>
      <c r="M1292" s="134" t="s">
        <v>35</v>
      </c>
      <c r="N1292" s="133" t="s">
        <v>35</v>
      </c>
      <c r="O1292" s="135">
        <v>0.9</v>
      </c>
      <c r="P1292" s="133" t="s">
        <v>35</v>
      </c>
      <c r="Q1292" s="133" t="s">
        <v>35</v>
      </c>
      <c r="R1292" s="133" t="s">
        <v>35</v>
      </c>
      <c r="S1292" s="133">
        <v>0</v>
      </c>
      <c r="T1292" s="135">
        <v>0.9</v>
      </c>
      <c r="U1292" s="133" t="s">
        <v>35</v>
      </c>
      <c r="V1292" s="133" t="s">
        <v>35</v>
      </c>
      <c r="W1292" s="133" t="s">
        <v>35</v>
      </c>
      <c r="X1292" s="133">
        <v>0</v>
      </c>
      <c r="Y1292" s="135">
        <v>0.92</v>
      </c>
      <c r="Z1292" s="135" t="s">
        <v>35</v>
      </c>
      <c r="AA1292" s="135" t="s">
        <v>35</v>
      </c>
      <c r="AB1292" s="135" t="s">
        <v>35</v>
      </c>
      <c r="AC1292" s="135" t="s">
        <v>35</v>
      </c>
      <c r="AD1292" s="135">
        <v>0.92</v>
      </c>
      <c r="AE1292" s="133">
        <v>1</v>
      </c>
      <c r="AF1292" s="133">
        <v>0.996131528046422</v>
      </c>
      <c r="AG1292" s="133">
        <v>0.994186046511628</v>
      </c>
      <c r="AH1292" s="133">
        <v>0.995602554706313</v>
      </c>
      <c r="AI1292" s="135">
        <v>0.92</v>
      </c>
      <c r="AJ1292" s="133" t="s">
        <v>35</v>
      </c>
      <c r="AK1292" s="133" t="s">
        <v>35</v>
      </c>
      <c r="AL1292" s="133" t="s">
        <v>35</v>
      </c>
      <c r="AM1292" s="133">
        <v>0</v>
      </c>
      <c r="AN1292" s="132">
        <v>0.99</v>
      </c>
      <c r="AO1292" s="137">
        <v>1</v>
      </c>
      <c r="AP1292" s="137">
        <v>1</v>
      </c>
      <c r="AQ1292" s="137">
        <v>1</v>
      </c>
      <c r="AR1292" s="137">
        <v>1</v>
      </c>
      <c r="AS1292" s="158">
        <v>0.0721861525408278</v>
      </c>
      <c r="AT1292" s="141" t="s">
        <v>35</v>
      </c>
      <c r="AU1292" s="141" t="s">
        <v>35</v>
      </c>
      <c r="AV1292" s="141" t="s">
        <v>35</v>
      </c>
      <c r="AW1292" s="141" t="s">
        <v>35</v>
      </c>
      <c r="AX1292" s="95"/>
      <c r="AY1292" s="93"/>
    </row>
    <row r="1293" ht="15" spans="1:51">
      <c r="A1293" s="91"/>
      <c r="B1293" s="95"/>
      <c r="C1293" s="152" t="s">
        <v>1085</v>
      </c>
      <c r="D1293" s="153" t="s">
        <v>25</v>
      </c>
      <c r="E1293" s="130" t="s">
        <v>1086</v>
      </c>
      <c r="F1293" s="195" t="s">
        <v>1323</v>
      </c>
      <c r="G1293" s="195" t="s">
        <v>1323</v>
      </c>
      <c r="H1293" s="195" t="s">
        <v>1323</v>
      </c>
      <c r="I1293" s="195" t="s">
        <v>1323</v>
      </c>
      <c r="J1293" s="132">
        <v>0.9</v>
      </c>
      <c r="K1293" s="133">
        <v>0.964285714285714</v>
      </c>
      <c r="L1293" s="133">
        <v>0.911111111111111</v>
      </c>
      <c r="M1293" s="134">
        <v>0.963636363636364</v>
      </c>
      <c r="N1293" s="133">
        <v>0.938674579624134</v>
      </c>
      <c r="O1293" s="135">
        <v>0.9</v>
      </c>
      <c r="P1293" s="133">
        <v>0.984769157544027</v>
      </c>
      <c r="Q1293" s="133">
        <v>0.989167616875713</v>
      </c>
      <c r="R1293" s="133">
        <v>0.984919886899152</v>
      </c>
      <c r="S1293" s="133">
        <v>0.926347845702684</v>
      </c>
      <c r="T1293" s="135">
        <v>0.9</v>
      </c>
      <c r="U1293" s="133">
        <v>0.961922893860067</v>
      </c>
      <c r="V1293" s="133">
        <v>0.953249714937286</v>
      </c>
      <c r="W1293" s="133">
        <v>0.960100534087339</v>
      </c>
      <c r="X1293" s="133">
        <v>0.946781712910745</v>
      </c>
      <c r="Y1293" s="135">
        <v>0.92</v>
      </c>
      <c r="Z1293" s="135">
        <v>0.941081517352704</v>
      </c>
      <c r="AA1293" s="135">
        <v>0.95609220636663</v>
      </c>
      <c r="AB1293" s="135">
        <v>0.958888888888889</v>
      </c>
      <c r="AC1293" s="135">
        <v>0.963764469048817</v>
      </c>
      <c r="AD1293" s="135">
        <v>0.92</v>
      </c>
      <c r="AE1293" s="133">
        <v>0.998417721518987</v>
      </c>
      <c r="AF1293" s="133">
        <v>0.996555683122847</v>
      </c>
      <c r="AG1293" s="133">
        <v>0.99830220713073</v>
      </c>
      <c r="AH1293" s="133">
        <v>0.995603165720681</v>
      </c>
      <c r="AI1293" s="135">
        <v>0.92</v>
      </c>
      <c r="AJ1293" s="133">
        <v>0.964980544747082</v>
      </c>
      <c r="AK1293" s="133">
        <v>0.973358348968105</v>
      </c>
      <c r="AL1293" s="133">
        <v>0.974513345374272</v>
      </c>
      <c r="AM1293" s="133">
        <v>0.978770935930191</v>
      </c>
      <c r="AN1293" s="132">
        <v>0.99</v>
      </c>
      <c r="AO1293" s="137">
        <v>1</v>
      </c>
      <c r="AP1293" s="137">
        <v>1</v>
      </c>
      <c r="AQ1293" s="137">
        <v>1</v>
      </c>
      <c r="AR1293" s="137">
        <v>1</v>
      </c>
      <c r="AS1293" s="158">
        <v>0.0721861525408278</v>
      </c>
      <c r="AT1293" s="141">
        <v>0</v>
      </c>
      <c r="AU1293" s="141">
        <v>0</v>
      </c>
      <c r="AV1293" s="141">
        <v>0</v>
      </c>
      <c r="AW1293" s="141">
        <v>0.0224215246636771</v>
      </c>
      <c r="AX1293" s="95"/>
      <c r="AY1293" s="93"/>
    </row>
    <row r="1294" ht="15" spans="1:51">
      <c r="A1294" s="91"/>
      <c r="B1294" s="95"/>
      <c r="C1294" s="152" t="s">
        <v>1085</v>
      </c>
      <c r="D1294" s="153" t="s">
        <v>25</v>
      </c>
      <c r="E1294" s="130" t="s">
        <v>1086</v>
      </c>
      <c r="F1294" s="195" t="s">
        <v>1324</v>
      </c>
      <c r="G1294" s="195" t="s">
        <v>1324</v>
      </c>
      <c r="H1294" s="195" t="s">
        <v>1324</v>
      </c>
      <c r="I1294" s="195" t="s">
        <v>1324</v>
      </c>
      <c r="J1294" s="132">
        <v>0.9</v>
      </c>
      <c r="K1294" s="133">
        <v>0.9</v>
      </c>
      <c r="L1294" s="133">
        <v>0.849056603773585</v>
      </c>
      <c r="M1294" s="134">
        <v>0.948275862068966</v>
      </c>
      <c r="N1294" s="133">
        <v>0.885911840968021</v>
      </c>
      <c r="O1294" s="135">
        <v>0.9</v>
      </c>
      <c r="P1294" s="133">
        <v>0.988675958188153</v>
      </c>
      <c r="Q1294" s="133">
        <v>0.991815856777494</v>
      </c>
      <c r="R1294" s="133">
        <v>0.980282519128899</v>
      </c>
      <c r="S1294" s="133">
        <v>0.986241512621422</v>
      </c>
      <c r="T1294" s="135">
        <v>0.9</v>
      </c>
      <c r="U1294" s="133">
        <v>0.954268292682927</v>
      </c>
      <c r="V1294" s="133">
        <v>0.948337595907928</v>
      </c>
      <c r="W1294" s="133">
        <v>0.942319011183049</v>
      </c>
      <c r="X1294" s="133">
        <v>0.947029011403138</v>
      </c>
      <c r="Y1294" s="135">
        <v>0.92</v>
      </c>
      <c r="Z1294" s="135">
        <v>0.951780415430267</v>
      </c>
      <c r="AA1294" s="135">
        <v>0.946462715105163</v>
      </c>
      <c r="AB1294" s="135">
        <v>0.968426501035197</v>
      </c>
      <c r="AC1294" s="135">
        <v>0.964053782127504</v>
      </c>
      <c r="AD1294" s="135">
        <v>0.92</v>
      </c>
      <c r="AE1294" s="133">
        <v>0.941216584833606</v>
      </c>
      <c r="AF1294" s="133">
        <v>0.995059017293439</v>
      </c>
      <c r="AG1294" s="133">
        <v>0.994587665574704</v>
      </c>
      <c r="AH1294" s="133">
        <v>0.955923576629067</v>
      </c>
      <c r="AI1294" s="135">
        <v>0.92</v>
      </c>
      <c r="AJ1294" s="133">
        <v>0.96953896816685</v>
      </c>
      <c r="AK1294" s="133">
        <v>0.967010996334555</v>
      </c>
      <c r="AL1294" s="133">
        <v>0.977110694183865</v>
      </c>
      <c r="AM1294" s="133">
        <v>0.978531312917241</v>
      </c>
      <c r="AN1294" s="132">
        <v>0.99</v>
      </c>
      <c r="AO1294" s="137">
        <v>1</v>
      </c>
      <c r="AP1294" s="137">
        <v>1</v>
      </c>
      <c r="AQ1294" s="137">
        <v>1</v>
      </c>
      <c r="AR1294" s="137">
        <v>1</v>
      </c>
      <c r="AS1294" s="158">
        <v>0.0721861525408278</v>
      </c>
      <c r="AT1294" s="141">
        <v>0</v>
      </c>
      <c r="AU1294" s="141">
        <v>0</v>
      </c>
      <c r="AV1294" s="141">
        <v>0</v>
      </c>
      <c r="AW1294" s="141">
        <v>0.0136363636363636</v>
      </c>
      <c r="AX1294" s="95"/>
      <c r="AY1294" s="93"/>
    </row>
    <row r="1295" ht="15" spans="1:51">
      <c r="A1295" s="91"/>
      <c r="B1295" s="95"/>
      <c r="C1295" s="152" t="s">
        <v>1085</v>
      </c>
      <c r="D1295" s="153" t="s">
        <v>25</v>
      </c>
      <c r="E1295" s="130" t="s">
        <v>1086</v>
      </c>
      <c r="F1295" s="195" t="s">
        <v>1325</v>
      </c>
      <c r="G1295" s="195" t="s">
        <v>1325</v>
      </c>
      <c r="H1295" s="195" t="s">
        <v>1325</v>
      </c>
      <c r="I1295" s="195" t="s">
        <v>1325</v>
      </c>
      <c r="J1295" s="132">
        <v>0.9</v>
      </c>
      <c r="K1295" s="133">
        <v>0.923076923076923</v>
      </c>
      <c r="L1295" s="133">
        <v>0.863157894736842</v>
      </c>
      <c r="M1295" s="134">
        <v>0.903508771929825</v>
      </c>
      <c r="N1295" s="133">
        <v>0.894020418084589</v>
      </c>
      <c r="O1295" s="135">
        <v>0.9</v>
      </c>
      <c r="P1295" s="133">
        <v>0.992592592592593</v>
      </c>
      <c r="Q1295" s="133">
        <v>0.987234042553191</v>
      </c>
      <c r="R1295" s="133">
        <v>0.982436472346786</v>
      </c>
      <c r="S1295" s="133">
        <v>0.990601523564678</v>
      </c>
      <c r="T1295" s="135">
        <v>0.9</v>
      </c>
      <c r="U1295" s="133">
        <v>0.954700854700855</v>
      </c>
      <c r="V1295" s="133">
        <v>0.951554828150573</v>
      </c>
      <c r="W1295" s="133">
        <v>0.956091180866966</v>
      </c>
      <c r="X1295" s="133">
        <v>0.958349576963196</v>
      </c>
      <c r="Y1295" s="135">
        <v>0.92</v>
      </c>
      <c r="Z1295" s="135">
        <v>0.967051775780916</v>
      </c>
      <c r="AA1295" s="135">
        <v>0.962252846015578</v>
      </c>
      <c r="AB1295" s="135">
        <v>0.966284987277354</v>
      </c>
      <c r="AC1295" s="135">
        <v>0.972483244662475</v>
      </c>
      <c r="AD1295" s="135">
        <v>0.92</v>
      </c>
      <c r="AE1295" s="133">
        <v>0.994890718137951</v>
      </c>
      <c r="AF1295" s="133">
        <v>0.991294117647059</v>
      </c>
      <c r="AG1295" s="133">
        <v>0.984524116584988</v>
      </c>
      <c r="AH1295" s="133">
        <v>0.984673044391297</v>
      </c>
      <c r="AI1295" s="135">
        <v>0.92</v>
      </c>
      <c r="AJ1295" s="133">
        <v>0.978796169630643</v>
      </c>
      <c r="AK1295" s="133">
        <v>0.975878121032586</v>
      </c>
      <c r="AL1295" s="133">
        <v>0.980348317251118</v>
      </c>
      <c r="AM1295" s="133">
        <v>0.983616211052515</v>
      </c>
      <c r="AN1295" s="132">
        <v>0.99</v>
      </c>
      <c r="AO1295" s="137">
        <v>1</v>
      </c>
      <c r="AP1295" s="137">
        <v>1</v>
      </c>
      <c r="AQ1295" s="137">
        <v>1</v>
      </c>
      <c r="AR1295" s="137">
        <v>1</v>
      </c>
      <c r="AS1295" s="158">
        <v>0.0721861525408278</v>
      </c>
      <c r="AT1295" s="141">
        <v>0.0454545454545455</v>
      </c>
      <c r="AU1295" s="141">
        <v>0</v>
      </c>
      <c r="AV1295" s="141">
        <v>0</v>
      </c>
      <c r="AW1295" s="141">
        <v>0.00563063063063063</v>
      </c>
      <c r="AX1295" s="95"/>
      <c r="AY1295" s="93"/>
    </row>
    <row r="1296" ht="15" spans="1:51">
      <c r="A1296" s="91"/>
      <c r="B1296" s="95"/>
      <c r="C1296" s="152" t="s">
        <v>1085</v>
      </c>
      <c r="D1296" s="153" t="s">
        <v>25</v>
      </c>
      <c r="E1296" s="130" t="s">
        <v>1086</v>
      </c>
      <c r="F1296" s="195" t="s">
        <v>1326</v>
      </c>
      <c r="G1296" s="195" t="s">
        <v>1326</v>
      </c>
      <c r="H1296" s="195" t="s">
        <v>1326</v>
      </c>
      <c r="I1296" s="195" t="s">
        <v>1326</v>
      </c>
      <c r="J1296" s="132">
        <v>0.9</v>
      </c>
      <c r="K1296" s="133">
        <v>0.96</v>
      </c>
      <c r="L1296" s="133">
        <v>0.9375</v>
      </c>
      <c r="M1296" s="134">
        <v>0.925373134328358</v>
      </c>
      <c r="N1296" s="133">
        <v>0.949280847842544</v>
      </c>
      <c r="O1296" s="135">
        <v>0.9</v>
      </c>
      <c r="P1296" s="133">
        <v>0.973875661375661</v>
      </c>
      <c r="Q1296" s="133">
        <v>0.96156862745098</v>
      </c>
      <c r="R1296" s="133">
        <v>0.968375875310594</v>
      </c>
      <c r="S1296" s="133">
        <v>0.969050442857503</v>
      </c>
      <c r="T1296" s="135">
        <v>0.9</v>
      </c>
      <c r="U1296" s="133">
        <v>0.96494708994709</v>
      </c>
      <c r="V1296" s="133">
        <v>0.965098039215686</v>
      </c>
      <c r="W1296" s="133">
        <v>0.960018070928394</v>
      </c>
      <c r="X1296" s="133">
        <v>0.950490802190315</v>
      </c>
      <c r="Y1296" s="135">
        <v>0.92</v>
      </c>
      <c r="Z1296" s="135">
        <v>0.95971692977681</v>
      </c>
      <c r="AA1296" s="135">
        <v>0.968335787923417</v>
      </c>
      <c r="AB1296" s="135">
        <v>0.959248901318418</v>
      </c>
      <c r="AC1296" s="135">
        <v>0.954157561817136</v>
      </c>
      <c r="AD1296" s="135">
        <v>0.92</v>
      </c>
      <c r="AE1296" s="133">
        <v>0.998135322322856</v>
      </c>
      <c r="AF1296" s="133">
        <v>0.998446400828586</v>
      </c>
      <c r="AG1296" s="133">
        <v>0.997679814385151</v>
      </c>
      <c r="AH1296" s="133">
        <v>0.997316336799732</v>
      </c>
      <c r="AI1296" s="135">
        <v>0.92</v>
      </c>
      <c r="AJ1296" s="133">
        <v>0.979432332373509</v>
      </c>
      <c r="AK1296" s="133">
        <v>0.980808597748209</v>
      </c>
      <c r="AL1296" s="133">
        <v>0.977633477633478</v>
      </c>
      <c r="AM1296" s="133">
        <v>0.975076993270218</v>
      </c>
      <c r="AN1296" s="132">
        <v>0.99</v>
      </c>
      <c r="AO1296" s="137">
        <v>1</v>
      </c>
      <c r="AP1296" s="137">
        <v>1</v>
      </c>
      <c r="AQ1296" s="137">
        <v>1</v>
      </c>
      <c r="AR1296" s="137">
        <v>1</v>
      </c>
      <c r="AS1296" s="158">
        <v>0.0721861525408278</v>
      </c>
      <c r="AT1296" s="141">
        <v>0</v>
      </c>
      <c r="AU1296" s="141">
        <v>0</v>
      </c>
      <c r="AV1296" s="141">
        <v>0</v>
      </c>
      <c r="AW1296" s="141">
        <v>0.0449172576832151</v>
      </c>
      <c r="AX1296" s="95"/>
      <c r="AY1296" s="93"/>
    </row>
    <row r="1297" ht="15" spans="1:51">
      <c r="A1297" s="91"/>
      <c r="B1297" s="95"/>
      <c r="C1297" s="152" t="s">
        <v>1085</v>
      </c>
      <c r="D1297" s="153" t="s">
        <v>25</v>
      </c>
      <c r="E1297" s="130" t="s">
        <v>1086</v>
      </c>
      <c r="F1297" s="195" t="s">
        <v>1327</v>
      </c>
      <c r="G1297" s="195" t="s">
        <v>1327</v>
      </c>
      <c r="H1297" s="195" t="s">
        <v>1327</v>
      </c>
      <c r="I1297" s="195" t="s">
        <v>1327</v>
      </c>
      <c r="J1297" s="132">
        <v>0.9</v>
      </c>
      <c r="K1297" s="133">
        <v>1</v>
      </c>
      <c r="L1297" s="133">
        <v>1</v>
      </c>
      <c r="M1297" s="134">
        <v>1</v>
      </c>
      <c r="N1297" s="133">
        <v>0.967013888888889</v>
      </c>
      <c r="O1297" s="135">
        <v>0.9</v>
      </c>
      <c r="P1297" s="133">
        <v>0.985135135135135</v>
      </c>
      <c r="Q1297" s="133">
        <v>0.995064774830352</v>
      </c>
      <c r="R1297" s="133">
        <v>0.958333333333333</v>
      </c>
      <c r="S1297" s="133">
        <v>0.981861305015767</v>
      </c>
      <c r="T1297" s="135">
        <v>0.9</v>
      </c>
      <c r="U1297" s="133">
        <v>0.943918918918919</v>
      </c>
      <c r="V1297" s="133">
        <v>0.946329426280074</v>
      </c>
      <c r="W1297" s="133">
        <v>0.955524344569288</v>
      </c>
      <c r="X1297" s="133">
        <v>0.950516130771097</v>
      </c>
      <c r="Y1297" s="135">
        <v>0.92</v>
      </c>
      <c r="Z1297" s="135">
        <v>0</v>
      </c>
      <c r="AA1297" s="135" t="s">
        <v>35</v>
      </c>
      <c r="AB1297" s="135" t="s">
        <v>35</v>
      </c>
      <c r="AC1297" s="135">
        <v>0</v>
      </c>
      <c r="AD1297" s="135">
        <v>0.92</v>
      </c>
      <c r="AE1297" s="133">
        <v>1</v>
      </c>
      <c r="AF1297" s="133">
        <v>1</v>
      </c>
      <c r="AG1297" s="133">
        <v>1</v>
      </c>
      <c r="AH1297" s="133">
        <v>0.991833030852995</v>
      </c>
      <c r="AI1297" s="135">
        <v>0.92</v>
      </c>
      <c r="AJ1297" s="133">
        <v>0.968286099865047</v>
      </c>
      <c r="AK1297" s="133">
        <v>0.985811227637261</v>
      </c>
      <c r="AL1297" s="133">
        <v>0.983614232209738</v>
      </c>
      <c r="AM1297" s="133">
        <v>0.985096749851776</v>
      </c>
      <c r="AN1297" s="132">
        <v>0.99</v>
      </c>
      <c r="AO1297" s="137">
        <v>1</v>
      </c>
      <c r="AP1297" s="137">
        <v>1</v>
      </c>
      <c r="AQ1297" s="137">
        <v>1</v>
      </c>
      <c r="AR1297" s="137">
        <v>1</v>
      </c>
      <c r="AS1297" s="158">
        <v>0.0721861525408278</v>
      </c>
      <c r="AT1297" s="141">
        <v>0</v>
      </c>
      <c r="AU1297" s="141">
        <v>0</v>
      </c>
      <c r="AV1297" s="141">
        <v>0</v>
      </c>
      <c r="AW1297" s="141">
        <v>0.0405405405405405</v>
      </c>
      <c r="AX1297" s="95"/>
      <c r="AY1297" s="93"/>
    </row>
    <row r="1298" ht="15" spans="1:51">
      <c r="A1298" s="91"/>
      <c r="B1298" s="95"/>
      <c r="C1298" s="152" t="s">
        <v>1085</v>
      </c>
      <c r="D1298" s="153" t="s">
        <v>25</v>
      </c>
      <c r="E1298" s="130" t="s">
        <v>1086</v>
      </c>
      <c r="F1298" s="195" t="s">
        <v>1328</v>
      </c>
      <c r="G1298" s="195" t="s">
        <v>1328</v>
      </c>
      <c r="H1298" s="195" t="s">
        <v>1328</v>
      </c>
      <c r="I1298" s="195" t="s">
        <v>1328</v>
      </c>
      <c r="J1298" s="132">
        <v>0.9</v>
      </c>
      <c r="K1298" s="133">
        <v>1</v>
      </c>
      <c r="L1298" s="133">
        <v>1</v>
      </c>
      <c r="M1298" s="134">
        <v>0.923076923076923</v>
      </c>
      <c r="N1298" s="133">
        <v>0.979035639412998</v>
      </c>
      <c r="O1298" s="135">
        <v>0.9</v>
      </c>
      <c r="P1298" s="133">
        <v>0.960960960960961</v>
      </c>
      <c r="Q1298" s="133">
        <v>0.991708126036484</v>
      </c>
      <c r="R1298" s="133">
        <v>0.987354085603113</v>
      </c>
      <c r="S1298" s="133">
        <v>0.988054116292458</v>
      </c>
      <c r="T1298" s="135">
        <v>0.9</v>
      </c>
      <c r="U1298" s="133">
        <v>0.918918918918919</v>
      </c>
      <c r="V1298" s="133">
        <v>0.930348258706468</v>
      </c>
      <c r="W1298" s="133">
        <v>0.944552529182879</v>
      </c>
      <c r="X1298" s="133">
        <v>0.93974285165995</v>
      </c>
      <c r="Y1298" s="135">
        <v>0.92</v>
      </c>
      <c r="Z1298" s="135">
        <v>0.959798994974874</v>
      </c>
      <c r="AA1298" s="135">
        <v>0.947019867549669</v>
      </c>
      <c r="AB1298" s="135">
        <v>0.933333333333333</v>
      </c>
      <c r="AC1298" s="135">
        <v>0.94177437570586</v>
      </c>
      <c r="AD1298" s="135">
        <v>0.92</v>
      </c>
      <c r="AE1298" s="133">
        <v>1</v>
      </c>
      <c r="AF1298" s="133">
        <v>1</v>
      </c>
      <c r="AG1298" s="133">
        <v>1</v>
      </c>
      <c r="AH1298" s="133">
        <v>0.998142299832807</v>
      </c>
      <c r="AI1298" s="135">
        <v>0.92</v>
      </c>
      <c r="AJ1298" s="133">
        <v>0.964285714285714</v>
      </c>
      <c r="AK1298" s="133">
        <v>0.962430939226519</v>
      </c>
      <c r="AL1298" s="133">
        <v>0.960796139927624</v>
      </c>
      <c r="AM1298" s="133">
        <v>0.970152361781141</v>
      </c>
      <c r="AN1298" s="132">
        <v>0.99</v>
      </c>
      <c r="AO1298" s="137">
        <v>1</v>
      </c>
      <c r="AP1298" s="137">
        <v>1</v>
      </c>
      <c r="AQ1298" s="137">
        <v>1</v>
      </c>
      <c r="AR1298" s="137">
        <v>1</v>
      </c>
      <c r="AS1298" s="158">
        <v>0.0721861525408278</v>
      </c>
      <c r="AT1298" s="141">
        <v>0</v>
      </c>
      <c r="AU1298" s="141">
        <v>0</v>
      </c>
      <c r="AV1298" s="141">
        <v>0.111111111111111</v>
      </c>
      <c r="AW1298" s="141">
        <v>0.0561797752808989</v>
      </c>
      <c r="AX1298" s="95"/>
      <c r="AY1298" s="93"/>
    </row>
    <row r="1299" ht="15" spans="1:51">
      <c r="A1299" s="91"/>
      <c r="B1299" s="95"/>
      <c r="C1299" s="152" t="s">
        <v>1085</v>
      </c>
      <c r="D1299" s="153" t="s">
        <v>25</v>
      </c>
      <c r="E1299" s="130" t="s">
        <v>1086</v>
      </c>
      <c r="F1299" s="195" t="s">
        <v>1329</v>
      </c>
      <c r="G1299" s="195" t="s">
        <v>1329</v>
      </c>
      <c r="H1299" s="195" t="s">
        <v>1329</v>
      </c>
      <c r="I1299" s="195" t="s">
        <v>1329</v>
      </c>
      <c r="J1299" s="132">
        <v>0.9</v>
      </c>
      <c r="K1299" s="133">
        <v>1</v>
      </c>
      <c r="L1299" s="133">
        <v>1</v>
      </c>
      <c r="M1299" s="134">
        <v>0.941176470588235</v>
      </c>
      <c r="N1299" s="133">
        <v>0.953296703296703</v>
      </c>
      <c r="O1299" s="135">
        <v>0.9</v>
      </c>
      <c r="P1299" s="133">
        <v>0.980424143556281</v>
      </c>
      <c r="Q1299" s="133">
        <v>0.980982567353407</v>
      </c>
      <c r="R1299" s="133">
        <v>0.989311163895487</v>
      </c>
      <c r="S1299" s="133">
        <v>0.98692264885921</v>
      </c>
      <c r="T1299" s="135">
        <v>0.9</v>
      </c>
      <c r="U1299" s="133">
        <v>0.900489396411093</v>
      </c>
      <c r="V1299" s="133">
        <v>0.925515055467512</v>
      </c>
      <c r="W1299" s="133">
        <v>0.888361045130641</v>
      </c>
      <c r="X1299" s="133">
        <v>0.934335002782415</v>
      </c>
      <c r="Y1299" s="135">
        <v>0.92</v>
      </c>
      <c r="Z1299" s="135">
        <v>0.887240356083086</v>
      </c>
      <c r="AA1299" s="135">
        <v>0.88936170212766</v>
      </c>
      <c r="AB1299" s="135">
        <v>0.922651933701657</v>
      </c>
      <c r="AC1299" s="135">
        <v>0.926315789473684</v>
      </c>
      <c r="AD1299" s="135">
        <v>0.92</v>
      </c>
      <c r="AE1299" s="133">
        <v>1</v>
      </c>
      <c r="AF1299" s="133">
        <v>0.961111111111111</v>
      </c>
      <c r="AG1299" s="133">
        <v>1</v>
      </c>
      <c r="AH1299" s="133">
        <v>0.983369486623283</v>
      </c>
      <c r="AI1299" s="135">
        <v>0.92</v>
      </c>
      <c r="AJ1299" s="133">
        <v>0.933684210526316</v>
      </c>
      <c r="AK1299" s="133">
        <v>0.94919168591224</v>
      </c>
      <c r="AL1299" s="133">
        <v>0.950180505415162</v>
      </c>
      <c r="AM1299" s="133">
        <v>0.96757559506621</v>
      </c>
      <c r="AN1299" s="132">
        <v>0.99</v>
      </c>
      <c r="AO1299" s="137">
        <v>1</v>
      </c>
      <c r="AP1299" s="137">
        <v>1</v>
      </c>
      <c r="AQ1299" s="137">
        <v>1</v>
      </c>
      <c r="AR1299" s="137">
        <v>1</v>
      </c>
      <c r="AS1299" s="158">
        <v>0.0721861525408278</v>
      </c>
      <c r="AT1299" s="141">
        <v>0</v>
      </c>
      <c r="AU1299" s="141">
        <v>0</v>
      </c>
      <c r="AV1299" s="141">
        <v>0.142857142857143</v>
      </c>
      <c r="AW1299" s="141">
        <v>0.0434782608695652</v>
      </c>
      <c r="AX1299" s="95"/>
      <c r="AY1299" s="93"/>
    </row>
    <row r="1300" ht="15" spans="1:51">
      <c r="A1300" s="91"/>
      <c r="B1300" s="95"/>
      <c r="C1300" s="152" t="s">
        <v>1085</v>
      </c>
      <c r="D1300" s="153" t="s">
        <v>25</v>
      </c>
      <c r="E1300" s="130" t="s">
        <v>1086</v>
      </c>
      <c r="F1300" s="195" t="s">
        <v>1330</v>
      </c>
      <c r="G1300" s="195" t="s">
        <v>1330</v>
      </c>
      <c r="H1300" s="195" t="s">
        <v>1330</v>
      </c>
      <c r="I1300" s="195" t="s">
        <v>1330</v>
      </c>
      <c r="J1300" s="132">
        <v>0.9</v>
      </c>
      <c r="K1300" s="133">
        <v>0.981818181818182</v>
      </c>
      <c r="L1300" s="133">
        <v>0.914893617021277</v>
      </c>
      <c r="M1300" s="134">
        <v>0.927272727272727</v>
      </c>
      <c r="N1300" s="133">
        <v>0.927651139742319</v>
      </c>
      <c r="O1300" s="135">
        <v>0.9</v>
      </c>
      <c r="P1300" s="133">
        <v>0.995231902904205</v>
      </c>
      <c r="Q1300" s="133">
        <v>0.993267736923874</v>
      </c>
      <c r="R1300" s="133">
        <v>0.980122771119556</v>
      </c>
      <c r="S1300" s="133">
        <v>0.980667658068817</v>
      </c>
      <c r="T1300" s="135">
        <v>0.9</v>
      </c>
      <c r="U1300" s="133">
        <v>0.952319029042046</v>
      </c>
      <c r="V1300" s="133">
        <v>0.94665976178146</v>
      </c>
      <c r="W1300" s="133">
        <v>0.962876351943876</v>
      </c>
      <c r="X1300" s="133">
        <v>0.945541254294652</v>
      </c>
      <c r="Y1300" s="135">
        <v>0.92</v>
      </c>
      <c r="Z1300" s="135">
        <v>0.948186528497409</v>
      </c>
      <c r="AA1300" s="135">
        <v>0.933528836754643</v>
      </c>
      <c r="AB1300" s="135">
        <v>0.975077881619938</v>
      </c>
      <c r="AC1300" s="135">
        <v>0.963824540912335</v>
      </c>
      <c r="AD1300" s="135">
        <v>0.92</v>
      </c>
      <c r="AE1300" s="133">
        <v>0.997950819672131</v>
      </c>
      <c r="AF1300" s="133">
        <v>0.996753246753247</v>
      </c>
      <c r="AG1300" s="133">
        <v>0.994233937397035</v>
      </c>
      <c r="AH1300" s="133">
        <v>0.990223308521275</v>
      </c>
      <c r="AI1300" s="135">
        <v>0.92</v>
      </c>
      <c r="AJ1300" s="133">
        <v>0.969382176052488</v>
      </c>
      <c r="AK1300" s="133">
        <v>0.961408259986459</v>
      </c>
      <c r="AL1300" s="133">
        <v>0.986160463811483</v>
      </c>
      <c r="AM1300" s="133">
        <v>0.979828282941354</v>
      </c>
      <c r="AN1300" s="132">
        <v>0.99</v>
      </c>
      <c r="AO1300" s="137">
        <v>1</v>
      </c>
      <c r="AP1300" s="137">
        <v>1</v>
      </c>
      <c r="AQ1300" s="137">
        <v>1</v>
      </c>
      <c r="AR1300" s="137">
        <v>1</v>
      </c>
      <c r="AS1300" s="158">
        <v>0.0721861525408278</v>
      </c>
      <c r="AT1300" s="141">
        <v>0</v>
      </c>
      <c r="AU1300" s="141">
        <v>0</v>
      </c>
      <c r="AV1300" s="141">
        <v>0.0769230769230769</v>
      </c>
      <c r="AW1300" s="141">
        <v>0.0478723404255319</v>
      </c>
      <c r="AX1300" s="95"/>
      <c r="AY1300" s="93"/>
    </row>
    <row r="1301" ht="15" spans="1:51">
      <c r="A1301" s="91"/>
      <c r="B1301" s="95"/>
      <c r="C1301" s="152" t="s">
        <v>1085</v>
      </c>
      <c r="D1301" s="153" t="s">
        <v>25</v>
      </c>
      <c r="E1301" s="130" t="s">
        <v>1086</v>
      </c>
      <c r="F1301" s="195" t="s">
        <v>1331</v>
      </c>
      <c r="G1301" s="195" t="s">
        <v>1331</v>
      </c>
      <c r="H1301" s="195" t="s">
        <v>1331</v>
      </c>
      <c r="I1301" s="195" t="s">
        <v>1331</v>
      </c>
      <c r="J1301" s="132">
        <v>0.9</v>
      </c>
      <c r="K1301" s="133">
        <v>0.923076923076923</v>
      </c>
      <c r="L1301" s="133">
        <v>0.882352941176471</v>
      </c>
      <c r="M1301" s="134">
        <v>0.871794871794872</v>
      </c>
      <c r="N1301" s="133">
        <v>0.921652421652422</v>
      </c>
      <c r="O1301" s="135">
        <v>0.9</v>
      </c>
      <c r="P1301" s="133">
        <v>0.973907371167645</v>
      </c>
      <c r="Q1301" s="133">
        <v>0.992430613961312</v>
      </c>
      <c r="R1301" s="133">
        <v>0.990437158469945</v>
      </c>
      <c r="S1301" s="133">
        <v>0.932852696267525</v>
      </c>
      <c r="T1301" s="135">
        <v>0.9</v>
      </c>
      <c r="U1301" s="133">
        <v>0.960861056751468</v>
      </c>
      <c r="V1301" s="133">
        <v>0.967199327165685</v>
      </c>
      <c r="W1301" s="133">
        <v>0.969034608378871</v>
      </c>
      <c r="X1301" s="133">
        <v>0.970177445529277</v>
      </c>
      <c r="Y1301" s="135">
        <v>0.92</v>
      </c>
      <c r="Z1301" s="135">
        <v>0.963696369636964</v>
      </c>
      <c r="AA1301" s="135">
        <v>0.96048632218845</v>
      </c>
      <c r="AB1301" s="135">
        <v>0.965439519158527</v>
      </c>
      <c r="AC1301" s="135">
        <v>0.965749296906388</v>
      </c>
      <c r="AD1301" s="135">
        <v>0.92</v>
      </c>
      <c r="AE1301" s="133">
        <v>0.997126436781609</v>
      </c>
      <c r="AF1301" s="133">
        <v>0.990950226244344</v>
      </c>
      <c r="AG1301" s="133">
        <v>1</v>
      </c>
      <c r="AH1301" s="133">
        <v>0.996528039852064</v>
      </c>
      <c r="AI1301" s="135">
        <v>0.92</v>
      </c>
      <c r="AJ1301" s="133">
        <v>0.975429975429975</v>
      </c>
      <c r="AK1301" s="133">
        <v>0.97509474824039</v>
      </c>
      <c r="AL1301" s="133">
        <v>0.981854267082506</v>
      </c>
      <c r="AM1301" s="133">
        <v>0.98370519798967</v>
      </c>
      <c r="AN1301" s="132">
        <v>0.99</v>
      </c>
      <c r="AO1301" s="137">
        <v>1</v>
      </c>
      <c r="AP1301" s="137">
        <v>1</v>
      </c>
      <c r="AQ1301" s="137">
        <v>1</v>
      </c>
      <c r="AR1301" s="137">
        <v>1</v>
      </c>
      <c r="AS1301" s="158">
        <v>0.0721861525408278</v>
      </c>
      <c r="AT1301" s="141">
        <v>0</v>
      </c>
      <c r="AU1301" s="141">
        <v>0</v>
      </c>
      <c r="AV1301" s="141">
        <v>0</v>
      </c>
      <c r="AW1301" s="141">
        <v>0.0170454545454545</v>
      </c>
      <c r="AX1301" s="95"/>
      <c r="AY1301" s="93"/>
    </row>
    <row r="1302" ht="15" spans="1:51">
      <c r="A1302" s="91"/>
      <c r="B1302" s="95"/>
      <c r="C1302" s="152" t="s">
        <v>1085</v>
      </c>
      <c r="D1302" s="153" t="s">
        <v>25</v>
      </c>
      <c r="E1302" s="130" t="s">
        <v>1086</v>
      </c>
      <c r="F1302" s="195" t="s">
        <v>1332</v>
      </c>
      <c r="G1302" s="195" t="s">
        <v>1332</v>
      </c>
      <c r="H1302" s="195" t="s">
        <v>1332</v>
      </c>
      <c r="I1302" s="195" t="s">
        <v>1332</v>
      </c>
      <c r="J1302" s="132">
        <v>0.9</v>
      </c>
      <c r="K1302" s="133">
        <v>0.983050847457627</v>
      </c>
      <c r="L1302" s="133">
        <v>1</v>
      </c>
      <c r="M1302" s="134">
        <v>0.980392156862745</v>
      </c>
      <c r="N1302" s="133">
        <v>0.977933801404213</v>
      </c>
      <c r="O1302" s="135">
        <v>0.9</v>
      </c>
      <c r="P1302" s="133">
        <v>0.991138825073843</v>
      </c>
      <c r="Q1302" s="133">
        <v>0.98272884283247</v>
      </c>
      <c r="R1302" s="133">
        <v>0.987422821861422</v>
      </c>
      <c r="S1302" s="133">
        <v>0.986318128479764</v>
      </c>
      <c r="T1302" s="135">
        <v>0.9</v>
      </c>
      <c r="U1302" s="133">
        <v>0.879225467673121</v>
      </c>
      <c r="V1302" s="133">
        <v>0.894645941278066</v>
      </c>
      <c r="W1302" s="133">
        <v>0.861193688543334</v>
      </c>
      <c r="X1302" s="133">
        <v>0.875976830699323</v>
      </c>
      <c r="Y1302" s="135">
        <v>0.92</v>
      </c>
      <c r="Z1302" s="135" t="s">
        <v>35</v>
      </c>
      <c r="AA1302" s="135">
        <v>0</v>
      </c>
      <c r="AB1302" s="135" t="s">
        <v>35</v>
      </c>
      <c r="AC1302" s="135">
        <v>0</v>
      </c>
      <c r="AD1302" s="135">
        <v>0.92</v>
      </c>
      <c r="AE1302" s="133">
        <v>1</v>
      </c>
      <c r="AF1302" s="133">
        <v>0.993865030674847</v>
      </c>
      <c r="AG1302" s="133">
        <v>1</v>
      </c>
      <c r="AH1302" s="133">
        <v>0.995578983166128</v>
      </c>
      <c r="AI1302" s="135">
        <v>0.92</v>
      </c>
      <c r="AJ1302" s="133">
        <v>0.963242533639646</v>
      </c>
      <c r="AK1302" s="133">
        <v>0.961726618705036</v>
      </c>
      <c r="AL1302" s="133">
        <v>0.968671392636634</v>
      </c>
      <c r="AM1302" s="133">
        <v>0.967543410688204</v>
      </c>
      <c r="AN1302" s="132">
        <v>0.99</v>
      </c>
      <c r="AO1302" s="137">
        <v>1</v>
      </c>
      <c r="AP1302" s="137">
        <v>1</v>
      </c>
      <c r="AQ1302" s="137">
        <v>1</v>
      </c>
      <c r="AR1302" s="137">
        <v>1</v>
      </c>
      <c r="AS1302" s="158">
        <v>0.0721861525408278</v>
      </c>
      <c r="AT1302" s="141">
        <v>0</v>
      </c>
      <c r="AU1302" s="141">
        <v>0</v>
      </c>
      <c r="AV1302" s="141">
        <v>0.153846153846154</v>
      </c>
      <c r="AW1302" s="141">
        <v>0.0195121951219512</v>
      </c>
      <c r="AX1302" s="95"/>
      <c r="AY1302" s="93"/>
    </row>
    <row r="1303" ht="15" spans="1:51">
      <c r="A1303" s="91"/>
      <c r="B1303" s="95"/>
      <c r="C1303" s="152" t="s">
        <v>1085</v>
      </c>
      <c r="D1303" s="153" t="s">
        <v>125</v>
      </c>
      <c r="E1303" s="130" t="s">
        <v>1086</v>
      </c>
      <c r="F1303" s="195" t="s">
        <v>1333</v>
      </c>
      <c r="G1303" s="195" t="s">
        <v>1333</v>
      </c>
      <c r="H1303" s="195" t="s">
        <v>1333</v>
      </c>
      <c r="I1303" s="195" t="s">
        <v>1333</v>
      </c>
      <c r="J1303" s="132">
        <v>0.9</v>
      </c>
      <c r="K1303" s="133" t="s">
        <v>35</v>
      </c>
      <c r="L1303" s="133" t="s">
        <v>35</v>
      </c>
      <c r="M1303" s="134" t="s">
        <v>35</v>
      </c>
      <c r="N1303" s="133" t="s">
        <v>35</v>
      </c>
      <c r="O1303" s="135">
        <v>0.9</v>
      </c>
      <c r="P1303" s="133" t="s">
        <v>35</v>
      </c>
      <c r="Q1303" s="133" t="s">
        <v>35</v>
      </c>
      <c r="R1303" s="133" t="s">
        <v>35</v>
      </c>
      <c r="S1303" s="133" t="s">
        <v>35</v>
      </c>
      <c r="T1303" s="135">
        <v>0.9</v>
      </c>
      <c r="U1303" s="133" t="s">
        <v>35</v>
      </c>
      <c r="V1303" s="133" t="s">
        <v>35</v>
      </c>
      <c r="W1303" s="133" t="s">
        <v>35</v>
      </c>
      <c r="X1303" s="133" t="s">
        <v>35</v>
      </c>
      <c r="Y1303" s="135">
        <v>0.92</v>
      </c>
      <c r="Z1303" s="135" t="s">
        <v>35</v>
      </c>
      <c r="AA1303" s="135" t="s">
        <v>35</v>
      </c>
      <c r="AB1303" s="135" t="s">
        <v>35</v>
      </c>
      <c r="AC1303" s="135" t="s">
        <v>35</v>
      </c>
      <c r="AD1303" s="135">
        <v>0.92</v>
      </c>
      <c r="AE1303" s="133">
        <v>0.993303571428571</v>
      </c>
      <c r="AF1303" s="133">
        <v>0.985106382978723</v>
      </c>
      <c r="AG1303" s="133">
        <v>1</v>
      </c>
      <c r="AH1303" s="133">
        <v>0.992611795204148</v>
      </c>
      <c r="AI1303" s="135">
        <v>0.92</v>
      </c>
      <c r="AJ1303" s="133" t="s">
        <v>35</v>
      </c>
      <c r="AK1303" s="133" t="s">
        <v>35</v>
      </c>
      <c r="AL1303" s="133" t="s">
        <v>35</v>
      </c>
      <c r="AM1303" s="133" t="s">
        <v>35</v>
      </c>
      <c r="AN1303" s="132">
        <v>0.99</v>
      </c>
      <c r="AO1303" s="137">
        <v>1</v>
      </c>
      <c r="AP1303" s="137">
        <v>1</v>
      </c>
      <c r="AQ1303" s="137">
        <v>1</v>
      </c>
      <c r="AR1303" s="137">
        <v>1</v>
      </c>
      <c r="AS1303" s="158">
        <v>0.0721861525408278</v>
      </c>
      <c r="AT1303" s="141" t="s">
        <v>35</v>
      </c>
      <c r="AU1303" s="141" t="s">
        <v>35</v>
      </c>
      <c r="AV1303" s="141" t="s">
        <v>35</v>
      </c>
      <c r="AW1303" s="141" t="s">
        <v>35</v>
      </c>
      <c r="AX1303" s="95"/>
      <c r="AY1303" s="93"/>
    </row>
    <row r="1304" ht="15" spans="1:51">
      <c r="A1304" s="91"/>
      <c r="B1304" s="95"/>
      <c r="C1304" s="152" t="s">
        <v>1085</v>
      </c>
      <c r="D1304" s="153" t="s">
        <v>25</v>
      </c>
      <c r="E1304" s="130" t="s">
        <v>1086</v>
      </c>
      <c r="F1304" s="195" t="s">
        <v>1334</v>
      </c>
      <c r="G1304" s="195" t="s">
        <v>1334</v>
      </c>
      <c r="H1304" s="195" t="s">
        <v>1334</v>
      </c>
      <c r="I1304" s="195" t="s">
        <v>1334</v>
      </c>
      <c r="J1304" s="132">
        <v>0.9</v>
      </c>
      <c r="K1304" s="133">
        <v>0.962962962962963</v>
      </c>
      <c r="L1304" s="133">
        <v>0.863636363636364</v>
      </c>
      <c r="M1304" s="134">
        <v>1</v>
      </c>
      <c r="N1304" s="133">
        <v>0.958071278825996</v>
      </c>
      <c r="O1304" s="135">
        <v>0.9</v>
      </c>
      <c r="P1304" s="133">
        <v>1</v>
      </c>
      <c r="Q1304" s="133">
        <v>0.99359795134443</v>
      </c>
      <c r="R1304" s="133">
        <v>0.994413407821229</v>
      </c>
      <c r="S1304" s="133">
        <v>0.937689050211736</v>
      </c>
      <c r="T1304" s="135">
        <v>0.9</v>
      </c>
      <c r="U1304" s="133">
        <v>0.95841784989858</v>
      </c>
      <c r="V1304" s="133">
        <v>0.95134443021767</v>
      </c>
      <c r="W1304" s="133">
        <v>0.974860335195531</v>
      </c>
      <c r="X1304" s="133">
        <v>0.960112925993144</v>
      </c>
      <c r="Y1304" s="135">
        <v>0.92</v>
      </c>
      <c r="Z1304" s="135">
        <v>0.947546531302876</v>
      </c>
      <c r="AA1304" s="135">
        <v>0.937649880095923</v>
      </c>
      <c r="AB1304" s="135">
        <v>0.961822660098522</v>
      </c>
      <c r="AC1304" s="135">
        <v>0.964340845940105</v>
      </c>
      <c r="AD1304" s="135">
        <v>0.92</v>
      </c>
      <c r="AE1304" s="133">
        <v>1</v>
      </c>
      <c r="AF1304" s="133">
        <v>1</v>
      </c>
      <c r="AG1304" s="133">
        <v>1</v>
      </c>
      <c r="AH1304" s="133">
        <v>0.989471165350562</v>
      </c>
      <c r="AI1304" s="135">
        <v>0.92</v>
      </c>
      <c r="AJ1304" s="133">
        <v>0.96575776791376</v>
      </c>
      <c r="AK1304" s="133">
        <v>0.962437395659432</v>
      </c>
      <c r="AL1304" s="133">
        <v>0.979946524064171</v>
      </c>
      <c r="AM1304" s="133">
        <v>0.980372940615564</v>
      </c>
      <c r="AN1304" s="132">
        <v>0.99</v>
      </c>
      <c r="AO1304" s="137">
        <v>1</v>
      </c>
      <c r="AP1304" s="137">
        <v>1</v>
      </c>
      <c r="AQ1304" s="137">
        <v>1</v>
      </c>
      <c r="AR1304" s="137">
        <v>1</v>
      </c>
      <c r="AS1304" s="158">
        <v>0.0721861525408278</v>
      </c>
      <c r="AT1304" s="141">
        <v>0</v>
      </c>
      <c r="AU1304" s="141">
        <v>0</v>
      </c>
      <c r="AV1304" s="141">
        <v>0</v>
      </c>
      <c r="AW1304" s="141">
        <v>0.121621621621622</v>
      </c>
      <c r="AX1304" s="95"/>
      <c r="AY1304" s="93"/>
    </row>
    <row r="1305" ht="15" spans="1:51">
      <c r="A1305" s="91"/>
      <c r="B1305" s="95"/>
      <c r="C1305" s="152" t="s">
        <v>1085</v>
      </c>
      <c r="D1305" s="153" t="s">
        <v>25</v>
      </c>
      <c r="E1305" s="130" t="s">
        <v>1086</v>
      </c>
      <c r="F1305" s="195" t="s">
        <v>1335</v>
      </c>
      <c r="G1305" s="195" t="s">
        <v>1335</v>
      </c>
      <c r="H1305" s="195" t="s">
        <v>1335</v>
      </c>
      <c r="I1305" s="195" t="s">
        <v>1335</v>
      </c>
      <c r="J1305" s="132">
        <v>0.9</v>
      </c>
      <c r="K1305" s="133">
        <v>0.833333333333333</v>
      </c>
      <c r="L1305" s="133">
        <v>0.854545454545454</v>
      </c>
      <c r="M1305" s="134">
        <v>0.839285714285714</v>
      </c>
      <c r="N1305" s="133">
        <v>0.903533906399236</v>
      </c>
      <c r="O1305" s="135">
        <v>0.9</v>
      </c>
      <c r="P1305" s="133">
        <v>0.974317383076507</v>
      </c>
      <c r="Q1305" s="133">
        <v>0.989084132055378</v>
      </c>
      <c r="R1305" s="133">
        <v>0.980660757453666</v>
      </c>
      <c r="S1305" s="133">
        <v>0.978368519834159</v>
      </c>
      <c r="T1305" s="135">
        <v>0.9</v>
      </c>
      <c r="U1305" s="133">
        <v>0.94728304947283</v>
      </c>
      <c r="V1305" s="133">
        <v>0.925452609158679</v>
      </c>
      <c r="W1305" s="133">
        <v>0.928686543110395</v>
      </c>
      <c r="X1305" s="133">
        <v>0.910123320644279</v>
      </c>
      <c r="Y1305" s="135">
        <v>0.92</v>
      </c>
      <c r="Z1305" s="135" t="s">
        <v>35</v>
      </c>
      <c r="AA1305" s="135" t="s">
        <v>35</v>
      </c>
      <c r="AB1305" s="135" t="s">
        <v>35</v>
      </c>
      <c r="AC1305" s="135" t="s">
        <v>35</v>
      </c>
      <c r="AD1305" s="135">
        <v>0.92</v>
      </c>
      <c r="AE1305" s="133">
        <v>0.998153277931671</v>
      </c>
      <c r="AF1305" s="133">
        <v>0.993621545003544</v>
      </c>
      <c r="AG1305" s="133">
        <v>0.994891443167305</v>
      </c>
      <c r="AH1305" s="133">
        <v>0.994151122352197</v>
      </c>
      <c r="AI1305" s="135">
        <v>0.92</v>
      </c>
      <c r="AJ1305" s="133">
        <v>0.97404703974047</v>
      </c>
      <c r="AK1305" s="133">
        <v>0.974707135250266</v>
      </c>
      <c r="AL1305" s="133">
        <v>0.971192586623691</v>
      </c>
      <c r="AM1305" s="133">
        <v>0.983532505540416</v>
      </c>
      <c r="AN1305" s="132">
        <v>0.99</v>
      </c>
      <c r="AO1305" s="137">
        <v>1</v>
      </c>
      <c r="AP1305" s="137">
        <v>1</v>
      </c>
      <c r="AQ1305" s="137">
        <v>1</v>
      </c>
      <c r="AR1305" s="137">
        <v>1</v>
      </c>
      <c r="AS1305" s="158">
        <v>0.0721861525408278</v>
      </c>
      <c r="AT1305" s="141">
        <v>0.0909090909090909</v>
      </c>
      <c r="AU1305" s="141">
        <v>0</v>
      </c>
      <c r="AV1305" s="141">
        <v>0</v>
      </c>
      <c r="AW1305" s="141">
        <v>0.0481927710843374</v>
      </c>
      <c r="AX1305" s="95"/>
      <c r="AY1305" s="93"/>
    </row>
    <row r="1306" ht="15" spans="1:51">
      <c r="A1306" s="91"/>
      <c r="B1306" s="95"/>
      <c r="C1306" s="152" t="s">
        <v>1085</v>
      </c>
      <c r="D1306" s="153" t="s">
        <v>25</v>
      </c>
      <c r="E1306" s="130" t="s">
        <v>1086</v>
      </c>
      <c r="F1306" s="195" t="s">
        <v>1336</v>
      </c>
      <c r="G1306" s="195" t="s">
        <v>1336</v>
      </c>
      <c r="H1306" s="195" t="s">
        <v>1336</v>
      </c>
      <c r="I1306" s="195" t="s">
        <v>1336</v>
      </c>
      <c r="J1306" s="132">
        <v>0.9</v>
      </c>
      <c r="K1306" s="133">
        <v>0.936170212765957</v>
      </c>
      <c r="L1306" s="133">
        <v>0.934782608695652</v>
      </c>
      <c r="M1306" s="134">
        <v>0.897959183673469</v>
      </c>
      <c r="N1306" s="133">
        <v>0.91304347826087</v>
      </c>
      <c r="O1306" s="135">
        <v>0.9</v>
      </c>
      <c r="P1306" s="133">
        <v>0.984699882306787</v>
      </c>
      <c r="Q1306" s="133">
        <v>0.992318946598391</v>
      </c>
      <c r="R1306" s="133">
        <v>0.989784335981839</v>
      </c>
      <c r="S1306" s="133">
        <v>0.989687297344321</v>
      </c>
      <c r="T1306" s="135">
        <v>0.9</v>
      </c>
      <c r="U1306" s="133">
        <v>0.914083954491958</v>
      </c>
      <c r="V1306" s="133">
        <v>0.927212874908559</v>
      </c>
      <c r="W1306" s="133">
        <v>0.937003405221339</v>
      </c>
      <c r="X1306" s="133">
        <v>0.941350457902978</v>
      </c>
      <c r="Y1306" s="135">
        <v>0.92</v>
      </c>
      <c r="Z1306" s="135" t="s">
        <v>35</v>
      </c>
      <c r="AA1306" s="135" t="s">
        <v>35</v>
      </c>
      <c r="AB1306" s="135" t="s">
        <v>35</v>
      </c>
      <c r="AC1306" s="135" t="s">
        <v>35</v>
      </c>
      <c r="AD1306" s="135">
        <v>0.92</v>
      </c>
      <c r="AE1306" s="133">
        <v>0.995348837209302</v>
      </c>
      <c r="AF1306" s="133">
        <v>0.995789473684211</v>
      </c>
      <c r="AG1306" s="133">
        <v>0.9925</v>
      </c>
      <c r="AH1306" s="133">
        <v>0.993563407285675</v>
      </c>
      <c r="AI1306" s="135">
        <v>0.92</v>
      </c>
      <c r="AJ1306" s="133">
        <v>0.946645743428796</v>
      </c>
      <c r="AK1306" s="133">
        <v>0.957571324067301</v>
      </c>
      <c r="AL1306" s="133">
        <v>0.967650397275823</v>
      </c>
      <c r="AM1306" s="133">
        <v>0.974819290448096</v>
      </c>
      <c r="AN1306" s="132">
        <v>0.99</v>
      </c>
      <c r="AO1306" s="137">
        <v>1</v>
      </c>
      <c r="AP1306" s="137">
        <v>1</v>
      </c>
      <c r="AQ1306" s="137">
        <v>1</v>
      </c>
      <c r="AR1306" s="137">
        <v>1</v>
      </c>
      <c r="AS1306" s="158">
        <v>0.0721861525408278</v>
      </c>
      <c r="AT1306" s="141">
        <v>0.0769230769230769</v>
      </c>
      <c r="AU1306" s="141">
        <v>0</v>
      </c>
      <c r="AV1306" s="141">
        <v>0</v>
      </c>
      <c r="AW1306" s="141">
        <v>0.029126213592233</v>
      </c>
      <c r="AX1306" s="95"/>
      <c r="AY1306" s="93"/>
    </row>
    <row r="1307" ht="15" spans="1:51">
      <c r="A1307" s="91"/>
      <c r="B1307" s="95"/>
      <c r="C1307" s="152" t="s">
        <v>1085</v>
      </c>
      <c r="D1307" s="153" t="s">
        <v>25</v>
      </c>
      <c r="E1307" s="130" t="s">
        <v>1086</v>
      </c>
      <c r="F1307" s="195" t="s">
        <v>1337</v>
      </c>
      <c r="G1307" s="195" t="s">
        <v>1337</v>
      </c>
      <c r="H1307" s="195" t="s">
        <v>1337</v>
      </c>
      <c r="I1307" s="195" t="s">
        <v>1337</v>
      </c>
      <c r="J1307" s="132">
        <v>0.9</v>
      </c>
      <c r="K1307" s="133">
        <v>0.972222222222222</v>
      </c>
      <c r="L1307" s="133">
        <v>0.970588235294118</v>
      </c>
      <c r="M1307" s="134">
        <v>0.861111111111111</v>
      </c>
      <c r="N1307" s="133">
        <v>0.953030303030303</v>
      </c>
      <c r="O1307" s="135">
        <v>0.9</v>
      </c>
      <c r="P1307" s="133">
        <v>0.984343637093537</v>
      </c>
      <c r="Q1307" s="133">
        <v>0.971998465669352</v>
      </c>
      <c r="R1307" s="133">
        <v>0.979628520071899</v>
      </c>
      <c r="S1307" s="133">
        <v>0.981982279820153</v>
      </c>
      <c r="T1307" s="135">
        <v>0.9</v>
      </c>
      <c r="U1307" s="133">
        <v>0.967884383781614</v>
      </c>
      <c r="V1307" s="133">
        <v>0.966244725738397</v>
      </c>
      <c r="W1307" s="133">
        <v>0.960754943079688</v>
      </c>
      <c r="X1307" s="133">
        <v>0.965419201269505</v>
      </c>
      <c r="Y1307" s="135">
        <v>0.92</v>
      </c>
      <c r="Z1307" s="135" t="s">
        <v>35</v>
      </c>
      <c r="AA1307" s="135">
        <v>1</v>
      </c>
      <c r="AB1307" s="135" t="s">
        <v>35</v>
      </c>
      <c r="AC1307" s="135">
        <v>1</v>
      </c>
      <c r="AD1307" s="135">
        <v>0.92</v>
      </c>
      <c r="AE1307" s="133">
        <v>1</v>
      </c>
      <c r="AF1307" s="133">
        <v>0.992647058823529</v>
      </c>
      <c r="AG1307" s="133">
        <v>0.997481108312343</v>
      </c>
      <c r="AH1307" s="133">
        <v>0.9908092355974</v>
      </c>
      <c r="AI1307" s="135">
        <v>0.92</v>
      </c>
      <c r="AJ1307" s="133">
        <v>0.975110397430751</v>
      </c>
      <c r="AK1307" s="133">
        <v>0.979294478527607</v>
      </c>
      <c r="AL1307" s="133">
        <v>0.983523067705213</v>
      </c>
      <c r="AM1307" s="133">
        <v>0.985635651354613</v>
      </c>
      <c r="AN1307" s="132">
        <v>0.99</v>
      </c>
      <c r="AO1307" s="137">
        <v>1</v>
      </c>
      <c r="AP1307" s="137">
        <v>1</v>
      </c>
      <c r="AQ1307" s="137">
        <v>1</v>
      </c>
      <c r="AR1307" s="137">
        <v>1</v>
      </c>
      <c r="AS1307" s="158">
        <v>0.0721861525408278</v>
      </c>
      <c r="AT1307" s="141">
        <v>0</v>
      </c>
      <c r="AU1307" s="141">
        <v>0</v>
      </c>
      <c r="AV1307" s="141">
        <v>0</v>
      </c>
      <c r="AW1307" s="141">
        <v>0.037593984962406</v>
      </c>
      <c r="AX1307" s="95"/>
      <c r="AY1307" s="93"/>
    </row>
    <row r="1308" ht="15" spans="1:51">
      <c r="A1308" s="91"/>
      <c r="B1308" s="95"/>
      <c r="C1308" s="152" t="s">
        <v>1085</v>
      </c>
      <c r="D1308" s="153" t="s">
        <v>25</v>
      </c>
      <c r="E1308" s="130" t="s">
        <v>1086</v>
      </c>
      <c r="F1308" s="195" t="s">
        <v>1338</v>
      </c>
      <c r="G1308" s="195" t="s">
        <v>1338</v>
      </c>
      <c r="H1308" s="195" t="s">
        <v>1338</v>
      </c>
      <c r="I1308" s="195" t="s">
        <v>1338</v>
      </c>
      <c r="J1308" s="132">
        <v>0.9</v>
      </c>
      <c r="K1308" s="133">
        <v>0.964285714285714</v>
      </c>
      <c r="L1308" s="133">
        <v>0.962962962962963</v>
      </c>
      <c r="M1308" s="134">
        <v>1</v>
      </c>
      <c r="N1308" s="133">
        <v>0.969818913480885</v>
      </c>
      <c r="O1308" s="135">
        <v>0.9</v>
      </c>
      <c r="P1308" s="133">
        <v>0.991212653778559</v>
      </c>
      <c r="Q1308" s="133">
        <v>0.993534482758621</v>
      </c>
      <c r="R1308" s="133">
        <v>0.993254637436762</v>
      </c>
      <c r="S1308" s="133">
        <v>0.981199256134621</v>
      </c>
      <c r="T1308" s="135">
        <v>0.9</v>
      </c>
      <c r="U1308" s="133">
        <v>0.951376684241359</v>
      </c>
      <c r="V1308" s="133">
        <v>0.94989224137931</v>
      </c>
      <c r="W1308" s="133">
        <v>0.967116357504216</v>
      </c>
      <c r="X1308" s="133">
        <v>0.921644668208827</v>
      </c>
      <c r="Y1308" s="135">
        <v>0.92</v>
      </c>
      <c r="Z1308" s="135" t="s">
        <v>35</v>
      </c>
      <c r="AA1308" s="135" t="s">
        <v>35</v>
      </c>
      <c r="AB1308" s="135" t="s">
        <v>35</v>
      </c>
      <c r="AC1308" s="135">
        <v>0</v>
      </c>
      <c r="AD1308" s="135">
        <v>0.92</v>
      </c>
      <c r="AE1308" s="133">
        <v>0.996240601503759</v>
      </c>
      <c r="AF1308" s="133">
        <v>0.987012987012987</v>
      </c>
      <c r="AG1308" s="133">
        <v>1</v>
      </c>
      <c r="AH1308" s="133">
        <v>0.992107508532423</v>
      </c>
      <c r="AI1308" s="135">
        <v>0.92</v>
      </c>
      <c r="AJ1308" s="133">
        <v>0.968365553602812</v>
      </c>
      <c r="AK1308" s="133">
        <v>0.964978448275862</v>
      </c>
      <c r="AL1308" s="133">
        <v>0.981871838111299</v>
      </c>
      <c r="AM1308" s="133">
        <v>0.972332463998186</v>
      </c>
      <c r="AN1308" s="132">
        <v>0.99</v>
      </c>
      <c r="AO1308" s="137">
        <v>1</v>
      </c>
      <c r="AP1308" s="137">
        <v>1</v>
      </c>
      <c r="AQ1308" s="137">
        <v>1</v>
      </c>
      <c r="AR1308" s="137">
        <v>1</v>
      </c>
      <c r="AS1308" s="158">
        <v>0.0721861525408278</v>
      </c>
      <c r="AT1308" s="141">
        <v>0</v>
      </c>
      <c r="AU1308" s="141">
        <v>0</v>
      </c>
      <c r="AV1308" s="141">
        <v>0</v>
      </c>
      <c r="AW1308" s="141">
        <v>0.0260869565217391</v>
      </c>
      <c r="AX1308" s="95"/>
      <c r="AY1308" s="93"/>
    </row>
    <row r="1309" ht="15" spans="1:51">
      <c r="A1309" s="91"/>
      <c r="B1309" s="95"/>
      <c r="C1309" s="152" t="s">
        <v>1085</v>
      </c>
      <c r="D1309" s="153" t="s">
        <v>25</v>
      </c>
      <c r="E1309" s="130" t="s">
        <v>1086</v>
      </c>
      <c r="F1309" s="195" t="s">
        <v>1339</v>
      </c>
      <c r="G1309" s="195" t="s">
        <v>1339</v>
      </c>
      <c r="H1309" s="195" t="s">
        <v>1339</v>
      </c>
      <c r="I1309" s="195" t="s">
        <v>1339</v>
      </c>
      <c r="J1309" s="132">
        <v>0.9</v>
      </c>
      <c r="K1309" s="133">
        <v>0.977272727272727</v>
      </c>
      <c r="L1309" s="133">
        <v>0.925</v>
      </c>
      <c r="M1309" s="134">
        <v>0.953488372093023</v>
      </c>
      <c r="N1309" s="133">
        <v>0.94169835234474</v>
      </c>
      <c r="O1309" s="135">
        <v>0.9</v>
      </c>
      <c r="P1309" s="133">
        <v>0.979624450659209</v>
      </c>
      <c r="Q1309" s="133">
        <v>0.954014323407463</v>
      </c>
      <c r="R1309" s="133">
        <v>0.976527234426723</v>
      </c>
      <c r="S1309" s="133">
        <v>0.963829929026024</v>
      </c>
      <c r="T1309" s="135">
        <v>0.9</v>
      </c>
      <c r="U1309" s="133">
        <v>0.95645225729125</v>
      </c>
      <c r="V1309" s="133">
        <v>0.949491142103279</v>
      </c>
      <c r="W1309" s="133">
        <v>0.953355401745411</v>
      </c>
      <c r="X1309" s="133">
        <v>0.945703242144547</v>
      </c>
      <c r="Y1309" s="135">
        <v>0.92</v>
      </c>
      <c r="Z1309" s="135" t="s">
        <v>35</v>
      </c>
      <c r="AA1309" s="135" t="s">
        <v>35</v>
      </c>
      <c r="AB1309" s="135" t="s">
        <v>35</v>
      </c>
      <c r="AC1309" s="135" t="s">
        <v>35</v>
      </c>
      <c r="AD1309" s="135">
        <v>0.92</v>
      </c>
      <c r="AE1309" s="133">
        <v>1</v>
      </c>
      <c r="AF1309" s="133">
        <v>0.997663551401869</v>
      </c>
      <c r="AG1309" s="133">
        <v>0.990353697749196</v>
      </c>
      <c r="AH1309" s="133">
        <v>0.995178258328463</v>
      </c>
      <c r="AI1309" s="135">
        <v>0.92</v>
      </c>
      <c r="AJ1309" s="133">
        <v>0.966040751098682</v>
      </c>
      <c r="AK1309" s="133">
        <v>0.963814549566528</v>
      </c>
      <c r="AL1309" s="133">
        <v>0.978934697562444</v>
      </c>
      <c r="AM1309" s="133">
        <v>0.975942154543334</v>
      </c>
      <c r="AN1309" s="132">
        <v>0.99</v>
      </c>
      <c r="AO1309" s="137">
        <v>1</v>
      </c>
      <c r="AP1309" s="137">
        <v>1</v>
      </c>
      <c r="AQ1309" s="137">
        <v>1</v>
      </c>
      <c r="AR1309" s="137">
        <v>1</v>
      </c>
      <c r="AS1309" s="158">
        <v>0.0721861525408278</v>
      </c>
      <c r="AT1309" s="141">
        <v>0</v>
      </c>
      <c r="AU1309" s="141">
        <v>0.3</v>
      </c>
      <c r="AV1309" s="141">
        <v>0.166666666666667</v>
      </c>
      <c r="AW1309" s="141">
        <v>0.0979020979020979</v>
      </c>
      <c r="AX1309" s="95"/>
      <c r="AY1309" s="93"/>
    </row>
    <row r="1310" ht="15" spans="1:51">
      <c r="A1310" s="91"/>
      <c r="B1310" s="95"/>
      <c r="C1310" s="152" t="s">
        <v>1085</v>
      </c>
      <c r="D1310" s="153" t="s">
        <v>25</v>
      </c>
      <c r="E1310" s="130" t="s">
        <v>1086</v>
      </c>
      <c r="F1310" s="195" t="s">
        <v>1340</v>
      </c>
      <c r="G1310" s="195" t="s">
        <v>1340</v>
      </c>
      <c r="H1310" s="195" t="s">
        <v>1340</v>
      </c>
      <c r="I1310" s="195" t="s">
        <v>1340</v>
      </c>
      <c r="J1310" s="132">
        <v>0.9</v>
      </c>
      <c r="K1310" s="133">
        <v>0.892857142857143</v>
      </c>
      <c r="L1310" s="133">
        <v>0.958333333333333</v>
      </c>
      <c r="M1310" s="134">
        <v>0.96</v>
      </c>
      <c r="N1310" s="133">
        <v>0.915433403805497</v>
      </c>
      <c r="O1310" s="135">
        <v>0.9</v>
      </c>
      <c r="P1310" s="133">
        <v>0.973724884080371</v>
      </c>
      <c r="Q1310" s="133">
        <v>0.985159010600707</v>
      </c>
      <c r="R1310" s="133">
        <v>0.988934187536401</v>
      </c>
      <c r="S1310" s="133">
        <v>0.982747345146523</v>
      </c>
      <c r="T1310" s="135">
        <v>0.9</v>
      </c>
      <c r="U1310" s="133">
        <v>0.965996908809892</v>
      </c>
      <c r="V1310" s="133">
        <v>0.953356890459364</v>
      </c>
      <c r="W1310" s="133">
        <v>0.954571927781013</v>
      </c>
      <c r="X1310" s="133">
        <v>0.958332035750989</v>
      </c>
      <c r="Y1310" s="135">
        <v>0.92</v>
      </c>
      <c r="Z1310" s="135" t="s">
        <v>35</v>
      </c>
      <c r="AA1310" s="135" t="s">
        <v>35</v>
      </c>
      <c r="AB1310" s="135" t="s">
        <v>35</v>
      </c>
      <c r="AC1310" s="135" t="s">
        <v>35</v>
      </c>
      <c r="AD1310" s="135">
        <v>0.92</v>
      </c>
      <c r="AE1310" s="133">
        <v>1</v>
      </c>
      <c r="AF1310" s="133">
        <v>0.996268656716418</v>
      </c>
      <c r="AG1310" s="133">
        <v>0.995841995841996</v>
      </c>
      <c r="AH1310" s="133">
        <v>0.992382068561383</v>
      </c>
      <c r="AI1310" s="135">
        <v>0.92</v>
      </c>
      <c r="AJ1310" s="133">
        <v>0.980680061823802</v>
      </c>
      <c r="AK1310" s="133">
        <v>0.982332155477032</v>
      </c>
      <c r="AL1310" s="133">
        <v>0.989516598718695</v>
      </c>
      <c r="AM1310" s="133">
        <v>0.985051851390489</v>
      </c>
      <c r="AN1310" s="132">
        <v>0.99</v>
      </c>
      <c r="AO1310" s="137">
        <v>1</v>
      </c>
      <c r="AP1310" s="137">
        <v>1</v>
      </c>
      <c r="AQ1310" s="137">
        <v>1</v>
      </c>
      <c r="AR1310" s="137">
        <v>1</v>
      </c>
      <c r="AS1310" s="158">
        <v>0.0721861525408278</v>
      </c>
      <c r="AT1310" s="141">
        <v>0</v>
      </c>
      <c r="AU1310" s="141">
        <v>0</v>
      </c>
      <c r="AV1310" s="141">
        <v>0</v>
      </c>
      <c r="AW1310" s="141">
        <v>0.0379746835443038</v>
      </c>
      <c r="AX1310" s="95"/>
      <c r="AY1310" s="93"/>
    </row>
    <row r="1311" ht="15" spans="1:51">
      <c r="A1311" s="91"/>
      <c r="B1311" s="95"/>
      <c r="C1311" s="152" t="s">
        <v>1085</v>
      </c>
      <c r="D1311" s="153" t="s">
        <v>25</v>
      </c>
      <c r="E1311" s="130" t="s">
        <v>1086</v>
      </c>
      <c r="F1311" s="195" t="s">
        <v>1341</v>
      </c>
      <c r="G1311" s="195" t="s">
        <v>1341</v>
      </c>
      <c r="H1311" s="195" t="s">
        <v>1341</v>
      </c>
      <c r="I1311" s="195" t="s">
        <v>1341</v>
      </c>
      <c r="J1311" s="132">
        <v>0.9</v>
      </c>
      <c r="K1311" s="133">
        <v>0.904761904761905</v>
      </c>
      <c r="L1311" s="133">
        <v>0.904761904761905</v>
      </c>
      <c r="M1311" s="134">
        <v>1</v>
      </c>
      <c r="N1311" s="133">
        <v>0.949308755760369</v>
      </c>
      <c r="O1311" s="135">
        <v>0.9</v>
      </c>
      <c r="P1311" s="133">
        <v>0.954041204437401</v>
      </c>
      <c r="Q1311" s="133">
        <v>0.990299110751819</v>
      </c>
      <c r="R1311" s="133">
        <v>0.988786279683377</v>
      </c>
      <c r="S1311" s="133">
        <v>0.987988923502942</v>
      </c>
      <c r="T1311" s="135">
        <v>0.9</v>
      </c>
      <c r="U1311" s="133">
        <v>0.94770206022187</v>
      </c>
      <c r="V1311" s="133">
        <v>0.966046887631366</v>
      </c>
      <c r="W1311" s="133">
        <v>0.966358839050132</v>
      </c>
      <c r="X1311" s="133">
        <v>0.965593631014192</v>
      </c>
      <c r="Y1311" s="135">
        <v>0.92</v>
      </c>
      <c r="Z1311" s="135" t="s">
        <v>35</v>
      </c>
      <c r="AA1311" s="135" t="s">
        <v>35</v>
      </c>
      <c r="AB1311" s="135" t="s">
        <v>35</v>
      </c>
      <c r="AC1311" s="135" t="s">
        <v>35</v>
      </c>
      <c r="AD1311" s="135">
        <v>0.92</v>
      </c>
      <c r="AE1311" s="133">
        <v>1</v>
      </c>
      <c r="AF1311" s="133">
        <v>1</v>
      </c>
      <c r="AG1311" s="133">
        <v>0.995049504950495</v>
      </c>
      <c r="AH1311" s="133">
        <v>0.998629385964912</v>
      </c>
      <c r="AI1311" s="135">
        <v>0.92</v>
      </c>
      <c r="AJ1311" s="133">
        <v>0.963549920760697</v>
      </c>
      <c r="AK1311" s="133">
        <v>0.973322554567502</v>
      </c>
      <c r="AL1311" s="133">
        <v>0.986807387862797</v>
      </c>
      <c r="AM1311" s="133">
        <v>0.984942886812046</v>
      </c>
      <c r="AN1311" s="132">
        <v>0.99</v>
      </c>
      <c r="AO1311" s="137">
        <v>1</v>
      </c>
      <c r="AP1311" s="137">
        <v>1</v>
      </c>
      <c r="AQ1311" s="137">
        <v>1</v>
      </c>
      <c r="AR1311" s="137">
        <v>1</v>
      </c>
      <c r="AS1311" s="158">
        <v>0.0721861525408278</v>
      </c>
      <c r="AT1311" s="141">
        <v>0</v>
      </c>
      <c r="AU1311" s="141">
        <v>0</v>
      </c>
      <c r="AV1311" s="141">
        <v>0</v>
      </c>
      <c r="AW1311" s="141">
        <v>0.0169491525423729</v>
      </c>
      <c r="AX1311" s="95"/>
      <c r="AY1311" s="93"/>
    </row>
    <row r="1312" ht="15" spans="1:51">
      <c r="A1312" s="91"/>
      <c r="B1312" s="95"/>
      <c r="C1312" s="152" t="s">
        <v>1085</v>
      </c>
      <c r="D1312" s="153" t="s">
        <v>25</v>
      </c>
      <c r="E1312" s="130" t="s">
        <v>1086</v>
      </c>
      <c r="F1312" s="195" t="s">
        <v>1342</v>
      </c>
      <c r="G1312" s="195" t="s">
        <v>1342</v>
      </c>
      <c r="H1312" s="195" t="s">
        <v>1342</v>
      </c>
      <c r="I1312" s="195" t="s">
        <v>1342</v>
      </c>
      <c r="J1312" s="132">
        <v>0.9</v>
      </c>
      <c r="K1312" s="133">
        <v>0.84</v>
      </c>
      <c r="L1312" s="133">
        <v>0.84</v>
      </c>
      <c r="M1312" s="134">
        <v>0.807692307692308</v>
      </c>
      <c r="N1312" s="133">
        <v>0.882478632478632</v>
      </c>
      <c r="O1312" s="135">
        <v>0.9</v>
      </c>
      <c r="P1312" s="133">
        <v>0.989473684210526</v>
      </c>
      <c r="Q1312" s="133">
        <v>0.991869918699187</v>
      </c>
      <c r="R1312" s="133">
        <v>0.992161254199328</v>
      </c>
      <c r="S1312" s="133">
        <v>0.978041610131162</v>
      </c>
      <c r="T1312" s="135">
        <v>0.9</v>
      </c>
      <c r="U1312" s="133">
        <v>0.83859649122807</v>
      </c>
      <c r="V1312" s="133">
        <v>0.815176151761518</v>
      </c>
      <c r="W1312" s="133">
        <v>0.773049645390071</v>
      </c>
      <c r="X1312" s="133">
        <v>0.771800090456807</v>
      </c>
      <c r="Y1312" s="135">
        <v>0.92</v>
      </c>
      <c r="Z1312" s="135" t="s">
        <v>35</v>
      </c>
      <c r="AA1312" s="135" t="s">
        <v>35</v>
      </c>
      <c r="AB1312" s="135" t="s">
        <v>35</v>
      </c>
      <c r="AC1312" s="135" t="s">
        <v>35</v>
      </c>
      <c r="AD1312" s="135">
        <v>0.92</v>
      </c>
      <c r="AE1312" s="133">
        <v>0.981481481481482</v>
      </c>
      <c r="AF1312" s="133">
        <v>1</v>
      </c>
      <c r="AG1312" s="133">
        <v>0.982142857142857</v>
      </c>
      <c r="AH1312" s="133">
        <v>0.991493383742911</v>
      </c>
      <c r="AI1312" s="135">
        <v>0.92</v>
      </c>
      <c r="AJ1312" s="133">
        <v>0.955555555555556</v>
      </c>
      <c r="AK1312" s="133">
        <v>0.963143631436314</v>
      </c>
      <c r="AL1312" s="133">
        <v>0.976483762597984</v>
      </c>
      <c r="AM1312" s="133">
        <v>0.976277702397105</v>
      </c>
      <c r="AN1312" s="132">
        <v>0.99</v>
      </c>
      <c r="AO1312" s="137">
        <v>1</v>
      </c>
      <c r="AP1312" s="137">
        <v>1</v>
      </c>
      <c r="AQ1312" s="137">
        <v>1</v>
      </c>
      <c r="AR1312" s="137">
        <v>1</v>
      </c>
      <c r="AS1312" s="158">
        <v>0.0721861525408278</v>
      </c>
      <c r="AT1312" s="141">
        <v>0</v>
      </c>
      <c r="AU1312" s="141">
        <v>0</v>
      </c>
      <c r="AV1312" s="141">
        <v>0</v>
      </c>
      <c r="AW1312" s="141">
        <v>0.0648148148148148</v>
      </c>
      <c r="AX1312" s="95"/>
      <c r="AY1312" s="93"/>
    </row>
    <row r="1313" ht="15" spans="1:51">
      <c r="A1313" s="91"/>
      <c r="B1313" s="95"/>
      <c r="C1313" s="152" t="s">
        <v>1085</v>
      </c>
      <c r="D1313" s="153" t="s">
        <v>25</v>
      </c>
      <c r="E1313" s="130" t="s">
        <v>1086</v>
      </c>
      <c r="F1313" s="195" t="s">
        <v>1343</v>
      </c>
      <c r="G1313" s="195" t="s">
        <v>1343</v>
      </c>
      <c r="H1313" s="195" t="s">
        <v>1343</v>
      </c>
      <c r="I1313" s="195" t="s">
        <v>1343</v>
      </c>
      <c r="J1313" s="132">
        <v>0.9</v>
      </c>
      <c r="K1313" s="133">
        <v>0.928571428571429</v>
      </c>
      <c r="L1313" s="133">
        <v>0.958333333333333</v>
      </c>
      <c r="M1313" s="134">
        <v>0.846153846153846</v>
      </c>
      <c r="N1313" s="133">
        <v>0.909819639278557</v>
      </c>
      <c r="O1313" s="135">
        <v>0.9</v>
      </c>
      <c r="P1313" s="133">
        <v>0.965423111919927</v>
      </c>
      <c r="Q1313" s="133">
        <v>0.967871485943775</v>
      </c>
      <c r="R1313" s="133">
        <v>0.977022977022977</v>
      </c>
      <c r="S1313" s="133">
        <v>0.973942103599332</v>
      </c>
      <c r="T1313" s="135">
        <v>0.9</v>
      </c>
      <c r="U1313" s="133">
        <v>0.91901728844404</v>
      </c>
      <c r="V1313" s="133">
        <v>0.933065595716198</v>
      </c>
      <c r="W1313" s="133">
        <v>0.924075924075924</v>
      </c>
      <c r="X1313" s="133">
        <v>0.934064941516506</v>
      </c>
      <c r="Y1313" s="135">
        <v>0.92</v>
      </c>
      <c r="Z1313" s="135">
        <v>0.85398773006135</v>
      </c>
      <c r="AA1313" s="135">
        <v>0.957317073170732</v>
      </c>
      <c r="AB1313" s="135">
        <v>0.957425742574257</v>
      </c>
      <c r="AC1313" s="135">
        <v>0.959154189650644</v>
      </c>
      <c r="AD1313" s="135">
        <v>0.92</v>
      </c>
      <c r="AE1313" s="133">
        <v>0.998717948717949</v>
      </c>
      <c r="AF1313" s="133">
        <v>0.946261682242991</v>
      </c>
      <c r="AG1313" s="133">
        <v>0.995438996579247</v>
      </c>
      <c r="AH1313" s="133">
        <v>0.989167074080745</v>
      </c>
      <c r="AI1313" s="135">
        <v>0.92</v>
      </c>
      <c r="AJ1313" s="133">
        <v>0.915882967607106</v>
      </c>
      <c r="AK1313" s="133">
        <v>0.973627940128296</v>
      </c>
      <c r="AL1313" s="133">
        <v>0.966185977125808</v>
      </c>
      <c r="AM1313" s="133">
        <v>0.971391099453163</v>
      </c>
      <c r="AN1313" s="132">
        <v>0.99</v>
      </c>
      <c r="AO1313" s="137">
        <v>1</v>
      </c>
      <c r="AP1313" s="137">
        <v>1</v>
      </c>
      <c r="AQ1313" s="137">
        <v>1</v>
      </c>
      <c r="AR1313" s="137">
        <v>1</v>
      </c>
      <c r="AS1313" s="158">
        <v>0.0721861525408278</v>
      </c>
      <c r="AT1313" s="141">
        <v>0</v>
      </c>
      <c r="AU1313" s="141">
        <v>0.111111111111111</v>
      </c>
      <c r="AV1313" s="141">
        <v>0.142857142857143</v>
      </c>
      <c r="AW1313" s="141">
        <v>0.0650887573964497</v>
      </c>
      <c r="AX1313" s="95"/>
      <c r="AY1313" s="93"/>
    </row>
    <row r="1314" ht="15" spans="1:51">
      <c r="A1314" s="91"/>
      <c r="B1314" s="95"/>
      <c r="C1314" s="152" t="s">
        <v>1085</v>
      </c>
      <c r="D1314" s="153" t="s">
        <v>25</v>
      </c>
      <c r="E1314" s="130" t="s">
        <v>1086</v>
      </c>
      <c r="F1314" s="195" t="s">
        <v>1344</v>
      </c>
      <c r="G1314" s="195" t="s">
        <v>1344</v>
      </c>
      <c r="H1314" s="195" t="s">
        <v>1344</v>
      </c>
      <c r="I1314" s="195" t="s">
        <v>1344</v>
      </c>
      <c r="J1314" s="132">
        <v>0.9</v>
      </c>
      <c r="K1314" s="133">
        <v>0.894736842105263</v>
      </c>
      <c r="L1314" s="133">
        <v>0.806451612903226</v>
      </c>
      <c r="M1314" s="134">
        <v>0.852941176470588</v>
      </c>
      <c r="N1314" s="133">
        <v>0.839363241678726</v>
      </c>
      <c r="O1314" s="135">
        <v>0.9</v>
      </c>
      <c r="P1314" s="133">
        <v>0.854195323246217</v>
      </c>
      <c r="Q1314" s="133">
        <v>0.82875605815832</v>
      </c>
      <c r="R1314" s="133">
        <v>0.910602910602911</v>
      </c>
      <c r="S1314" s="133">
        <v>0.86610302791978</v>
      </c>
      <c r="T1314" s="135">
        <v>0.9</v>
      </c>
      <c r="U1314" s="133">
        <v>0.959422283356259</v>
      </c>
      <c r="V1314" s="133">
        <v>0.967689822294023</v>
      </c>
      <c r="W1314" s="133">
        <v>0.968814968814969</v>
      </c>
      <c r="X1314" s="133">
        <v>0.961167911915061</v>
      </c>
      <c r="Y1314" s="135">
        <v>0.92</v>
      </c>
      <c r="Z1314" s="135">
        <v>0.925619834710744</v>
      </c>
      <c r="AA1314" s="135">
        <v>0.966357308584687</v>
      </c>
      <c r="AB1314" s="135">
        <v>0.978546712802768</v>
      </c>
      <c r="AC1314" s="135">
        <v>0.977371389506067</v>
      </c>
      <c r="AD1314" s="135">
        <v>0.92</v>
      </c>
      <c r="AE1314" s="133">
        <v>0.987964989059081</v>
      </c>
      <c r="AF1314" s="133">
        <v>0.988461538461539</v>
      </c>
      <c r="AG1314" s="133">
        <v>0.987654320987654</v>
      </c>
      <c r="AH1314" s="133">
        <v>0.996029955788144</v>
      </c>
      <c r="AI1314" s="135">
        <v>0.92</v>
      </c>
      <c r="AJ1314" s="133">
        <v>0.959496657491152</v>
      </c>
      <c r="AK1314" s="133">
        <v>0.982857142857143</v>
      </c>
      <c r="AL1314" s="133">
        <v>0.9851108033241</v>
      </c>
      <c r="AM1314" s="133">
        <v>0.985612714345462</v>
      </c>
      <c r="AN1314" s="132">
        <v>0.99</v>
      </c>
      <c r="AO1314" s="137">
        <v>1</v>
      </c>
      <c r="AP1314" s="137">
        <v>1</v>
      </c>
      <c r="AQ1314" s="137">
        <v>1</v>
      </c>
      <c r="AR1314" s="137">
        <v>1</v>
      </c>
      <c r="AS1314" s="158">
        <v>0.0721861525408278</v>
      </c>
      <c r="AT1314" s="141">
        <v>0.0535714285714286</v>
      </c>
      <c r="AU1314" s="141">
        <v>0.0251046025104603</v>
      </c>
      <c r="AV1314" s="141">
        <v>0.142857142857143</v>
      </c>
      <c r="AW1314" s="141">
        <v>0.0258711721224921</v>
      </c>
      <c r="AX1314" s="95"/>
      <c r="AY1314" s="93"/>
    </row>
    <row r="1315" ht="15" spans="1:51">
      <c r="A1315" s="91"/>
      <c r="B1315" s="95"/>
      <c r="C1315" s="152" t="s">
        <v>1085</v>
      </c>
      <c r="D1315" s="153" t="s">
        <v>25</v>
      </c>
      <c r="E1315" s="130" t="s">
        <v>1086</v>
      </c>
      <c r="F1315" s="195" t="s">
        <v>1345</v>
      </c>
      <c r="G1315" s="195" t="s">
        <v>1345</v>
      </c>
      <c r="H1315" s="195" t="s">
        <v>1345</v>
      </c>
      <c r="I1315" s="195" t="s">
        <v>1345</v>
      </c>
      <c r="J1315" s="132">
        <v>0.9</v>
      </c>
      <c r="K1315" s="133">
        <v>0.96551724137931</v>
      </c>
      <c r="L1315" s="133">
        <v>0.924528301886792</v>
      </c>
      <c r="M1315" s="134">
        <v>0.925925925925926</v>
      </c>
      <c r="N1315" s="133">
        <v>0.933458294283037</v>
      </c>
      <c r="O1315" s="135">
        <v>0.9</v>
      </c>
      <c r="P1315" s="133">
        <v>0.962825278810409</v>
      </c>
      <c r="Q1315" s="133">
        <v>0.849404761904762</v>
      </c>
      <c r="R1315" s="133">
        <v>0.942262186464742</v>
      </c>
      <c r="S1315" s="133">
        <v>0.953979480027891</v>
      </c>
      <c r="T1315" s="135">
        <v>0.9</v>
      </c>
      <c r="U1315" s="133">
        <v>0.857673924588423</v>
      </c>
      <c r="V1315" s="133">
        <v>0.854761904761905</v>
      </c>
      <c r="W1315" s="133">
        <v>0.908187411263606</v>
      </c>
      <c r="X1315" s="133">
        <v>0.890477139157287</v>
      </c>
      <c r="Y1315" s="135">
        <v>0.92</v>
      </c>
      <c r="Z1315" s="135">
        <v>0.953020134228188</v>
      </c>
      <c r="AA1315" s="135">
        <v>0.96386292834891</v>
      </c>
      <c r="AB1315" s="135">
        <v>0.965093411996067</v>
      </c>
      <c r="AC1315" s="135">
        <v>0.963866325269292</v>
      </c>
      <c r="AD1315" s="135">
        <v>0.92</v>
      </c>
      <c r="AE1315" s="133">
        <v>0.998566102667049</v>
      </c>
      <c r="AF1315" s="133">
        <v>0.997730307076101</v>
      </c>
      <c r="AG1315" s="133">
        <v>0.990707070707071</v>
      </c>
      <c r="AH1315" s="133">
        <v>0.996928630693314</v>
      </c>
      <c r="AI1315" s="135">
        <v>0.92</v>
      </c>
      <c r="AJ1315" s="133">
        <v>0.962468513853904</v>
      </c>
      <c r="AK1315" s="133">
        <v>0.972602739726027</v>
      </c>
      <c r="AL1315" s="133">
        <v>0.97636845912708</v>
      </c>
      <c r="AM1315" s="133">
        <v>0.973732244401282</v>
      </c>
      <c r="AN1315" s="132">
        <v>0.99</v>
      </c>
      <c r="AO1315" s="137">
        <v>1</v>
      </c>
      <c r="AP1315" s="137">
        <v>1</v>
      </c>
      <c r="AQ1315" s="137">
        <v>1</v>
      </c>
      <c r="AR1315" s="137">
        <v>1</v>
      </c>
      <c r="AS1315" s="158">
        <v>0.0721861525408278</v>
      </c>
      <c r="AT1315" s="141">
        <v>0</v>
      </c>
      <c r="AU1315" s="141">
        <v>0.029940119760479</v>
      </c>
      <c r="AV1315" s="141">
        <v>0</v>
      </c>
      <c r="AW1315" s="141">
        <v>0.0251141552511416</v>
      </c>
      <c r="AX1315" s="95"/>
      <c r="AY1315" s="93"/>
    </row>
    <row r="1316" ht="15" spans="1:51">
      <c r="A1316" s="91"/>
      <c r="B1316" s="95"/>
      <c r="C1316" s="152" t="s">
        <v>1085</v>
      </c>
      <c r="D1316" s="153" t="s">
        <v>25</v>
      </c>
      <c r="E1316" s="130" t="s">
        <v>1086</v>
      </c>
      <c r="F1316" s="195" t="s">
        <v>1346</v>
      </c>
      <c r="G1316" s="195" t="s">
        <v>1346</v>
      </c>
      <c r="H1316" s="195" t="s">
        <v>1346</v>
      </c>
      <c r="I1316" s="195" t="s">
        <v>1346</v>
      </c>
      <c r="J1316" s="132">
        <v>0.9</v>
      </c>
      <c r="K1316" s="133">
        <v>0.933333333333333</v>
      </c>
      <c r="L1316" s="133">
        <v>0.952380952380952</v>
      </c>
      <c r="M1316" s="134">
        <v>0.909090909090909</v>
      </c>
      <c r="N1316" s="133">
        <v>0.909302325581395</v>
      </c>
      <c r="O1316" s="135">
        <v>0.9</v>
      </c>
      <c r="P1316" s="133">
        <v>0.980404551201011</v>
      </c>
      <c r="Q1316" s="133">
        <v>0.968224299065421</v>
      </c>
      <c r="R1316" s="133">
        <v>0.976415094339623</v>
      </c>
      <c r="S1316" s="133">
        <v>0.978107896794371</v>
      </c>
      <c r="T1316" s="135">
        <v>0.9</v>
      </c>
      <c r="U1316" s="133">
        <v>0.912768647281922</v>
      </c>
      <c r="V1316" s="133">
        <v>0.891588785046729</v>
      </c>
      <c r="W1316" s="133">
        <v>0.935983827493261</v>
      </c>
      <c r="X1316" s="133">
        <v>0.909935646839478</v>
      </c>
      <c r="Y1316" s="135">
        <v>0.92</v>
      </c>
      <c r="Z1316" s="135">
        <v>0.928310168251646</v>
      </c>
      <c r="AA1316" s="135">
        <v>0.931632653061224</v>
      </c>
      <c r="AB1316" s="135">
        <v>0.933011466505733</v>
      </c>
      <c r="AC1316" s="135">
        <v>0.947970149253731</v>
      </c>
      <c r="AD1316" s="135">
        <v>0.92</v>
      </c>
      <c r="AE1316" s="133">
        <v>0.997385620915033</v>
      </c>
      <c r="AF1316" s="133">
        <v>0.973821989528796</v>
      </c>
      <c r="AG1316" s="133">
        <v>0.996535796766744</v>
      </c>
      <c r="AH1316" s="133">
        <v>0.993896941535474</v>
      </c>
      <c r="AI1316" s="135">
        <v>0.92</v>
      </c>
      <c r="AJ1316" s="133">
        <v>0.952526280094947</v>
      </c>
      <c r="AK1316" s="133">
        <v>0.948780487804878</v>
      </c>
      <c r="AL1316" s="133">
        <v>0.953865733375756</v>
      </c>
      <c r="AM1316" s="133">
        <v>0.963810122979673</v>
      </c>
      <c r="AN1316" s="132">
        <v>0.99</v>
      </c>
      <c r="AO1316" s="137">
        <v>1</v>
      </c>
      <c r="AP1316" s="137">
        <v>1</v>
      </c>
      <c r="AQ1316" s="137">
        <v>1</v>
      </c>
      <c r="AR1316" s="137">
        <v>1</v>
      </c>
      <c r="AS1316" s="158">
        <v>0.0721861525408278</v>
      </c>
      <c r="AT1316" s="141">
        <v>0.166666666666667</v>
      </c>
      <c r="AU1316" s="141">
        <v>0</v>
      </c>
      <c r="AV1316" s="141">
        <v>0</v>
      </c>
      <c r="AW1316" s="141">
        <v>0.0320121951219512</v>
      </c>
      <c r="AX1316" s="95"/>
      <c r="AY1316" s="93"/>
    </row>
    <row r="1317" ht="15" spans="1:51">
      <c r="A1317" s="91"/>
      <c r="B1317" s="95"/>
      <c r="C1317" s="152" t="s">
        <v>1085</v>
      </c>
      <c r="D1317" s="153" t="s">
        <v>25</v>
      </c>
      <c r="E1317" s="130" t="s">
        <v>1086</v>
      </c>
      <c r="F1317" s="195" t="s">
        <v>1347</v>
      </c>
      <c r="G1317" s="195" t="s">
        <v>1347</v>
      </c>
      <c r="H1317" s="195" t="s">
        <v>1347</v>
      </c>
      <c r="I1317" s="195" t="s">
        <v>1347</v>
      </c>
      <c r="J1317" s="132">
        <v>0.9</v>
      </c>
      <c r="K1317" s="133">
        <v>0.944444444444444</v>
      </c>
      <c r="L1317" s="133">
        <v>0.8</v>
      </c>
      <c r="M1317" s="134">
        <v>1</v>
      </c>
      <c r="N1317" s="133">
        <v>0.923809523809524</v>
      </c>
      <c r="O1317" s="135">
        <v>0.9</v>
      </c>
      <c r="P1317" s="133">
        <v>0.996884735202492</v>
      </c>
      <c r="Q1317" s="133">
        <v>0.996012759170654</v>
      </c>
      <c r="R1317" s="133">
        <v>0.997910863509749</v>
      </c>
      <c r="S1317" s="133">
        <v>0.995121014214368</v>
      </c>
      <c r="T1317" s="135">
        <v>0.9</v>
      </c>
      <c r="U1317" s="133">
        <v>0.975077881619938</v>
      </c>
      <c r="V1317" s="133">
        <v>0.881977671451356</v>
      </c>
      <c r="W1317" s="133">
        <v>0.862813370473538</v>
      </c>
      <c r="X1317" s="133">
        <v>0.910487898578563</v>
      </c>
      <c r="Y1317" s="135">
        <v>0.92</v>
      </c>
      <c r="Z1317" s="135" t="s">
        <v>35</v>
      </c>
      <c r="AA1317" s="135" t="s">
        <v>35</v>
      </c>
      <c r="AB1317" s="135" t="s">
        <v>35</v>
      </c>
      <c r="AC1317" s="135" t="s">
        <v>35</v>
      </c>
      <c r="AD1317" s="135">
        <v>0.92</v>
      </c>
      <c r="AE1317" s="133">
        <v>1</v>
      </c>
      <c r="AF1317" s="133">
        <v>1</v>
      </c>
      <c r="AG1317" s="133">
        <v>1</v>
      </c>
      <c r="AH1317" s="133">
        <v>0.98981324278438</v>
      </c>
      <c r="AI1317" s="135">
        <v>0.92</v>
      </c>
      <c r="AJ1317" s="133">
        <v>0.982346832814122</v>
      </c>
      <c r="AK1317" s="133">
        <v>0.983253588516746</v>
      </c>
      <c r="AL1317" s="133">
        <v>0.983286908077994</v>
      </c>
      <c r="AM1317" s="133">
        <v>0.984709950057626</v>
      </c>
      <c r="AN1317" s="132">
        <v>0.99</v>
      </c>
      <c r="AO1317" s="137">
        <v>1</v>
      </c>
      <c r="AP1317" s="137">
        <v>1</v>
      </c>
      <c r="AQ1317" s="137">
        <v>1</v>
      </c>
      <c r="AR1317" s="137">
        <v>1</v>
      </c>
      <c r="AS1317" s="158">
        <v>0.0721861525408278</v>
      </c>
      <c r="AT1317" s="141">
        <v>0.0140845070422535</v>
      </c>
      <c r="AU1317" s="141">
        <v>0.0413533834586466</v>
      </c>
      <c r="AV1317" s="141">
        <v>0</v>
      </c>
      <c r="AW1317" s="141">
        <v>0.0233208955223881</v>
      </c>
      <c r="AX1317" s="95"/>
      <c r="AY1317" s="93"/>
    </row>
    <row r="1318" ht="15" spans="1:51">
      <c r="A1318" s="91"/>
      <c r="B1318" s="95"/>
      <c r="C1318" s="152" t="s">
        <v>1085</v>
      </c>
      <c r="D1318" s="153" t="s">
        <v>25</v>
      </c>
      <c r="E1318" s="130" t="s">
        <v>1086</v>
      </c>
      <c r="F1318" s="195" t="s">
        <v>1348</v>
      </c>
      <c r="G1318" s="195" t="s">
        <v>1348</v>
      </c>
      <c r="H1318" s="195" t="s">
        <v>1348</v>
      </c>
      <c r="I1318" s="195" t="s">
        <v>1348</v>
      </c>
      <c r="J1318" s="132">
        <v>0.9</v>
      </c>
      <c r="K1318" s="133">
        <v>0.984848484848485</v>
      </c>
      <c r="L1318" s="133">
        <v>0.847457627118644</v>
      </c>
      <c r="M1318" s="134">
        <v>0.933333333333333</v>
      </c>
      <c r="N1318" s="133">
        <v>0.911016949152542</v>
      </c>
      <c r="O1318" s="135">
        <v>0.9</v>
      </c>
      <c r="P1318" s="133">
        <v>0.975032285837279</v>
      </c>
      <c r="Q1318" s="133">
        <v>0.962121212121212</v>
      </c>
      <c r="R1318" s="133">
        <v>0.891109298531811</v>
      </c>
      <c r="S1318" s="133">
        <v>0.964535523420308</v>
      </c>
      <c r="T1318" s="135">
        <v>0.9</v>
      </c>
      <c r="U1318" s="133">
        <v>0.921222557038313</v>
      </c>
      <c r="V1318" s="133">
        <v>0.932400932400932</v>
      </c>
      <c r="W1318" s="133">
        <v>0.876019575856444</v>
      </c>
      <c r="X1318" s="133">
        <v>0.930249921408362</v>
      </c>
      <c r="Y1318" s="135">
        <v>0.92</v>
      </c>
      <c r="Z1318" s="135">
        <v>0.876048462255359</v>
      </c>
      <c r="AA1318" s="135">
        <v>0.963340122199593</v>
      </c>
      <c r="AB1318" s="135">
        <v>0.975160993560258</v>
      </c>
      <c r="AC1318" s="135">
        <v>0.968818085510404</v>
      </c>
      <c r="AD1318" s="135">
        <v>0.92</v>
      </c>
      <c r="AE1318" s="133">
        <v>0.976678445229682</v>
      </c>
      <c r="AF1318" s="133">
        <v>0.967582417582418</v>
      </c>
      <c r="AG1318" s="133">
        <v>0.976044226044226</v>
      </c>
      <c r="AH1318" s="133">
        <v>0.975206879766348</v>
      </c>
      <c r="AI1318" s="135">
        <v>0.92</v>
      </c>
      <c r="AJ1318" s="133">
        <v>0.931080778697695</v>
      </c>
      <c r="AK1318" s="133">
        <v>0.973973032298526</v>
      </c>
      <c r="AL1318" s="133">
        <v>0.983358547655068</v>
      </c>
      <c r="AM1318" s="133">
        <v>0.979333439010858</v>
      </c>
      <c r="AN1318" s="132">
        <v>0.99</v>
      </c>
      <c r="AO1318" s="137">
        <v>1</v>
      </c>
      <c r="AP1318" s="137">
        <v>1</v>
      </c>
      <c r="AQ1318" s="137">
        <v>1</v>
      </c>
      <c r="AR1318" s="137">
        <v>1</v>
      </c>
      <c r="AS1318" s="158">
        <v>0.0721861525408278</v>
      </c>
      <c r="AT1318" s="141">
        <v>0</v>
      </c>
      <c r="AU1318" s="141">
        <v>0.2</v>
      </c>
      <c r="AV1318" s="141">
        <v>0.142857142857143</v>
      </c>
      <c r="AW1318" s="141">
        <v>0.0512820512820513</v>
      </c>
      <c r="AX1318" s="95"/>
      <c r="AY1318" s="93"/>
    </row>
    <row r="1319" ht="15" spans="1:51">
      <c r="A1319" s="91"/>
      <c r="B1319" s="95"/>
      <c r="C1319" s="152" t="s">
        <v>1085</v>
      </c>
      <c r="D1319" s="153" t="s">
        <v>25</v>
      </c>
      <c r="E1319" s="130" t="s">
        <v>1086</v>
      </c>
      <c r="F1319" s="195" t="s">
        <v>1349</v>
      </c>
      <c r="G1319" s="195" t="s">
        <v>1349</v>
      </c>
      <c r="H1319" s="195" t="s">
        <v>1349</v>
      </c>
      <c r="I1319" s="195" t="s">
        <v>1349</v>
      </c>
      <c r="J1319" s="132">
        <v>0.9</v>
      </c>
      <c r="K1319" s="133">
        <v>0.909090909090909</v>
      </c>
      <c r="L1319" s="133">
        <v>0.90625</v>
      </c>
      <c r="M1319" s="134">
        <v>0.967741935483871</v>
      </c>
      <c r="N1319" s="133">
        <v>0.92</v>
      </c>
      <c r="O1319" s="135">
        <v>0.9</v>
      </c>
      <c r="P1319" s="133">
        <v>0.985975609756098</v>
      </c>
      <c r="Q1319" s="133">
        <v>0.990153172866521</v>
      </c>
      <c r="R1319" s="133">
        <v>0.949082568807339</v>
      </c>
      <c r="S1319" s="133">
        <v>0.973376114431273</v>
      </c>
      <c r="T1319" s="135">
        <v>0.9</v>
      </c>
      <c r="U1319" s="133">
        <v>0.954268292682927</v>
      </c>
      <c r="V1319" s="133">
        <v>0.940371991247265</v>
      </c>
      <c r="W1319" s="133">
        <v>0.930733944954128</v>
      </c>
      <c r="X1319" s="133">
        <v>0.935534437150975</v>
      </c>
      <c r="Y1319" s="135">
        <v>0.92</v>
      </c>
      <c r="Z1319" s="135" t="s">
        <v>35</v>
      </c>
      <c r="AA1319" s="135" t="s">
        <v>35</v>
      </c>
      <c r="AB1319" s="135" t="s">
        <v>35</v>
      </c>
      <c r="AC1319" s="135" t="s">
        <v>35</v>
      </c>
      <c r="AD1319" s="135">
        <v>0.92</v>
      </c>
      <c r="AE1319" s="133">
        <v>0.98</v>
      </c>
      <c r="AF1319" s="133">
        <v>0.99671322925226</v>
      </c>
      <c r="AG1319" s="133">
        <v>0.985507246376812</v>
      </c>
      <c r="AH1319" s="133">
        <v>0.992422276431204</v>
      </c>
      <c r="AI1319" s="135">
        <v>0.92</v>
      </c>
      <c r="AJ1319" s="133">
        <v>0.977439024390244</v>
      </c>
      <c r="AK1319" s="133">
        <v>0.973741794310722</v>
      </c>
      <c r="AL1319" s="133">
        <v>0.982110091743119</v>
      </c>
      <c r="AM1319" s="133">
        <v>0.983173312432644</v>
      </c>
      <c r="AN1319" s="132">
        <v>0.99</v>
      </c>
      <c r="AO1319" s="137">
        <v>1</v>
      </c>
      <c r="AP1319" s="137">
        <v>1</v>
      </c>
      <c r="AQ1319" s="137">
        <v>1</v>
      </c>
      <c r="AR1319" s="137">
        <v>1</v>
      </c>
      <c r="AS1319" s="158">
        <v>0.0721861525408278</v>
      </c>
      <c r="AT1319" s="141">
        <v>0</v>
      </c>
      <c r="AU1319" s="141">
        <v>0</v>
      </c>
      <c r="AV1319" s="141">
        <v>0</v>
      </c>
      <c r="AW1319" s="141">
        <v>0.0454545454545455</v>
      </c>
      <c r="AX1319" s="95"/>
      <c r="AY1319" s="93"/>
    </row>
    <row r="1320" ht="15" spans="1:51">
      <c r="A1320" s="91"/>
      <c r="B1320" s="95"/>
      <c r="C1320" s="152" t="s">
        <v>1085</v>
      </c>
      <c r="D1320" s="153" t="s">
        <v>25</v>
      </c>
      <c r="E1320" s="130" t="s">
        <v>1086</v>
      </c>
      <c r="F1320" s="195" t="s">
        <v>1350</v>
      </c>
      <c r="G1320" s="195" t="s">
        <v>1350</v>
      </c>
      <c r="H1320" s="195" t="s">
        <v>1350</v>
      </c>
      <c r="I1320" s="195" t="s">
        <v>1350</v>
      </c>
      <c r="J1320" s="132">
        <v>0.9</v>
      </c>
      <c r="K1320" s="133">
        <v>0.966666666666667</v>
      </c>
      <c r="L1320" s="133">
        <v>0.548387096774194</v>
      </c>
      <c r="M1320" s="134">
        <v>0.933333333333333</v>
      </c>
      <c r="N1320" s="133">
        <v>0.853146853146853</v>
      </c>
      <c r="O1320" s="135">
        <v>0.9</v>
      </c>
      <c r="P1320" s="133">
        <v>0.988549618320611</v>
      </c>
      <c r="Q1320" s="133">
        <v>0.984217171717172</v>
      </c>
      <c r="R1320" s="133">
        <v>0.986067415730337</v>
      </c>
      <c r="S1320" s="133">
        <v>0.988358983770745</v>
      </c>
      <c r="T1320" s="135">
        <v>0.9</v>
      </c>
      <c r="U1320" s="133">
        <v>0.940839694656489</v>
      </c>
      <c r="V1320" s="133">
        <v>0.948863636363636</v>
      </c>
      <c r="W1320" s="133">
        <v>0.960449438202247</v>
      </c>
      <c r="X1320" s="133">
        <v>0.960147872368318</v>
      </c>
      <c r="Y1320" s="135">
        <v>0.92</v>
      </c>
      <c r="Z1320" s="135" t="s">
        <v>35</v>
      </c>
      <c r="AA1320" s="135" t="s">
        <v>35</v>
      </c>
      <c r="AB1320" s="135" t="s">
        <v>35</v>
      </c>
      <c r="AC1320" s="135" t="s">
        <v>35</v>
      </c>
      <c r="AD1320" s="135">
        <v>0.92</v>
      </c>
      <c r="AE1320" s="133">
        <v>1</v>
      </c>
      <c r="AF1320" s="133">
        <v>1</v>
      </c>
      <c r="AG1320" s="133">
        <v>1</v>
      </c>
      <c r="AH1320" s="133">
        <v>0.999168859952902</v>
      </c>
      <c r="AI1320" s="135">
        <v>0.92</v>
      </c>
      <c r="AJ1320" s="133">
        <v>0.965648854961832</v>
      </c>
      <c r="AK1320" s="133">
        <v>0.965909090909091</v>
      </c>
      <c r="AL1320" s="133">
        <v>0.983370786516854</v>
      </c>
      <c r="AM1320" s="133">
        <v>0.979418473558638</v>
      </c>
      <c r="AN1320" s="132">
        <v>0.99</v>
      </c>
      <c r="AO1320" s="137">
        <v>1</v>
      </c>
      <c r="AP1320" s="137">
        <v>1</v>
      </c>
      <c r="AQ1320" s="137">
        <v>1</v>
      </c>
      <c r="AR1320" s="137">
        <v>1</v>
      </c>
      <c r="AS1320" s="158">
        <v>0.0721861525408278</v>
      </c>
      <c r="AT1320" s="141">
        <v>0</v>
      </c>
      <c r="AU1320" s="141">
        <v>0</v>
      </c>
      <c r="AV1320" s="141">
        <v>0</v>
      </c>
      <c r="AW1320" s="141">
        <v>0.0379746835443038</v>
      </c>
      <c r="AX1320" s="95"/>
      <c r="AY1320" s="93"/>
    </row>
    <row r="1321" ht="15" spans="1:51">
      <c r="A1321" s="91"/>
      <c r="B1321" s="95"/>
      <c r="C1321" s="152" t="s">
        <v>1085</v>
      </c>
      <c r="D1321" s="153" t="s">
        <v>25</v>
      </c>
      <c r="E1321" s="130" t="s">
        <v>1086</v>
      </c>
      <c r="F1321" s="195" t="s">
        <v>1351</v>
      </c>
      <c r="G1321" s="195" t="s">
        <v>1351</v>
      </c>
      <c r="H1321" s="195" t="s">
        <v>1351</v>
      </c>
      <c r="I1321" s="195" t="s">
        <v>1351</v>
      </c>
      <c r="J1321" s="132">
        <v>0.9</v>
      </c>
      <c r="K1321" s="133">
        <v>1</v>
      </c>
      <c r="L1321" s="133">
        <v>1</v>
      </c>
      <c r="M1321" s="134">
        <v>1</v>
      </c>
      <c r="N1321" s="133">
        <v>0.978967495219885</v>
      </c>
      <c r="O1321" s="135">
        <v>0.9</v>
      </c>
      <c r="P1321" s="133">
        <v>0.988615937687238</v>
      </c>
      <c r="Q1321" s="133">
        <v>0.984774333877107</v>
      </c>
      <c r="R1321" s="133">
        <v>0.981050818260121</v>
      </c>
      <c r="S1321" s="133">
        <v>0.984013165628306</v>
      </c>
      <c r="T1321" s="135">
        <v>0.9</v>
      </c>
      <c r="U1321" s="133">
        <v>0.964649490713002</v>
      </c>
      <c r="V1321" s="133">
        <v>0.954323001631321</v>
      </c>
      <c r="W1321" s="133">
        <v>0.966838931955211</v>
      </c>
      <c r="X1321" s="133">
        <v>0.957211708005172</v>
      </c>
      <c r="Y1321" s="135">
        <v>0.92</v>
      </c>
      <c r="Z1321" s="135" t="s">
        <v>35</v>
      </c>
      <c r="AA1321" s="135" t="s">
        <v>35</v>
      </c>
      <c r="AB1321" s="135" t="s">
        <v>35</v>
      </c>
      <c r="AC1321" s="135" t="s">
        <v>35</v>
      </c>
      <c r="AD1321" s="135">
        <v>0.92</v>
      </c>
      <c r="AE1321" s="133">
        <v>1</v>
      </c>
      <c r="AF1321" s="133">
        <v>0.996894409937888</v>
      </c>
      <c r="AG1321" s="133">
        <v>1</v>
      </c>
      <c r="AH1321" s="133">
        <v>0.990274234693878</v>
      </c>
      <c r="AI1321" s="135">
        <v>0.92</v>
      </c>
      <c r="AJ1321" s="133">
        <v>0.981426003594967</v>
      </c>
      <c r="AK1321" s="133">
        <v>0.980967917346384</v>
      </c>
      <c r="AL1321" s="133">
        <v>0.982342807924203</v>
      </c>
      <c r="AM1321" s="133">
        <v>0.985870459621488</v>
      </c>
      <c r="AN1321" s="132">
        <v>0.99</v>
      </c>
      <c r="AO1321" s="137">
        <v>1</v>
      </c>
      <c r="AP1321" s="137">
        <v>1</v>
      </c>
      <c r="AQ1321" s="137">
        <v>1</v>
      </c>
      <c r="AR1321" s="137">
        <v>1</v>
      </c>
      <c r="AS1321" s="158">
        <v>0.0721861525408278</v>
      </c>
      <c r="AT1321" s="141">
        <v>0</v>
      </c>
      <c r="AU1321" s="141">
        <v>0.2</v>
      </c>
      <c r="AV1321" s="141">
        <v>0</v>
      </c>
      <c r="AW1321" s="141">
        <v>0.0402684563758389</v>
      </c>
      <c r="AX1321" s="95"/>
      <c r="AY1321" s="93"/>
    </row>
    <row r="1322" ht="15" spans="1:51">
      <c r="A1322" s="91"/>
      <c r="B1322" s="95"/>
      <c r="C1322" s="152" t="s">
        <v>1085</v>
      </c>
      <c r="D1322" s="153" t="s">
        <v>25</v>
      </c>
      <c r="E1322" s="130" t="s">
        <v>1086</v>
      </c>
      <c r="F1322" s="195" t="s">
        <v>1352</v>
      </c>
      <c r="G1322" s="195" t="s">
        <v>1352</v>
      </c>
      <c r="H1322" s="195" t="s">
        <v>1352</v>
      </c>
      <c r="I1322" s="195" t="s">
        <v>1352</v>
      </c>
      <c r="J1322" s="132">
        <v>0.9</v>
      </c>
      <c r="K1322" s="133">
        <v>0.777777777777778</v>
      </c>
      <c r="L1322" s="133">
        <v>0.869565217391304</v>
      </c>
      <c r="M1322" s="134">
        <v>0.827586206896552</v>
      </c>
      <c r="N1322" s="133">
        <v>0.888</v>
      </c>
      <c r="O1322" s="135">
        <v>0.9</v>
      </c>
      <c r="P1322" s="133">
        <v>0.954714640198511</v>
      </c>
      <c r="Q1322" s="133">
        <v>0.922413793103448</v>
      </c>
      <c r="R1322" s="133">
        <v>0.915896081021576</v>
      </c>
      <c r="S1322" s="133">
        <v>0.947288841331503</v>
      </c>
      <c r="T1322" s="135">
        <v>0.9</v>
      </c>
      <c r="U1322" s="133">
        <v>0.905707196029777</v>
      </c>
      <c r="V1322" s="133">
        <v>0.762068965517241</v>
      </c>
      <c r="W1322" s="133">
        <v>0.944517833553501</v>
      </c>
      <c r="X1322" s="133">
        <v>0.906185303217102</v>
      </c>
      <c r="Y1322" s="135">
        <v>0.92</v>
      </c>
      <c r="Z1322" s="135">
        <v>0</v>
      </c>
      <c r="AA1322" s="135">
        <v>0</v>
      </c>
      <c r="AB1322" s="135" t="s">
        <v>35</v>
      </c>
      <c r="AC1322" s="135">
        <v>0.4</v>
      </c>
      <c r="AD1322" s="135">
        <v>0.92</v>
      </c>
      <c r="AE1322" s="133">
        <v>0.998471337579618</v>
      </c>
      <c r="AF1322" s="133">
        <v>0.990550437042287</v>
      </c>
      <c r="AG1322" s="133">
        <v>0.897810218978102</v>
      </c>
      <c r="AH1322" s="133">
        <v>0.9916794336732</v>
      </c>
      <c r="AI1322" s="135">
        <v>0.92</v>
      </c>
      <c r="AJ1322" s="133">
        <v>0.936222910216718</v>
      </c>
      <c r="AK1322" s="133">
        <v>0.89271371199082</v>
      </c>
      <c r="AL1322" s="133">
        <v>0.956847203874945</v>
      </c>
      <c r="AM1322" s="133">
        <v>0.954675472663426</v>
      </c>
      <c r="AN1322" s="132">
        <v>0.99</v>
      </c>
      <c r="AO1322" s="137">
        <v>1</v>
      </c>
      <c r="AP1322" s="137">
        <v>1</v>
      </c>
      <c r="AQ1322" s="137">
        <v>1</v>
      </c>
      <c r="AR1322" s="137">
        <v>1</v>
      </c>
      <c r="AS1322" s="158">
        <v>0.0721861525408278</v>
      </c>
      <c r="AT1322" s="141">
        <v>0</v>
      </c>
      <c r="AU1322" s="141">
        <v>0</v>
      </c>
      <c r="AV1322" s="141">
        <v>0</v>
      </c>
      <c r="AW1322" s="141">
        <v>0.0309278350515464</v>
      </c>
      <c r="AX1322" s="95"/>
      <c r="AY1322" s="93"/>
    </row>
    <row r="1323" ht="15" spans="1:51">
      <c r="A1323" s="91"/>
      <c r="B1323" s="95"/>
      <c r="C1323" s="152" t="s">
        <v>1085</v>
      </c>
      <c r="D1323" s="153" t="s">
        <v>25</v>
      </c>
      <c r="E1323" s="130" t="s">
        <v>1086</v>
      </c>
      <c r="F1323" s="195" t="s">
        <v>1353</v>
      </c>
      <c r="G1323" s="195" t="s">
        <v>1353</v>
      </c>
      <c r="H1323" s="195" t="s">
        <v>1353</v>
      </c>
      <c r="I1323" s="195" t="s">
        <v>1353</v>
      </c>
      <c r="J1323" s="132">
        <v>0.9</v>
      </c>
      <c r="K1323" s="133">
        <v>0.946428571428571</v>
      </c>
      <c r="L1323" s="133">
        <v>0.895833333333333</v>
      </c>
      <c r="M1323" s="134">
        <v>0.896551724137931</v>
      </c>
      <c r="N1323" s="133">
        <v>0.939393939393939</v>
      </c>
      <c r="O1323" s="135">
        <v>0.9</v>
      </c>
      <c r="P1323" s="133">
        <v>0.987770077456176</v>
      </c>
      <c r="Q1323" s="133">
        <v>0.952771272443404</v>
      </c>
      <c r="R1323" s="133">
        <v>0.984704641350211</v>
      </c>
      <c r="S1323" s="133">
        <v>0.971239118053861</v>
      </c>
      <c r="T1323" s="135">
        <v>0.9</v>
      </c>
      <c r="U1323" s="133">
        <v>0.938442723196086</v>
      </c>
      <c r="V1323" s="133">
        <v>0.901639344262295</v>
      </c>
      <c r="W1323" s="133">
        <v>0.91587552742616</v>
      </c>
      <c r="X1323" s="133">
        <v>0.913093591516828</v>
      </c>
      <c r="Y1323" s="135">
        <v>0.92</v>
      </c>
      <c r="Z1323" s="135">
        <v>0.935024752475248</v>
      </c>
      <c r="AA1323" s="135">
        <v>0.947807933194154</v>
      </c>
      <c r="AB1323" s="135">
        <v>0.941736694677871</v>
      </c>
      <c r="AC1323" s="135">
        <v>0.945035509237844</v>
      </c>
      <c r="AD1323" s="135">
        <v>0.92</v>
      </c>
      <c r="AE1323" s="133">
        <v>1</v>
      </c>
      <c r="AF1323" s="133">
        <v>0.999107939339875</v>
      </c>
      <c r="AG1323" s="133">
        <v>0.995316159250585</v>
      </c>
      <c r="AH1323" s="133">
        <v>0.987825284172869</v>
      </c>
      <c r="AI1323" s="135">
        <v>0.92</v>
      </c>
      <c r="AJ1323" s="133">
        <v>0.960432538707299</v>
      </c>
      <c r="AK1323" s="133">
        <v>0.94525</v>
      </c>
      <c r="AL1323" s="133">
        <v>0.963972037999641</v>
      </c>
      <c r="AM1323" s="133">
        <v>0.966987919098683</v>
      </c>
      <c r="AN1323" s="132">
        <v>0.99</v>
      </c>
      <c r="AO1323" s="137">
        <v>1</v>
      </c>
      <c r="AP1323" s="137">
        <v>1</v>
      </c>
      <c r="AQ1323" s="137">
        <v>1</v>
      </c>
      <c r="AR1323" s="137">
        <v>1</v>
      </c>
      <c r="AS1323" s="158">
        <v>0.0721861525408278</v>
      </c>
      <c r="AT1323" s="141">
        <v>0.0555555555555556</v>
      </c>
      <c r="AU1323" s="141">
        <v>0.03125</v>
      </c>
      <c r="AV1323" s="141">
        <v>0.0408163265306122</v>
      </c>
      <c r="AW1323" s="141">
        <v>0.0307486631016043</v>
      </c>
      <c r="AX1323" s="95"/>
      <c r="AY1323" s="93"/>
    </row>
    <row r="1324" ht="15" spans="1:51">
      <c r="A1324" s="91"/>
      <c r="B1324" s="95"/>
      <c r="C1324" s="152" t="s">
        <v>1085</v>
      </c>
      <c r="D1324" s="153" t="s">
        <v>25</v>
      </c>
      <c r="E1324" s="130" t="s">
        <v>1086</v>
      </c>
      <c r="F1324" s="195" t="s">
        <v>1354</v>
      </c>
      <c r="G1324" s="195" t="s">
        <v>1354</v>
      </c>
      <c r="H1324" s="195" t="s">
        <v>1354</v>
      </c>
      <c r="I1324" s="195" t="s">
        <v>1354</v>
      </c>
      <c r="J1324" s="132">
        <v>0.9</v>
      </c>
      <c r="K1324" s="133">
        <v>1</v>
      </c>
      <c r="L1324" s="133">
        <v>1</v>
      </c>
      <c r="M1324" s="134">
        <v>0.977272727272727</v>
      </c>
      <c r="N1324" s="133">
        <v>0.976303317535545</v>
      </c>
      <c r="O1324" s="135">
        <v>0.9</v>
      </c>
      <c r="P1324" s="133">
        <v>0.984507042253521</v>
      </c>
      <c r="Q1324" s="133">
        <v>0.983446519524618</v>
      </c>
      <c r="R1324" s="133">
        <v>0.915689381933439</v>
      </c>
      <c r="S1324" s="133">
        <v>0.948895335862531</v>
      </c>
      <c r="T1324" s="135">
        <v>0.9</v>
      </c>
      <c r="U1324" s="133">
        <v>0.948826291079812</v>
      </c>
      <c r="V1324" s="133">
        <v>0.941426146010187</v>
      </c>
      <c r="W1324" s="133">
        <v>0.961648177496038</v>
      </c>
      <c r="X1324" s="133">
        <v>0.931746004497622</v>
      </c>
      <c r="Y1324" s="135">
        <v>0.92</v>
      </c>
      <c r="Z1324" s="135" t="s">
        <v>35</v>
      </c>
      <c r="AA1324" s="135" t="s">
        <v>35</v>
      </c>
      <c r="AB1324" s="135" t="s">
        <v>35</v>
      </c>
      <c r="AC1324" s="135" t="s">
        <v>35</v>
      </c>
      <c r="AD1324" s="135">
        <v>0.92</v>
      </c>
      <c r="AE1324" s="133">
        <v>0.993827160493827</v>
      </c>
      <c r="AF1324" s="133">
        <v>1</v>
      </c>
      <c r="AG1324" s="133">
        <v>0.983050847457627</v>
      </c>
      <c r="AH1324" s="133">
        <v>0.995761473253435</v>
      </c>
      <c r="AI1324" s="135">
        <v>0.92</v>
      </c>
      <c r="AJ1324" s="133">
        <v>0.95962441314554</v>
      </c>
      <c r="AK1324" s="133">
        <v>0.961391599490878</v>
      </c>
      <c r="AL1324" s="133">
        <v>0.972424722662441</v>
      </c>
      <c r="AM1324" s="133">
        <v>0.965873588079789</v>
      </c>
      <c r="AN1324" s="132">
        <v>0.99</v>
      </c>
      <c r="AO1324" s="137">
        <v>1</v>
      </c>
      <c r="AP1324" s="137">
        <v>1</v>
      </c>
      <c r="AQ1324" s="137">
        <v>1</v>
      </c>
      <c r="AR1324" s="137">
        <v>1</v>
      </c>
      <c r="AS1324" s="158">
        <v>0.0721861525408278</v>
      </c>
      <c r="AT1324" s="141">
        <v>0.142857142857143</v>
      </c>
      <c r="AU1324" s="141">
        <v>0.0909090909090909</v>
      </c>
      <c r="AV1324" s="141">
        <v>0</v>
      </c>
      <c r="AW1324" s="141">
        <v>0.0422960725075529</v>
      </c>
      <c r="AX1324" s="95"/>
      <c r="AY1324" s="93"/>
    </row>
    <row r="1325" ht="15" spans="1:51">
      <c r="A1325" s="91"/>
      <c r="B1325" s="95"/>
      <c r="C1325" s="152" t="s">
        <v>1085</v>
      </c>
      <c r="D1325" s="153" t="s">
        <v>25</v>
      </c>
      <c r="E1325" s="130" t="s">
        <v>1086</v>
      </c>
      <c r="F1325" s="195" t="s">
        <v>1355</v>
      </c>
      <c r="G1325" s="195" t="s">
        <v>1355</v>
      </c>
      <c r="H1325" s="195" t="s">
        <v>1355</v>
      </c>
      <c r="I1325" s="195" t="s">
        <v>1355</v>
      </c>
      <c r="J1325" s="132">
        <v>0.9</v>
      </c>
      <c r="K1325" s="133">
        <v>1</v>
      </c>
      <c r="L1325" s="133">
        <v>0.9375</v>
      </c>
      <c r="M1325" s="134">
        <v>1</v>
      </c>
      <c r="N1325" s="133">
        <v>0.957251908396947</v>
      </c>
      <c r="O1325" s="135">
        <v>0.9</v>
      </c>
      <c r="P1325" s="133">
        <v>0.991054313099042</v>
      </c>
      <c r="Q1325" s="133">
        <v>0.990785907859079</v>
      </c>
      <c r="R1325" s="133">
        <v>0.990931574608409</v>
      </c>
      <c r="S1325" s="133">
        <v>0.988140703517588</v>
      </c>
      <c r="T1325" s="135">
        <v>0.9</v>
      </c>
      <c r="U1325" s="133">
        <v>0.964217252396166</v>
      </c>
      <c r="V1325" s="133">
        <v>0.957723577235772</v>
      </c>
      <c r="W1325" s="133">
        <v>0.949711459192086</v>
      </c>
      <c r="X1325" s="133">
        <v>0.957788944723618</v>
      </c>
      <c r="Y1325" s="135">
        <v>0.92</v>
      </c>
      <c r="Z1325" s="135">
        <v>0</v>
      </c>
      <c r="AA1325" s="135" t="s">
        <v>35</v>
      </c>
      <c r="AB1325" s="135" t="s">
        <v>35</v>
      </c>
      <c r="AC1325" s="135">
        <v>0.5</v>
      </c>
      <c r="AD1325" s="135">
        <v>0.92</v>
      </c>
      <c r="AE1325" s="133">
        <v>1</v>
      </c>
      <c r="AF1325" s="133">
        <v>1</v>
      </c>
      <c r="AG1325" s="133">
        <v>1</v>
      </c>
      <c r="AH1325" s="133">
        <v>0.997345468335229</v>
      </c>
      <c r="AI1325" s="135">
        <v>0.92</v>
      </c>
      <c r="AJ1325" s="133">
        <v>0.9757343550447</v>
      </c>
      <c r="AK1325" s="133">
        <v>0.974525745257453</v>
      </c>
      <c r="AL1325" s="133">
        <v>0.977741137675185</v>
      </c>
      <c r="AM1325" s="133">
        <v>0.982111351810081</v>
      </c>
      <c r="AN1325" s="132">
        <v>0.99</v>
      </c>
      <c r="AO1325" s="137">
        <v>1</v>
      </c>
      <c r="AP1325" s="137">
        <v>1</v>
      </c>
      <c r="AQ1325" s="137">
        <v>1</v>
      </c>
      <c r="AR1325" s="137">
        <v>1</v>
      </c>
      <c r="AS1325" s="158">
        <v>0.0721861525408278</v>
      </c>
      <c r="AT1325" s="141">
        <v>0</v>
      </c>
      <c r="AU1325" s="141">
        <v>0</v>
      </c>
      <c r="AV1325" s="141">
        <v>0</v>
      </c>
      <c r="AW1325" s="141">
        <v>0.0148148148148148</v>
      </c>
      <c r="AX1325" s="95"/>
      <c r="AY1325" s="93"/>
    </row>
    <row r="1326" ht="15" spans="1:51">
      <c r="A1326" s="91"/>
      <c r="B1326" s="95"/>
      <c r="C1326" s="152" t="s">
        <v>1085</v>
      </c>
      <c r="D1326" s="153" t="s">
        <v>25</v>
      </c>
      <c r="E1326" s="130" t="s">
        <v>1086</v>
      </c>
      <c r="F1326" s="195" t="s">
        <v>1356</v>
      </c>
      <c r="G1326" s="195" t="s">
        <v>1356</v>
      </c>
      <c r="H1326" s="195" t="s">
        <v>1356</v>
      </c>
      <c r="I1326" s="195" t="s">
        <v>1356</v>
      </c>
      <c r="J1326" s="132">
        <v>0.9</v>
      </c>
      <c r="K1326" s="133">
        <v>0.972222222222222</v>
      </c>
      <c r="L1326" s="133">
        <v>0.973684210526316</v>
      </c>
      <c r="M1326" s="134">
        <v>0.897435897435897</v>
      </c>
      <c r="N1326" s="133">
        <v>0.945301542776999</v>
      </c>
      <c r="O1326" s="135">
        <v>0.9</v>
      </c>
      <c r="P1326" s="133">
        <v>0.98780487804878</v>
      </c>
      <c r="Q1326" s="133">
        <v>0.988184747583244</v>
      </c>
      <c r="R1326" s="133">
        <v>0.989117291414752</v>
      </c>
      <c r="S1326" s="133">
        <v>0.981993220977309</v>
      </c>
      <c r="T1326" s="135">
        <v>0.9</v>
      </c>
      <c r="U1326" s="133">
        <v>0.953929539295393</v>
      </c>
      <c r="V1326" s="133">
        <v>0.954887218045113</v>
      </c>
      <c r="W1326" s="133">
        <v>0.971382507053607</v>
      </c>
      <c r="X1326" s="133">
        <v>0.959161095942002</v>
      </c>
      <c r="Y1326" s="135">
        <v>0.92</v>
      </c>
      <c r="Z1326" s="135" t="s">
        <v>35</v>
      </c>
      <c r="AA1326" s="135" t="s">
        <v>35</v>
      </c>
      <c r="AB1326" s="135" t="s">
        <v>35</v>
      </c>
      <c r="AC1326" s="135">
        <v>1</v>
      </c>
      <c r="AD1326" s="135">
        <v>0.92</v>
      </c>
      <c r="AE1326" s="133">
        <v>1</v>
      </c>
      <c r="AF1326" s="133">
        <v>0.997014925373134</v>
      </c>
      <c r="AG1326" s="133">
        <v>1</v>
      </c>
      <c r="AH1326" s="133">
        <v>0.998780487804878</v>
      </c>
      <c r="AI1326" s="135">
        <v>0.92</v>
      </c>
      <c r="AJ1326" s="133">
        <v>0.970189701897019</v>
      </c>
      <c r="AK1326" s="133">
        <v>0.97422126745435</v>
      </c>
      <c r="AL1326" s="133">
        <v>0.984280532043531</v>
      </c>
      <c r="AM1326" s="133">
        <v>0.982511474638108</v>
      </c>
      <c r="AN1326" s="132">
        <v>0.99</v>
      </c>
      <c r="AO1326" s="137">
        <v>1</v>
      </c>
      <c r="AP1326" s="137">
        <v>1</v>
      </c>
      <c r="AQ1326" s="137">
        <v>1</v>
      </c>
      <c r="AR1326" s="137">
        <v>1</v>
      </c>
      <c r="AS1326" s="158">
        <v>0.0721861525408278</v>
      </c>
      <c r="AT1326" s="141">
        <v>0</v>
      </c>
      <c r="AU1326" s="141">
        <v>0</v>
      </c>
      <c r="AV1326" s="141">
        <v>0</v>
      </c>
      <c r="AW1326" s="141">
        <v>0.0373831775700935</v>
      </c>
      <c r="AX1326" s="95"/>
      <c r="AY1326" s="93"/>
    </row>
    <row r="1327" ht="15" spans="1:51">
      <c r="A1327" s="91"/>
      <c r="B1327" s="95"/>
      <c r="C1327" s="152" t="s">
        <v>1085</v>
      </c>
      <c r="D1327" s="153" t="s">
        <v>25</v>
      </c>
      <c r="E1327" s="130" t="s">
        <v>1086</v>
      </c>
      <c r="F1327" s="195" t="s">
        <v>1357</v>
      </c>
      <c r="G1327" s="195" t="s">
        <v>1357</v>
      </c>
      <c r="H1327" s="195" t="s">
        <v>1357</v>
      </c>
      <c r="I1327" s="195" t="s">
        <v>1357</v>
      </c>
      <c r="J1327" s="132">
        <v>0.9</v>
      </c>
      <c r="K1327" s="133">
        <v>0.87719298245614</v>
      </c>
      <c r="L1327" s="133">
        <v>0.836363636363636</v>
      </c>
      <c r="M1327" s="134">
        <v>0.928571428571429</v>
      </c>
      <c r="N1327" s="133">
        <v>0.889194139194139</v>
      </c>
      <c r="O1327" s="135">
        <v>0.9</v>
      </c>
      <c r="P1327" s="133">
        <v>0.966342817487856</v>
      </c>
      <c r="Q1327" s="133">
        <v>0.983876168977749</v>
      </c>
      <c r="R1327" s="133">
        <v>0.97688679245283</v>
      </c>
      <c r="S1327" s="133">
        <v>0.972801769644563</v>
      </c>
      <c r="T1327" s="135">
        <v>0.9</v>
      </c>
      <c r="U1327" s="133">
        <v>0.888272033310201</v>
      </c>
      <c r="V1327" s="133">
        <v>0.910996452757175</v>
      </c>
      <c r="W1327" s="133">
        <v>0.912264150943396</v>
      </c>
      <c r="X1327" s="133">
        <v>0.921157810064853</v>
      </c>
      <c r="Y1327" s="135">
        <v>0.92</v>
      </c>
      <c r="Z1327" s="135" t="s">
        <v>35</v>
      </c>
      <c r="AA1327" s="135">
        <v>1</v>
      </c>
      <c r="AB1327" s="135" t="s">
        <v>35</v>
      </c>
      <c r="AC1327" s="135">
        <v>1</v>
      </c>
      <c r="AD1327" s="135">
        <v>0.92</v>
      </c>
      <c r="AE1327" s="133">
        <v>1</v>
      </c>
      <c r="AF1327" s="133">
        <v>1</v>
      </c>
      <c r="AG1327" s="133">
        <v>1</v>
      </c>
      <c r="AH1327" s="133">
        <v>0.996087636932707</v>
      </c>
      <c r="AI1327" s="135">
        <v>0.92</v>
      </c>
      <c r="AJ1327" s="133">
        <v>0.936849410131853</v>
      </c>
      <c r="AK1327" s="133">
        <v>0.948742746615087</v>
      </c>
      <c r="AL1327" s="133">
        <v>0.958962264150943</v>
      </c>
      <c r="AM1327" s="133">
        <v>0.964129956639226</v>
      </c>
      <c r="AN1327" s="132">
        <v>0.99</v>
      </c>
      <c r="AO1327" s="137">
        <v>1</v>
      </c>
      <c r="AP1327" s="137">
        <v>1</v>
      </c>
      <c r="AQ1327" s="137">
        <v>1</v>
      </c>
      <c r="AR1327" s="137">
        <v>1</v>
      </c>
      <c r="AS1327" s="158">
        <v>0.0721861525408278</v>
      </c>
      <c r="AT1327" s="141">
        <v>0.0833333333333333</v>
      </c>
      <c r="AU1327" s="141">
        <v>0.0476190476190476</v>
      </c>
      <c r="AV1327" s="141">
        <v>0</v>
      </c>
      <c r="AW1327" s="141">
        <v>0.0397350993377483</v>
      </c>
      <c r="AX1327" s="95"/>
      <c r="AY1327" s="93"/>
    </row>
    <row r="1328" ht="15" spans="1:51">
      <c r="A1328" s="91"/>
      <c r="B1328" s="95"/>
      <c r="C1328" s="152" t="s">
        <v>1085</v>
      </c>
      <c r="D1328" s="153" t="s">
        <v>25</v>
      </c>
      <c r="E1328" s="130" t="s">
        <v>1086</v>
      </c>
      <c r="F1328" s="195" t="s">
        <v>1358</v>
      </c>
      <c r="G1328" s="195" t="s">
        <v>1358</v>
      </c>
      <c r="H1328" s="195" t="s">
        <v>1358</v>
      </c>
      <c r="I1328" s="195" t="s">
        <v>1358</v>
      </c>
      <c r="J1328" s="132">
        <v>0.9</v>
      </c>
      <c r="K1328" s="133">
        <v>0.979166666666667</v>
      </c>
      <c r="L1328" s="133">
        <v>0.935897435897436</v>
      </c>
      <c r="M1328" s="134">
        <v>0.932584269662921</v>
      </c>
      <c r="N1328" s="133">
        <v>0.955180442374854</v>
      </c>
      <c r="O1328" s="135">
        <v>0.9</v>
      </c>
      <c r="P1328" s="133">
        <v>0.997827436374922</v>
      </c>
      <c r="Q1328" s="133">
        <v>0.995696789142668</v>
      </c>
      <c r="R1328" s="133">
        <v>0.967047167779453</v>
      </c>
      <c r="S1328" s="133">
        <v>0.975441565064207</v>
      </c>
      <c r="T1328" s="135">
        <v>0.9</v>
      </c>
      <c r="U1328" s="133">
        <v>0.93544382371198</v>
      </c>
      <c r="V1328" s="133">
        <v>0.931479642502483</v>
      </c>
      <c r="W1328" s="133">
        <v>0.949601550721516</v>
      </c>
      <c r="X1328" s="133">
        <v>0.939687543461128</v>
      </c>
      <c r="Y1328" s="135">
        <v>0.92</v>
      </c>
      <c r="Z1328" s="135">
        <v>0.940453686200378</v>
      </c>
      <c r="AA1328" s="135">
        <v>0.951080773606371</v>
      </c>
      <c r="AB1328" s="135">
        <v>0.949016100178891</v>
      </c>
      <c r="AC1328" s="135">
        <v>0.954814042405283</v>
      </c>
      <c r="AD1328" s="135">
        <v>0.92</v>
      </c>
      <c r="AE1328" s="133">
        <v>0.998552821997106</v>
      </c>
      <c r="AF1328" s="133">
        <v>0.998483699772555</v>
      </c>
      <c r="AG1328" s="133">
        <v>0.986754966887417</v>
      </c>
      <c r="AH1328" s="133">
        <v>0.982220646337757</v>
      </c>
      <c r="AI1328" s="135">
        <v>0.92</v>
      </c>
      <c r="AJ1328" s="133">
        <v>0.963656800299738</v>
      </c>
      <c r="AK1328" s="133">
        <v>0.970914417242101</v>
      </c>
      <c r="AL1328" s="133">
        <v>0.974418604651163</v>
      </c>
      <c r="AM1328" s="133">
        <v>0.977650049057099</v>
      </c>
      <c r="AN1328" s="132">
        <v>0.99</v>
      </c>
      <c r="AO1328" s="137">
        <v>1</v>
      </c>
      <c r="AP1328" s="137">
        <v>1</v>
      </c>
      <c r="AQ1328" s="137">
        <v>1</v>
      </c>
      <c r="AR1328" s="137">
        <v>1</v>
      </c>
      <c r="AS1328" s="158">
        <v>0.0721861525408278</v>
      </c>
      <c r="AT1328" s="141">
        <v>0</v>
      </c>
      <c r="AU1328" s="141">
        <v>0.0294117647058824</v>
      </c>
      <c r="AV1328" s="141">
        <v>0</v>
      </c>
      <c r="AW1328" s="141">
        <v>0.0376984126984127</v>
      </c>
      <c r="AX1328" s="95"/>
      <c r="AY1328" s="93"/>
    </row>
    <row r="1329" ht="15" spans="1:51">
      <c r="A1329" s="91"/>
      <c r="B1329" s="95"/>
      <c r="C1329" s="152" t="s">
        <v>1085</v>
      </c>
      <c r="D1329" s="153" t="s">
        <v>25</v>
      </c>
      <c r="E1329" s="130" t="s">
        <v>1086</v>
      </c>
      <c r="F1329" s="195" t="s">
        <v>1359</v>
      </c>
      <c r="G1329" s="195" t="s">
        <v>1359</v>
      </c>
      <c r="H1329" s="195" t="s">
        <v>1359</v>
      </c>
      <c r="I1329" s="195" t="s">
        <v>1359</v>
      </c>
      <c r="J1329" s="132">
        <v>0.9</v>
      </c>
      <c r="K1329" s="133">
        <v>0.95</v>
      </c>
      <c r="L1329" s="133">
        <v>0.941176470588235</v>
      </c>
      <c r="M1329" s="134">
        <v>1</v>
      </c>
      <c r="N1329" s="133">
        <v>0.991428571428571</v>
      </c>
      <c r="O1329" s="135">
        <v>0.9</v>
      </c>
      <c r="P1329" s="133">
        <v>0.993642143505904</v>
      </c>
      <c r="Q1329" s="133">
        <v>0.997574777687955</v>
      </c>
      <c r="R1329" s="133">
        <v>0.994444444444444</v>
      </c>
      <c r="S1329" s="133">
        <v>0.994219653179191</v>
      </c>
      <c r="T1329" s="135">
        <v>0.9</v>
      </c>
      <c r="U1329" s="133">
        <v>0.967302452316076</v>
      </c>
      <c r="V1329" s="133">
        <v>0.964430072756669</v>
      </c>
      <c r="W1329" s="133">
        <v>0.974074074074074</v>
      </c>
      <c r="X1329" s="133">
        <v>0.968158546655656</v>
      </c>
      <c r="Y1329" s="135">
        <v>0.92</v>
      </c>
      <c r="Z1329" s="135" t="s">
        <v>35</v>
      </c>
      <c r="AA1329" s="135" t="s">
        <v>35</v>
      </c>
      <c r="AB1329" s="135" t="s">
        <v>35</v>
      </c>
      <c r="AC1329" s="135">
        <v>1</v>
      </c>
      <c r="AD1329" s="135">
        <v>0.92</v>
      </c>
      <c r="AE1329" s="133">
        <v>1</v>
      </c>
      <c r="AF1329" s="133">
        <v>1</v>
      </c>
      <c r="AG1329" s="133">
        <v>1</v>
      </c>
      <c r="AH1329" s="133">
        <v>0.999538851740835</v>
      </c>
      <c r="AI1329" s="135">
        <v>0.92</v>
      </c>
      <c r="AJ1329" s="133">
        <v>0.981851179673321</v>
      </c>
      <c r="AK1329" s="133">
        <v>0.992724333063864</v>
      </c>
      <c r="AL1329" s="133">
        <v>0.991975308641975</v>
      </c>
      <c r="AM1329" s="133">
        <v>0.992668428005284</v>
      </c>
      <c r="AN1329" s="132">
        <v>0.99</v>
      </c>
      <c r="AO1329" s="137">
        <v>1</v>
      </c>
      <c r="AP1329" s="137">
        <v>1</v>
      </c>
      <c r="AQ1329" s="137">
        <v>1</v>
      </c>
      <c r="AR1329" s="137">
        <v>1</v>
      </c>
      <c r="AS1329" s="158">
        <v>0.0721861525408278</v>
      </c>
      <c r="AT1329" s="141">
        <v>0.2</v>
      </c>
      <c r="AU1329" s="141">
        <v>0</v>
      </c>
      <c r="AV1329" s="141">
        <v>0</v>
      </c>
      <c r="AW1329" s="141">
        <v>0.04</v>
      </c>
      <c r="AX1329" s="95"/>
      <c r="AY1329" s="93"/>
    </row>
    <row r="1330" ht="15" spans="1:51">
      <c r="A1330" s="91"/>
      <c r="B1330" s="95"/>
      <c r="C1330" s="152" t="s">
        <v>1085</v>
      </c>
      <c r="D1330" s="153" t="s">
        <v>25</v>
      </c>
      <c r="E1330" s="130" t="s">
        <v>1086</v>
      </c>
      <c r="F1330" s="195" t="s">
        <v>1360</v>
      </c>
      <c r="G1330" s="195" t="s">
        <v>1360</v>
      </c>
      <c r="H1330" s="195" t="s">
        <v>1360</v>
      </c>
      <c r="I1330" s="195" t="s">
        <v>1360</v>
      </c>
      <c r="J1330" s="132">
        <v>0.9</v>
      </c>
      <c r="K1330" s="133">
        <v>0.964285714285714</v>
      </c>
      <c r="L1330" s="133">
        <v>0.961538461538462</v>
      </c>
      <c r="M1330" s="134">
        <v>0.931034482758621</v>
      </c>
      <c r="N1330" s="133">
        <v>0.974545454545454</v>
      </c>
      <c r="O1330" s="135">
        <v>0.9</v>
      </c>
      <c r="P1330" s="133">
        <v>0.989873417721519</v>
      </c>
      <c r="Q1330" s="133">
        <v>0.989493201483313</v>
      </c>
      <c r="R1330" s="133">
        <v>0.989958158995816</v>
      </c>
      <c r="S1330" s="133">
        <v>0.984284024745269</v>
      </c>
      <c r="T1330" s="135">
        <v>0.9</v>
      </c>
      <c r="U1330" s="133">
        <v>0.979113924050633</v>
      </c>
      <c r="V1330" s="133">
        <v>0.972805933250927</v>
      </c>
      <c r="W1330" s="133">
        <v>0.976569037656904</v>
      </c>
      <c r="X1330" s="133">
        <v>0.97545942503639</v>
      </c>
      <c r="Y1330" s="135">
        <v>0.92</v>
      </c>
      <c r="Z1330" s="135" t="s">
        <v>35</v>
      </c>
      <c r="AA1330" s="135" t="s">
        <v>35</v>
      </c>
      <c r="AB1330" s="135" t="s">
        <v>35</v>
      </c>
      <c r="AC1330" s="135">
        <v>1</v>
      </c>
      <c r="AD1330" s="135">
        <v>0.92</v>
      </c>
      <c r="AE1330" s="133">
        <v>1</v>
      </c>
      <c r="AF1330" s="133">
        <v>1</v>
      </c>
      <c r="AG1330" s="133">
        <v>0.997572815533981</v>
      </c>
      <c r="AH1330" s="133">
        <v>0.994290608050243</v>
      </c>
      <c r="AI1330" s="135">
        <v>0.92</v>
      </c>
      <c r="AJ1330" s="133">
        <v>0.991139240506329</v>
      </c>
      <c r="AK1330" s="133">
        <v>0.985784919653894</v>
      </c>
      <c r="AL1330" s="133">
        <v>0.990794979079498</v>
      </c>
      <c r="AM1330" s="133">
        <v>0.991448715032977</v>
      </c>
      <c r="AN1330" s="132">
        <v>0.99</v>
      </c>
      <c r="AO1330" s="137">
        <v>1</v>
      </c>
      <c r="AP1330" s="137">
        <v>1</v>
      </c>
      <c r="AQ1330" s="137">
        <v>1</v>
      </c>
      <c r="AR1330" s="137">
        <v>1</v>
      </c>
      <c r="AS1330" s="158">
        <v>0.0721861525408278</v>
      </c>
      <c r="AT1330" s="141">
        <v>0</v>
      </c>
      <c r="AU1330" s="141">
        <v>0</v>
      </c>
      <c r="AV1330" s="141">
        <v>0</v>
      </c>
      <c r="AW1330" s="141">
        <v>0.0188679245283019</v>
      </c>
      <c r="AX1330" s="95"/>
      <c r="AY1330" s="93"/>
    </row>
    <row r="1331" ht="15" spans="1:51">
      <c r="A1331" s="91"/>
      <c r="B1331" s="95"/>
      <c r="C1331" s="152" t="s">
        <v>1085</v>
      </c>
      <c r="D1331" s="153" t="s">
        <v>25</v>
      </c>
      <c r="E1331" s="130" t="s">
        <v>1086</v>
      </c>
      <c r="F1331" s="195" t="s">
        <v>1361</v>
      </c>
      <c r="G1331" s="195" t="s">
        <v>1361</v>
      </c>
      <c r="H1331" s="195" t="s">
        <v>1361</v>
      </c>
      <c r="I1331" s="195" t="s">
        <v>1361</v>
      </c>
      <c r="J1331" s="132">
        <v>0.9</v>
      </c>
      <c r="K1331" s="133">
        <v>0.959183673469388</v>
      </c>
      <c r="L1331" s="133">
        <v>1</v>
      </c>
      <c r="M1331" s="134">
        <v>1</v>
      </c>
      <c r="N1331" s="133">
        <v>0.990022172949002</v>
      </c>
      <c r="O1331" s="135">
        <v>0.9</v>
      </c>
      <c r="P1331" s="133">
        <v>0.991121495327103</v>
      </c>
      <c r="Q1331" s="133">
        <v>0.992560175054705</v>
      </c>
      <c r="R1331" s="133">
        <v>0.995875634517767</v>
      </c>
      <c r="S1331" s="133">
        <v>0.983876346416781</v>
      </c>
      <c r="T1331" s="135">
        <v>0.9</v>
      </c>
      <c r="U1331" s="133">
        <v>0.95607476635514</v>
      </c>
      <c r="V1331" s="133">
        <v>0.965864332603939</v>
      </c>
      <c r="W1331" s="133">
        <v>0.969225888324873</v>
      </c>
      <c r="X1331" s="133">
        <v>0.96523493513856</v>
      </c>
      <c r="Y1331" s="135">
        <v>0.92</v>
      </c>
      <c r="Z1331" s="135" t="s">
        <v>35</v>
      </c>
      <c r="AA1331" s="135" t="s">
        <v>35</v>
      </c>
      <c r="AB1331" s="135" t="s">
        <v>35</v>
      </c>
      <c r="AC1331" s="135" t="s">
        <v>35</v>
      </c>
      <c r="AD1331" s="135">
        <v>0.92</v>
      </c>
      <c r="AE1331" s="133">
        <v>0.998797595190381</v>
      </c>
      <c r="AF1331" s="133">
        <v>0.997905759162304</v>
      </c>
      <c r="AG1331" s="133">
        <v>0.991335740072202</v>
      </c>
      <c r="AH1331" s="133">
        <v>0.998001972079506</v>
      </c>
      <c r="AI1331" s="135">
        <v>0.92</v>
      </c>
      <c r="AJ1331" s="133">
        <v>0.972897196261682</v>
      </c>
      <c r="AK1331" s="133">
        <v>0.98074398249453</v>
      </c>
      <c r="AL1331" s="133">
        <v>0.984454314720812</v>
      </c>
      <c r="AM1331" s="133">
        <v>0.984643857543017</v>
      </c>
      <c r="AN1331" s="132">
        <v>0.99</v>
      </c>
      <c r="AO1331" s="137">
        <v>1</v>
      </c>
      <c r="AP1331" s="137">
        <v>1</v>
      </c>
      <c r="AQ1331" s="137">
        <v>1</v>
      </c>
      <c r="AR1331" s="137">
        <v>1</v>
      </c>
      <c r="AS1331" s="158">
        <v>0.0721861525408278</v>
      </c>
      <c r="AT1331" s="141">
        <v>0</v>
      </c>
      <c r="AU1331" s="141">
        <v>0</v>
      </c>
      <c r="AV1331" s="141">
        <v>0.153846153846154</v>
      </c>
      <c r="AW1331" s="141">
        <v>0.0398009950248756</v>
      </c>
      <c r="AX1331" s="95"/>
      <c r="AY1331" s="93"/>
    </row>
    <row r="1332" ht="15" spans="1:51">
      <c r="A1332" s="91"/>
      <c r="B1332" s="95"/>
      <c r="C1332" s="152" t="s">
        <v>1085</v>
      </c>
      <c r="D1332" s="153" t="s">
        <v>25</v>
      </c>
      <c r="E1332" s="130" t="s">
        <v>1086</v>
      </c>
      <c r="F1332" s="195" t="s">
        <v>1362</v>
      </c>
      <c r="G1332" s="195" t="s">
        <v>1362</v>
      </c>
      <c r="H1332" s="195" t="s">
        <v>1362</v>
      </c>
      <c r="I1332" s="195" t="s">
        <v>1362</v>
      </c>
      <c r="J1332" s="132">
        <v>0.9</v>
      </c>
      <c r="K1332" s="133">
        <v>0.978260869565217</v>
      </c>
      <c r="L1332" s="133">
        <v>0.953488372093023</v>
      </c>
      <c r="M1332" s="134">
        <v>0.977777777777778</v>
      </c>
      <c r="N1332" s="133">
        <v>0.967779056386651</v>
      </c>
      <c r="O1332" s="135">
        <v>0.9</v>
      </c>
      <c r="P1332" s="133">
        <v>0.992469879518072</v>
      </c>
      <c r="Q1332" s="133">
        <v>0.994261119081779</v>
      </c>
      <c r="R1332" s="133">
        <v>0.994273815720979</v>
      </c>
      <c r="S1332" s="133">
        <v>0.985278050147079</v>
      </c>
      <c r="T1332" s="135">
        <v>0.9</v>
      </c>
      <c r="U1332" s="133">
        <v>0.969126506024096</v>
      </c>
      <c r="V1332" s="133">
        <v>0.976685796269727</v>
      </c>
      <c r="W1332" s="133">
        <v>0.965642894325872</v>
      </c>
      <c r="X1332" s="133">
        <v>0.973259560162488</v>
      </c>
      <c r="Y1332" s="135">
        <v>0.92</v>
      </c>
      <c r="Z1332" s="135" t="s">
        <v>35</v>
      </c>
      <c r="AA1332" s="135" t="s">
        <v>35</v>
      </c>
      <c r="AB1332" s="135" t="s">
        <v>35</v>
      </c>
      <c r="AC1332" s="135" t="s">
        <v>35</v>
      </c>
      <c r="AD1332" s="135">
        <v>0.92</v>
      </c>
      <c r="AE1332" s="133">
        <v>1</v>
      </c>
      <c r="AF1332" s="133">
        <v>1</v>
      </c>
      <c r="AG1332" s="133">
        <v>1</v>
      </c>
      <c r="AH1332" s="133">
        <v>0.988656870327404</v>
      </c>
      <c r="AI1332" s="135">
        <v>0.92</v>
      </c>
      <c r="AJ1332" s="133">
        <v>0.987198795180723</v>
      </c>
      <c r="AK1332" s="133">
        <v>0.996771879483501</v>
      </c>
      <c r="AL1332" s="133">
        <v>0.991931285788652</v>
      </c>
      <c r="AM1332" s="133">
        <v>0.993164308726712</v>
      </c>
      <c r="AN1332" s="132">
        <v>0.99</v>
      </c>
      <c r="AO1332" s="137">
        <v>1</v>
      </c>
      <c r="AP1332" s="137">
        <v>1</v>
      </c>
      <c r="AQ1332" s="137">
        <v>1</v>
      </c>
      <c r="AR1332" s="137">
        <v>1</v>
      </c>
      <c r="AS1332" s="158">
        <v>0.0721861525408278</v>
      </c>
      <c r="AT1332" s="141">
        <v>0.157894736842105</v>
      </c>
      <c r="AU1332" s="141">
        <v>0</v>
      </c>
      <c r="AV1332" s="141">
        <v>0.05</v>
      </c>
      <c r="AW1332" s="141">
        <v>0.0314465408805031</v>
      </c>
      <c r="AX1332" s="95"/>
      <c r="AY1332" s="93"/>
    </row>
    <row r="1333" ht="15" spans="1:51">
      <c r="A1333" s="91"/>
      <c r="B1333" s="95"/>
      <c r="C1333" s="152" t="s">
        <v>1085</v>
      </c>
      <c r="D1333" s="153" t="s">
        <v>25</v>
      </c>
      <c r="E1333" s="130" t="s">
        <v>1086</v>
      </c>
      <c r="F1333" s="195" t="s">
        <v>1363</v>
      </c>
      <c r="G1333" s="195" t="s">
        <v>1363</v>
      </c>
      <c r="H1333" s="195" t="s">
        <v>1363</v>
      </c>
      <c r="I1333" s="195" t="s">
        <v>1363</v>
      </c>
      <c r="J1333" s="132">
        <v>0.9</v>
      </c>
      <c r="K1333" s="133">
        <v>0.9625</v>
      </c>
      <c r="L1333" s="133">
        <v>0.961538461538462</v>
      </c>
      <c r="M1333" s="134">
        <v>0.988636363636364</v>
      </c>
      <c r="N1333" s="133">
        <v>0.941634241245136</v>
      </c>
      <c r="O1333" s="135">
        <v>0.9</v>
      </c>
      <c r="P1333" s="133">
        <v>0.973967372440125</v>
      </c>
      <c r="Q1333" s="133">
        <v>0.961990324809952</v>
      </c>
      <c r="R1333" s="133">
        <v>0.978881411000232</v>
      </c>
      <c r="S1333" s="133">
        <v>0.952387595916038</v>
      </c>
      <c r="T1333" s="135">
        <v>0.9</v>
      </c>
      <c r="U1333" s="133">
        <v>0.926761541131552</v>
      </c>
      <c r="V1333" s="133">
        <v>0.929509329647547</v>
      </c>
      <c r="W1333" s="133">
        <v>0.947087491297285</v>
      </c>
      <c r="X1333" s="133">
        <v>0.922100323419367</v>
      </c>
      <c r="Y1333" s="135">
        <v>0.92</v>
      </c>
      <c r="Z1333" s="135">
        <v>0.912037037037037</v>
      </c>
      <c r="AA1333" s="135">
        <v>0.896815286624204</v>
      </c>
      <c r="AB1333" s="135">
        <v>0.925284244721169</v>
      </c>
      <c r="AC1333" s="135">
        <v>0.920605603392211</v>
      </c>
      <c r="AD1333" s="135">
        <v>0.92</v>
      </c>
      <c r="AE1333" s="133">
        <v>1</v>
      </c>
      <c r="AF1333" s="133">
        <v>0.995884773662551</v>
      </c>
      <c r="AG1333" s="133">
        <v>0.989010989010989</v>
      </c>
      <c r="AH1333" s="133">
        <v>0.99807371259792</v>
      </c>
      <c r="AI1333" s="135">
        <v>0.92</v>
      </c>
      <c r="AJ1333" s="133">
        <v>0.948578867433283</v>
      </c>
      <c r="AK1333" s="133">
        <v>0.948252688172043</v>
      </c>
      <c r="AL1333" s="133">
        <v>0.963630459490177</v>
      </c>
      <c r="AM1333" s="133">
        <v>0.959008287010197</v>
      </c>
      <c r="AN1333" s="132">
        <v>0.99</v>
      </c>
      <c r="AO1333" s="137">
        <v>1</v>
      </c>
      <c r="AP1333" s="137">
        <v>1</v>
      </c>
      <c r="AQ1333" s="137">
        <v>1</v>
      </c>
      <c r="AR1333" s="137">
        <v>1</v>
      </c>
      <c r="AS1333" s="158">
        <v>0.0721861525408278</v>
      </c>
      <c r="AT1333" s="141">
        <v>0.0454545454545455</v>
      </c>
      <c r="AU1333" s="141">
        <v>0.0555555555555556</v>
      </c>
      <c r="AV1333" s="141">
        <v>0.0952380952380952</v>
      </c>
      <c r="AW1333" s="141">
        <v>0.0329341317365269</v>
      </c>
      <c r="AX1333" s="95"/>
      <c r="AY1333" s="93"/>
    </row>
    <row r="1334" ht="15" spans="1:51">
      <c r="A1334" s="91"/>
      <c r="B1334" s="95"/>
      <c r="C1334" s="152" t="s">
        <v>1085</v>
      </c>
      <c r="D1334" s="153" t="s">
        <v>25</v>
      </c>
      <c r="E1334" s="130" t="s">
        <v>1086</v>
      </c>
      <c r="F1334" s="195" t="s">
        <v>1364</v>
      </c>
      <c r="G1334" s="195" t="s">
        <v>1364</v>
      </c>
      <c r="H1334" s="195" t="s">
        <v>1364</v>
      </c>
      <c r="I1334" s="195" t="s">
        <v>1364</v>
      </c>
      <c r="J1334" s="132">
        <v>0.9</v>
      </c>
      <c r="K1334" s="133">
        <v>0.904761904761905</v>
      </c>
      <c r="L1334" s="133">
        <v>0.863636363636364</v>
      </c>
      <c r="M1334" s="134">
        <v>0.953488372093023</v>
      </c>
      <c r="N1334" s="133">
        <v>0.939580764488286</v>
      </c>
      <c r="O1334" s="135">
        <v>0.9</v>
      </c>
      <c r="P1334" s="133">
        <v>0.957160856782864</v>
      </c>
      <c r="Q1334" s="133">
        <v>0.985868661679135</v>
      </c>
      <c r="R1334" s="133">
        <v>0.939657591916924</v>
      </c>
      <c r="S1334" s="133">
        <v>0.943162386202628</v>
      </c>
      <c r="T1334" s="135">
        <v>0.9</v>
      </c>
      <c r="U1334" s="133">
        <v>0.926501469970601</v>
      </c>
      <c r="V1334" s="133">
        <v>0.965502909393184</v>
      </c>
      <c r="W1334" s="133">
        <v>0.911591355599214</v>
      </c>
      <c r="X1334" s="133">
        <v>0.918635897268863</v>
      </c>
      <c r="Y1334" s="135">
        <v>0.92</v>
      </c>
      <c r="Z1334" s="135">
        <v>0</v>
      </c>
      <c r="AA1334" s="135" t="s">
        <v>35</v>
      </c>
      <c r="AB1334" s="135" t="s">
        <v>35</v>
      </c>
      <c r="AC1334" s="135">
        <v>0.5</v>
      </c>
      <c r="AD1334" s="135">
        <v>0.92</v>
      </c>
      <c r="AE1334" s="133">
        <v>0.992125984251969</v>
      </c>
      <c r="AF1334" s="133">
        <v>0.985185185185185</v>
      </c>
      <c r="AG1334" s="133">
        <v>1</v>
      </c>
      <c r="AH1334" s="133">
        <v>0.991084695393759</v>
      </c>
      <c r="AI1334" s="135">
        <v>0.92</v>
      </c>
      <c r="AJ1334" s="133">
        <v>0.97103274559194</v>
      </c>
      <c r="AK1334" s="133">
        <v>0.973815461346633</v>
      </c>
      <c r="AL1334" s="133">
        <v>0.973056413134999</v>
      </c>
      <c r="AM1334" s="133">
        <v>0.974969465027278</v>
      </c>
      <c r="AN1334" s="132">
        <v>0.99</v>
      </c>
      <c r="AO1334" s="137">
        <v>1</v>
      </c>
      <c r="AP1334" s="137">
        <v>1</v>
      </c>
      <c r="AQ1334" s="137">
        <v>1</v>
      </c>
      <c r="AR1334" s="137">
        <v>1</v>
      </c>
      <c r="AS1334" s="158">
        <v>0.0721861525408278</v>
      </c>
      <c r="AT1334" s="141">
        <v>0</v>
      </c>
      <c r="AU1334" s="141">
        <v>0</v>
      </c>
      <c r="AV1334" s="141">
        <v>0.25</v>
      </c>
      <c r="AW1334" s="141">
        <v>0.0641025641025641</v>
      </c>
      <c r="AX1334" s="95"/>
      <c r="AY1334" s="93"/>
    </row>
    <row r="1335" ht="15" spans="1:51">
      <c r="A1335" s="91"/>
      <c r="B1335" s="95"/>
      <c r="C1335" s="152" t="s">
        <v>1085</v>
      </c>
      <c r="D1335" s="153" t="s">
        <v>25</v>
      </c>
      <c r="E1335" s="130" t="s">
        <v>1086</v>
      </c>
      <c r="F1335" s="195" t="s">
        <v>1365</v>
      </c>
      <c r="G1335" s="195" t="s">
        <v>1365</v>
      </c>
      <c r="H1335" s="195" t="s">
        <v>1365</v>
      </c>
      <c r="I1335" s="195" t="s">
        <v>1365</v>
      </c>
      <c r="J1335" s="132">
        <v>0.9</v>
      </c>
      <c r="K1335" s="133">
        <v>1</v>
      </c>
      <c r="L1335" s="133">
        <v>1</v>
      </c>
      <c r="M1335" s="134">
        <v>0.96875</v>
      </c>
      <c r="N1335" s="133">
        <v>0.985530546623794</v>
      </c>
      <c r="O1335" s="135">
        <v>0.9</v>
      </c>
      <c r="P1335" s="133">
        <v>0.98963133640553</v>
      </c>
      <c r="Q1335" s="133">
        <v>0.983786610878661</v>
      </c>
      <c r="R1335" s="133">
        <v>0.9942900647126</v>
      </c>
      <c r="S1335" s="133">
        <v>0.981545244593743</v>
      </c>
      <c r="T1335" s="135">
        <v>0.9</v>
      </c>
      <c r="U1335" s="133">
        <v>0.969470046082949</v>
      </c>
      <c r="V1335" s="133">
        <v>0.963389121338912</v>
      </c>
      <c r="W1335" s="133">
        <v>0.961553102398173</v>
      </c>
      <c r="X1335" s="133">
        <v>0.967058576527399</v>
      </c>
      <c r="Y1335" s="135">
        <v>0.92</v>
      </c>
      <c r="Z1335" s="135" t="s">
        <v>35</v>
      </c>
      <c r="AA1335" s="135" t="s">
        <v>35</v>
      </c>
      <c r="AB1335" s="135" t="s">
        <v>35</v>
      </c>
      <c r="AC1335" s="135" t="s">
        <v>35</v>
      </c>
      <c r="AD1335" s="135">
        <v>0.92</v>
      </c>
      <c r="AE1335" s="133">
        <v>0.9993961352657</v>
      </c>
      <c r="AF1335" s="133">
        <v>0.998237219843868</v>
      </c>
      <c r="AG1335" s="133">
        <v>0.999378495960224</v>
      </c>
      <c r="AH1335" s="133">
        <v>0.999239119407528</v>
      </c>
      <c r="AI1335" s="135">
        <v>0.92</v>
      </c>
      <c r="AJ1335" s="133">
        <v>0.972926267281106</v>
      </c>
      <c r="AK1335" s="133">
        <v>0.971234309623431</v>
      </c>
      <c r="AL1335" s="133">
        <v>0.989341454130186</v>
      </c>
      <c r="AM1335" s="133">
        <v>0.981881547731519</v>
      </c>
      <c r="AN1335" s="132">
        <v>0.99</v>
      </c>
      <c r="AO1335" s="137">
        <v>1</v>
      </c>
      <c r="AP1335" s="137">
        <v>1</v>
      </c>
      <c r="AQ1335" s="137">
        <v>1</v>
      </c>
      <c r="AR1335" s="137">
        <v>1</v>
      </c>
      <c r="AS1335" s="158">
        <v>0.0721861525408278</v>
      </c>
      <c r="AT1335" s="141">
        <v>0</v>
      </c>
      <c r="AU1335" s="141">
        <v>0</v>
      </c>
      <c r="AV1335" s="141">
        <v>0</v>
      </c>
      <c r="AW1335" s="141">
        <v>0.0144927536231884</v>
      </c>
      <c r="AX1335" s="95"/>
      <c r="AY1335" s="93"/>
    </row>
    <row r="1336" ht="15" spans="1:51">
      <c r="A1336" s="91"/>
      <c r="B1336" s="95"/>
      <c r="C1336" s="152" t="s">
        <v>1085</v>
      </c>
      <c r="D1336" s="153" t="s">
        <v>25</v>
      </c>
      <c r="E1336" s="130" t="s">
        <v>1086</v>
      </c>
      <c r="F1336" s="195" t="s">
        <v>1366</v>
      </c>
      <c r="G1336" s="195" t="s">
        <v>1366</v>
      </c>
      <c r="H1336" s="195" t="s">
        <v>1366</v>
      </c>
      <c r="I1336" s="195" t="s">
        <v>1366</v>
      </c>
      <c r="J1336" s="132">
        <v>0.9</v>
      </c>
      <c r="K1336" s="133">
        <v>0.904761904761905</v>
      </c>
      <c r="L1336" s="133">
        <v>0.85</v>
      </c>
      <c r="M1336" s="134">
        <v>0.952380952380952</v>
      </c>
      <c r="N1336" s="133">
        <v>0.9559902200489</v>
      </c>
      <c r="O1336" s="135">
        <v>0.9</v>
      </c>
      <c r="P1336" s="133">
        <v>0.960471567267684</v>
      </c>
      <c r="Q1336" s="133">
        <v>0.969355847404628</v>
      </c>
      <c r="R1336" s="133">
        <v>0.931723176962378</v>
      </c>
      <c r="S1336" s="133">
        <v>0.956079327172672</v>
      </c>
      <c r="T1336" s="135">
        <v>0.9</v>
      </c>
      <c r="U1336" s="133">
        <v>0.921636615811373</v>
      </c>
      <c r="V1336" s="133">
        <v>0.936210131332083</v>
      </c>
      <c r="W1336" s="133">
        <v>0.895959126799814</v>
      </c>
      <c r="X1336" s="133">
        <v>0.927499740421555</v>
      </c>
      <c r="Y1336" s="135">
        <v>0.92</v>
      </c>
      <c r="Z1336" s="135" t="s">
        <v>35</v>
      </c>
      <c r="AA1336" s="135" t="s">
        <v>35</v>
      </c>
      <c r="AB1336" s="135" t="s">
        <v>35</v>
      </c>
      <c r="AC1336" s="135">
        <v>1</v>
      </c>
      <c r="AD1336" s="135">
        <v>0.92</v>
      </c>
      <c r="AE1336" s="133">
        <v>0.998652291105121</v>
      </c>
      <c r="AF1336" s="133">
        <v>0.997422680412371</v>
      </c>
      <c r="AG1336" s="133">
        <v>0.973333333333333</v>
      </c>
      <c r="AH1336" s="133">
        <v>0.992986261749819</v>
      </c>
      <c r="AI1336" s="135">
        <v>0.92</v>
      </c>
      <c r="AJ1336" s="133">
        <v>0.944521497919556</v>
      </c>
      <c r="AK1336" s="133">
        <v>0.958098811757348</v>
      </c>
      <c r="AL1336" s="133">
        <v>0.965629354389224</v>
      </c>
      <c r="AM1336" s="133">
        <v>0.962491888384166</v>
      </c>
      <c r="AN1336" s="132">
        <v>0.99</v>
      </c>
      <c r="AO1336" s="137">
        <v>1</v>
      </c>
      <c r="AP1336" s="137">
        <v>1</v>
      </c>
      <c r="AQ1336" s="137" t="s">
        <v>35</v>
      </c>
      <c r="AR1336" s="137">
        <v>1</v>
      </c>
      <c r="AS1336" s="158">
        <v>0.0721861525408278</v>
      </c>
      <c r="AT1336" s="141">
        <v>0</v>
      </c>
      <c r="AU1336" s="141">
        <v>0.125</v>
      </c>
      <c r="AV1336" s="141">
        <v>0</v>
      </c>
      <c r="AW1336" s="141">
        <v>0.0514705882352941</v>
      </c>
      <c r="AX1336" s="95"/>
      <c r="AY1336" s="93"/>
    </row>
    <row r="1337" ht="15" spans="1:51">
      <c r="A1337" s="91"/>
      <c r="B1337" s="95"/>
      <c r="C1337" s="152" t="s">
        <v>1085</v>
      </c>
      <c r="D1337" s="153" t="s">
        <v>25</v>
      </c>
      <c r="E1337" s="130" t="s">
        <v>1086</v>
      </c>
      <c r="F1337" s="195" t="s">
        <v>1367</v>
      </c>
      <c r="G1337" s="195" t="s">
        <v>1367</v>
      </c>
      <c r="H1337" s="195" t="s">
        <v>1367</v>
      </c>
      <c r="I1337" s="195" t="s">
        <v>1367</v>
      </c>
      <c r="J1337" s="132">
        <v>0.9</v>
      </c>
      <c r="K1337" s="133">
        <v>0.894736842105263</v>
      </c>
      <c r="L1337" s="133">
        <v>0.846153846153846</v>
      </c>
      <c r="M1337" s="134">
        <v>0.921052631578947</v>
      </c>
      <c r="N1337" s="133">
        <v>0.893854748603352</v>
      </c>
      <c r="O1337" s="135">
        <v>0.9</v>
      </c>
      <c r="P1337" s="133">
        <v>0.948457963667089</v>
      </c>
      <c r="Q1337" s="133">
        <v>0.970688998858013</v>
      </c>
      <c r="R1337" s="133">
        <v>0.977125105902288</v>
      </c>
      <c r="S1337" s="133">
        <v>0.924810064285934</v>
      </c>
      <c r="T1337" s="135">
        <v>0.9</v>
      </c>
      <c r="U1337" s="133">
        <v>0.929446556822983</v>
      </c>
      <c r="V1337" s="133">
        <v>0.947468595355919</v>
      </c>
      <c r="W1337" s="133">
        <v>0.913018921208698</v>
      </c>
      <c r="X1337" s="133">
        <v>0.879656116391375</v>
      </c>
      <c r="Y1337" s="135">
        <v>0.92</v>
      </c>
      <c r="Z1337" s="135">
        <v>0</v>
      </c>
      <c r="AA1337" s="135">
        <v>0</v>
      </c>
      <c r="AB1337" s="135" t="s">
        <v>35</v>
      </c>
      <c r="AC1337" s="135">
        <v>0</v>
      </c>
      <c r="AD1337" s="135">
        <v>0.92</v>
      </c>
      <c r="AE1337" s="133">
        <v>0.990990990990991</v>
      </c>
      <c r="AF1337" s="133">
        <v>1</v>
      </c>
      <c r="AG1337" s="133">
        <v>0.992700729927007</v>
      </c>
      <c r="AH1337" s="133">
        <v>0.963548646475476</v>
      </c>
      <c r="AI1337" s="135">
        <v>0.92</v>
      </c>
      <c r="AJ1337" s="133">
        <v>0.961148648648649</v>
      </c>
      <c r="AK1337" s="133">
        <v>0.972602739726027</v>
      </c>
      <c r="AL1337" s="133">
        <v>0.970347359502965</v>
      </c>
      <c r="AM1337" s="133">
        <v>0.96984283209793</v>
      </c>
      <c r="AN1337" s="132">
        <v>0.99</v>
      </c>
      <c r="AO1337" s="137">
        <v>1</v>
      </c>
      <c r="AP1337" s="137">
        <v>1</v>
      </c>
      <c r="AQ1337" s="137">
        <v>1</v>
      </c>
      <c r="AR1337" s="137">
        <v>1</v>
      </c>
      <c r="AS1337" s="158">
        <v>0.0721861525408278</v>
      </c>
      <c r="AT1337" s="141">
        <v>0</v>
      </c>
      <c r="AU1337" s="141">
        <v>0</v>
      </c>
      <c r="AV1337" s="141">
        <v>0</v>
      </c>
      <c r="AW1337" s="141">
        <v>0.0772946859903382</v>
      </c>
      <c r="AX1337" s="95"/>
      <c r="AY1337" s="93"/>
    </row>
    <row r="1338" ht="15" spans="1:51">
      <c r="A1338" s="91"/>
      <c r="B1338" s="95"/>
      <c r="C1338" s="152" t="s">
        <v>1085</v>
      </c>
      <c r="D1338" s="153" t="s">
        <v>25</v>
      </c>
      <c r="E1338" s="130" t="s">
        <v>1086</v>
      </c>
      <c r="F1338" s="195" t="s">
        <v>1368</v>
      </c>
      <c r="G1338" s="195" t="s">
        <v>1368</v>
      </c>
      <c r="H1338" s="195" t="s">
        <v>1368</v>
      </c>
      <c r="I1338" s="195" t="s">
        <v>1368</v>
      </c>
      <c r="J1338" s="132">
        <v>0.9</v>
      </c>
      <c r="K1338" s="133" t="s">
        <v>35</v>
      </c>
      <c r="L1338" s="133" t="s">
        <v>35</v>
      </c>
      <c r="M1338" s="134" t="s">
        <v>35</v>
      </c>
      <c r="N1338" s="133" t="s">
        <v>35</v>
      </c>
      <c r="O1338" s="135">
        <v>0.9</v>
      </c>
      <c r="P1338" s="133" t="s">
        <v>35</v>
      </c>
      <c r="Q1338" s="133">
        <v>0</v>
      </c>
      <c r="R1338" s="133">
        <v>0</v>
      </c>
      <c r="S1338" s="133">
        <v>0</v>
      </c>
      <c r="T1338" s="135">
        <v>0.9</v>
      </c>
      <c r="U1338" s="133" t="s">
        <v>35</v>
      </c>
      <c r="V1338" s="133">
        <v>1</v>
      </c>
      <c r="W1338" s="133">
        <v>1</v>
      </c>
      <c r="X1338" s="133">
        <v>1</v>
      </c>
      <c r="Y1338" s="135">
        <v>0.92</v>
      </c>
      <c r="Z1338" s="135" t="s">
        <v>35</v>
      </c>
      <c r="AA1338" s="135">
        <v>1</v>
      </c>
      <c r="AB1338" s="135">
        <v>1</v>
      </c>
      <c r="AC1338" s="135">
        <v>1</v>
      </c>
      <c r="AD1338" s="135">
        <v>0.92</v>
      </c>
      <c r="AE1338" s="133">
        <v>1</v>
      </c>
      <c r="AF1338" s="133">
        <v>0.993788819875776</v>
      </c>
      <c r="AG1338" s="133">
        <v>0.992592592592593</v>
      </c>
      <c r="AH1338" s="133">
        <v>0.997379704621248</v>
      </c>
      <c r="AI1338" s="135">
        <v>0.92</v>
      </c>
      <c r="AJ1338" s="133" t="s">
        <v>35</v>
      </c>
      <c r="AK1338" s="133">
        <v>1</v>
      </c>
      <c r="AL1338" s="133">
        <v>1</v>
      </c>
      <c r="AM1338" s="133">
        <v>1</v>
      </c>
      <c r="AN1338" s="132">
        <v>0.99</v>
      </c>
      <c r="AO1338" s="137">
        <v>1</v>
      </c>
      <c r="AP1338" s="137">
        <v>1</v>
      </c>
      <c r="AQ1338" s="137" t="s">
        <v>35</v>
      </c>
      <c r="AR1338" s="137">
        <v>1</v>
      </c>
      <c r="AS1338" s="158">
        <v>0.0721861525408278</v>
      </c>
      <c r="AT1338" s="141" t="s">
        <v>35</v>
      </c>
      <c r="AU1338" s="141" t="s">
        <v>35</v>
      </c>
      <c r="AV1338" s="141" t="s">
        <v>35</v>
      </c>
      <c r="AW1338" s="141" t="s">
        <v>35</v>
      </c>
      <c r="AX1338" s="95"/>
      <c r="AY1338" s="93"/>
    </row>
    <row r="1339" ht="15" spans="1:51">
      <c r="A1339" s="91"/>
      <c r="B1339" s="95"/>
      <c r="C1339" s="152" t="s">
        <v>1085</v>
      </c>
      <c r="D1339" s="153" t="s">
        <v>25</v>
      </c>
      <c r="E1339" s="130" t="s">
        <v>1086</v>
      </c>
      <c r="F1339" s="195" t="s">
        <v>1369</v>
      </c>
      <c r="G1339" s="195" t="s">
        <v>1369</v>
      </c>
      <c r="H1339" s="195" t="s">
        <v>1369</v>
      </c>
      <c r="I1339" s="195" t="s">
        <v>1369</v>
      </c>
      <c r="J1339" s="132">
        <v>0.9</v>
      </c>
      <c r="K1339" s="133">
        <v>0.934782608695652</v>
      </c>
      <c r="L1339" s="133">
        <v>0.911764705882353</v>
      </c>
      <c r="M1339" s="134">
        <v>0.976744186046512</v>
      </c>
      <c r="N1339" s="133">
        <v>0.933997509339975</v>
      </c>
      <c r="O1339" s="135">
        <v>0.9</v>
      </c>
      <c r="P1339" s="133">
        <v>0.958819492107069</v>
      </c>
      <c r="Q1339" s="133">
        <v>0.982736572890026</v>
      </c>
      <c r="R1339" s="133">
        <v>0.975799481417459</v>
      </c>
      <c r="S1339" s="133">
        <v>0.972658333526588</v>
      </c>
      <c r="T1339" s="135">
        <v>0.9</v>
      </c>
      <c r="U1339" s="133">
        <v>0.943719972546328</v>
      </c>
      <c r="V1339" s="133">
        <v>0.934143222506394</v>
      </c>
      <c r="W1339" s="133">
        <v>0.955056179775281</v>
      </c>
      <c r="X1339" s="133">
        <v>0.945432619837202</v>
      </c>
      <c r="Y1339" s="135">
        <v>0.92</v>
      </c>
      <c r="Z1339" s="135">
        <v>0.952894995093229</v>
      </c>
      <c r="AA1339" s="135">
        <v>0.965644171779141</v>
      </c>
      <c r="AB1339" s="135">
        <v>0.957386363636364</v>
      </c>
      <c r="AC1339" s="135">
        <v>0.958042283691906</v>
      </c>
      <c r="AD1339" s="135">
        <v>0.92</v>
      </c>
      <c r="AE1339" s="133">
        <v>0.9985966319166</v>
      </c>
      <c r="AF1339" s="133">
        <v>0.984394124847001</v>
      </c>
      <c r="AG1339" s="133">
        <v>0.948825503355705</v>
      </c>
      <c r="AH1339" s="133">
        <v>0.991516101531777</v>
      </c>
      <c r="AI1339" s="135">
        <v>0.92</v>
      </c>
      <c r="AJ1339" s="133">
        <v>0.963651050080775</v>
      </c>
      <c r="AK1339" s="133">
        <v>0.973938629676335</v>
      </c>
      <c r="AL1339" s="133">
        <v>0.973309608540925</v>
      </c>
      <c r="AM1339" s="133">
        <v>0.97523603157406</v>
      </c>
      <c r="AN1339" s="132">
        <v>0.99</v>
      </c>
      <c r="AO1339" s="137">
        <v>1</v>
      </c>
      <c r="AP1339" s="137">
        <v>1</v>
      </c>
      <c r="AQ1339" s="137">
        <v>1</v>
      </c>
      <c r="AR1339" s="137">
        <v>1</v>
      </c>
      <c r="AS1339" s="158">
        <v>0.0721861525408278</v>
      </c>
      <c r="AT1339" s="141">
        <v>0.142857142857143</v>
      </c>
      <c r="AU1339" s="141">
        <v>0</v>
      </c>
      <c r="AV1339" s="141">
        <v>0.0666666666666667</v>
      </c>
      <c r="AW1339" s="141">
        <v>0.0643776824034335</v>
      </c>
      <c r="AX1339" s="95"/>
      <c r="AY1339" s="93"/>
    </row>
    <row r="1340" ht="15" spans="1:51">
      <c r="A1340" s="91"/>
      <c r="B1340" s="95"/>
      <c r="C1340" s="152" t="s">
        <v>1085</v>
      </c>
      <c r="D1340" s="153" t="s">
        <v>25</v>
      </c>
      <c r="E1340" s="130" t="s">
        <v>1086</v>
      </c>
      <c r="F1340" s="195" t="s">
        <v>1370</v>
      </c>
      <c r="G1340" s="195" t="s">
        <v>1370</v>
      </c>
      <c r="H1340" s="195" t="s">
        <v>1370</v>
      </c>
      <c r="I1340" s="195" t="s">
        <v>1370</v>
      </c>
      <c r="J1340" s="132">
        <v>0.9</v>
      </c>
      <c r="K1340" s="133">
        <v>1</v>
      </c>
      <c r="L1340" s="133">
        <v>1</v>
      </c>
      <c r="M1340" s="134">
        <v>0.925</v>
      </c>
      <c r="N1340" s="133">
        <v>0.941258741258741</v>
      </c>
      <c r="O1340" s="135">
        <v>0.9</v>
      </c>
      <c r="P1340" s="133">
        <v>0.965963566634708</v>
      </c>
      <c r="Q1340" s="133">
        <v>0.971698113207547</v>
      </c>
      <c r="R1340" s="133">
        <v>0.964340295466123</v>
      </c>
      <c r="S1340" s="133">
        <v>0.945824264925532</v>
      </c>
      <c r="T1340" s="135">
        <v>0.9</v>
      </c>
      <c r="U1340" s="133">
        <v>0.931447746883988</v>
      </c>
      <c r="V1340" s="133">
        <v>0.947327044025157</v>
      </c>
      <c r="W1340" s="133">
        <v>0.937340804890474</v>
      </c>
      <c r="X1340" s="133">
        <v>0.934963512994495</v>
      </c>
      <c r="Y1340" s="135">
        <v>0.92</v>
      </c>
      <c r="Z1340" s="135">
        <v>0.950034698126301</v>
      </c>
      <c r="AA1340" s="135">
        <v>0.944506104328524</v>
      </c>
      <c r="AB1340" s="135">
        <v>0.937106918238994</v>
      </c>
      <c r="AC1340" s="135">
        <v>0.955169075675134</v>
      </c>
      <c r="AD1340" s="135">
        <v>0.92</v>
      </c>
      <c r="AE1340" s="133">
        <v>0.993022328548644</v>
      </c>
      <c r="AF1340" s="133">
        <v>0.996560619088564</v>
      </c>
      <c r="AG1340" s="133">
        <v>0.998787388843977</v>
      </c>
      <c r="AH1340" s="133">
        <v>0.99271734807236</v>
      </c>
      <c r="AI1340" s="135">
        <v>0.92</v>
      </c>
      <c r="AJ1340" s="133">
        <v>0.960589736319819</v>
      </c>
      <c r="AK1340" s="133">
        <v>0.965025310630465</v>
      </c>
      <c r="AL1340" s="133">
        <v>0.96081319976429</v>
      </c>
      <c r="AM1340" s="133">
        <v>0.971171991930761</v>
      </c>
      <c r="AN1340" s="132">
        <v>0.99</v>
      </c>
      <c r="AO1340" s="137">
        <v>1</v>
      </c>
      <c r="AP1340" s="137">
        <v>1</v>
      </c>
      <c r="AQ1340" s="137">
        <v>1</v>
      </c>
      <c r="AR1340" s="137">
        <v>1</v>
      </c>
      <c r="AS1340" s="158">
        <v>0.0721861525408278</v>
      </c>
      <c r="AT1340" s="141">
        <v>0</v>
      </c>
      <c r="AU1340" s="141">
        <v>0.166666666666667</v>
      </c>
      <c r="AV1340" s="141">
        <v>0.0476190476190476</v>
      </c>
      <c r="AW1340" s="141">
        <v>0.0575221238938053</v>
      </c>
      <c r="AX1340" s="95"/>
      <c r="AY1340" s="93"/>
    </row>
    <row r="1341" ht="15" spans="1:51">
      <c r="A1341" s="91"/>
      <c r="B1341" s="95"/>
      <c r="C1341" s="152" t="s">
        <v>1085</v>
      </c>
      <c r="D1341" s="153" t="s">
        <v>25</v>
      </c>
      <c r="E1341" s="130" t="s">
        <v>1086</v>
      </c>
      <c r="F1341" s="195" t="s">
        <v>1371</v>
      </c>
      <c r="G1341" s="195" t="s">
        <v>1371</v>
      </c>
      <c r="H1341" s="195" t="s">
        <v>1371</v>
      </c>
      <c r="I1341" s="195" t="s">
        <v>1371</v>
      </c>
      <c r="J1341" s="132">
        <v>0.9</v>
      </c>
      <c r="K1341" s="133">
        <v>0.96875</v>
      </c>
      <c r="L1341" s="133">
        <v>0.655172413793103</v>
      </c>
      <c r="M1341" s="134">
        <v>0.785714285714286</v>
      </c>
      <c r="N1341" s="133">
        <v>0.832746478873239</v>
      </c>
      <c r="O1341" s="135">
        <v>0.9</v>
      </c>
      <c r="P1341" s="133">
        <v>0.889713679745493</v>
      </c>
      <c r="Q1341" s="133">
        <v>0.921106557377049</v>
      </c>
      <c r="R1341" s="133">
        <v>0.901442307692308</v>
      </c>
      <c r="S1341" s="133">
        <v>0.924248437344975</v>
      </c>
      <c r="T1341" s="135">
        <v>0.9</v>
      </c>
      <c r="U1341" s="133">
        <v>0.920466595970308</v>
      </c>
      <c r="V1341" s="133">
        <v>0.943647540983607</v>
      </c>
      <c r="W1341" s="133">
        <v>0.894831730769231</v>
      </c>
      <c r="X1341" s="133">
        <v>0.93106955055065</v>
      </c>
      <c r="Y1341" s="135">
        <v>0.92</v>
      </c>
      <c r="Z1341" s="135">
        <v>0.950289975144988</v>
      </c>
      <c r="AA1341" s="135">
        <v>0.967351874244256</v>
      </c>
      <c r="AB1341" s="135">
        <v>0.932985204525674</v>
      </c>
      <c r="AC1341" s="135">
        <v>0.958571731299004</v>
      </c>
      <c r="AD1341" s="135">
        <v>0.92</v>
      </c>
      <c r="AE1341" s="133">
        <v>0.997068676716918</v>
      </c>
      <c r="AF1341" s="133">
        <v>0.987893462469734</v>
      </c>
      <c r="AG1341" s="133">
        <v>1</v>
      </c>
      <c r="AH1341" s="133">
        <v>0.997756802423819</v>
      </c>
      <c r="AI1341" s="135">
        <v>0.92</v>
      </c>
      <c r="AJ1341" s="133">
        <v>0.960879405108309</v>
      </c>
      <c r="AK1341" s="133">
        <v>0.973377703826955</v>
      </c>
      <c r="AL1341" s="133">
        <v>0.93921080696765</v>
      </c>
      <c r="AM1341" s="133">
        <v>0.968920750098352</v>
      </c>
      <c r="AN1341" s="132">
        <v>0.99</v>
      </c>
      <c r="AO1341" s="137">
        <v>1</v>
      </c>
      <c r="AP1341" s="137">
        <v>1</v>
      </c>
      <c r="AQ1341" s="137">
        <v>1</v>
      </c>
      <c r="AR1341" s="137">
        <v>1</v>
      </c>
      <c r="AS1341" s="158">
        <v>0.0721861525408278</v>
      </c>
      <c r="AT1341" s="141">
        <v>0</v>
      </c>
      <c r="AU1341" s="141">
        <v>0.0588235294117647</v>
      </c>
      <c r="AV1341" s="141">
        <v>0.05</v>
      </c>
      <c r="AW1341" s="141">
        <v>0.0483870967741935</v>
      </c>
      <c r="AX1341" s="95"/>
      <c r="AY1341" s="93"/>
    </row>
    <row r="1342" ht="15" spans="1:51">
      <c r="A1342" s="91"/>
      <c r="B1342" s="95"/>
      <c r="C1342" s="152" t="s">
        <v>1085</v>
      </c>
      <c r="D1342" s="153" t="s">
        <v>125</v>
      </c>
      <c r="E1342" s="130" t="s">
        <v>1086</v>
      </c>
      <c r="F1342" s="195" t="s">
        <v>1372</v>
      </c>
      <c r="G1342" s="195" t="s">
        <v>1372</v>
      </c>
      <c r="H1342" s="195" t="s">
        <v>1372</v>
      </c>
      <c r="I1342" s="195" t="s">
        <v>1372</v>
      </c>
      <c r="J1342" s="132">
        <v>0.9</v>
      </c>
      <c r="K1342" s="133" t="s">
        <v>35</v>
      </c>
      <c r="L1342" s="133" t="s">
        <v>35</v>
      </c>
      <c r="M1342" s="134" t="s">
        <v>35</v>
      </c>
      <c r="N1342" s="133" t="s">
        <v>35</v>
      </c>
      <c r="O1342" s="135">
        <v>0.9</v>
      </c>
      <c r="P1342" s="133" t="s">
        <v>35</v>
      </c>
      <c r="Q1342" s="133">
        <v>1</v>
      </c>
      <c r="R1342" s="133">
        <v>1</v>
      </c>
      <c r="S1342" s="133">
        <v>0.9</v>
      </c>
      <c r="T1342" s="135">
        <v>0.9</v>
      </c>
      <c r="U1342" s="133" t="s">
        <v>35</v>
      </c>
      <c r="V1342" s="133">
        <v>1</v>
      </c>
      <c r="W1342" s="133">
        <v>1</v>
      </c>
      <c r="X1342" s="133">
        <v>0.95</v>
      </c>
      <c r="Y1342" s="135">
        <v>0.92</v>
      </c>
      <c r="Z1342" s="135" t="s">
        <v>35</v>
      </c>
      <c r="AA1342" s="135" t="s">
        <v>35</v>
      </c>
      <c r="AB1342" s="135" t="s">
        <v>35</v>
      </c>
      <c r="AC1342" s="135">
        <v>1</v>
      </c>
      <c r="AD1342" s="135">
        <v>0.92</v>
      </c>
      <c r="AE1342" s="133">
        <v>0.995580972186119</v>
      </c>
      <c r="AF1342" s="133">
        <v>0.998164576323035</v>
      </c>
      <c r="AG1342" s="133">
        <v>0.99961788307222</v>
      </c>
      <c r="AH1342" s="133">
        <v>0.995259522149693</v>
      </c>
      <c r="AI1342" s="135">
        <v>0.92</v>
      </c>
      <c r="AJ1342" s="133" t="s">
        <v>35</v>
      </c>
      <c r="AK1342" s="133">
        <v>1</v>
      </c>
      <c r="AL1342" s="133">
        <v>1</v>
      </c>
      <c r="AM1342" s="133">
        <v>1</v>
      </c>
      <c r="AN1342" s="132">
        <v>0.99</v>
      </c>
      <c r="AO1342" s="137">
        <v>1</v>
      </c>
      <c r="AP1342" s="137">
        <v>1</v>
      </c>
      <c r="AQ1342" s="137">
        <v>1</v>
      </c>
      <c r="AR1342" s="137">
        <v>1</v>
      </c>
      <c r="AS1342" s="158">
        <v>0.0721861525408278</v>
      </c>
      <c r="AT1342" s="141" t="s">
        <v>35</v>
      </c>
      <c r="AU1342" s="141" t="s">
        <v>35</v>
      </c>
      <c r="AV1342" s="141" t="s">
        <v>35</v>
      </c>
      <c r="AW1342" s="141" t="s">
        <v>35</v>
      </c>
      <c r="AX1342" s="95"/>
      <c r="AY1342" s="93"/>
    </row>
    <row r="1343" ht="15" spans="1:51">
      <c r="A1343" s="91"/>
      <c r="B1343" s="95"/>
      <c r="C1343" s="152" t="s">
        <v>1085</v>
      </c>
      <c r="D1343" s="153" t="s">
        <v>25</v>
      </c>
      <c r="E1343" s="130" t="s">
        <v>1086</v>
      </c>
      <c r="F1343" s="195" t="s">
        <v>1373</v>
      </c>
      <c r="G1343" s="195" t="s">
        <v>1373</v>
      </c>
      <c r="H1343" s="195" t="s">
        <v>1373</v>
      </c>
      <c r="I1343" s="195" t="s">
        <v>1373</v>
      </c>
      <c r="J1343" s="132">
        <v>0.9</v>
      </c>
      <c r="K1343" s="133">
        <v>1</v>
      </c>
      <c r="L1343" s="133">
        <v>0.857142857142857</v>
      </c>
      <c r="M1343" s="134">
        <v>0.923076923076923</v>
      </c>
      <c r="N1343" s="133">
        <v>0.865853658536585</v>
      </c>
      <c r="O1343" s="135">
        <v>0.9</v>
      </c>
      <c r="P1343" s="133">
        <v>0.975822050290135</v>
      </c>
      <c r="Q1343" s="133">
        <v>0.941880341880342</v>
      </c>
      <c r="R1343" s="133">
        <v>0.969474969474969</v>
      </c>
      <c r="S1343" s="133">
        <v>0.947211694639957</v>
      </c>
      <c r="T1343" s="135">
        <v>0.9</v>
      </c>
      <c r="U1343" s="133">
        <v>0.921663442940039</v>
      </c>
      <c r="V1343" s="133">
        <v>0.952136752136752</v>
      </c>
      <c r="W1343" s="133">
        <v>0.903540903540904</v>
      </c>
      <c r="X1343" s="133">
        <v>0.928316188413644</v>
      </c>
      <c r="Y1343" s="135">
        <v>0.92</v>
      </c>
      <c r="Z1343" s="135">
        <v>0.927272727272727</v>
      </c>
      <c r="AA1343" s="135">
        <v>0.97037037037037</v>
      </c>
      <c r="AB1343" s="135">
        <v>0.932307692307692</v>
      </c>
      <c r="AC1343" s="135">
        <v>0.947560781821071</v>
      </c>
      <c r="AD1343" s="135">
        <v>0.92</v>
      </c>
      <c r="AE1343" s="133">
        <v>0.998043818466354</v>
      </c>
      <c r="AF1343" s="133">
        <v>0.98688166165619</v>
      </c>
      <c r="AG1343" s="133">
        <v>0.995970241785493</v>
      </c>
      <c r="AH1343" s="133">
        <v>0.991215612014097</v>
      </c>
      <c r="AI1343" s="135">
        <v>0.92</v>
      </c>
      <c r="AJ1343" s="133">
        <v>0.954850518608908</v>
      </c>
      <c r="AK1343" s="133">
        <v>0.980808080808081</v>
      </c>
      <c r="AL1343" s="133">
        <v>0.948264125255276</v>
      </c>
      <c r="AM1343" s="133">
        <v>0.966578659282633</v>
      </c>
      <c r="AN1343" s="132">
        <v>0.99</v>
      </c>
      <c r="AO1343" s="137">
        <v>1</v>
      </c>
      <c r="AP1343" s="137">
        <v>1</v>
      </c>
      <c r="AQ1343" s="137">
        <v>1</v>
      </c>
      <c r="AR1343" s="137">
        <v>1</v>
      </c>
      <c r="AS1343" s="158">
        <v>0.0721861525408278</v>
      </c>
      <c r="AT1343" s="141">
        <v>0</v>
      </c>
      <c r="AU1343" s="141">
        <v>0</v>
      </c>
      <c r="AV1343" s="141">
        <v>0.285714285714286</v>
      </c>
      <c r="AW1343" s="141">
        <v>0.0743801652892562</v>
      </c>
      <c r="AX1343" s="95"/>
      <c r="AY1343" s="93"/>
    </row>
    <row r="1344" ht="15" spans="1:51">
      <c r="A1344" s="91"/>
      <c r="B1344" s="95"/>
      <c r="C1344" s="152" t="s">
        <v>1085</v>
      </c>
      <c r="D1344" s="153" t="s">
        <v>25</v>
      </c>
      <c r="E1344" s="130" t="s">
        <v>1086</v>
      </c>
      <c r="F1344" s="195" t="s">
        <v>1374</v>
      </c>
      <c r="G1344" s="195" t="s">
        <v>1374</v>
      </c>
      <c r="H1344" s="195" t="s">
        <v>1374</v>
      </c>
      <c r="I1344" s="195" t="s">
        <v>1374</v>
      </c>
      <c r="J1344" s="132">
        <v>0.9</v>
      </c>
      <c r="K1344" s="133">
        <v>1</v>
      </c>
      <c r="L1344" s="133">
        <v>0.884615384615385</v>
      </c>
      <c r="M1344" s="134">
        <v>0.962962962962963</v>
      </c>
      <c r="N1344" s="133">
        <v>0.950998185117967</v>
      </c>
      <c r="O1344" s="135">
        <v>0.9</v>
      </c>
      <c r="P1344" s="133">
        <v>0.970070422535211</v>
      </c>
      <c r="Q1344" s="133">
        <v>0.957786116322702</v>
      </c>
      <c r="R1344" s="133">
        <v>0.977854671280277</v>
      </c>
      <c r="S1344" s="133">
        <v>0.959181053847635</v>
      </c>
      <c r="T1344" s="135">
        <v>0.9</v>
      </c>
      <c r="U1344" s="133">
        <v>0.947769953051643</v>
      </c>
      <c r="V1344" s="133">
        <v>0.935272045028143</v>
      </c>
      <c r="W1344" s="133">
        <v>0.950865051903114</v>
      </c>
      <c r="X1344" s="133">
        <v>0.934728194595982</v>
      </c>
      <c r="Y1344" s="135">
        <v>0.92</v>
      </c>
      <c r="Z1344" s="135">
        <v>0.948846539618857</v>
      </c>
      <c r="AA1344" s="135">
        <v>0.919945725915875</v>
      </c>
      <c r="AB1344" s="135">
        <v>0.963065558633426</v>
      </c>
      <c r="AC1344" s="135">
        <v>0.956745473081217</v>
      </c>
      <c r="AD1344" s="135">
        <v>0.92</v>
      </c>
      <c r="AE1344" s="133">
        <v>0.994460248540201</v>
      </c>
      <c r="AF1344" s="133">
        <v>0.990485800778435</v>
      </c>
      <c r="AG1344" s="133">
        <v>0.984731543624161</v>
      </c>
      <c r="AH1344" s="133">
        <v>0.982080107093418</v>
      </c>
      <c r="AI1344" s="135">
        <v>0.92</v>
      </c>
      <c r="AJ1344" s="133">
        <v>0.96482784154017</v>
      </c>
      <c r="AK1344" s="133">
        <v>0.948419301164726</v>
      </c>
      <c r="AL1344" s="133">
        <v>0.975474683544304</v>
      </c>
      <c r="AM1344" s="133">
        <v>0.970933708797037</v>
      </c>
      <c r="AN1344" s="132">
        <v>0.99</v>
      </c>
      <c r="AO1344" s="137">
        <v>1</v>
      </c>
      <c r="AP1344" s="137">
        <v>1</v>
      </c>
      <c r="AQ1344" s="137">
        <v>1</v>
      </c>
      <c r="AR1344" s="137">
        <v>1</v>
      </c>
      <c r="AS1344" s="158">
        <v>0.0721861525408278</v>
      </c>
      <c r="AT1344" s="141">
        <v>0</v>
      </c>
      <c r="AU1344" s="141">
        <v>0.0666666666666667</v>
      </c>
      <c r="AV1344" s="141">
        <v>0.0714285714285714</v>
      </c>
      <c r="AW1344" s="141">
        <v>0.0289473684210526</v>
      </c>
      <c r="AX1344" s="95"/>
      <c r="AY1344" s="93"/>
    </row>
    <row r="1345" ht="15" spans="1:51">
      <c r="A1345" s="91"/>
      <c r="B1345" s="95"/>
      <c r="C1345" s="152" t="s">
        <v>1085</v>
      </c>
      <c r="D1345" s="153" t="s">
        <v>125</v>
      </c>
      <c r="E1345" s="130" t="s">
        <v>1086</v>
      </c>
      <c r="F1345" s="195" t="s">
        <v>1375</v>
      </c>
      <c r="G1345" s="195" t="s">
        <v>1375</v>
      </c>
      <c r="H1345" s="195" t="s">
        <v>1375</v>
      </c>
      <c r="I1345" s="195" t="s">
        <v>1375</v>
      </c>
      <c r="J1345" s="132">
        <v>0.9</v>
      </c>
      <c r="K1345" s="133" t="s">
        <v>35</v>
      </c>
      <c r="L1345" s="133" t="s">
        <v>35</v>
      </c>
      <c r="M1345" s="134" t="s">
        <v>35</v>
      </c>
      <c r="N1345" s="133" t="s">
        <v>35</v>
      </c>
      <c r="O1345" s="135">
        <v>0.9</v>
      </c>
      <c r="P1345" s="133">
        <v>0.994764397905759</v>
      </c>
      <c r="Q1345" s="133">
        <v>0.994987468671679</v>
      </c>
      <c r="R1345" s="133">
        <v>1</v>
      </c>
      <c r="S1345" s="133">
        <v>0.994301994301994</v>
      </c>
      <c r="T1345" s="135">
        <v>0.9</v>
      </c>
      <c r="U1345" s="133">
        <v>0.994764397905759</v>
      </c>
      <c r="V1345" s="133">
        <v>1</v>
      </c>
      <c r="W1345" s="133">
        <v>1</v>
      </c>
      <c r="X1345" s="133">
        <v>0.999683444127889</v>
      </c>
      <c r="Y1345" s="135">
        <v>0.92</v>
      </c>
      <c r="Z1345" s="135">
        <v>1</v>
      </c>
      <c r="AA1345" s="135">
        <v>1</v>
      </c>
      <c r="AB1345" s="135">
        <v>1</v>
      </c>
      <c r="AC1345" s="135">
        <v>0.998883305415969</v>
      </c>
      <c r="AD1345" s="135">
        <v>0.92</v>
      </c>
      <c r="AE1345" s="133">
        <v>0.997693795566136</v>
      </c>
      <c r="AF1345" s="133">
        <v>0.988960053935614</v>
      </c>
      <c r="AG1345" s="133">
        <v>0.99835255354201</v>
      </c>
      <c r="AH1345" s="133">
        <v>0.985884454403247</v>
      </c>
      <c r="AI1345" s="135">
        <v>0.92</v>
      </c>
      <c r="AJ1345" s="133">
        <v>0.99625468164794</v>
      </c>
      <c r="AK1345" s="133">
        <v>1</v>
      </c>
      <c r="AL1345" s="133">
        <v>1</v>
      </c>
      <c r="AM1345" s="133">
        <v>0.99939649969825</v>
      </c>
      <c r="AN1345" s="132">
        <v>0.99</v>
      </c>
      <c r="AO1345" s="137">
        <v>1</v>
      </c>
      <c r="AP1345" s="137">
        <v>1</v>
      </c>
      <c r="AQ1345" s="137">
        <v>1</v>
      </c>
      <c r="AR1345" s="137">
        <v>1</v>
      </c>
      <c r="AS1345" s="158">
        <v>0.0721861525408278</v>
      </c>
      <c r="AT1345" s="141" t="s">
        <v>35</v>
      </c>
      <c r="AU1345" s="141" t="s">
        <v>35</v>
      </c>
      <c r="AV1345" s="141" t="s">
        <v>35</v>
      </c>
      <c r="AW1345" s="141">
        <v>0</v>
      </c>
      <c r="AX1345" s="95"/>
      <c r="AY1345" s="93"/>
    </row>
    <row r="1346" ht="15" spans="1:51">
      <c r="A1346" s="91"/>
      <c r="B1346" s="95"/>
      <c r="C1346" s="152" t="s">
        <v>1085</v>
      </c>
      <c r="D1346" s="153" t="s">
        <v>25</v>
      </c>
      <c r="E1346" s="130" t="s">
        <v>1086</v>
      </c>
      <c r="F1346" s="195" t="s">
        <v>1376</v>
      </c>
      <c r="G1346" s="195" t="s">
        <v>1376</v>
      </c>
      <c r="H1346" s="195" t="s">
        <v>1376</v>
      </c>
      <c r="I1346" s="195" t="s">
        <v>1376</v>
      </c>
      <c r="J1346" s="132">
        <v>0.9</v>
      </c>
      <c r="K1346" s="133">
        <v>0.888888888888889</v>
      </c>
      <c r="L1346" s="133">
        <v>0.8</v>
      </c>
      <c r="M1346" s="134">
        <v>0.909090909090909</v>
      </c>
      <c r="N1346" s="133">
        <v>0.947488584474886</v>
      </c>
      <c r="O1346" s="135">
        <v>0.9</v>
      </c>
      <c r="P1346" s="133">
        <v>0.96395097332372</v>
      </c>
      <c r="Q1346" s="133">
        <v>0.898218829516539</v>
      </c>
      <c r="R1346" s="133">
        <v>0.97578125</v>
      </c>
      <c r="S1346" s="133">
        <v>0.930360498889458</v>
      </c>
      <c r="T1346" s="135">
        <v>0.9</v>
      </c>
      <c r="U1346" s="133">
        <v>0.910598413842826</v>
      </c>
      <c r="V1346" s="133">
        <v>0.871501272264631</v>
      </c>
      <c r="W1346" s="133">
        <v>0.928125</v>
      </c>
      <c r="X1346" s="133">
        <v>0.884537843840765</v>
      </c>
      <c r="Y1346" s="135">
        <v>0.92</v>
      </c>
      <c r="Z1346" s="135">
        <v>0.960511033681765</v>
      </c>
      <c r="AA1346" s="135">
        <v>0.94375</v>
      </c>
      <c r="AB1346" s="135">
        <v>0.956167176350663</v>
      </c>
      <c r="AC1346" s="135">
        <v>0.961038961038961</v>
      </c>
      <c r="AD1346" s="135">
        <v>0.92</v>
      </c>
      <c r="AE1346" s="133">
        <v>0.998566924620235</v>
      </c>
      <c r="AF1346" s="133">
        <v>0.998012718600954</v>
      </c>
      <c r="AG1346" s="133">
        <v>0.999295278365046</v>
      </c>
      <c r="AH1346" s="133">
        <v>0.99645421983837</v>
      </c>
      <c r="AI1346" s="135">
        <v>0.92</v>
      </c>
      <c r="AJ1346" s="133">
        <v>0.964857651245552</v>
      </c>
      <c r="AK1346" s="133">
        <v>0.960028050490884</v>
      </c>
      <c r="AL1346" s="133">
        <v>0.965501990269792</v>
      </c>
      <c r="AM1346" s="133">
        <v>0.9720001623179</v>
      </c>
      <c r="AN1346" s="132">
        <v>0.99</v>
      </c>
      <c r="AO1346" s="137">
        <v>1</v>
      </c>
      <c r="AP1346" s="137">
        <v>1</v>
      </c>
      <c r="AQ1346" s="137">
        <v>1</v>
      </c>
      <c r="AR1346" s="137">
        <v>1</v>
      </c>
      <c r="AS1346" s="158">
        <v>0.0721861525408278</v>
      </c>
      <c r="AT1346" s="141">
        <v>0.157894736842105</v>
      </c>
      <c r="AU1346" s="141">
        <v>0</v>
      </c>
      <c r="AV1346" s="141">
        <v>0</v>
      </c>
      <c r="AW1346" s="141">
        <v>0.0514469453376206</v>
      </c>
      <c r="AX1346" s="95"/>
      <c r="AY1346" s="93"/>
    </row>
    <row r="1347" ht="15" spans="1:51">
      <c r="A1347" s="91"/>
      <c r="B1347" s="95"/>
      <c r="C1347" s="152" t="s">
        <v>1085</v>
      </c>
      <c r="D1347" s="153" t="s">
        <v>25</v>
      </c>
      <c r="E1347" s="130" t="s">
        <v>1086</v>
      </c>
      <c r="F1347" s="195" t="s">
        <v>1377</v>
      </c>
      <c r="G1347" s="195" t="s">
        <v>1377</v>
      </c>
      <c r="H1347" s="195" t="s">
        <v>1377</v>
      </c>
      <c r="I1347" s="195" t="s">
        <v>1377</v>
      </c>
      <c r="J1347" s="132">
        <v>0.9</v>
      </c>
      <c r="K1347" s="133">
        <v>0.976190476190476</v>
      </c>
      <c r="L1347" s="133">
        <v>0.909090909090909</v>
      </c>
      <c r="M1347" s="134">
        <v>0.918918918918919</v>
      </c>
      <c r="N1347" s="133">
        <v>0.931082981715893</v>
      </c>
      <c r="O1347" s="135">
        <v>0.9</v>
      </c>
      <c r="P1347" s="133">
        <v>0.951274604711197</v>
      </c>
      <c r="Q1347" s="133">
        <v>0.942696629213483</v>
      </c>
      <c r="R1347" s="133">
        <v>0.979133858267716</v>
      </c>
      <c r="S1347" s="133">
        <v>0.946815256333027</v>
      </c>
      <c r="T1347" s="135">
        <v>0.9</v>
      </c>
      <c r="U1347" s="133">
        <v>0.920942239432075</v>
      </c>
      <c r="V1347" s="133">
        <v>0.958988764044944</v>
      </c>
      <c r="W1347" s="133">
        <v>0.946456692913386</v>
      </c>
      <c r="X1347" s="133">
        <v>0.939110998383057</v>
      </c>
      <c r="Y1347" s="135">
        <v>0.92</v>
      </c>
      <c r="Z1347" s="135">
        <v>0.938014262205156</v>
      </c>
      <c r="AA1347" s="135">
        <v>0.943465491923642</v>
      </c>
      <c r="AB1347" s="135">
        <v>0.957725213890287</v>
      </c>
      <c r="AC1347" s="135">
        <v>0.955990559489102</v>
      </c>
      <c r="AD1347" s="135">
        <v>0.92</v>
      </c>
      <c r="AE1347" s="133">
        <v>0.998750390502968</v>
      </c>
      <c r="AF1347" s="133">
        <v>0.996246648793566</v>
      </c>
      <c r="AG1347" s="133">
        <v>0.999473407056345</v>
      </c>
      <c r="AH1347" s="133">
        <v>0.999001631947778</v>
      </c>
      <c r="AI1347" s="135">
        <v>0.92</v>
      </c>
      <c r="AJ1347" s="133">
        <v>0.961397805770012</v>
      </c>
      <c r="AK1347" s="133">
        <v>0.963717377466582</v>
      </c>
      <c r="AL1347" s="133">
        <v>0.968190854870775</v>
      </c>
      <c r="AM1347" s="133">
        <v>0.971581769436997</v>
      </c>
      <c r="AN1347" s="132">
        <v>0.99</v>
      </c>
      <c r="AO1347" s="137">
        <v>1</v>
      </c>
      <c r="AP1347" s="137">
        <v>1</v>
      </c>
      <c r="AQ1347" s="137">
        <v>1</v>
      </c>
      <c r="AR1347" s="137">
        <v>1</v>
      </c>
      <c r="AS1347" s="158">
        <v>0.0721861525408278</v>
      </c>
      <c r="AT1347" s="141">
        <v>0</v>
      </c>
      <c r="AU1347" s="141">
        <v>0</v>
      </c>
      <c r="AV1347" s="141">
        <v>0.0263157894736842</v>
      </c>
      <c r="AW1347" s="141">
        <v>0.0209497206703911</v>
      </c>
      <c r="AX1347" s="95"/>
      <c r="AY1347" s="93"/>
    </row>
    <row r="1348" ht="15" spans="1:51">
      <c r="A1348" s="91"/>
      <c r="B1348" s="95"/>
      <c r="C1348" s="152" t="s">
        <v>1085</v>
      </c>
      <c r="D1348" s="153" t="s">
        <v>25</v>
      </c>
      <c r="E1348" s="130" t="s">
        <v>1086</v>
      </c>
      <c r="F1348" s="195" t="s">
        <v>1378</v>
      </c>
      <c r="G1348" s="195" t="s">
        <v>1378</v>
      </c>
      <c r="H1348" s="195" t="s">
        <v>1378</v>
      </c>
      <c r="I1348" s="195" t="s">
        <v>1378</v>
      </c>
      <c r="J1348" s="132">
        <v>0.9</v>
      </c>
      <c r="K1348" s="133">
        <v>1</v>
      </c>
      <c r="L1348" s="133">
        <v>1</v>
      </c>
      <c r="M1348" s="134">
        <v>0.956521739130435</v>
      </c>
      <c r="N1348" s="133">
        <v>0.980997624703088</v>
      </c>
      <c r="O1348" s="135">
        <v>0.9</v>
      </c>
      <c r="P1348" s="133">
        <v>0.983226837060703</v>
      </c>
      <c r="Q1348" s="133">
        <v>0.987359550561798</v>
      </c>
      <c r="R1348" s="133">
        <v>0.987665198237885</v>
      </c>
      <c r="S1348" s="133">
        <v>0.985349037632864</v>
      </c>
      <c r="T1348" s="135">
        <v>0.9</v>
      </c>
      <c r="U1348" s="133">
        <v>0.940894568690096</v>
      </c>
      <c r="V1348" s="133">
        <v>0.955056179775281</v>
      </c>
      <c r="W1348" s="133">
        <v>0.887224669603524</v>
      </c>
      <c r="X1348" s="133">
        <v>0.92171789715599</v>
      </c>
      <c r="Y1348" s="135">
        <v>0.92</v>
      </c>
      <c r="Z1348" s="135">
        <v>0.966789667896679</v>
      </c>
      <c r="AA1348" s="135">
        <v>0.957089552238806</v>
      </c>
      <c r="AB1348" s="135">
        <v>0.91055900621118</v>
      </c>
      <c r="AC1348" s="135">
        <v>0.94758251377375</v>
      </c>
      <c r="AD1348" s="135">
        <v>0.92</v>
      </c>
      <c r="AE1348" s="133">
        <v>0.99967855994857</v>
      </c>
      <c r="AF1348" s="133">
        <v>1</v>
      </c>
      <c r="AG1348" s="133">
        <v>1</v>
      </c>
      <c r="AH1348" s="133">
        <v>0.999846035411855</v>
      </c>
      <c r="AI1348" s="135">
        <v>0.92</v>
      </c>
      <c r="AJ1348" s="133">
        <v>0.972397094430993</v>
      </c>
      <c r="AK1348" s="133">
        <v>0.966346153846154</v>
      </c>
      <c r="AL1348" s="133">
        <v>0.926288659793814</v>
      </c>
      <c r="AM1348" s="133">
        <v>0.960992532735388</v>
      </c>
      <c r="AN1348" s="132">
        <v>0.99</v>
      </c>
      <c r="AO1348" s="137">
        <v>1</v>
      </c>
      <c r="AP1348" s="137">
        <v>1</v>
      </c>
      <c r="AQ1348" s="137">
        <v>1</v>
      </c>
      <c r="AR1348" s="137">
        <v>1</v>
      </c>
      <c r="AS1348" s="158">
        <v>0.0721861525408278</v>
      </c>
      <c r="AT1348" s="141">
        <v>0.0454545454545455</v>
      </c>
      <c r="AU1348" s="141">
        <v>0.0555555555555556</v>
      </c>
      <c r="AV1348" s="141">
        <v>0</v>
      </c>
      <c r="AW1348" s="141">
        <v>0.0384615384615385</v>
      </c>
      <c r="AX1348" s="95"/>
      <c r="AY1348" s="93"/>
    </row>
    <row r="1349" ht="15" spans="1:51">
      <c r="A1349" s="91"/>
      <c r="B1349" s="95"/>
      <c r="C1349" s="152" t="s">
        <v>1085</v>
      </c>
      <c r="D1349" s="153" t="s">
        <v>25</v>
      </c>
      <c r="E1349" s="130" t="s">
        <v>1086</v>
      </c>
      <c r="F1349" s="195" t="s">
        <v>1379</v>
      </c>
      <c r="G1349" s="195" t="s">
        <v>1379</v>
      </c>
      <c r="H1349" s="195" t="s">
        <v>1379</v>
      </c>
      <c r="I1349" s="195" t="s">
        <v>1379</v>
      </c>
      <c r="J1349" s="132">
        <v>0.9</v>
      </c>
      <c r="K1349" s="133">
        <v>0.962962962962963</v>
      </c>
      <c r="L1349" s="133">
        <v>0.954545454545455</v>
      </c>
      <c r="M1349" s="134">
        <v>0.958333333333333</v>
      </c>
      <c r="N1349" s="133">
        <v>0.948314606741573</v>
      </c>
      <c r="O1349" s="135">
        <v>0.9</v>
      </c>
      <c r="P1349" s="133">
        <v>0.967005076142132</v>
      </c>
      <c r="Q1349" s="133">
        <v>0.978409090909091</v>
      </c>
      <c r="R1349" s="133">
        <v>0.978688524590164</v>
      </c>
      <c r="S1349" s="133">
        <v>0.968659711075441</v>
      </c>
      <c r="T1349" s="135">
        <v>0.9</v>
      </c>
      <c r="U1349" s="133">
        <v>0.946700507614213</v>
      </c>
      <c r="V1349" s="133">
        <v>0.961363636363636</v>
      </c>
      <c r="W1349" s="133">
        <v>0.962295081967213</v>
      </c>
      <c r="X1349" s="133">
        <v>0.955276886035313</v>
      </c>
      <c r="Y1349" s="135">
        <v>0.92</v>
      </c>
      <c r="Z1349" s="135">
        <v>0</v>
      </c>
      <c r="AA1349" s="135" t="s">
        <v>35</v>
      </c>
      <c r="AB1349" s="135" t="s">
        <v>35</v>
      </c>
      <c r="AC1349" s="135">
        <v>0</v>
      </c>
      <c r="AD1349" s="135">
        <v>0.92</v>
      </c>
      <c r="AE1349" s="133">
        <v>0.974019358125318</v>
      </c>
      <c r="AF1349" s="133">
        <v>0.995451099317665</v>
      </c>
      <c r="AG1349" s="133">
        <v>0.998722860791826</v>
      </c>
      <c r="AH1349" s="133">
        <v>0.997189304162868</v>
      </c>
      <c r="AI1349" s="135">
        <v>0.92</v>
      </c>
      <c r="AJ1349" s="133">
        <v>0.976661593099949</v>
      </c>
      <c r="AK1349" s="133">
        <v>0.977840909090909</v>
      </c>
      <c r="AL1349" s="133">
        <v>0.988524590163934</v>
      </c>
      <c r="AM1349" s="133">
        <v>0.988443249533517</v>
      </c>
      <c r="AN1349" s="132">
        <v>0.99</v>
      </c>
      <c r="AO1349" s="137">
        <v>1</v>
      </c>
      <c r="AP1349" s="137">
        <v>1</v>
      </c>
      <c r="AQ1349" s="137">
        <v>1</v>
      </c>
      <c r="AR1349" s="137">
        <v>1</v>
      </c>
      <c r="AS1349" s="158">
        <v>0.0721861525408278</v>
      </c>
      <c r="AT1349" s="141">
        <v>0</v>
      </c>
      <c r="AU1349" s="141">
        <v>0</v>
      </c>
      <c r="AV1349" s="141">
        <v>0.0625</v>
      </c>
      <c r="AW1349" s="141">
        <v>0.0444444444444444</v>
      </c>
      <c r="AX1349" s="95"/>
      <c r="AY1349" s="93"/>
    </row>
    <row r="1350" ht="15" spans="1:51">
      <c r="A1350" s="91"/>
      <c r="B1350" s="95"/>
      <c r="C1350" s="152" t="s">
        <v>1085</v>
      </c>
      <c r="D1350" s="153" t="s">
        <v>25</v>
      </c>
      <c r="E1350" s="130" t="s">
        <v>1086</v>
      </c>
      <c r="F1350" s="195" t="s">
        <v>1380</v>
      </c>
      <c r="G1350" s="195" t="s">
        <v>1380</v>
      </c>
      <c r="H1350" s="195" t="s">
        <v>1380</v>
      </c>
      <c r="I1350" s="195" t="s">
        <v>1380</v>
      </c>
      <c r="J1350" s="132">
        <v>0.9</v>
      </c>
      <c r="K1350" s="133">
        <v>1</v>
      </c>
      <c r="L1350" s="133">
        <v>1</v>
      </c>
      <c r="M1350" s="134">
        <v>1</v>
      </c>
      <c r="N1350" s="133">
        <v>0.962162162162162</v>
      </c>
      <c r="O1350" s="135">
        <v>0.9</v>
      </c>
      <c r="P1350" s="133">
        <v>0.960047003525264</v>
      </c>
      <c r="Q1350" s="133">
        <v>0.975</v>
      </c>
      <c r="R1350" s="133">
        <v>0.934017595307918</v>
      </c>
      <c r="S1350" s="133">
        <v>0.9550189679051</v>
      </c>
      <c r="T1350" s="135">
        <v>0.9</v>
      </c>
      <c r="U1350" s="133">
        <v>0.941245593419506</v>
      </c>
      <c r="V1350" s="133">
        <v>0.944117647058824</v>
      </c>
      <c r="W1350" s="133">
        <v>0.901759530791789</v>
      </c>
      <c r="X1350" s="133">
        <v>0.930752092491118</v>
      </c>
      <c r="Y1350" s="135">
        <v>0.92</v>
      </c>
      <c r="Z1350" s="135">
        <v>0.940944881889764</v>
      </c>
      <c r="AA1350" s="135">
        <v>0.908866995073892</v>
      </c>
      <c r="AB1350" s="135">
        <v>0.910071942446043</v>
      </c>
      <c r="AC1350" s="135">
        <v>0.948587267525036</v>
      </c>
      <c r="AD1350" s="135">
        <v>0.92</v>
      </c>
      <c r="AE1350" s="133">
        <v>0.998386150234742</v>
      </c>
      <c r="AF1350" s="133">
        <v>1</v>
      </c>
      <c r="AG1350" s="133">
        <v>1</v>
      </c>
      <c r="AH1350" s="133">
        <v>0.99837923682722</v>
      </c>
      <c r="AI1350" s="135">
        <v>0.92</v>
      </c>
      <c r="AJ1350" s="133">
        <v>0.966151582045622</v>
      </c>
      <c r="AK1350" s="133">
        <v>0.939226519337017</v>
      </c>
      <c r="AL1350" s="133">
        <v>0.912025827280065</v>
      </c>
      <c r="AM1350" s="133">
        <v>0.962839053169293</v>
      </c>
      <c r="AN1350" s="132">
        <v>0.99</v>
      </c>
      <c r="AO1350" s="137">
        <v>1</v>
      </c>
      <c r="AP1350" s="137">
        <v>1</v>
      </c>
      <c r="AQ1350" s="137">
        <v>1</v>
      </c>
      <c r="AR1350" s="137">
        <v>1</v>
      </c>
      <c r="AS1350" s="158">
        <v>0.0721861525408278</v>
      </c>
      <c r="AT1350" s="141">
        <v>0.111111111111111</v>
      </c>
      <c r="AU1350" s="141">
        <v>0</v>
      </c>
      <c r="AV1350" s="141">
        <v>0.0909090909090909</v>
      </c>
      <c r="AW1350" s="141">
        <v>0.0650887573964497</v>
      </c>
      <c r="AX1350" s="95"/>
      <c r="AY1350" s="93"/>
    </row>
    <row r="1351" ht="15" spans="1:51">
      <c r="A1351" s="91"/>
      <c r="B1351" s="95"/>
      <c r="C1351" s="152" t="s">
        <v>1085</v>
      </c>
      <c r="D1351" s="153" t="s">
        <v>25</v>
      </c>
      <c r="E1351" s="130" t="s">
        <v>1086</v>
      </c>
      <c r="F1351" s="195" t="s">
        <v>1381</v>
      </c>
      <c r="G1351" s="195" t="s">
        <v>1381</v>
      </c>
      <c r="H1351" s="195" t="s">
        <v>1381</v>
      </c>
      <c r="I1351" s="195" t="s">
        <v>1381</v>
      </c>
      <c r="J1351" s="132">
        <v>0.9</v>
      </c>
      <c r="K1351" s="133">
        <v>0.90625</v>
      </c>
      <c r="L1351" s="133">
        <v>0.838709677419355</v>
      </c>
      <c r="M1351" s="134">
        <v>0.9375</v>
      </c>
      <c r="N1351" s="133">
        <v>0.929042904290429</v>
      </c>
      <c r="O1351" s="135">
        <v>0.9</v>
      </c>
      <c r="P1351" s="133">
        <v>0.965975544922913</v>
      </c>
      <c r="Q1351" s="133">
        <v>0.951289398280802</v>
      </c>
      <c r="R1351" s="133">
        <v>0.936577364680153</v>
      </c>
      <c r="S1351" s="133">
        <v>0.953677467044475</v>
      </c>
      <c r="T1351" s="135">
        <v>0.9</v>
      </c>
      <c r="U1351" s="133">
        <v>0.922381711855396</v>
      </c>
      <c r="V1351" s="133">
        <v>0.948424068767908</v>
      </c>
      <c r="W1351" s="133">
        <v>0.920721705850191</v>
      </c>
      <c r="X1351" s="133">
        <v>0.927904398176666</v>
      </c>
      <c r="Y1351" s="135">
        <v>0.92</v>
      </c>
      <c r="Z1351" s="135">
        <v>0.955573505654281</v>
      </c>
      <c r="AA1351" s="135">
        <v>0.953514739229025</v>
      </c>
      <c r="AB1351" s="135">
        <v>0.925340990667624</v>
      </c>
      <c r="AC1351" s="135">
        <v>0.959352750809061</v>
      </c>
      <c r="AD1351" s="135">
        <v>0.92</v>
      </c>
      <c r="AE1351" s="133">
        <v>0.996494582536648</v>
      </c>
      <c r="AF1351" s="133">
        <v>0.973063973063973</v>
      </c>
      <c r="AG1351" s="133">
        <v>1</v>
      </c>
      <c r="AH1351" s="133">
        <v>0.99672395273899</v>
      </c>
      <c r="AI1351" s="135">
        <v>0.92</v>
      </c>
      <c r="AJ1351" s="133">
        <v>0.966346153846154</v>
      </c>
      <c r="AK1351" s="133">
        <v>0.966822187662001</v>
      </c>
      <c r="AL1351" s="133">
        <v>0.950651769087523</v>
      </c>
      <c r="AM1351" s="133">
        <v>0.97231780668625</v>
      </c>
      <c r="AN1351" s="132">
        <v>0.99</v>
      </c>
      <c r="AO1351" s="137">
        <v>1</v>
      </c>
      <c r="AP1351" s="137">
        <v>1</v>
      </c>
      <c r="AQ1351" s="137">
        <v>1</v>
      </c>
      <c r="AR1351" s="137">
        <v>1</v>
      </c>
      <c r="AS1351" s="158">
        <v>0.0721861525408278</v>
      </c>
      <c r="AT1351" s="141">
        <v>0.05</v>
      </c>
      <c r="AU1351" s="141">
        <v>0</v>
      </c>
      <c r="AV1351" s="141">
        <v>0.0588235294117647</v>
      </c>
      <c r="AW1351" s="141">
        <v>0.0598802395209581</v>
      </c>
      <c r="AX1351" s="95"/>
      <c r="AY1351" s="93"/>
    </row>
    <row r="1352" ht="15" spans="1:51">
      <c r="A1352" s="91"/>
      <c r="B1352" s="95"/>
      <c r="C1352" s="152" t="s">
        <v>1085</v>
      </c>
      <c r="D1352" s="153" t="s">
        <v>25</v>
      </c>
      <c r="E1352" s="130" t="s">
        <v>1086</v>
      </c>
      <c r="F1352" s="195" t="s">
        <v>1382</v>
      </c>
      <c r="G1352" s="195" t="s">
        <v>1382</v>
      </c>
      <c r="H1352" s="195" t="s">
        <v>1382</v>
      </c>
      <c r="I1352" s="195" t="s">
        <v>1382</v>
      </c>
      <c r="J1352" s="132">
        <v>0.9</v>
      </c>
      <c r="K1352" s="133">
        <v>0.936170212765957</v>
      </c>
      <c r="L1352" s="133">
        <v>0.951219512195122</v>
      </c>
      <c r="M1352" s="134">
        <v>0.975609756097561</v>
      </c>
      <c r="N1352" s="133">
        <v>0.953883495145631</v>
      </c>
      <c r="O1352" s="135">
        <v>0.9</v>
      </c>
      <c r="P1352" s="133">
        <v>0.982954545454545</v>
      </c>
      <c r="Q1352" s="133">
        <v>0.974059662775616</v>
      </c>
      <c r="R1352" s="133">
        <v>0.97444089456869</v>
      </c>
      <c r="S1352" s="133">
        <v>0.974370380509171</v>
      </c>
      <c r="T1352" s="135">
        <v>0.9</v>
      </c>
      <c r="U1352" s="133">
        <v>0.947443181818182</v>
      </c>
      <c r="V1352" s="133">
        <v>0.948767833981842</v>
      </c>
      <c r="W1352" s="133">
        <v>0.942137025204118</v>
      </c>
      <c r="X1352" s="133">
        <v>0.943984396386532</v>
      </c>
      <c r="Y1352" s="135">
        <v>0.92</v>
      </c>
      <c r="Z1352" s="135">
        <v>0.942980096826251</v>
      </c>
      <c r="AA1352" s="135">
        <v>0.940905602455871</v>
      </c>
      <c r="AB1352" s="135">
        <v>0.95195530726257</v>
      </c>
      <c r="AC1352" s="135">
        <v>0.953366625654387</v>
      </c>
      <c r="AD1352" s="135">
        <v>0.92</v>
      </c>
      <c r="AE1352" s="133">
        <v>0.997926171712982</v>
      </c>
      <c r="AF1352" s="133">
        <v>0.994764397905759</v>
      </c>
      <c r="AG1352" s="133">
        <v>1</v>
      </c>
      <c r="AH1352" s="133">
        <v>0.996937420386481</v>
      </c>
      <c r="AI1352" s="135">
        <v>0.92</v>
      </c>
      <c r="AJ1352" s="133">
        <v>0.963636363636364</v>
      </c>
      <c r="AK1352" s="133">
        <v>0.961335676625659</v>
      </c>
      <c r="AL1352" s="133">
        <v>0.96657260690254</v>
      </c>
      <c r="AM1352" s="133">
        <v>0.971703967650238</v>
      </c>
      <c r="AN1352" s="132">
        <v>0.99</v>
      </c>
      <c r="AO1352" s="137">
        <v>1</v>
      </c>
      <c r="AP1352" s="137">
        <v>1</v>
      </c>
      <c r="AQ1352" s="137">
        <v>1</v>
      </c>
      <c r="AR1352" s="137">
        <v>1</v>
      </c>
      <c r="AS1352" s="158">
        <v>0.0721861525408278</v>
      </c>
      <c r="AT1352" s="141">
        <v>0.0625</v>
      </c>
      <c r="AU1352" s="141">
        <v>0.210526315789474</v>
      </c>
      <c r="AV1352" s="141">
        <v>0</v>
      </c>
      <c r="AW1352" s="141">
        <v>0.0481927710843374</v>
      </c>
      <c r="AX1352" s="95"/>
      <c r="AY1352" s="93"/>
    </row>
    <row r="1353" ht="15" spans="1:51">
      <c r="A1353" s="91"/>
      <c r="B1353" s="95"/>
      <c r="C1353" s="152" t="s">
        <v>1085</v>
      </c>
      <c r="D1353" s="153" t="s">
        <v>25</v>
      </c>
      <c r="E1353" s="130" t="s">
        <v>1086</v>
      </c>
      <c r="F1353" s="195" t="s">
        <v>1383</v>
      </c>
      <c r="G1353" s="195" t="s">
        <v>1383</v>
      </c>
      <c r="H1353" s="195" t="s">
        <v>1383</v>
      </c>
      <c r="I1353" s="195" t="s">
        <v>1383</v>
      </c>
      <c r="J1353" s="132">
        <v>0.9</v>
      </c>
      <c r="K1353" s="133">
        <v>1</v>
      </c>
      <c r="L1353" s="133">
        <v>1</v>
      </c>
      <c r="M1353" s="134">
        <v>1</v>
      </c>
      <c r="N1353" s="133">
        <v>0.996923076923077</v>
      </c>
      <c r="O1353" s="135">
        <v>0.9</v>
      </c>
      <c r="P1353" s="133">
        <v>0.982040816326531</v>
      </c>
      <c r="Q1353" s="133">
        <v>0.963963963963964</v>
      </c>
      <c r="R1353" s="133">
        <v>0.989100817438692</v>
      </c>
      <c r="S1353" s="133">
        <v>0.986453778888195</v>
      </c>
      <c r="T1353" s="135">
        <v>0.9</v>
      </c>
      <c r="U1353" s="133">
        <v>0.951020408163265</v>
      </c>
      <c r="V1353" s="133">
        <v>0.936936936936937</v>
      </c>
      <c r="W1353" s="133">
        <v>0.940962761126249</v>
      </c>
      <c r="X1353" s="133">
        <v>0.957526545908807</v>
      </c>
      <c r="Y1353" s="135">
        <v>0.92</v>
      </c>
      <c r="Z1353" s="135">
        <v>0.963400236127509</v>
      </c>
      <c r="AA1353" s="135">
        <v>0.985989492119089</v>
      </c>
      <c r="AB1353" s="135">
        <v>0.973684210526316</v>
      </c>
      <c r="AC1353" s="135">
        <v>0.976890986935997</v>
      </c>
      <c r="AD1353" s="135">
        <v>0.92</v>
      </c>
      <c r="AE1353" s="133">
        <v>0.999582927846517</v>
      </c>
      <c r="AF1353" s="133">
        <v>0.998256320836966</v>
      </c>
      <c r="AG1353" s="133">
        <v>0.999472016895459</v>
      </c>
      <c r="AH1353" s="133">
        <v>0.999188534618362</v>
      </c>
      <c r="AI1353" s="135">
        <v>0.92</v>
      </c>
      <c r="AJ1353" s="133">
        <v>0.975397973950796</v>
      </c>
      <c r="AK1353" s="133">
        <v>0.982215036378335</v>
      </c>
      <c r="AL1353" s="133">
        <v>0.971089313371193</v>
      </c>
      <c r="AM1353" s="133">
        <v>0.981704952437439</v>
      </c>
      <c r="AN1353" s="132">
        <v>0.99</v>
      </c>
      <c r="AO1353" s="137">
        <v>1</v>
      </c>
      <c r="AP1353" s="137">
        <v>1</v>
      </c>
      <c r="AQ1353" s="137">
        <v>1</v>
      </c>
      <c r="AR1353" s="137">
        <v>1</v>
      </c>
      <c r="AS1353" s="158">
        <v>0.0721861525408278</v>
      </c>
      <c r="AT1353" s="141">
        <v>0.0434782608695652</v>
      </c>
      <c r="AU1353" s="141">
        <v>0</v>
      </c>
      <c r="AV1353" s="141">
        <v>0</v>
      </c>
      <c r="AW1353" s="141">
        <v>0.0351288056206089</v>
      </c>
      <c r="AX1353" s="95"/>
      <c r="AY1353" s="93"/>
    </row>
    <row r="1354" ht="15" spans="1:51">
      <c r="A1354" s="91"/>
      <c r="B1354" s="95"/>
      <c r="C1354" s="152" t="s">
        <v>1085</v>
      </c>
      <c r="D1354" s="153" t="s">
        <v>25</v>
      </c>
      <c r="E1354" s="130" t="s">
        <v>1086</v>
      </c>
      <c r="F1354" s="195" t="s">
        <v>1384</v>
      </c>
      <c r="G1354" s="195" t="s">
        <v>1384</v>
      </c>
      <c r="H1354" s="195" t="s">
        <v>1384</v>
      </c>
      <c r="I1354" s="195" t="s">
        <v>1384</v>
      </c>
      <c r="J1354" s="132">
        <v>0.9</v>
      </c>
      <c r="K1354" s="133">
        <v>0.961538461538462</v>
      </c>
      <c r="L1354" s="133">
        <v>0.952380952380952</v>
      </c>
      <c r="M1354" s="134">
        <v>0.869565217391304</v>
      </c>
      <c r="N1354" s="133">
        <v>0.959276018099548</v>
      </c>
      <c r="O1354" s="135">
        <v>0.9</v>
      </c>
      <c r="P1354" s="133">
        <v>0.97853604843148</v>
      </c>
      <c r="Q1354" s="133">
        <v>0.979879275653924</v>
      </c>
      <c r="R1354" s="133">
        <v>0.979038224414303</v>
      </c>
      <c r="S1354" s="133">
        <v>0.962339743589744</v>
      </c>
      <c r="T1354" s="135">
        <v>0.9</v>
      </c>
      <c r="U1354" s="133">
        <v>0.945514584479912</v>
      </c>
      <c r="V1354" s="133">
        <v>0.949698189134809</v>
      </c>
      <c r="W1354" s="133">
        <v>0.94944512946979</v>
      </c>
      <c r="X1354" s="133">
        <v>0.933604111405836</v>
      </c>
      <c r="Y1354" s="135">
        <v>0.92</v>
      </c>
      <c r="Z1354" s="135">
        <v>0.94631483166515</v>
      </c>
      <c r="AA1354" s="135">
        <v>0.953867028493894</v>
      </c>
      <c r="AB1354" s="135">
        <v>0.943791946308725</v>
      </c>
      <c r="AC1354" s="135">
        <v>0.957635232168502</v>
      </c>
      <c r="AD1354" s="135">
        <v>0.92</v>
      </c>
      <c r="AE1354" s="133">
        <v>0.998220640569395</v>
      </c>
      <c r="AF1354" s="133">
        <v>0.999314599040439</v>
      </c>
      <c r="AG1354" s="133">
        <v>1</v>
      </c>
      <c r="AH1354" s="133">
        <v>0.997683624102038</v>
      </c>
      <c r="AI1354" s="135">
        <v>0.92</v>
      </c>
      <c r="AJ1354" s="133">
        <v>0.965020576131687</v>
      </c>
      <c r="AK1354" s="133">
        <v>0.97053726169844</v>
      </c>
      <c r="AL1354" s="133">
        <v>0.96410803127221</v>
      </c>
      <c r="AM1354" s="133">
        <v>0.973669604962455</v>
      </c>
      <c r="AN1354" s="132">
        <v>0.99</v>
      </c>
      <c r="AO1354" s="137">
        <v>1</v>
      </c>
      <c r="AP1354" s="137">
        <v>1</v>
      </c>
      <c r="AQ1354" s="137">
        <v>1</v>
      </c>
      <c r="AR1354" s="137">
        <v>1</v>
      </c>
      <c r="AS1354" s="158">
        <v>0.0721861525408278</v>
      </c>
      <c r="AT1354" s="141">
        <v>0</v>
      </c>
      <c r="AU1354" s="141">
        <v>0</v>
      </c>
      <c r="AV1354" s="141">
        <v>0</v>
      </c>
      <c r="AW1354" s="141">
        <v>0.0365448504983389</v>
      </c>
      <c r="AX1354" s="95"/>
      <c r="AY1354" s="93"/>
    </row>
    <row r="1355" ht="15" spans="1:51">
      <c r="A1355" s="91"/>
      <c r="B1355" s="95"/>
      <c r="C1355" s="152" t="s">
        <v>1085</v>
      </c>
      <c r="D1355" s="153" t="s">
        <v>25</v>
      </c>
      <c r="E1355" s="130" t="s">
        <v>1086</v>
      </c>
      <c r="F1355" s="195" t="s">
        <v>1385</v>
      </c>
      <c r="G1355" s="195" t="s">
        <v>1385</v>
      </c>
      <c r="H1355" s="195" t="s">
        <v>1385</v>
      </c>
      <c r="I1355" s="195" t="s">
        <v>1385</v>
      </c>
      <c r="J1355" s="132">
        <v>0.9</v>
      </c>
      <c r="K1355" s="133">
        <v>0.939393939393939</v>
      </c>
      <c r="L1355" s="133">
        <v>0.846153846153846</v>
      </c>
      <c r="M1355" s="134">
        <v>0.857142857142857</v>
      </c>
      <c r="N1355" s="133">
        <v>0.869328493647913</v>
      </c>
      <c r="O1355" s="135">
        <v>0.9</v>
      </c>
      <c r="P1355" s="133">
        <v>0.984069514844316</v>
      </c>
      <c r="Q1355" s="133">
        <v>0.988137603795967</v>
      </c>
      <c r="R1355" s="133">
        <v>0.986100386100386</v>
      </c>
      <c r="S1355" s="133">
        <v>0.983137804836338</v>
      </c>
      <c r="T1355" s="135">
        <v>0.9</v>
      </c>
      <c r="U1355" s="133">
        <v>0.939898624185373</v>
      </c>
      <c r="V1355" s="133">
        <v>0.951364175563464</v>
      </c>
      <c r="W1355" s="133">
        <v>0.937451737451737</v>
      </c>
      <c r="X1355" s="133">
        <v>0.939836508533707</v>
      </c>
      <c r="Y1355" s="135">
        <v>0.92</v>
      </c>
      <c r="Z1355" s="135">
        <v>0.951041666666667</v>
      </c>
      <c r="AA1355" s="135">
        <v>0.938176197836167</v>
      </c>
      <c r="AB1355" s="135">
        <v>0.941822173435785</v>
      </c>
      <c r="AC1355" s="135">
        <v>0.939285881856144</v>
      </c>
      <c r="AD1355" s="135">
        <v>0.92</v>
      </c>
      <c r="AE1355" s="133">
        <v>0.999471458773784</v>
      </c>
      <c r="AF1355" s="133">
        <v>0.999521531100478</v>
      </c>
      <c r="AG1355" s="133">
        <v>0.997711670480549</v>
      </c>
      <c r="AH1355" s="133">
        <v>0.998476949212114</v>
      </c>
      <c r="AI1355" s="135">
        <v>0.92</v>
      </c>
      <c r="AJ1355" s="133">
        <v>0.962836394703118</v>
      </c>
      <c r="AK1355" s="133">
        <v>0.959758551307847</v>
      </c>
      <c r="AL1355" s="133">
        <v>0.965548504079782</v>
      </c>
      <c r="AM1355" s="133">
        <v>0.964334460862857</v>
      </c>
      <c r="AN1355" s="132">
        <v>0.99</v>
      </c>
      <c r="AO1355" s="137">
        <v>1</v>
      </c>
      <c r="AP1355" s="137">
        <v>1</v>
      </c>
      <c r="AQ1355" s="137">
        <v>1</v>
      </c>
      <c r="AR1355" s="137">
        <v>1</v>
      </c>
      <c r="AS1355" s="158">
        <v>0.0721861525408278</v>
      </c>
      <c r="AT1355" s="141">
        <v>0</v>
      </c>
      <c r="AU1355" s="141">
        <v>0</v>
      </c>
      <c r="AV1355" s="141">
        <v>0.0526315789473684</v>
      </c>
      <c r="AW1355" s="141">
        <v>0.0138888888888889</v>
      </c>
      <c r="AX1355" s="95"/>
      <c r="AY1355" s="93"/>
    </row>
    <row r="1356" ht="15" spans="1:51">
      <c r="A1356" s="91"/>
      <c r="B1356" s="95"/>
      <c r="C1356" s="152" t="s">
        <v>1085</v>
      </c>
      <c r="D1356" s="153" t="s">
        <v>25</v>
      </c>
      <c r="E1356" s="130" t="s">
        <v>1086</v>
      </c>
      <c r="F1356" s="195" t="s">
        <v>1386</v>
      </c>
      <c r="G1356" s="195" t="s">
        <v>1386</v>
      </c>
      <c r="H1356" s="195" t="s">
        <v>1386</v>
      </c>
      <c r="I1356" s="195" t="s">
        <v>1386</v>
      </c>
      <c r="J1356" s="132">
        <v>0.9</v>
      </c>
      <c r="K1356" s="133">
        <v>0.947368421052632</v>
      </c>
      <c r="L1356" s="133">
        <v>0.944444444444444</v>
      </c>
      <c r="M1356" s="134">
        <v>0.947368421052632</v>
      </c>
      <c r="N1356" s="133">
        <v>0.893854748603352</v>
      </c>
      <c r="O1356" s="135">
        <v>0.9</v>
      </c>
      <c r="P1356" s="133">
        <v>0.922382671480144</v>
      </c>
      <c r="Q1356" s="133">
        <v>0.9824</v>
      </c>
      <c r="R1356" s="133">
        <v>0.920326864147089</v>
      </c>
      <c r="S1356" s="133">
        <v>0.914910714285714</v>
      </c>
      <c r="T1356" s="135">
        <v>0.9</v>
      </c>
      <c r="U1356" s="133">
        <v>0.916967509025271</v>
      </c>
      <c r="V1356" s="133">
        <v>0.9296</v>
      </c>
      <c r="W1356" s="133">
        <v>0.940755873340143</v>
      </c>
      <c r="X1356" s="133">
        <v>0.921383928571429</v>
      </c>
      <c r="Y1356" s="135">
        <v>0.92</v>
      </c>
      <c r="Z1356" s="135">
        <v>0.955521472392638</v>
      </c>
      <c r="AA1356" s="135">
        <v>0.929006085192698</v>
      </c>
      <c r="AB1356" s="135">
        <v>0.957446808510638</v>
      </c>
      <c r="AC1356" s="135">
        <v>0.947467559648388</v>
      </c>
      <c r="AD1356" s="135">
        <v>0.92</v>
      </c>
      <c r="AE1356" s="133">
        <v>0.99766081871345</v>
      </c>
      <c r="AF1356" s="133">
        <v>0.989607390300231</v>
      </c>
      <c r="AG1356" s="133">
        <v>0.998565279770445</v>
      </c>
      <c r="AH1356" s="133">
        <v>0.997753207591793</v>
      </c>
      <c r="AI1356" s="135">
        <v>0.92</v>
      </c>
      <c r="AJ1356" s="133">
        <v>0.965909090909091</v>
      </c>
      <c r="AK1356" s="133">
        <v>0.949910554561717</v>
      </c>
      <c r="AL1356" s="133">
        <v>0.972848064702484</v>
      </c>
      <c r="AM1356" s="133">
        <v>0.96711761983831</v>
      </c>
      <c r="AN1356" s="132">
        <v>0.99</v>
      </c>
      <c r="AO1356" s="137">
        <v>1</v>
      </c>
      <c r="AP1356" s="137">
        <v>1</v>
      </c>
      <c r="AQ1356" s="137">
        <v>1</v>
      </c>
      <c r="AR1356" s="137">
        <v>1</v>
      </c>
      <c r="AS1356" s="158">
        <v>0.0721861525408278</v>
      </c>
      <c r="AT1356" s="141">
        <v>0</v>
      </c>
      <c r="AU1356" s="141">
        <v>0</v>
      </c>
      <c r="AV1356" s="141">
        <v>0</v>
      </c>
      <c r="AW1356" s="141">
        <v>0.0458015267175573</v>
      </c>
      <c r="AX1356" s="95"/>
      <c r="AY1356" s="93"/>
    </row>
    <row r="1357" ht="15" spans="1:51">
      <c r="A1357" s="91"/>
      <c r="B1357" s="95"/>
      <c r="C1357" s="152" t="s">
        <v>1085</v>
      </c>
      <c r="D1357" s="153" t="s">
        <v>25</v>
      </c>
      <c r="E1357" s="130" t="s">
        <v>1086</v>
      </c>
      <c r="F1357" s="195" t="s">
        <v>1387</v>
      </c>
      <c r="G1357" s="195" t="s">
        <v>1387</v>
      </c>
      <c r="H1357" s="195" t="s">
        <v>1387</v>
      </c>
      <c r="I1357" s="195" t="s">
        <v>1387</v>
      </c>
      <c r="J1357" s="132">
        <v>0.9</v>
      </c>
      <c r="K1357" s="133">
        <v>1</v>
      </c>
      <c r="L1357" s="133">
        <v>0.857142857142857</v>
      </c>
      <c r="M1357" s="134">
        <v>1</v>
      </c>
      <c r="N1357" s="133">
        <v>0.935943060498221</v>
      </c>
      <c r="O1357" s="135">
        <v>0.9</v>
      </c>
      <c r="P1357" s="133">
        <v>0.996632996632997</v>
      </c>
      <c r="Q1357" s="133">
        <v>0.995454545454545</v>
      </c>
      <c r="R1357" s="133">
        <v>0.994502748625687</v>
      </c>
      <c r="S1357" s="133">
        <v>0.99551853073793</v>
      </c>
      <c r="T1357" s="135">
        <v>0.9</v>
      </c>
      <c r="U1357" s="133">
        <v>0.96969696969697</v>
      </c>
      <c r="V1357" s="133">
        <v>0.982575757575758</v>
      </c>
      <c r="W1357" s="133">
        <v>0.984507746126936</v>
      </c>
      <c r="X1357" s="133">
        <v>0.978087539865831</v>
      </c>
      <c r="Y1357" s="135">
        <v>0.92</v>
      </c>
      <c r="Z1357" s="135">
        <v>0.939341421143847</v>
      </c>
      <c r="AA1357" s="135" t="s">
        <v>35</v>
      </c>
      <c r="AB1357" s="135" t="s">
        <v>35</v>
      </c>
      <c r="AC1357" s="135">
        <v>0.939341421143847</v>
      </c>
      <c r="AD1357" s="135">
        <v>0.92</v>
      </c>
      <c r="AE1357" s="133">
        <v>0.994011976047904</v>
      </c>
      <c r="AF1357" s="133">
        <v>1</v>
      </c>
      <c r="AG1357" s="133">
        <v>1</v>
      </c>
      <c r="AH1357" s="133">
        <v>0.997410071942446</v>
      </c>
      <c r="AI1357" s="135">
        <v>0.92</v>
      </c>
      <c r="AJ1357" s="133">
        <v>0.975266731328807</v>
      </c>
      <c r="AK1357" s="133">
        <v>0.995454545454545</v>
      </c>
      <c r="AL1357" s="133">
        <v>0.997501249375312</v>
      </c>
      <c r="AM1357" s="133">
        <v>0.993017402365423</v>
      </c>
      <c r="AN1357" s="132">
        <v>0.99</v>
      </c>
      <c r="AO1357" s="137">
        <v>1</v>
      </c>
      <c r="AP1357" s="137">
        <v>1</v>
      </c>
      <c r="AQ1357" s="137">
        <v>1</v>
      </c>
      <c r="AR1357" s="137">
        <v>1</v>
      </c>
      <c r="AS1357" s="158">
        <v>0.0721861525408278</v>
      </c>
      <c r="AT1357" s="141">
        <v>0</v>
      </c>
      <c r="AU1357" s="141">
        <v>0</v>
      </c>
      <c r="AV1357" s="141">
        <v>0</v>
      </c>
      <c r="AW1357" s="141">
        <v>0.0315789473684211</v>
      </c>
      <c r="AX1357" s="95"/>
      <c r="AY1357" s="93"/>
    </row>
    <row r="1358" ht="15" spans="1:51">
      <c r="A1358" s="91"/>
      <c r="B1358" s="95"/>
      <c r="C1358" s="152" t="s">
        <v>1085</v>
      </c>
      <c r="D1358" s="153" t="s">
        <v>25</v>
      </c>
      <c r="E1358" s="130" t="s">
        <v>1086</v>
      </c>
      <c r="F1358" s="195" t="s">
        <v>1388</v>
      </c>
      <c r="G1358" s="195" t="s">
        <v>1388</v>
      </c>
      <c r="H1358" s="195" t="s">
        <v>1388</v>
      </c>
      <c r="I1358" s="195" t="s">
        <v>1388</v>
      </c>
      <c r="J1358" s="132">
        <v>0.9</v>
      </c>
      <c r="K1358" s="133">
        <v>0.884615384615385</v>
      </c>
      <c r="L1358" s="133">
        <v>0.95</v>
      </c>
      <c r="M1358" s="134">
        <v>0.956521739130435</v>
      </c>
      <c r="N1358" s="133">
        <v>0.916299559471366</v>
      </c>
      <c r="O1358" s="135">
        <v>0.9</v>
      </c>
      <c r="P1358" s="133">
        <v>0.969712015888779</v>
      </c>
      <c r="Q1358" s="133">
        <v>0.991761723700887</v>
      </c>
      <c r="R1358" s="133">
        <v>0.991681260945709</v>
      </c>
      <c r="S1358" s="133">
        <v>0.98447677861433</v>
      </c>
      <c r="T1358" s="135">
        <v>0.9</v>
      </c>
      <c r="U1358" s="133">
        <v>0.928003972194637</v>
      </c>
      <c r="V1358" s="133">
        <v>0.959442332065906</v>
      </c>
      <c r="W1358" s="133">
        <v>0.947460595446585</v>
      </c>
      <c r="X1358" s="133">
        <v>0.946641570087133</v>
      </c>
      <c r="Y1358" s="135">
        <v>0.92</v>
      </c>
      <c r="Z1358" s="135">
        <v>0.932926829268293</v>
      </c>
      <c r="AA1358" s="135">
        <v>0.5</v>
      </c>
      <c r="AB1358" s="135">
        <v>0.333333333333333</v>
      </c>
      <c r="AC1358" s="135">
        <v>0.927145708582834</v>
      </c>
      <c r="AD1358" s="135">
        <v>0.92</v>
      </c>
      <c r="AE1358" s="133">
        <v>0.997678617487748</v>
      </c>
      <c r="AF1358" s="133">
        <v>0.989574979951884</v>
      </c>
      <c r="AG1358" s="133">
        <v>0.998420221169036</v>
      </c>
      <c r="AH1358" s="133">
        <v>0.993832690905303</v>
      </c>
      <c r="AI1358" s="135">
        <v>0.92</v>
      </c>
      <c r="AJ1358" s="133">
        <v>0.962691538974017</v>
      </c>
      <c r="AK1358" s="133">
        <v>0.989930774071743</v>
      </c>
      <c r="AL1358" s="133">
        <v>0.986468790920995</v>
      </c>
      <c r="AM1358" s="133">
        <v>0.987793019262202</v>
      </c>
      <c r="AN1358" s="132">
        <v>0.99</v>
      </c>
      <c r="AO1358" s="137">
        <v>1</v>
      </c>
      <c r="AP1358" s="137">
        <v>1</v>
      </c>
      <c r="AQ1358" s="137">
        <v>1</v>
      </c>
      <c r="AR1358" s="137">
        <v>1</v>
      </c>
      <c r="AS1358" s="158">
        <v>0.0721861525408278</v>
      </c>
      <c r="AT1358" s="141">
        <v>0</v>
      </c>
      <c r="AU1358" s="141">
        <v>0</v>
      </c>
      <c r="AV1358" s="141">
        <v>0</v>
      </c>
      <c r="AW1358" s="141">
        <v>0.032258064516129</v>
      </c>
      <c r="AX1358" s="95"/>
      <c r="AY1358" s="93"/>
    </row>
    <row r="1359" ht="15" spans="1:51">
      <c r="A1359" s="91"/>
      <c r="B1359" s="95"/>
      <c r="C1359" s="152" t="s">
        <v>1085</v>
      </c>
      <c r="D1359" s="153" t="s">
        <v>25</v>
      </c>
      <c r="E1359" s="130" t="s">
        <v>1086</v>
      </c>
      <c r="F1359" s="195" t="s">
        <v>1389</v>
      </c>
      <c r="G1359" s="195" t="s">
        <v>1389</v>
      </c>
      <c r="H1359" s="195" t="s">
        <v>1389</v>
      </c>
      <c r="I1359" s="195" t="s">
        <v>1389</v>
      </c>
      <c r="J1359" s="132">
        <v>0.9</v>
      </c>
      <c r="K1359" s="133">
        <v>0.727272727272727</v>
      </c>
      <c r="L1359" s="133">
        <v>0.666666666666667</v>
      </c>
      <c r="M1359" s="134">
        <v>0.941176470588235</v>
      </c>
      <c r="N1359" s="133">
        <v>0.883152173913043</v>
      </c>
      <c r="O1359" s="135">
        <v>0.9</v>
      </c>
      <c r="P1359" s="133">
        <v>0.990356798457088</v>
      </c>
      <c r="Q1359" s="133">
        <v>0.9826224328594</v>
      </c>
      <c r="R1359" s="133">
        <v>0.955346650998825</v>
      </c>
      <c r="S1359" s="133">
        <v>0.956239954373412</v>
      </c>
      <c r="T1359" s="135">
        <v>0.9</v>
      </c>
      <c r="U1359" s="133">
        <v>0.941176470588235</v>
      </c>
      <c r="V1359" s="133">
        <v>0.925750394944708</v>
      </c>
      <c r="W1359" s="133">
        <v>0.895417156286721</v>
      </c>
      <c r="X1359" s="133">
        <v>0.930315756727329</v>
      </c>
      <c r="Y1359" s="135">
        <v>0.92</v>
      </c>
      <c r="Z1359" s="135">
        <v>0.902266288951841</v>
      </c>
      <c r="AA1359" s="135">
        <v>0.816494845360825</v>
      </c>
      <c r="AB1359" s="135">
        <v>0.876675603217158</v>
      </c>
      <c r="AC1359" s="135">
        <v>0.878920648167466</v>
      </c>
      <c r="AD1359" s="135">
        <v>0.92</v>
      </c>
      <c r="AE1359" s="133">
        <v>0.996861268047709</v>
      </c>
      <c r="AF1359" s="133">
        <v>0.999448123620309</v>
      </c>
      <c r="AG1359" s="133">
        <v>1</v>
      </c>
      <c r="AH1359" s="133">
        <v>0.996609443591848</v>
      </c>
      <c r="AI1359" s="135">
        <v>0.92</v>
      </c>
      <c r="AJ1359" s="133">
        <v>0.940906483075158</v>
      </c>
      <c r="AK1359" s="133">
        <v>0.896243291592129</v>
      </c>
      <c r="AL1359" s="133">
        <v>0.908578584846587</v>
      </c>
      <c r="AM1359" s="133">
        <v>0.929159117236463</v>
      </c>
      <c r="AN1359" s="132">
        <v>0.99</v>
      </c>
      <c r="AO1359" s="137">
        <v>1</v>
      </c>
      <c r="AP1359" s="137">
        <v>1</v>
      </c>
      <c r="AQ1359" s="137">
        <v>1</v>
      </c>
      <c r="AR1359" s="137">
        <v>1</v>
      </c>
      <c r="AS1359" s="158">
        <v>0.0721861525408278</v>
      </c>
      <c r="AT1359" s="141">
        <v>0</v>
      </c>
      <c r="AU1359" s="141">
        <v>0.142857142857143</v>
      </c>
      <c r="AV1359" s="141">
        <v>0</v>
      </c>
      <c r="AW1359" s="141">
        <v>0.0427350427350427</v>
      </c>
      <c r="AX1359" s="95"/>
      <c r="AY1359" s="93"/>
    </row>
    <row r="1360" ht="15" spans="1:51">
      <c r="A1360" s="91"/>
      <c r="B1360" s="95"/>
      <c r="C1360" s="152" t="s">
        <v>1085</v>
      </c>
      <c r="D1360" s="153" t="s">
        <v>25</v>
      </c>
      <c r="E1360" s="130" t="s">
        <v>1086</v>
      </c>
      <c r="F1360" s="195" t="s">
        <v>1390</v>
      </c>
      <c r="G1360" s="195" t="s">
        <v>1390</v>
      </c>
      <c r="H1360" s="195" t="s">
        <v>1390</v>
      </c>
      <c r="I1360" s="195" t="s">
        <v>1390</v>
      </c>
      <c r="J1360" s="132">
        <v>0.9</v>
      </c>
      <c r="K1360" s="133">
        <v>0.857142857142857</v>
      </c>
      <c r="L1360" s="133">
        <v>0.857142857142857</v>
      </c>
      <c r="M1360" s="134">
        <v>0.857142857142857</v>
      </c>
      <c r="N1360" s="133">
        <v>0.9375</v>
      </c>
      <c r="O1360" s="135">
        <v>0.9</v>
      </c>
      <c r="P1360" s="133">
        <v>0.995363214837713</v>
      </c>
      <c r="Q1360" s="133">
        <v>1</v>
      </c>
      <c r="R1360" s="133">
        <v>0.994425863991081</v>
      </c>
      <c r="S1360" s="133">
        <v>0.972186563970903</v>
      </c>
      <c r="T1360" s="135">
        <v>0.9</v>
      </c>
      <c r="U1360" s="133">
        <v>0.955177743431221</v>
      </c>
      <c r="V1360" s="133">
        <v>0.959935897435897</v>
      </c>
      <c r="W1360" s="133">
        <v>0.958751393534002</v>
      </c>
      <c r="X1360" s="133">
        <v>0.940399779937649</v>
      </c>
      <c r="Y1360" s="135">
        <v>0.92</v>
      </c>
      <c r="Z1360" s="135">
        <v>0.957446808510638</v>
      </c>
      <c r="AA1360" s="135" t="s">
        <v>35</v>
      </c>
      <c r="AB1360" s="135" t="s">
        <v>35</v>
      </c>
      <c r="AC1360" s="135">
        <v>0.957446808510638</v>
      </c>
      <c r="AD1360" s="135">
        <v>0.92</v>
      </c>
      <c r="AE1360" s="133">
        <v>1</v>
      </c>
      <c r="AF1360" s="133">
        <v>0.705752212389381</v>
      </c>
      <c r="AG1360" s="133">
        <v>0.990825688073395</v>
      </c>
      <c r="AH1360" s="133">
        <v>0.928428337279184</v>
      </c>
      <c r="AI1360" s="135">
        <v>0.92</v>
      </c>
      <c r="AJ1360" s="133">
        <v>0.971655328798186</v>
      </c>
      <c r="AK1360" s="133">
        <v>0.979233226837061</v>
      </c>
      <c r="AL1360" s="133">
        <v>0.99108138238573</v>
      </c>
      <c r="AM1360" s="133">
        <v>0.987951081390445</v>
      </c>
      <c r="AN1360" s="132">
        <v>0.99</v>
      </c>
      <c r="AO1360" s="137">
        <v>1</v>
      </c>
      <c r="AP1360" s="137">
        <v>1</v>
      </c>
      <c r="AQ1360" s="137">
        <v>1</v>
      </c>
      <c r="AR1360" s="137">
        <v>1</v>
      </c>
      <c r="AS1360" s="158">
        <v>0.0721861525408278</v>
      </c>
      <c r="AT1360" s="141">
        <v>0</v>
      </c>
      <c r="AU1360" s="141">
        <v>0</v>
      </c>
      <c r="AV1360" s="141">
        <v>0</v>
      </c>
      <c r="AW1360" s="141">
        <v>0.0597014925373134</v>
      </c>
      <c r="AX1360" s="95"/>
      <c r="AY1360" s="93"/>
    </row>
    <row r="1361" ht="15" spans="1:51">
      <c r="A1361" s="91"/>
      <c r="B1361" s="95"/>
      <c r="C1361" s="152" t="s">
        <v>1085</v>
      </c>
      <c r="D1361" s="153" t="s">
        <v>25</v>
      </c>
      <c r="E1361" s="130" t="s">
        <v>1086</v>
      </c>
      <c r="F1361" s="195" t="s">
        <v>1391</v>
      </c>
      <c r="G1361" s="195" t="s">
        <v>1391</v>
      </c>
      <c r="H1361" s="195" t="s">
        <v>1391</v>
      </c>
      <c r="I1361" s="195" t="s">
        <v>1391</v>
      </c>
      <c r="J1361" s="132">
        <v>0.9</v>
      </c>
      <c r="K1361" s="133">
        <v>1</v>
      </c>
      <c r="L1361" s="133">
        <v>0.95</v>
      </c>
      <c r="M1361" s="134">
        <v>0.952380952380952</v>
      </c>
      <c r="N1361" s="133">
        <v>0.916666666666667</v>
      </c>
      <c r="O1361" s="135">
        <v>0.9</v>
      </c>
      <c r="P1361" s="133">
        <v>0.983283582089552</v>
      </c>
      <c r="Q1361" s="133">
        <v>0.988133764832794</v>
      </c>
      <c r="R1361" s="133">
        <v>0.948818897637795</v>
      </c>
      <c r="S1361" s="133">
        <v>0.96526865715203</v>
      </c>
      <c r="T1361" s="135">
        <v>0.9</v>
      </c>
      <c r="U1361" s="133">
        <v>0.945671641791045</v>
      </c>
      <c r="V1361" s="133">
        <v>0.951456310679612</v>
      </c>
      <c r="W1361" s="133">
        <v>0.953412073490814</v>
      </c>
      <c r="X1361" s="133">
        <v>0.940518927122552</v>
      </c>
      <c r="Y1361" s="135">
        <v>0.92</v>
      </c>
      <c r="Z1361" s="135">
        <v>0.943482224247949</v>
      </c>
      <c r="AA1361" s="135">
        <v>0.952564102564103</v>
      </c>
      <c r="AB1361" s="135">
        <v>0.954388984509466</v>
      </c>
      <c r="AC1361" s="135">
        <v>0.959840690341852</v>
      </c>
      <c r="AD1361" s="135">
        <v>0.92</v>
      </c>
      <c r="AE1361" s="133">
        <v>0.995973829894313</v>
      </c>
      <c r="AF1361" s="133">
        <v>0.999584889995849</v>
      </c>
      <c r="AG1361" s="133">
        <v>0.998702983138781</v>
      </c>
      <c r="AH1361" s="133">
        <v>0.998541323245141</v>
      </c>
      <c r="AI1361" s="135">
        <v>0.92</v>
      </c>
      <c r="AJ1361" s="133">
        <v>0.96031746031746</v>
      </c>
      <c r="AK1361" s="133">
        <v>0.967779730521383</v>
      </c>
      <c r="AL1361" s="133">
        <v>0.969843633655994</v>
      </c>
      <c r="AM1361" s="133">
        <v>0.973341557017544</v>
      </c>
      <c r="AN1361" s="132">
        <v>0.99</v>
      </c>
      <c r="AO1361" s="137">
        <v>1</v>
      </c>
      <c r="AP1361" s="137">
        <v>1</v>
      </c>
      <c r="AQ1361" s="137">
        <v>1</v>
      </c>
      <c r="AR1361" s="137">
        <v>1</v>
      </c>
      <c r="AS1361" s="158">
        <v>0.0721861525408278</v>
      </c>
      <c r="AT1361" s="141">
        <v>0.05</v>
      </c>
      <c r="AU1361" s="141">
        <v>0</v>
      </c>
      <c r="AV1361" s="141">
        <v>0</v>
      </c>
      <c r="AW1361" s="141">
        <v>0.0396341463414634</v>
      </c>
      <c r="AX1361" s="95"/>
      <c r="AY1361" s="93"/>
    </row>
    <row r="1362" ht="15" spans="1:51">
      <c r="A1362" s="91"/>
      <c r="B1362" s="95"/>
      <c r="C1362" s="152" t="s">
        <v>1085</v>
      </c>
      <c r="D1362" s="153" t="s">
        <v>25</v>
      </c>
      <c r="E1362" s="130" t="s">
        <v>1086</v>
      </c>
      <c r="F1362" s="195" t="s">
        <v>1392</v>
      </c>
      <c r="G1362" s="195" t="s">
        <v>1392</v>
      </c>
      <c r="H1362" s="195" t="s">
        <v>1392</v>
      </c>
      <c r="I1362" s="195" t="s">
        <v>1392</v>
      </c>
      <c r="J1362" s="132">
        <v>0.9</v>
      </c>
      <c r="K1362" s="133">
        <v>0.977777777777778</v>
      </c>
      <c r="L1362" s="133">
        <v>1</v>
      </c>
      <c r="M1362" s="134">
        <v>1</v>
      </c>
      <c r="N1362" s="133">
        <v>0.976608187134503</v>
      </c>
      <c r="O1362" s="135">
        <v>0.9</v>
      </c>
      <c r="P1362" s="133">
        <v>0.988898026315789</v>
      </c>
      <c r="Q1362" s="133">
        <v>0.990819672131148</v>
      </c>
      <c r="R1362" s="133">
        <v>0.991626794258373</v>
      </c>
      <c r="S1362" s="133">
        <v>0.979545199115873</v>
      </c>
      <c r="T1362" s="135">
        <v>0.9</v>
      </c>
      <c r="U1362" s="133">
        <v>0.925164473684211</v>
      </c>
      <c r="V1362" s="133">
        <v>0.944262295081967</v>
      </c>
      <c r="W1362" s="133">
        <v>0.928628389154705</v>
      </c>
      <c r="X1362" s="133">
        <v>0.924643164874686</v>
      </c>
      <c r="Y1362" s="135">
        <v>0.92</v>
      </c>
      <c r="Z1362" s="135">
        <v>0.958188153310105</v>
      </c>
      <c r="AA1362" s="135">
        <v>0.956006768189509</v>
      </c>
      <c r="AB1362" s="135">
        <v>0.95</v>
      </c>
      <c r="AC1362" s="135">
        <v>0.963608909022273</v>
      </c>
      <c r="AD1362" s="135">
        <v>0.92</v>
      </c>
      <c r="AE1362" s="133">
        <v>0.990597453476983</v>
      </c>
      <c r="AF1362" s="133">
        <v>0.999215532457345</v>
      </c>
      <c r="AG1362" s="133">
        <v>0.980752405949256</v>
      </c>
      <c r="AH1362" s="133">
        <v>0.992470149521317</v>
      </c>
      <c r="AI1362" s="135">
        <v>0.92</v>
      </c>
      <c r="AJ1362" s="133">
        <v>0.969383160738406</v>
      </c>
      <c r="AK1362" s="133">
        <v>0.972294052456594</v>
      </c>
      <c r="AL1362" s="133">
        <v>0.968157181571816</v>
      </c>
      <c r="AM1362" s="133">
        <v>0.976874464438732</v>
      </c>
      <c r="AN1362" s="132">
        <v>0.99</v>
      </c>
      <c r="AO1362" s="137">
        <v>1</v>
      </c>
      <c r="AP1362" s="137">
        <v>1</v>
      </c>
      <c r="AQ1362" s="137">
        <v>1</v>
      </c>
      <c r="AR1362" s="137">
        <v>1</v>
      </c>
      <c r="AS1362" s="158">
        <v>0.0721861525408278</v>
      </c>
      <c r="AT1362" s="141">
        <v>0</v>
      </c>
      <c r="AU1362" s="141">
        <v>0.0238095238095238</v>
      </c>
      <c r="AV1362" s="141">
        <v>0</v>
      </c>
      <c r="AW1362" s="141">
        <v>0.0309139784946237</v>
      </c>
      <c r="AX1362" s="95"/>
      <c r="AY1362" s="93"/>
    </row>
    <row r="1363" ht="15" spans="1:51">
      <c r="A1363" s="91"/>
      <c r="B1363" s="95"/>
      <c r="C1363" s="152" t="s">
        <v>1085</v>
      </c>
      <c r="D1363" s="153" t="s">
        <v>25</v>
      </c>
      <c r="E1363" s="130" t="s">
        <v>1086</v>
      </c>
      <c r="F1363" s="195" t="s">
        <v>1393</v>
      </c>
      <c r="G1363" s="195" t="s">
        <v>1393</v>
      </c>
      <c r="H1363" s="195" t="s">
        <v>1393</v>
      </c>
      <c r="I1363" s="195" t="s">
        <v>1393</v>
      </c>
      <c r="J1363" s="132">
        <v>0.9</v>
      </c>
      <c r="K1363" s="133">
        <v>0.987179487179487</v>
      </c>
      <c r="L1363" s="133">
        <v>0.923076923076923</v>
      </c>
      <c r="M1363" s="134">
        <v>0.96969696969697</v>
      </c>
      <c r="N1363" s="133">
        <v>0.965166908563135</v>
      </c>
      <c r="O1363" s="135">
        <v>0.9</v>
      </c>
      <c r="P1363" s="133">
        <v>0.989241058447223</v>
      </c>
      <c r="Q1363" s="133">
        <v>0.996818181818182</v>
      </c>
      <c r="R1363" s="133">
        <v>0.990464081373172</v>
      </c>
      <c r="S1363" s="133">
        <v>0.990927955730552</v>
      </c>
      <c r="T1363" s="135">
        <v>0.9</v>
      </c>
      <c r="U1363" s="133">
        <v>0.945042163419599</v>
      </c>
      <c r="V1363" s="133">
        <v>0.952727272727273</v>
      </c>
      <c r="W1363" s="133">
        <v>0.942466624284806</v>
      </c>
      <c r="X1363" s="133">
        <v>0.947802490156433</v>
      </c>
      <c r="Y1363" s="135">
        <v>0.92</v>
      </c>
      <c r="Z1363" s="135">
        <v>0.96135593220339</v>
      </c>
      <c r="AA1363" s="135">
        <v>0.957343412526998</v>
      </c>
      <c r="AB1363" s="135">
        <v>0.967809239940387</v>
      </c>
      <c r="AC1363" s="135">
        <v>0.968279835390947</v>
      </c>
      <c r="AD1363" s="135">
        <v>0.92</v>
      </c>
      <c r="AE1363" s="133">
        <v>0.993831919814958</v>
      </c>
      <c r="AF1363" s="133">
        <v>0.992497320471597</v>
      </c>
      <c r="AG1363" s="133">
        <v>0.93235831809872</v>
      </c>
      <c r="AH1363" s="133">
        <v>0.991817874796598</v>
      </c>
      <c r="AI1363" s="135">
        <v>0.92</v>
      </c>
      <c r="AJ1363" s="133">
        <v>0.974017843167945</v>
      </c>
      <c r="AK1363" s="133">
        <v>0.971618953603159</v>
      </c>
      <c r="AL1363" s="133">
        <v>0.974926934317797</v>
      </c>
      <c r="AM1363" s="133">
        <v>0.978908882251681</v>
      </c>
      <c r="AN1363" s="132">
        <v>0.99</v>
      </c>
      <c r="AO1363" s="137">
        <v>1</v>
      </c>
      <c r="AP1363" s="137">
        <v>1</v>
      </c>
      <c r="AQ1363" s="137">
        <v>1</v>
      </c>
      <c r="AR1363" s="137">
        <v>1</v>
      </c>
      <c r="AS1363" s="158">
        <v>0.0721861525408278</v>
      </c>
      <c r="AT1363" s="141">
        <v>0.0333333333333333</v>
      </c>
      <c r="AU1363" s="141">
        <v>0.03125</v>
      </c>
      <c r="AV1363" s="141">
        <v>0</v>
      </c>
      <c r="AW1363" s="141">
        <v>0.0313479623824451</v>
      </c>
      <c r="AX1363" s="95"/>
      <c r="AY1363" s="93"/>
    </row>
    <row r="1364" ht="15" spans="1:51">
      <c r="A1364" s="91"/>
      <c r="B1364" s="95"/>
      <c r="C1364" s="152" t="s">
        <v>1085</v>
      </c>
      <c r="D1364" s="153" t="s">
        <v>25</v>
      </c>
      <c r="E1364" s="130" t="s">
        <v>1086</v>
      </c>
      <c r="F1364" s="195" t="s">
        <v>1394</v>
      </c>
      <c r="G1364" s="195" t="s">
        <v>1394</v>
      </c>
      <c r="H1364" s="195" t="s">
        <v>1394</v>
      </c>
      <c r="I1364" s="195" t="s">
        <v>1394</v>
      </c>
      <c r="J1364" s="132">
        <v>0.9</v>
      </c>
      <c r="K1364" s="133">
        <v>1</v>
      </c>
      <c r="L1364" s="133">
        <v>1</v>
      </c>
      <c r="M1364" s="134">
        <v>0.9</v>
      </c>
      <c r="N1364" s="133">
        <v>0.962962962962963</v>
      </c>
      <c r="O1364" s="135">
        <v>0.9</v>
      </c>
      <c r="P1364" s="133">
        <v>0.995131450827653</v>
      </c>
      <c r="Q1364" s="133">
        <v>0.9985935302391</v>
      </c>
      <c r="R1364" s="133">
        <v>0.995034756703079</v>
      </c>
      <c r="S1364" s="133">
        <v>0.988395358143257</v>
      </c>
      <c r="T1364" s="135">
        <v>0.9</v>
      </c>
      <c r="U1364" s="133">
        <v>0.900681596884129</v>
      </c>
      <c r="V1364" s="133">
        <v>0.935302390998594</v>
      </c>
      <c r="W1364" s="133">
        <v>0.947368421052632</v>
      </c>
      <c r="X1364" s="133">
        <v>0.92983860210751</v>
      </c>
      <c r="Y1364" s="135">
        <v>0.92</v>
      </c>
      <c r="Z1364" s="135">
        <v>0.972067039106145</v>
      </c>
      <c r="AA1364" s="135">
        <v>0.965397923875433</v>
      </c>
      <c r="AB1364" s="135">
        <v>0.975938402309913</v>
      </c>
      <c r="AC1364" s="135">
        <v>0.965075788611225</v>
      </c>
      <c r="AD1364" s="135">
        <v>0.92</v>
      </c>
      <c r="AE1364" s="133">
        <v>0.998632946001367</v>
      </c>
      <c r="AF1364" s="133">
        <v>1</v>
      </c>
      <c r="AG1364" s="133">
        <v>1</v>
      </c>
      <c r="AH1364" s="133">
        <v>0.992878147399375</v>
      </c>
      <c r="AI1364" s="135">
        <v>0.92</v>
      </c>
      <c r="AJ1364" s="133">
        <v>0.972424557752341</v>
      </c>
      <c r="AK1364" s="133">
        <v>0.979053529868115</v>
      </c>
      <c r="AL1364" s="133">
        <v>0.982413287738153</v>
      </c>
      <c r="AM1364" s="133">
        <v>0.977582637252802</v>
      </c>
      <c r="AN1364" s="132">
        <v>0.99</v>
      </c>
      <c r="AO1364" s="137">
        <v>1</v>
      </c>
      <c r="AP1364" s="137">
        <v>1</v>
      </c>
      <c r="AQ1364" s="137">
        <v>1</v>
      </c>
      <c r="AR1364" s="137">
        <v>1</v>
      </c>
      <c r="AS1364" s="158">
        <v>0.0721861525408278</v>
      </c>
      <c r="AT1364" s="141">
        <v>0</v>
      </c>
      <c r="AU1364" s="141">
        <v>0</v>
      </c>
      <c r="AV1364" s="141">
        <v>0.0666666666666667</v>
      </c>
      <c r="AW1364" s="141">
        <v>0.0456852791878173</v>
      </c>
      <c r="AX1364" s="95"/>
      <c r="AY1364" s="93"/>
    </row>
    <row r="1365" ht="15" spans="1:51">
      <c r="A1365" s="91"/>
      <c r="B1365" s="95"/>
      <c r="C1365" s="152" t="s">
        <v>1085</v>
      </c>
      <c r="D1365" s="153" t="s">
        <v>25</v>
      </c>
      <c r="E1365" s="130" t="s">
        <v>1086</v>
      </c>
      <c r="F1365" s="195" t="s">
        <v>1395</v>
      </c>
      <c r="G1365" s="195" t="s">
        <v>1395</v>
      </c>
      <c r="H1365" s="195" t="s">
        <v>1395</v>
      </c>
      <c r="I1365" s="195" t="s">
        <v>1395</v>
      </c>
      <c r="J1365" s="132">
        <v>0.9</v>
      </c>
      <c r="K1365" s="133">
        <v>0.931034482758621</v>
      </c>
      <c r="L1365" s="133">
        <v>0.936170212765957</v>
      </c>
      <c r="M1365" s="134">
        <v>0.94</v>
      </c>
      <c r="N1365" s="133">
        <v>0.932</v>
      </c>
      <c r="O1365" s="135">
        <v>0.9</v>
      </c>
      <c r="P1365" s="133">
        <v>0.973048652432622</v>
      </c>
      <c r="Q1365" s="133">
        <v>0.970291479820628</v>
      </c>
      <c r="R1365" s="133">
        <v>0.973271560940841</v>
      </c>
      <c r="S1365" s="133">
        <v>0.968588259065264</v>
      </c>
      <c r="T1365" s="135">
        <v>0.9</v>
      </c>
      <c r="U1365" s="133">
        <v>0.900945047252363</v>
      </c>
      <c r="V1365" s="133">
        <v>0.909192825112108</v>
      </c>
      <c r="W1365" s="133">
        <v>0.913399857448325</v>
      </c>
      <c r="X1365" s="133">
        <v>0.911344596589938</v>
      </c>
      <c r="Y1365" s="135">
        <v>0.92</v>
      </c>
      <c r="Z1365" s="135">
        <v>0.947111472742067</v>
      </c>
      <c r="AA1365" s="135">
        <v>0.932820153953814</v>
      </c>
      <c r="AB1365" s="135">
        <v>0.944062356717102</v>
      </c>
      <c r="AC1365" s="135">
        <v>0.946298952958054</v>
      </c>
      <c r="AD1365" s="135">
        <v>0.92</v>
      </c>
      <c r="AE1365" s="133">
        <v>0.998256320836966</v>
      </c>
      <c r="AF1365" s="133">
        <v>0.996746203904555</v>
      </c>
      <c r="AG1365" s="133">
        <v>0.989258861439313</v>
      </c>
      <c r="AH1365" s="133">
        <v>0.989137312803206</v>
      </c>
      <c r="AI1365" s="135">
        <v>0.92</v>
      </c>
      <c r="AJ1365" s="133">
        <v>0.957666980244591</v>
      </c>
      <c r="AK1365" s="133">
        <v>0.954870837223778</v>
      </c>
      <c r="AL1365" s="133">
        <v>0.96551032684981</v>
      </c>
      <c r="AM1365" s="133">
        <v>0.964555229364408</v>
      </c>
      <c r="AN1365" s="132">
        <v>0.99</v>
      </c>
      <c r="AO1365" s="137">
        <v>1</v>
      </c>
      <c r="AP1365" s="137">
        <v>1</v>
      </c>
      <c r="AQ1365" s="137">
        <v>1</v>
      </c>
      <c r="AR1365" s="137">
        <v>1</v>
      </c>
      <c r="AS1365" s="158">
        <v>0.0721861525408278</v>
      </c>
      <c r="AT1365" s="141">
        <v>0.0263157894736842</v>
      </c>
      <c r="AU1365" s="141">
        <v>0.0512820512820513</v>
      </c>
      <c r="AV1365" s="141">
        <v>0</v>
      </c>
      <c r="AW1365" s="141">
        <v>0.0431266846361186</v>
      </c>
      <c r="AX1365" s="95"/>
      <c r="AY1365" s="93"/>
    </row>
    <row r="1366" ht="15" spans="1:51">
      <c r="A1366" s="91"/>
      <c r="B1366" s="95"/>
      <c r="C1366" s="152" t="s">
        <v>1085</v>
      </c>
      <c r="D1366" s="153" t="s">
        <v>25</v>
      </c>
      <c r="E1366" s="130" t="s">
        <v>1086</v>
      </c>
      <c r="F1366" s="195" t="s">
        <v>1396</v>
      </c>
      <c r="G1366" s="195" t="s">
        <v>1396</v>
      </c>
      <c r="H1366" s="195" t="s">
        <v>1396</v>
      </c>
      <c r="I1366" s="195" t="s">
        <v>1396</v>
      </c>
      <c r="J1366" s="132">
        <v>0.9</v>
      </c>
      <c r="K1366" s="133">
        <v>1</v>
      </c>
      <c r="L1366" s="133">
        <v>0.971014492753623</v>
      </c>
      <c r="M1366" s="134">
        <v>0.930555555555556</v>
      </c>
      <c r="N1366" s="133">
        <v>0.960199004975124</v>
      </c>
      <c r="O1366" s="135">
        <v>0.9</v>
      </c>
      <c r="P1366" s="133">
        <v>0.942479237157798</v>
      </c>
      <c r="Q1366" s="133">
        <v>0.958291956305859</v>
      </c>
      <c r="R1366" s="133">
        <v>0.949205252246026</v>
      </c>
      <c r="S1366" s="133">
        <v>0.942293169063097</v>
      </c>
      <c r="T1366" s="135">
        <v>0.9</v>
      </c>
      <c r="U1366" s="133">
        <v>0.803137496155029</v>
      </c>
      <c r="V1366" s="133">
        <v>0.798907646474677</v>
      </c>
      <c r="W1366" s="133">
        <v>0.760884588804423</v>
      </c>
      <c r="X1366" s="133">
        <v>0.757459537101479</v>
      </c>
      <c r="Y1366" s="135">
        <v>0.92</v>
      </c>
      <c r="Z1366" s="135">
        <v>0.918528704022001</v>
      </c>
      <c r="AA1366" s="135">
        <v>0.906530856800479</v>
      </c>
      <c r="AB1366" s="135">
        <v>0.907198096371208</v>
      </c>
      <c r="AC1366" s="135">
        <v>0.898598139060384</v>
      </c>
      <c r="AD1366" s="135">
        <v>0.92</v>
      </c>
      <c r="AE1366" s="133">
        <v>0.999430848036426</v>
      </c>
      <c r="AF1366" s="133">
        <v>0.998832457676591</v>
      </c>
      <c r="AG1366" s="133">
        <v>0.997761194029851</v>
      </c>
      <c r="AH1366" s="133">
        <v>0.995147986414362</v>
      </c>
      <c r="AI1366" s="135">
        <v>0.92</v>
      </c>
      <c r="AJ1366" s="133">
        <v>0.940422077922078</v>
      </c>
      <c r="AK1366" s="133">
        <v>0.92942453854506</v>
      </c>
      <c r="AL1366" s="133">
        <v>0.936381074168798</v>
      </c>
      <c r="AM1366" s="133">
        <v>0.933032125285397</v>
      </c>
      <c r="AN1366" s="132">
        <v>0.99</v>
      </c>
      <c r="AO1366" s="137">
        <v>1</v>
      </c>
      <c r="AP1366" s="137">
        <v>1</v>
      </c>
      <c r="AQ1366" s="137">
        <v>1</v>
      </c>
      <c r="AR1366" s="137">
        <v>1</v>
      </c>
      <c r="AS1366" s="158">
        <v>0.0721861525408278</v>
      </c>
      <c r="AT1366" s="141">
        <v>0</v>
      </c>
      <c r="AU1366" s="141">
        <v>0</v>
      </c>
      <c r="AV1366" s="141">
        <v>0</v>
      </c>
      <c r="AW1366" s="141">
        <v>0.0323809523809524</v>
      </c>
      <c r="AX1366" s="95"/>
      <c r="AY1366" s="93"/>
    </row>
    <row r="1367" ht="15" spans="1:51">
      <c r="A1367" s="91"/>
      <c r="B1367" s="95"/>
      <c r="C1367" s="152" t="s">
        <v>1085</v>
      </c>
      <c r="D1367" s="153" t="s">
        <v>25</v>
      </c>
      <c r="E1367" s="130" t="s">
        <v>1086</v>
      </c>
      <c r="F1367" s="195" t="s">
        <v>1397</v>
      </c>
      <c r="G1367" s="195" t="s">
        <v>1397</v>
      </c>
      <c r="H1367" s="195" t="s">
        <v>1397</v>
      </c>
      <c r="I1367" s="195" t="s">
        <v>1397</v>
      </c>
      <c r="J1367" s="132">
        <v>0.9</v>
      </c>
      <c r="K1367" s="133">
        <v>0.975609756097561</v>
      </c>
      <c r="L1367" s="133">
        <v>1</v>
      </c>
      <c r="M1367" s="134">
        <v>0.974358974358974</v>
      </c>
      <c r="N1367" s="133">
        <v>0.976964769647697</v>
      </c>
      <c r="O1367" s="135">
        <v>0.9</v>
      </c>
      <c r="P1367" s="133">
        <v>0.986977753662507</v>
      </c>
      <c r="Q1367" s="133">
        <v>0.979916317991632</v>
      </c>
      <c r="R1367" s="133">
        <v>0.988505747126437</v>
      </c>
      <c r="S1367" s="133">
        <v>0.981014316682151</v>
      </c>
      <c r="T1367" s="135">
        <v>0.9</v>
      </c>
      <c r="U1367" s="133">
        <v>0.937601736299512</v>
      </c>
      <c r="V1367" s="133">
        <v>0.909623430962343</v>
      </c>
      <c r="W1367" s="133">
        <v>0.923719958202717</v>
      </c>
      <c r="X1367" s="133">
        <v>0.92882155363396</v>
      </c>
      <c r="Y1367" s="135">
        <v>0.92</v>
      </c>
      <c r="Z1367" s="135">
        <v>0.968452380952381</v>
      </c>
      <c r="AA1367" s="135">
        <v>0.960199004975124</v>
      </c>
      <c r="AB1367" s="135">
        <v>0.960369881109643</v>
      </c>
      <c r="AC1367" s="135">
        <v>0.96359975711866</v>
      </c>
      <c r="AD1367" s="135">
        <v>0.92</v>
      </c>
      <c r="AE1367" s="133">
        <v>0.995933122458202</v>
      </c>
      <c r="AF1367" s="133">
        <v>0.997392438070404</v>
      </c>
      <c r="AG1367" s="133">
        <v>0.998087954110899</v>
      </c>
      <c r="AH1367" s="133">
        <v>0.990709157651951</v>
      </c>
      <c r="AI1367" s="135">
        <v>0.92</v>
      </c>
      <c r="AJ1367" s="133">
        <v>0.975021288674425</v>
      </c>
      <c r="AK1367" s="133">
        <v>0.967727272727273</v>
      </c>
      <c r="AL1367" s="133">
        <v>0.97316219369895</v>
      </c>
      <c r="AM1367" s="133">
        <v>0.976826388983664</v>
      </c>
      <c r="AN1367" s="132">
        <v>0.99</v>
      </c>
      <c r="AO1367" s="137">
        <v>1</v>
      </c>
      <c r="AP1367" s="137">
        <v>1</v>
      </c>
      <c r="AQ1367" s="137">
        <v>1</v>
      </c>
      <c r="AR1367" s="137">
        <v>1</v>
      </c>
      <c r="AS1367" s="158">
        <v>0.0721861525408278</v>
      </c>
      <c r="AT1367" s="141">
        <v>0.0769230769230769</v>
      </c>
      <c r="AU1367" s="141">
        <v>0.107142857142857</v>
      </c>
      <c r="AV1367" s="141">
        <v>0</v>
      </c>
      <c r="AW1367" s="141">
        <v>0.0375586854460094</v>
      </c>
      <c r="AX1367" s="95"/>
      <c r="AY1367" s="93"/>
    </row>
    <row r="1368" ht="15" spans="1:51">
      <c r="A1368" s="91"/>
      <c r="B1368" s="95"/>
      <c r="C1368" s="152" t="s">
        <v>1085</v>
      </c>
      <c r="D1368" s="153" t="s">
        <v>25</v>
      </c>
      <c r="E1368" s="130" t="s">
        <v>1086</v>
      </c>
      <c r="F1368" s="195" t="s">
        <v>1398</v>
      </c>
      <c r="G1368" s="195" t="s">
        <v>1398</v>
      </c>
      <c r="H1368" s="195" t="s">
        <v>1398</v>
      </c>
      <c r="I1368" s="195" t="s">
        <v>1398</v>
      </c>
      <c r="J1368" s="132">
        <v>0.9</v>
      </c>
      <c r="K1368" s="133">
        <v>1</v>
      </c>
      <c r="L1368" s="133">
        <v>1</v>
      </c>
      <c r="M1368" s="134">
        <v>1</v>
      </c>
      <c r="N1368" s="133">
        <v>0.997770345596433</v>
      </c>
      <c r="O1368" s="135">
        <v>0.9</v>
      </c>
      <c r="P1368" s="133">
        <v>0.991763565891473</v>
      </c>
      <c r="Q1368" s="133">
        <v>0.99438202247191</v>
      </c>
      <c r="R1368" s="133">
        <v>0.998073217726397</v>
      </c>
      <c r="S1368" s="133">
        <v>0.995742404792469</v>
      </c>
      <c r="T1368" s="135">
        <v>0.9</v>
      </c>
      <c r="U1368" s="133">
        <v>0.941860465116279</v>
      </c>
      <c r="V1368" s="133">
        <v>0.915730337078652</v>
      </c>
      <c r="W1368" s="133">
        <v>0.920520231213873</v>
      </c>
      <c r="X1368" s="133">
        <v>0.92387676508344</v>
      </c>
      <c r="Y1368" s="135">
        <v>0.92</v>
      </c>
      <c r="Z1368" s="135">
        <v>0.979323308270677</v>
      </c>
      <c r="AA1368" s="135">
        <v>0.978494623655914</v>
      </c>
      <c r="AB1368" s="135">
        <v>0.97778899545684</v>
      </c>
      <c r="AC1368" s="135">
        <v>0.980159475930947</v>
      </c>
      <c r="AD1368" s="135">
        <v>0.92</v>
      </c>
      <c r="AE1368" s="133">
        <v>1</v>
      </c>
      <c r="AF1368" s="133">
        <v>0.99931833674165</v>
      </c>
      <c r="AG1368" s="133">
        <v>0.981627296587926</v>
      </c>
      <c r="AH1368" s="133">
        <v>0.996840225305674</v>
      </c>
      <c r="AI1368" s="135">
        <v>0.92</v>
      </c>
      <c r="AJ1368" s="133">
        <v>0.984972677595628</v>
      </c>
      <c r="AK1368" s="133">
        <v>0.98740157480315</v>
      </c>
      <c r="AL1368" s="133">
        <v>0.985210746857284</v>
      </c>
      <c r="AM1368" s="133">
        <v>0.987308163969949</v>
      </c>
      <c r="AN1368" s="132">
        <v>0.99</v>
      </c>
      <c r="AO1368" s="137">
        <v>1</v>
      </c>
      <c r="AP1368" s="137">
        <v>1</v>
      </c>
      <c r="AQ1368" s="137">
        <v>1</v>
      </c>
      <c r="AR1368" s="137">
        <v>1</v>
      </c>
      <c r="AS1368" s="158">
        <v>0.0721861525408278</v>
      </c>
      <c r="AT1368" s="141">
        <v>0</v>
      </c>
      <c r="AU1368" s="141">
        <v>0</v>
      </c>
      <c r="AV1368" s="141">
        <v>0</v>
      </c>
      <c r="AW1368" s="141">
        <v>0.0305343511450382</v>
      </c>
      <c r="AX1368" s="95"/>
      <c r="AY1368" s="93"/>
    </row>
    <row r="1369" ht="15" spans="1:51">
      <c r="A1369" s="91"/>
      <c r="B1369" s="95"/>
      <c r="C1369" s="152" t="s">
        <v>1085</v>
      </c>
      <c r="D1369" s="153" t="s">
        <v>25</v>
      </c>
      <c r="E1369" s="130" t="s">
        <v>1086</v>
      </c>
      <c r="F1369" s="195" t="s">
        <v>1399</v>
      </c>
      <c r="G1369" s="195" t="s">
        <v>1399</v>
      </c>
      <c r="H1369" s="195" t="s">
        <v>1399</v>
      </c>
      <c r="I1369" s="195" t="s">
        <v>1399</v>
      </c>
      <c r="J1369" s="132">
        <v>0.9</v>
      </c>
      <c r="K1369" s="133">
        <v>0.970588235294118</v>
      </c>
      <c r="L1369" s="133">
        <v>0.964285714285714</v>
      </c>
      <c r="M1369" s="134">
        <v>0.964285714285714</v>
      </c>
      <c r="N1369" s="133">
        <v>0.948630136986301</v>
      </c>
      <c r="O1369" s="135">
        <v>0.9</v>
      </c>
      <c r="P1369" s="133">
        <v>0.998487140695915</v>
      </c>
      <c r="Q1369" s="133">
        <v>0.998300764655905</v>
      </c>
      <c r="R1369" s="133">
        <v>0.996896016554578</v>
      </c>
      <c r="S1369" s="133">
        <v>0.988582281309351</v>
      </c>
      <c r="T1369" s="135">
        <v>0.9</v>
      </c>
      <c r="U1369" s="133">
        <v>0.963691376701967</v>
      </c>
      <c r="V1369" s="133">
        <v>0.960067969413764</v>
      </c>
      <c r="W1369" s="133">
        <v>0.957578892912571</v>
      </c>
      <c r="X1369" s="133">
        <v>0.955513350463635</v>
      </c>
      <c r="Y1369" s="135">
        <v>0.92</v>
      </c>
      <c r="Z1369" s="135">
        <v>0.967948717948718</v>
      </c>
      <c r="AA1369" s="135">
        <v>0.965745856353591</v>
      </c>
      <c r="AB1369" s="135">
        <v>0.98405612244898</v>
      </c>
      <c r="AC1369" s="135">
        <v>0.971804634674719</v>
      </c>
      <c r="AD1369" s="135">
        <v>0.92</v>
      </c>
      <c r="AE1369" s="133">
        <v>1</v>
      </c>
      <c r="AF1369" s="133">
        <v>1</v>
      </c>
      <c r="AG1369" s="133">
        <v>1</v>
      </c>
      <c r="AH1369" s="133">
        <v>0.999629255139872</v>
      </c>
      <c r="AI1369" s="135">
        <v>0.92</v>
      </c>
      <c r="AJ1369" s="133">
        <v>0.984395318595579</v>
      </c>
      <c r="AK1369" s="133">
        <v>0.98030739673391</v>
      </c>
      <c r="AL1369" s="133">
        <v>0.988289060268495</v>
      </c>
      <c r="AM1369" s="133">
        <v>0.982718740860873</v>
      </c>
      <c r="AN1369" s="132">
        <v>0.99</v>
      </c>
      <c r="AO1369" s="137">
        <v>1</v>
      </c>
      <c r="AP1369" s="137">
        <v>1</v>
      </c>
      <c r="AQ1369" s="137">
        <v>1</v>
      </c>
      <c r="AR1369" s="137">
        <v>1</v>
      </c>
      <c r="AS1369" s="158">
        <v>0.0721861525408278</v>
      </c>
      <c r="AT1369" s="141">
        <v>0.0555555555555556</v>
      </c>
      <c r="AU1369" s="141">
        <v>0</v>
      </c>
      <c r="AV1369" s="141">
        <v>0.136363636363636</v>
      </c>
      <c r="AW1369" s="141">
        <v>0.0631578947368421</v>
      </c>
      <c r="AX1369" s="95"/>
      <c r="AY1369" s="93"/>
    </row>
    <row r="1370" ht="15" spans="1:51">
      <c r="A1370" s="91"/>
      <c r="B1370" s="95"/>
      <c r="C1370" s="152" t="s">
        <v>1085</v>
      </c>
      <c r="D1370" s="153" t="s">
        <v>25</v>
      </c>
      <c r="E1370" s="130" t="s">
        <v>1086</v>
      </c>
      <c r="F1370" s="195" t="s">
        <v>1400</v>
      </c>
      <c r="G1370" s="195" t="s">
        <v>1400</v>
      </c>
      <c r="H1370" s="195" t="s">
        <v>1400</v>
      </c>
      <c r="I1370" s="195" t="s">
        <v>1400</v>
      </c>
      <c r="J1370" s="132">
        <v>0.9</v>
      </c>
      <c r="K1370" s="133">
        <v>0.925</v>
      </c>
      <c r="L1370" s="133">
        <v>0.916666666666667</v>
      </c>
      <c r="M1370" s="134">
        <v>0.941176470588235</v>
      </c>
      <c r="N1370" s="133">
        <v>0.959361393323657</v>
      </c>
      <c r="O1370" s="135">
        <v>0.9</v>
      </c>
      <c r="P1370" s="133">
        <v>0.965067043048694</v>
      </c>
      <c r="Q1370" s="133">
        <v>0.96681153694192</v>
      </c>
      <c r="R1370" s="133">
        <v>0.983758700696056</v>
      </c>
      <c r="S1370" s="133">
        <v>0.977070693844296</v>
      </c>
      <c r="T1370" s="135">
        <v>0.9</v>
      </c>
      <c r="U1370" s="133">
        <v>0.953069865913903</v>
      </c>
      <c r="V1370" s="133">
        <v>0.969182141446069</v>
      </c>
      <c r="W1370" s="133">
        <v>0.977958236658933</v>
      </c>
      <c r="X1370" s="133">
        <v>0.962114268255423</v>
      </c>
      <c r="Y1370" s="135">
        <v>0.92</v>
      </c>
      <c r="Z1370" s="135">
        <v>0</v>
      </c>
      <c r="AA1370" s="135" t="s">
        <v>35</v>
      </c>
      <c r="AB1370" s="135" t="s">
        <v>35</v>
      </c>
      <c r="AC1370" s="135">
        <v>0</v>
      </c>
      <c r="AD1370" s="135">
        <v>0.92</v>
      </c>
      <c r="AE1370" s="133">
        <v>0.99958071278826</v>
      </c>
      <c r="AF1370" s="133">
        <v>0.999673416067929</v>
      </c>
      <c r="AG1370" s="133">
        <v>0.997995991983968</v>
      </c>
      <c r="AH1370" s="133">
        <v>0.998869359646418</v>
      </c>
      <c r="AI1370" s="135">
        <v>0.92</v>
      </c>
      <c r="AJ1370" s="133">
        <v>0.981664315937941</v>
      </c>
      <c r="AK1370" s="133">
        <v>0.983800869221652</v>
      </c>
      <c r="AL1370" s="133">
        <v>0.99245939675174</v>
      </c>
      <c r="AM1370" s="133">
        <v>0.987619477137495</v>
      </c>
      <c r="AN1370" s="132">
        <v>0.99</v>
      </c>
      <c r="AO1370" s="137">
        <v>1</v>
      </c>
      <c r="AP1370" s="137">
        <v>1</v>
      </c>
      <c r="AQ1370" s="137">
        <v>1</v>
      </c>
      <c r="AR1370" s="137">
        <v>1</v>
      </c>
      <c r="AS1370" s="158">
        <v>0.0721861525408278</v>
      </c>
      <c r="AT1370" s="141">
        <v>0</v>
      </c>
      <c r="AU1370" s="141">
        <v>0</v>
      </c>
      <c r="AV1370" s="141">
        <v>0</v>
      </c>
      <c r="AW1370" s="141">
        <v>0.0433070866141732</v>
      </c>
      <c r="AX1370" s="95"/>
      <c r="AY1370" s="93"/>
    </row>
    <row r="1371" ht="15" spans="1:51">
      <c r="A1371" s="91"/>
      <c r="B1371" s="95"/>
      <c r="C1371" s="152" t="s">
        <v>1085</v>
      </c>
      <c r="D1371" s="153" t="s">
        <v>25</v>
      </c>
      <c r="E1371" s="130" t="s">
        <v>1086</v>
      </c>
      <c r="F1371" s="195" t="s">
        <v>1401</v>
      </c>
      <c r="G1371" s="195" t="s">
        <v>1401</v>
      </c>
      <c r="H1371" s="195" t="s">
        <v>1401</v>
      </c>
      <c r="I1371" s="195" t="s">
        <v>1401</v>
      </c>
      <c r="J1371" s="132">
        <v>0.9</v>
      </c>
      <c r="K1371" s="133">
        <v>1</v>
      </c>
      <c r="L1371" s="133">
        <v>0.966666666666667</v>
      </c>
      <c r="M1371" s="134">
        <v>1</v>
      </c>
      <c r="N1371" s="133">
        <v>0.963302752293578</v>
      </c>
      <c r="O1371" s="135">
        <v>0.9</v>
      </c>
      <c r="P1371" s="133">
        <v>0.991501416430595</v>
      </c>
      <c r="Q1371" s="133">
        <v>0.995346672871103</v>
      </c>
      <c r="R1371" s="133">
        <v>0.994516129032258</v>
      </c>
      <c r="S1371" s="133">
        <v>0.986755078911311</v>
      </c>
      <c r="T1371" s="135">
        <v>0.9</v>
      </c>
      <c r="U1371" s="133">
        <v>0.928773775799272</v>
      </c>
      <c r="V1371" s="133">
        <v>0.964634713820382</v>
      </c>
      <c r="W1371" s="133">
        <v>0.973548387096774</v>
      </c>
      <c r="X1371" s="133">
        <v>0.930561429030566</v>
      </c>
      <c r="Y1371" s="135">
        <v>0.92</v>
      </c>
      <c r="Z1371" s="135">
        <v>0</v>
      </c>
      <c r="AA1371" s="135">
        <v>0</v>
      </c>
      <c r="AB1371" s="135" t="s">
        <v>35</v>
      </c>
      <c r="AC1371" s="135">
        <v>0</v>
      </c>
      <c r="AD1371" s="135">
        <v>0.92</v>
      </c>
      <c r="AE1371" s="133">
        <v>0.9989816700611</v>
      </c>
      <c r="AF1371" s="133">
        <v>1</v>
      </c>
      <c r="AG1371" s="133">
        <v>0.999479437792816</v>
      </c>
      <c r="AH1371" s="133">
        <v>0.998811174955419</v>
      </c>
      <c r="AI1371" s="135">
        <v>0.92</v>
      </c>
      <c r="AJ1371" s="133">
        <v>0.978998384491115</v>
      </c>
      <c r="AK1371" s="133">
        <v>0.98186889818689</v>
      </c>
      <c r="AL1371" s="133">
        <v>0.992903225806452</v>
      </c>
      <c r="AM1371" s="133">
        <v>0.988109936575053</v>
      </c>
      <c r="AN1371" s="132">
        <v>0.99</v>
      </c>
      <c r="AO1371" s="137">
        <v>1</v>
      </c>
      <c r="AP1371" s="137">
        <v>1</v>
      </c>
      <c r="AQ1371" s="137">
        <v>1</v>
      </c>
      <c r="AR1371" s="137">
        <v>1</v>
      </c>
      <c r="AS1371" s="158">
        <v>0.0721861525408278</v>
      </c>
      <c r="AT1371" s="141">
        <v>0</v>
      </c>
      <c r="AU1371" s="141">
        <v>0</v>
      </c>
      <c r="AV1371" s="141">
        <v>0</v>
      </c>
      <c r="AW1371" s="141">
        <v>0.0192307692307692</v>
      </c>
      <c r="AX1371" s="95"/>
      <c r="AY1371" s="93"/>
    </row>
    <row r="1372" ht="15" spans="1:51">
      <c r="A1372" s="91"/>
      <c r="B1372" s="95"/>
      <c r="C1372" s="152" t="s">
        <v>1085</v>
      </c>
      <c r="D1372" s="153" t="s">
        <v>25</v>
      </c>
      <c r="E1372" s="130" t="s">
        <v>1086</v>
      </c>
      <c r="F1372" s="195" t="s">
        <v>1402</v>
      </c>
      <c r="G1372" s="195" t="s">
        <v>1402</v>
      </c>
      <c r="H1372" s="195" t="s">
        <v>1402</v>
      </c>
      <c r="I1372" s="195" t="s">
        <v>1402</v>
      </c>
      <c r="J1372" s="132">
        <v>0.9</v>
      </c>
      <c r="K1372" s="133">
        <v>1</v>
      </c>
      <c r="L1372" s="133">
        <v>0.888888888888889</v>
      </c>
      <c r="M1372" s="134">
        <v>0.888888888888889</v>
      </c>
      <c r="N1372" s="133">
        <v>0.943262411347518</v>
      </c>
      <c r="O1372" s="135">
        <v>0.9</v>
      </c>
      <c r="P1372" s="133">
        <v>0.954632833525567</v>
      </c>
      <c r="Q1372" s="133">
        <v>0.966620941929584</v>
      </c>
      <c r="R1372" s="133">
        <v>0.947889182058048</v>
      </c>
      <c r="S1372" s="133">
        <v>0.951082166291255</v>
      </c>
      <c r="T1372" s="135">
        <v>0.9</v>
      </c>
      <c r="U1372" s="133">
        <v>0.928104575163399</v>
      </c>
      <c r="V1372" s="133">
        <v>0.941929583904893</v>
      </c>
      <c r="W1372" s="133">
        <v>0.930079155672823</v>
      </c>
      <c r="X1372" s="133">
        <v>0.927072111774883</v>
      </c>
      <c r="Y1372" s="135">
        <v>0.92</v>
      </c>
      <c r="Z1372" s="135" t="s">
        <v>35</v>
      </c>
      <c r="AA1372" s="135" t="s">
        <v>35</v>
      </c>
      <c r="AB1372" s="135" t="s">
        <v>35</v>
      </c>
      <c r="AC1372" s="135">
        <v>0</v>
      </c>
      <c r="AD1372" s="135">
        <v>0.92</v>
      </c>
      <c r="AE1372" s="133">
        <v>0.99622641509434</v>
      </c>
      <c r="AF1372" s="133">
        <v>1</v>
      </c>
      <c r="AG1372" s="133">
        <v>1</v>
      </c>
      <c r="AH1372" s="133">
        <v>0.992016806722689</v>
      </c>
      <c r="AI1372" s="135">
        <v>0.92</v>
      </c>
      <c r="AJ1372" s="133">
        <v>0.961168781237985</v>
      </c>
      <c r="AK1372" s="133">
        <v>0.974405850091408</v>
      </c>
      <c r="AL1372" s="133">
        <v>0.969986807387863</v>
      </c>
      <c r="AM1372" s="133">
        <v>0.970000652869361</v>
      </c>
      <c r="AN1372" s="132">
        <v>0.99</v>
      </c>
      <c r="AO1372" s="137">
        <v>1</v>
      </c>
      <c r="AP1372" s="137">
        <v>1</v>
      </c>
      <c r="AQ1372" s="137">
        <v>1</v>
      </c>
      <c r="AR1372" s="137">
        <v>1</v>
      </c>
      <c r="AS1372" s="158">
        <v>0.0721861525408278</v>
      </c>
      <c r="AT1372" s="141">
        <v>0</v>
      </c>
      <c r="AU1372" s="141">
        <v>0.0625</v>
      </c>
      <c r="AV1372" s="141">
        <v>0</v>
      </c>
      <c r="AW1372" s="141">
        <v>0.0135746606334842</v>
      </c>
      <c r="AX1372" s="95"/>
      <c r="AY1372" s="93"/>
    </row>
    <row r="1373" ht="15" spans="1:51">
      <c r="A1373" s="91"/>
      <c r="B1373" s="95"/>
      <c r="C1373" s="152" t="s">
        <v>1085</v>
      </c>
      <c r="D1373" s="153" t="s">
        <v>25</v>
      </c>
      <c r="E1373" s="130" t="s">
        <v>1086</v>
      </c>
      <c r="F1373" s="195" t="s">
        <v>1403</v>
      </c>
      <c r="G1373" s="195" t="s">
        <v>1403</v>
      </c>
      <c r="H1373" s="195" t="s">
        <v>1403</v>
      </c>
      <c r="I1373" s="195" t="s">
        <v>1403</v>
      </c>
      <c r="J1373" s="132">
        <v>0.9</v>
      </c>
      <c r="K1373" s="133">
        <v>1</v>
      </c>
      <c r="L1373" s="133">
        <v>1</v>
      </c>
      <c r="M1373" s="134">
        <v>1</v>
      </c>
      <c r="N1373" s="133">
        <v>0.993506493506494</v>
      </c>
      <c r="O1373" s="135">
        <v>0.9</v>
      </c>
      <c r="P1373" s="133">
        <v>0.992498124531133</v>
      </c>
      <c r="Q1373" s="133">
        <v>0.994236311239193</v>
      </c>
      <c r="R1373" s="133">
        <v>0.98908807482463</v>
      </c>
      <c r="S1373" s="133">
        <v>0.991033555195365</v>
      </c>
      <c r="T1373" s="135">
        <v>0.9</v>
      </c>
      <c r="U1373" s="133">
        <v>0.966991747936984</v>
      </c>
      <c r="V1373" s="133">
        <v>0.96685878962536</v>
      </c>
      <c r="W1373" s="133">
        <v>0.950896336710834</v>
      </c>
      <c r="X1373" s="133">
        <v>0.95609890678346</v>
      </c>
      <c r="Y1373" s="135">
        <v>0.92</v>
      </c>
      <c r="Z1373" s="135">
        <v>0.980319803198032</v>
      </c>
      <c r="AA1373" s="135">
        <v>0.98641765704584</v>
      </c>
      <c r="AB1373" s="135">
        <v>0.979045401629802</v>
      </c>
      <c r="AC1373" s="135">
        <v>0.983221301651816</v>
      </c>
      <c r="AD1373" s="135">
        <v>0.92</v>
      </c>
      <c r="AE1373" s="133">
        <v>0.998661311914324</v>
      </c>
      <c r="AF1373" s="133">
        <v>0.998589562764457</v>
      </c>
      <c r="AG1373" s="133">
        <v>1</v>
      </c>
      <c r="AH1373" s="133">
        <v>0.997081783030568</v>
      </c>
      <c r="AI1373" s="135">
        <v>0.92</v>
      </c>
      <c r="AJ1373" s="133">
        <v>0.987884436160298</v>
      </c>
      <c r="AK1373" s="133">
        <v>0.987529228371005</v>
      </c>
      <c r="AL1373" s="133">
        <v>0.986461251167134</v>
      </c>
      <c r="AM1373" s="133">
        <v>0.98927230095657</v>
      </c>
      <c r="AN1373" s="132">
        <v>0.99</v>
      </c>
      <c r="AO1373" s="137">
        <v>1</v>
      </c>
      <c r="AP1373" s="137">
        <v>1</v>
      </c>
      <c r="AQ1373" s="137">
        <v>1</v>
      </c>
      <c r="AR1373" s="137">
        <v>1</v>
      </c>
      <c r="AS1373" s="158">
        <v>0.0721861525408278</v>
      </c>
      <c r="AT1373" s="141">
        <v>0.111111111111111</v>
      </c>
      <c r="AU1373" s="141">
        <v>0.2</v>
      </c>
      <c r="AV1373" s="141">
        <v>0.0833333333333333</v>
      </c>
      <c r="AW1373" s="141">
        <v>0.0659340659340659</v>
      </c>
      <c r="AX1373" s="95"/>
      <c r="AY1373" s="93"/>
    </row>
    <row r="1374" ht="15" spans="1:51">
      <c r="A1374" s="91"/>
      <c r="B1374" s="95"/>
      <c r="C1374" s="152" t="s">
        <v>1085</v>
      </c>
      <c r="D1374" s="153" t="s">
        <v>25</v>
      </c>
      <c r="E1374" s="130" t="s">
        <v>1086</v>
      </c>
      <c r="F1374" s="195" t="s">
        <v>1404</v>
      </c>
      <c r="G1374" s="195" t="s">
        <v>1404</v>
      </c>
      <c r="H1374" s="195" t="s">
        <v>1404</v>
      </c>
      <c r="I1374" s="195" t="s">
        <v>1404</v>
      </c>
      <c r="J1374" s="132">
        <v>0.9</v>
      </c>
      <c r="K1374" s="133">
        <v>0.95</v>
      </c>
      <c r="L1374" s="133">
        <v>1</v>
      </c>
      <c r="M1374" s="134">
        <v>0.975609756097561</v>
      </c>
      <c r="N1374" s="133">
        <v>0.976221928665786</v>
      </c>
      <c r="O1374" s="135">
        <v>0.9</v>
      </c>
      <c r="P1374" s="133">
        <v>0.987261146496815</v>
      </c>
      <c r="Q1374" s="133">
        <v>0.998364677023712</v>
      </c>
      <c r="R1374" s="133">
        <v>0.991542288557214</v>
      </c>
      <c r="S1374" s="133">
        <v>0.960506532833577</v>
      </c>
      <c r="T1374" s="135">
        <v>0.9</v>
      </c>
      <c r="U1374" s="133">
        <v>0.945222929936306</v>
      </c>
      <c r="V1374" s="133">
        <v>0.948487326246934</v>
      </c>
      <c r="W1374" s="133">
        <v>0.950746268656716</v>
      </c>
      <c r="X1374" s="133">
        <v>0.939944518560871</v>
      </c>
      <c r="Y1374" s="135">
        <v>0.92</v>
      </c>
      <c r="Z1374" s="135">
        <v>0.96031746031746</v>
      </c>
      <c r="AA1374" s="135">
        <v>0.957364341085271</v>
      </c>
      <c r="AB1374" s="135">
        <v>0.948143405889885</v>
      </c>
      <c r="AC1374" s="135">
        <v>0.96121080297263</v>
      </c>
      <c r="AD1374" s="135">
        <v>0.92</v>
      </c>
      <c r="AE1374" s="133">
        <v>0.998176845943482</v>
      </c>
      <c r="AF1374" s="133">
        <v>0.998618784530387</v>
      </c>
      <c r="AG1374" s="133">
        <v>1</v>
      </c>
      <c r="AH1374" s="133">
        <v>0.998207784934192</v>
      </c>
      <c r="AI1374" s="135">
        <v>0.92</v>
      </c>
      <c r="AJ1374" s="133">
        <v>0.971230982019364</v>
      </c>
      <c r="AK1374" s="133">
        <v>0.970731707317073</v>
      </c>
      <c r="AL1374" s="133">
        <v>0.967525195968645</v>
      </c>
      <c r="AM1374" s="133">
        <v>0.975512592279059</v>
      </c>
      <c r="AN1374" s="132">
        <v>0.99</v>
      </c>
      <c r="AO1374" s="137">
        <v>1</v>
      </c>
      <c r="AP1374" s="137">
        <v>1</v>
      </c>
      <c r="AQ1374" s="137">
        <v>1</v>
      </c>
      <c r="AR1374" s="137">
        <v>1</v>
      </c>
      <c r="AS1374" s="158">
        <v>0.0721861525408278</v>
      </c>
      <c r="AT1374" s="141">
        <v>0</v>
      </c>
      <c r="AU1374" s="141">
        <v>0.0555555555555556</v>
      </c>
      <c r="AV1374" s="141">
        <v>0.117647058823529</v>
      </c>
      <c r="AW1374" s="141">
        <v>0.05</v>
      </c>
      <c r="AX1374" s="95"/>
      <c r="AY1374" s="93"/>
    </row>
    <row r="1375" ht="15" spans="1:51">
      <c r="A1375" s="91"/>
      <c r="B1375" s="95"/>
      <c r="C1375" s="152" t="s">
        <v>1085</v>
      </c>
      <c r="D1375" s="153" t="s">
        <v>25</v>
      </c>
      <c r="E1375" s="130" t="s">
        <v>1086</v>
      </c>
      <c r="F1375" s="195" t="s">
        <v>1405</v>
      </c>
      <c r="G1375" s="195" t="s">
        <v>1405</v>
      </c>
      <c r="H1375" s="195" t="s">
        <v>1405</v>
      </c>
      <c r="I1375" s="195" t="s">
        <v>1405</v>
      </c>
      <c r="J1375" s="132">
        <v>0.9</v>
      </c>
      <c r="K1375" s="133">
        <v>1</v>
      </c>
      <c r="L1375" s="133">
        <v>0.941176470588235</v>
      </c>
      <c r="M1375" s="134">
        <v>0.944444444444444</v>
      </c>
      <c r="N1375" s="133">
        <v>0.973760932944606</v>
      </c>
      <c r="O1375" s="135">
        <v>0.9</v>
      </c>
      <c r="P1375" s="133">
        <v>0.981836528758829</v>
      </c>
      <c r="Q1375" s="133">
        <v>0.979423868312757</v>
      </c>
      <c r="R1375" s="133">
        <v>0.987991266375546</v>
      </c>
      <c r="S1375" s="133">
        <v>0.988332594889972</v>
      </c>
      <c r="T1375" s="135">
        <v>0.9</v>
      </c>
      <c r="U1375" s="133">
        <v>0.937436932391524</v>
      </c>
      <c r="V1375" s="133">
        <v>0.917695473251029</v>
      </c>
      <c r="W1375" s="133">
        <v>0.942139737991266</v>
      </c>
      <c r="X1375" s="133">
        <v>0.929257125978437</v>
      </c>
      <c r="Y1375" s="135">
        <v>0.92</v>
      </c>
      <c r="Z1375" s="135">
        <v>0.95729537366548</v>
      </c>
      <c r="AA1375" s="135">
        <v>0.938914027149321</v>
      </c>
      <c r="AB1375" s="135">
        <v>0.942434210526316</v>
      </c>
      <c r="AC1375" s="135">
        <v>0.950634586934517</v>
      </c>
      <c r="AD1375" s="135">
        <v>0.92</v>
      </c>
      <c r="AE1375" s="133">
        <v>0.994344957587182</v>
      </c>
      <c r="AF1375" s="133">
        <v>0.997093023255814</v>
      </c>
      <c r="AG1375" s="133">
        <v>1</v>
      </c>
      <c r="AH1375" s="133">
        <v>0.996115966153419</v>
      </c>
      <c r="AI1375" s="135">
        <v>0.92</v>
      </c>
      <c r="AJ1375" s="133">
        <v>0.965872504829362</v>
      </c>
      <c r="AK1375" s="133">
        <v>0.951508620689655</v>
      </c>
      <c r="AL1375" s="133">
        <v>0.963910761154856</v>
      </c>
      <c r="AM1375" s="133">
        <v>0.969374849433871</v>
      </c>
      <c r="AN1375" s="132">
        <v>0.99</v>
      </c>
      <c r="AO1375" s="137">
        <v>1</v>
      </c>
      <c r="AP1375" s="137">
        <v>1</v>
      </c>
      <c r="AQ1375" s="137">
        <v>1</v>
      </c>
      <c r="AR1375" s="137">
        <v>1</v>
      </c>
      <c r="AS1375" s="158">
        <v>0.0721861525408278</v>
      </c>
      <c r="AT1375" s="141">
        <v>0.0666666666666667</v>
      </c>
      <c r="AU1375" s="141">
        <v>0</v>
      </c>
      <c r="AV1375" s="141">
        <v>0</v>
      </c>
      <c r="AW1375" s="141">
        <v>0.0526315789473684</v>
      </c>
      <c r="AX1375" s="95"/>
      <c r="AY1375" s="93"/>
    </row>
    <row r="1376" ht="15" spans="1:51">
      <c r="A1376" s="91"/>
      <c r="B1376" s="95"/>
      <c r="C1376" s="152" t="s">
        <v>1085</v>
      </c>
      <c r="D1376" s="153" t="s">
        <v>25</v>
      </c>
      <c r="E1376" s="130" t="s">
        <v>1086</v>
      </c>
      <c r="F1376" s="195" t="s">
        <v>1406</v>
      </c>
      <c r="G1376" s="195" t="s">
        <v>1406</v>
      </c>
      <c r="H1376" s="195" t="s">
        <v>1406</v>
      </c>
      <c r="I1376" s="195" t="s">
        <v>1406</v>
      </c>
      <c r="J1376" s="132">
        <v>0.9</v>
      </c>
      <c r="K1376" s="133">
        <v>0.956521739130435</v>
      </c>
      <c r="L1376" s="133">
        <v>0.975</v>
      </c>
      <c r="M1376" s="134">
        <v>0.952380952380952</v>
      </c>
      <c r="N1376" s="133">
        <v>0.96029776674938</v>
      </c>
      <c r="O1376" s="135">
        <v>0.9</v>
      </c>
      <c r="P1376" s="133">
        <v>0.990716672855551</v>
      </c>
      <c r="Q1376" s="133">
        <v>0.994122586062133</v>
      </c>
      <c r="R1376" s="133">
        <v>0.990351696234049</v>
      </c>
      <c r="S1376" s="133">
        <v>0.964098632937268</v>
      </c>
      <c r="T1376" s="135">
        <v>0.9</v>
      </c>
      <c r="U1376" s="133">
        <v>0.931303379131081</v>
      </c>
      <c r="V1376" s="133">
        <v>0.949202350965575</v>
      </c>
      <c r="W1376" s="133">
        <v>0.888266417678182</v>
      </c>
      <c r="X1376" s="133">
        <v>0.873642519483838</v>
      </c>
      <c r="Y1376" s="135">
        <v>0.92</v>
      </c>
      <c r="Z1376" s="135">
        <v>0</v>
      </c>
      <c r="AA1376" s="135" t="s">
        <v>35</v>
      </c>
      <c r="AB1376" s="135" t="s">
        <v>35</v>
      </c>
      <c r="AC1376" s="135">
        <v>0</v>
      </c>
      <c r="AD1376" s="135">
        <v>0.92</v>
      </c>
      <c r="AE1376" s="133">
        <v>1</v>
      </c>
      <c r="AF1376" s="133">
        <v>1</v>
      </c>
      <c r="AG1376" s="133">
        <v>1</v>
      </c>
      <c r="AH1376" s="133">
        <v>1</v>
      </c>
      <c r="AI1376" s="135">
        <v>0.92</v>
      </c>
      <c r="AJ1376" s="133">
        <v>0.963636363636364</v>
      </c>
      <c r="AK1376" s="133">
        <v>0.964735516372796</v>
      </c>
      <c r="AL1376" s="133">
        <v>0.968253968253968</v>
      </c>
      <c r="AM1376" s="133">
        <v>0.96826791018557</v>
      </c>
      <c r="AN1376" s="132">
        <v>0.99</v>
      </c>
      <c r="AO1376" s="137">
        <v>1</v>
      </c>
      <c r="AP1376" s="137">
        <v>1</v>
      </c>
      <c r="AQ1376" s="137">
        <v>1</v>
      </c>
      <c r="AR1376" s="137">
        <v>1</v>
      </c>
      <c r="AS1376" s="158">
        <v>0.0721861525408278</v>
      </c>
      <c r="AT1376" s="141">
        <v>0.0625</v>
      </c>
      <c r="AU1376" s="141">
        <v>0</v>
      </c>
      <c r="AV1376" s="141">
        <v>0</v>
      </c>
      <c r="AW1376" s="141">
        <v>0.0260416666666667</v>
      </c>
      <c r="AX1376" s="95"/>
      <c r="AY1376" s="93"/>
    </row>
    <row r="1377" ht="15" spans="1:51">
      <c r="A1377" s="91"/>
      <c r="B1377" s="95"/>
      <c r="C1377" s="152" t="s">
        <v>1085</v>
      </c>
      <c r="D1377" s="153" t="s">
        <v>25</v>
      </c>
      <c r="E1377" s="130" t="s">
        <v>1086</v>
      </c>
      <c r="F1377" s="195" t="s">
        <v>1407</v>
      </c>
      <c r="G1377" s="195" t="s">
        <v>1407</v>
      </c>
      <c r="H1377" s="195" t="s">
        <v>1407</v>
      </c>
      <c r="I1377" s="195" t="s">
        <v>1407</v>
      </c>
      <c r="J1377" s="132">
        <v>0.9</v>
      </c>
      <c r="K1377" s="133">
        <v>0.952380952380952</v>
      </c>
      <c r="L1377" s="133">
        <v>1</v>
      </c>
      <c r="M1377" s="134">
        <v>0.971428571428571</v>
      </c>
      <c r="N1377" s="133">
        <v>0.956028368794326</v>
      </c>
      <c r="O1377" s="135">
        <v>0.9</v>
      </c>
      <c r="P1377" s="133">
        <v>0.991849529780564</v>
      </c>
      <c r="Q1377" s="133">
        <v>0.990353697749196</v>
      </c>
      <c r="R1377" s="133">
        <v>0.986211424819435</v>
      </c>
      <c r="S1377" s="133">
        <v>0.985382605888051</v>
      </c>
      <c r="T1377" s="135">
        <v>0.9</v>
      </c>
      <c r="U1377" s="133">
        <v>0.944200626959248</v>
      </c>
      <c r="V1377" s="133">
        <v>0.954983922829582</v>
      </c>
      <c r="W1377" s="133">
        <v>0.937623112278398</v>
      </c>
      <c r="X1377" s="133">
        <v>0.908685315095835</v>
      </c>
      <c r="Y1377" s="135">
        <v>0.92</v>
      </c>
      <c r="Z1377" s="135">
        <v>0.962857142857143</v>
      </c>
      <c r="AA1377" s="135">
        <v>0.926229508196721</v>
      </c>
      <c r="AB1377" s="135">
        <v>0.965029142381349</v>
      </c>
      <c r="AC1377" s="135">
        <v>0.962583863753656</v>
      </c>
      <c r="AD1377" s="135">
        <v>0.92</v>
      </c>
      <c r="AE1377" s="133">
        <v>0.998492840994725</v>
      </c>
      <c r="AF1377" s="133">
        <v>0.998407643312102</v>
      </c>
      <c r="AG1377" s="133">
        <v>0.990275526742301</v>
      </c>
      <c r="AH1377" s="133">
        <v>0.997253920790871</v>
      </c>
      <c r="AI1377" s="135">
        <v>0.92</v>
      </c>
      <c r="AJ1377" s="133">
        <v>0.972022684310019</v>
      </c>
      <c r="AK1377" s="133">
        <v>0.953153153153153</v>
      </c>
      <c r="AL1377" s="133">
        <v>0.971732745961821</v>
      </c>
      <c r="AM1377" s="133">
        <v>0.972174732214508</v>
      </c>
      <c r="AN1377" s="132">
        <v>0.99</v>
      </c>
      <c r="AO1377" s="137">
        <v>1</v>
      </c>
      <c r="AP1377" s="137">
        <v>1</v>
      </c>
      <c r="AQ1377" s="137">
        <v>1</v>
      </c>
      <c r="AR1377" s="137">
        <v>1</v>
      </c>
      <c r="AS1377" s="158">
        <v>0.0721861525408278</v>
      </c>
      <c r="AT1377" s="141">
        <v>0</v>
      </c>
      <c r="AU1377" s="141">
        <v>0.5</v>
      </c>
      <c r="AV1377" s="141">
        <v>0.25</v>
      </c>
      <c r="AW1377" s="141">
        <v>0.0736196319018405</v>
      </c>
      <c r="AX1377" s="95"/>
      <c r="AY1377" s="93"/>
    </row>
    <row r="1378" ht="15" spans="1:51">
      <c r="A1378" s="91"/>
      <c r="B1378" s="95"/>
      <c r="C1378" s="152" t="s">
        <v>1085</v>
      </c>
      <c r="D1378" s="153" t="s">
        <v>25</v>
      </c>
      <c r="E1378" s="130" t="s">
        <v>1086</v>
      </c>
      <c r="F1378" s="195" t="s">
        <v>1408</v>
      </c>
      <c r="G1378" s="195" t="s">
        <v>1408</v>
      </c>
      <c r="H1378" s="195" t="s">
        <v>1408</v>
      </c>
      <c r="I1378" s="195" t="s">
        <v>1408</v>
      </c>
      <c r="J1378" s="132">
        <v>0.9</v>
      </c>
      <c r="K1378" s="133">
        <v>0.959183673469388</v>
      </c>
      <c r="L1378" s="133">
        <v>0.978723404255319</v>
      </c>
      <c r="M1378" s="134">
        <v>0.941176470588235</v>
      </c>
      <c r="N1378" s="133">
        <v>0.9375</v>
      </c>
      <c r="O1378" s="135">
        <v>0.9</v>
      </c>
      <c r="P1378" s="133">
        <v>0.95343137254902</v>
      </c>
      <c r="Q1378" s="133">
        <v>0.947931194793119</v>
      </c>
      <c r="R1378" s="133">
        <v>0.93557600761663</v>
      </c>
      <c r="S1378" s="133">
        <v>0.929121940186851</v>
      </c>
      <c r="T1378" s="135">
        <v>0.9</v>
      </c>
      <c r="U1378" s="133">
        <v>0.892156862745098</v>
      </c>
      <c r="V1378" s="133">
        <v>0.920502092050209</v>
      </c>
      <c r="W1378" s="133">
        <v>0.90034909552523</v>
      </c>
      <c r="X1378" s="133">
        <v>0.895126915917118</v>
      </c>
      <c r="Y1378" s="135">
        <v>0.92</v>
      </c>
      <c r="Z1378" s="135">
        <v>0.25</v>
      </c>
      <c r="AA1378" s="135" t="s">
        <v>35</v>
      </c>
      <c r="AB1378" s="135" t="s">
        <v>35</v>
      </c>
      <c r="AC1378" s="135">
        <v>0.25</v>
      </c>
      <c r="AD1378" s="135">
        <v>0.92</v>
      </c>
      <c r="AE1378" s="133">
        <v>0.997506234413965</v>
      </c>
      <c r="AF1378" s="133">
        <v>0.995391705069124</v>
      </c>
      <c r="AG1378" s="133">
        <v>0.993197278911565</v>
      </c>
      <c r="AH1378" s="133">
        <v>0.992623958475618</v>
      </c>
      <c r="AI1378" s="135">
        <v>0.92</v>
      </c>
      <c r="AJ1378" s="133">
        <v>0.944535073409462</v>
      </c>
      <c r="AK1378" s="133">
        <v>0.96003717472119</v>
      </c>
      <c r="AL1378" s="133">
        <v>0.956521739130435</v>
      </c>
      <c r="AM1378" s="133">
        <v>0.95477937341354</v>
      </c>
      <c r="AN1378" s="132">
        <v>0.99</v>
      </c>
      <c r="AO1378" s="137">
        <v>1</v>
      </c>
      <c r="AP1378" s="137">
        <v>1</v>
      </c>
      <c r="AQ1378" s="137">
        <v>1</v>
      </c>
      <c r="AR1378" s="137">
        <v>1</v>
      </c>
      <c r="AS1378" s="158">
        <v>0.0721861525408278</v>
      </c>
      <c r="AT1378" s="141">
        <v>0</v>
      </c>
      <c r="AU1378" s="141">
        <v>0</v>
      </c>
      <c r="AV1378" s="141">
        <v>0</v>
      </c>
      <c r="AW1378" s="141">
        <v>0.0248756218905473</v>
      </c>
      <c r="AX1378" s="95"/>
      <c r="AY1378" s="93"/>
    </row>
    <row r="1379" ht="15" spans="1:51">
      <c r="A1379" s="91"/>
      <c r="B1379" s="95"/>
      <c r="C1379" s="152" t="s">
        <v>1085</v>
      </c>
      <c r="D1379" s="153" t="s">
        <v>25</v>
      </c>
      <c r="E1379" s="130" t="s">
        <v>1086</v>
      </c>
      <c r="F1379" s="195" t="s">
        <v>1409</v>
      </c>
      <c r="G1379" s="195" t="s">
        <v>1409</v>
      </c>
      <c r="H1379" s="195" t="s">
        <v>1409</v>
      </c>
      <c r="I1379" s="195" t="s">
        <v>1409</v>
      </c>
      <c r="J1379" s="132">
        <v>0.9</v>
      </c>
      <c r="K1379" s="133">
        <v>0.952380952380952</v>
      </c>
      <c r="L1379" s="133">
        <v>0.914285714285714</v>
      </c>
      <c r="M1379" s="134">
        <v>0.947368421052632</v>
      </c>
      <c r="N1379" s="133">
        <v>0.956815114709852</v>
      </c>
      <c r="O1379" s="135">
        <v>0.9</v>
      </c>
      <c r="P1379" s="133">
        <v>0.938645078824031</v>
      </c>
      <c r="Q1379" s="133">
        <v>0.935903614457831</v>
      </c>
      <c r="R1379" s="133">
        <v>0.944424903271192</v>
      </c>
      <c r="S1379" s="133">
        <v>0.948491174795976</v>
      </c>
      <c r="T1379" s="135">
        <v>0.9</v>
      </c>
      <c r="U1379" s="133">
        <v>0.901150404772049</v>
      </c>
      <c r="V1379" s="133">
        <v>0.911807228915663</v>
      </c>
      <c r="W1379" s="133">
        <v>0.910657755891664</v>
      </c>
      <c r="X1379" s="133">
        <v>0.910704118428544</v>
      </c>
      <c r="Y1379" s="135">
        <v>0.92</v>
      </c>
      <c r="Z1379" s="135">
        <v>0</v>
      </c>
      <c r="AA1379" s="135" t="s">
        <v>35</v>
      </c>
      <c r="AB1379" s="135" t="s">
        <v>35</v>
      </c>
      <c r="AC1379" s="135">
        <v>0</v>
      </c>
      <c r="AD1379" s="135">
        <v>0.92</v>
      </c>
      <c r="AE1379" s="133">
        <v>1</v>
      </c>
      <c r="AF1379" s="133">
        <v>0.995708154506438</v>
      </c>
      <c r="AG1379" s="133">
        <v>1</v>
      </c>
      <c r="AH1379" s="133">
        <v>0.995735001421666</v>
      </c>
      <c r="AI1379" s="135">
        <v>0.92</v>
      </c>
      <c r="AJ1379" s="133">
        <v>0.956595744680851</v>
      </c>
      <c r="AK1379" s="133">
        <v>0.96289156626506</v>
      </c>
      <c r="AL1379" s="133">
        <v>0.96095673584242</v>
      </c>
      <c r="AM1379" s="133">
        <v>0.965004839352476</v>
      </c>
      <c r="AN1379" s="132">
        <v>0.99</v>
      </c>
      <c r="AO1379" s="137">
        <v>1</v>
      </c>
      <c r="AP1379" s="137">
        <v>1</v>
      </c>
      <c r="AQ1379" s="137">
        <v>1</v>
      </c>
      <c r="AR1379" s="137">
        <v>1</v>
      </c>
      <c r="AS1379" s="158">
        <v>0.0721861525408278</v>
      </c>
      <c r="AT1379" s="141">
        <v>0</v>
      </c>
      <c r="AU1379" s="141">
        <v>0</v>
      </c>
      <c r="AV1379" s="141">
        <v>0.142857142857143</v>
      </c>
      <c r="AW1379" s="141">
        <v>0.0471204188481675</v>
      </c>
      <c r="AX1379" s="95"/>
      <c r="AY1379" s="93"/>
    </row>
    <row r="1380" ht="15" spans="1:51">
      <c r="A1380" s="91"/>
      <c r="B1380" s="95"/>
      <c r="C1380" s="152" t="s">
        <v>1085</v>
      </c>
      <c r="D1380" s="153" t="s">
        <v>25</v>
      </c>
      <c r="E1380" s="130" t="s">
        <v>1086</v>
      </c>
      <c r="F1380" s="195" t="s">
        <v>1410</v>
      </c>
      <c r="G1380" s="195" t="s">
        <v>1410</v>
      </c>
      <c r="H1380" s="195" t="s">
        <v>1410</v>
      </c>
      <c r="I1380" s="195" t="s">
        <v>1410</v>
      </c>
      <c r="J1380" s="132">
        <v>0.9</v>
      </c>
      <c r="K1380" s="133">
        <v>1</v>
      </c>
      <c r="L1380" s="133">
        <v>1</v>
      </c>
      <c r="M1380" s="134">
        <v>1</v>
      </c>
      <c r="N1380" s="133">
        <v>0.99344262295082</v>
      </c>
      <c r="O1380" s="135">
        <v>0.9</v>
      </c>
      <c r="P1380" s="133">
        <v>0.996137131820377</v>
      </c>
      <c r="Q1380" s="133">
        <v>0.985754985754986</v>
      </c>
      <c r="R1380" s="133">
        <v>0.995190380761523</v>
      </c>
      <c r="S1380" s="133">
        <v>0.981947960327012</v>
      </c>
      <c r="T1380" s="135">
        <v>0.9</v>
      </c>
      <c r="U1380" s="133">
        <v>0.883631096088846</v>
      </c>
      <c r="V1380" s="133">
        <v>0.90997150997151</v>
      </c>
      <c r="W1380" s="133">
        <v>0.925050100200401</v>
      </c>
      <c r="X1380" s="133">
        <v>0.888720587625016</v>
      </c>
      <c r="Y1380" s="135">
        <v>0.92</v>
      </c>
      <c r="Z1380" s="135" t="s">
        <v>35</v>
      </c>
      <c r="AA1380" s="135" t="s">
        <v>35</v>
      </c>
      <c r="AB1380" s="135" t="s">
        <v>35</v>
      </c>
      <c r="AC1380" s="135" t="s">
        <v>35</v>
      </c>
      <c r="AD1380" s="135">
        <v>0.92</v>
      </c>
      <c r="AE1380" s="133">
        <v>0.987341772151899</v>
      </c>
      <c r="AF1380" s="133">
        <v>0.951541850220264</v>
      </c>
      <c r="AG1380" s="133">
        <v>1</v>
      </c>
      <c r="AH1380" s="133">
        <v>0.993276819643379</v>
      </c>
      <c r="AI1380" s="135">
        <v>0.92</v>
      </c>
      <c r="AJ1380" s="133">
        <v>0.956542732979237</v>
      </c>
      <c r="AK1380" s="133">
        <v>0.948717948717949</v>
      </c>
      <c r="AL1380" s="133">
        <v>0.972745490981964</v>
      </c>
      <c r="AM1380" s="133">
        <v>0.971842968004316</v>
      </c>
      <c r="AN1380" s="132">
        <v>0.99</v>
      </c>
      <c r="AO1380" s="137">
        <v>1</v>
      </c>
      <c r="AP1380" s="137">
        <v>1</v>
      </c>
      <c r="AQ1380" s="137">
        <v>1</v>
      </c>
      <c r="AR1380" s="137">
        <v>1</v>
      </c>
      <c r="AS1380" s="158">
        <v>0.0721861525408278</v>
      </c>
      <c r="AT1380" s="141">
        <v>0</v>
      </c>
      <c r="AU1380" s="141">
        <v>0</v>
      </c>
      <c r="AV1380" s="141">
        <v>0</v>
      </c>
      <c r="AW1380" s="141">
        <v>0.06282722513089</v>
      </c>
      <c r="AX1380" s="95"/>
      <c r="AY1380" s="93"/>
    </row>
    <row r="1381" ht="15" spans="1:51">
      <c r="A1381" s="91"/>
      <c r="B1381" s="95"/>
      <c r="C1381" s="152" t="s">
        <v>1085</v>
      </c>
      <c r="D1381" s="153" t="s">
        <v>25</v>
      </c>
      <c r="E1381" s="130" t="s">
        <v>1086</v>
      </c>
      <c r="F1381" s="195" t="s">
        <v>1411</v>
      </c>
      <c r="G1381" s="195" t="s">
        <v>1411</v>
      </c>
      <c r="H1381" s="195" t="s">
        <v>1411</v>
      </c>
      <c r="I1381" s="195" t="s">
        <v>1411</v>
      </c>
      <c r="J1381" s="132">
        <v>0.9</v>
      </c>
      <c r="K1381" s="133">
        <v>1</v>
      </c>
      <c r="L1381" s="133">
        <v>1</v>
      </c>
      <c r="M1381" s="134">
        <v>1</v>
      </c>
      <c r="N1381" s="133">
        <v>0.985714285714286</v>
      </c>
      <c r="O1381" s="135">
        <v>0.9</v>
      </c>
      <c r="P1381" s="133">
        <v>0.987330316742081</v>
      </c>
      <c r="Q1381" s="133">
        <v>0.971947194719472</v>
      </c>
      <c r="R1381" s="133">
        <v>0.990740740740741</v>
      </c>
      <c r="S1381" s="133">
        <v>0.974470134874759</v>
      </c>
      <c r="T1381" s="135">
        <v>0.9</v>
      </c>
      <c r="U1381" s="133">
        <v>0.952941176470588</v>
      </c>
      <c r="V1381" s="133">
        <v>0.955445544554455</v>
      </c>
      <c r="W1381" s="133">
        <v>0.963888888888889</v>
      </c>
      <c r="X1381" s="133">
        <v>0.955640217200911</v>
      </c>
      <c r="Y1381" s="135">
        <v>0.92</v>
      </c>
      <c r="Z1381" s="135">
        <v>0.933240611961057</v>
      </c>
      <c r="AA1381" s="135">
        <v>0.953757225433526</v>
      </c>
      <c r="AB1381" s="135">
        <v>0.964805825242718</v>
      </c>
      <c r="AC1381" s="135">
        <v>0.965093615261946</v>
      </c>
      <c r="AD1381" s="135">
        <v>0.92</v>
      </c>
      <c r="AE1381" s="133">
        <v>1</v>
      </c>
      <c r="AF1381" s="133">
        <v>1</v>
      </c>
      <c r="AG1381" s="133">
        <v>1</v>
      </c>
      <c r="AH1381" s="133">
        <v>0.999106478034252</v>
      </c>
      <c r="AI1381" s="135">
        <v>0.92</v>
      </c>
      <c r="AJ1381" s="133">
        <v>0.967105263157895</v>
      </c>
      <c r="AK1381" s="133">
        <v>0.970666666666667</v>
      </c>
      <c r="AL1381" s="133">
        <v>0.978991596638655</v>
      </c>
      <c r="AM1381" s="133">
        <v>0.980587895094169</v>
      </c>
      <c r="AN1381" s="132">
        <v>0.99</v>
      </c>
      <c r="AO1381" s="137">
        <v>1</v>
      </c>
      <c r="AP1381" s="137">
        <v>1</v>
      </c>
      <c r="AQ1381" s="137">
        <v>1</v>
      </c>
      <c r="AR1381" s="137">
        <v>1</v>
      </c>
      <c r="AS1381" s="158">
        <v>0.0721861525408278</v>
      </c>
      <c r="AT1381" s="141">
        <v>0</v>
      </c>
      <c r="AU1381" s="141">
        <v>0.166666666666667</v>
      </c>
      <c r="AV1381" s="141">
        <v>0.2</v>
      </c>
      <c r="AW1381" s="141">
        <v>0.0648148148148148</v>
      </c>
      <c r="AX1381" s="95"/>
      <c r="AY1381" s="93"/>
    </row>
    <row r="1382" ht="15" spans="1:51">
      <c r="A1382" s="91"/>
      <c r="B1382" s="95"/>
      <c r="C1382" s="152" t="s">
        <v>1085</v>
      </c>
      <c r="D1382" s="153" t="s">
        <v>25</v>
      </c>
      <c r="E1382" s="130" t="s">
        <v>1086</v>
      </c>
      <c r="F1382" s="195" t="s">
        <v>1412</v>
      </c>
      <c r="G1382" s="195" t="s">
        <v>1412</v>
      </c>
      <c r="H1382" s="195" t="s">
        <v>1412</v>
      </c>
      <c r="I1382" s="195" t="s">
        <v>1412</v>
      </c>
      <c r="J1382" s="132">
        <v>0.9</v>
      </c>
      <c r="K1382" s="133">
        <v>1</v>
      </c>
      <c r="L1382" s="133">
        <v>1</v>
      </c>
      <c r="M1382" s="134">
        <v>1</v>
      </c>
      <c r="N1382" s="133">
        <v>0.980582524271845</v>
      </c>
      <c r="O1382" s="135">
        <v>0.9</v>
      </c>
      <c r="P1382" s="133">
        <v>0.986684420772304</v>
      </c>
      <c r="Q1382" s="133">
        <v>0.987309644670051</v>
      </c>
      <c r="R1382" s="133">
        <v>0.983739837398374</v>
      </c>
      <c r="S1382" s="133">
        <v>0.970083246618106</v>
      </c>
      <c r="T1382" s="135">
        <v>0.9</v>
      </c>
      <c r="U1382" s="133">
        <v>0.949400798934754</v>
      </c>
      <c r="V1382" s="133">
        <v>0.918781725888325</v>
      </c>
      <c r="W1382" s="133">
        <v>0.940379403794038</v>
      </c>
      <c r="X1382" s="133">
        <v>0.933012486992716</v>
      </c>
      <c r="Y1382" s="135">
        <v>0.92</v>
      </c>
      <c r="Z1382" s="135">
        <v>0.933202357563851</v>
      </c>
      <c r="AA1382" s="135">
        <v>0.940860215053763</v>
      </c>
      <c r="AB1382" s="135">
        <v>0.947154471544715</v>
      </c>
      <c r="AC1382" s="135">
        <v>0.961996596710153</v>
      </c>
      <c r="AD1382" s="135">
        <v>0.92</v>
      </c>
      <c r="AE1382" s="133">
        <v>1</v>
      </c>
      <c r="AF1382" s="133">
        <v>0.998204667863555</v>
      </c>
      <c r="AG1382" s="133">
        <v>1</v>
      </c>
      <c r="AH1382" s="133">
        <v>0.999735099337748</v>
      </c>
      <c r="AI1382" s="135">
        <v>0.92</v>
      </c>
      <c r="AJ1382" s="133">
        <v>0.962698412698413</v>
      </c>
      <c r="AK1382" s="133">
        <v>0.95822454308094</v>
      </c>
      <c r="AL1382" s="133">
        <v>0.966666666666667</v>
      </c>
      <c r="AM1382" s="133">
        <v>0.976151030629936</v>
      </c>
      <c r="AN1382" s="132">
        <v>0.99</v>
      </c>
      <c r="AO1382" s="137">
        <v>1</v>
      </c>
      <c r="AP1382" s="137">
        <v>1</v>
      </c>
      <c r="AQ1382" s="137">
        <v>1</v>
      </c>
      <c r="AR1382" s="137">
        <v>1</v>
      </c>
      <c r="AS1382" s="158">
        <v>0.0721861525408278</v>
      </c>
      <c r="AT1382" s="141">
        <v>0</v>
      </c>
      <c r="AU1382" s="141">
        <v>0</v>
      </c>
      <c r="AV1382" s="141">
        <v>0</v>
      </c>
      <c r="AW1382" s="141">
        <v>0.0119047619047619</v>
      </c>
      <c r="AX1382" s="95"/>
      <c r="AY1382" s="93"/>
    </row>
    <row r="1383" ht="15" spans="1:51">
      <c r="A1383" s="91"/>
      <c r="B1383" s="95"/>
      <c r="C1383" s="152" t="s">
        <v>1085</v>
      </c>
      <c r="D1383" s="153" t="s">
        <v>25</v>
      </c>
      <c r="E1383" s="130" t="s">
        <v>1086</v>
      </c>
      <c r="F1383" s="195" t="s">
        <v>1413</v>
      </c>
      <c r="G1383" s="195" t="s">
        <v>1413</v>
      </c>
      <c r="H1383" s="195" t="s">
        <v>1413</v>
      </c>
      <c r="I1383" s="195" t="s">
        <v>1413</v>
      </c>
      <c r="J1383" s="132">
        <v>0.9</v>
      </c>
      <c r="K1383" s="133">
        <v>0.977272727272727</v>
      </c>
      <c r="L1383" s="133">
        <v>0.970588235294118</v>
      </c>
      <c r="M1383" s="134">
        <v>0.871794871794872</v>
      </c>
      <c r="N1383" s="133">
        <v>0.932379713914174</v>
      </c>
      <c r="O1383" s="135">
        <v>0.9</v>
      </c>
      <c r="P1383" s="133">
        <v>0.932447097124254</v>
      </c>
      <c r="Q1383" s="133">
        <v>0.951070336391437</v>
      </c>
      <c r="R1383" s="133">
        <v>0.950539568345324</v>
      </c>
      <c r="S1383" s="133">
        <v>0.941881366087478</v>
      </c>
      <c r="T1383" s="135">
        <v>0.9</v>
      </c>
      <c r="U1383" s="133">
        <v>0.903960933260987</v>
      </c>
      <c r="V1383" s="133">
        <v>0.918960244648318</v>
      </c>
      <c r="W1383" s="133">
        <v>0.924235611510791</v>
      </c>
      <c r="X1383" s="133">
        <v>0.897976166699953</v>
      </c>
      <c r="Y1383" s="135">
        <v>0.92</v>
      </c>
      <c r="Z1383" s="135">
        <v>0</v>
      </c>
      <c r="AA1383" s="135">
        <v>0</v>
      </c>
      <c r="AB1383" s="135">
        <v>0</v>
      </c>
      <c r="AC1383" s="135">
        <v>0</v>
      </c>
      <c r="AD1383" s="135">
        <v>0.92</v>
      </c>
      <c r="AE1383" s="133">
        <v>0.972696245733788</v>
      </c>
      <c r="AF1383" s="133">
        <v>0.988903394255875</v>
      </c>
      <c r="AG1383" s="133">
        <v>0.997126436781609</v>
      </c>
      <c r="AH1383" s="133">
        <v>0.984697158043637</v>
      </c>
      <c r="AI1383" s="135">
        <v>0.92</v>
      </c>
      <c r="AJ1383" s="133">
        <v>0.970460704607046</v>
      </c>
      <c r="AK1383" s="133">
        <v>0.96453683888719</v>
      </c>
      <c r="AL1383" s="133">
        <v>0.97797257810744</v>
      </c>
      <c r="AM1383" s="133">
        <v>0.973960702517391</v>
      </c>
      <c r="AN1383" s="132">
        <v>0.99</v>
      </c>
      <c r="AO1383" s="137">
        <v>1</v>
      </c>
      <c r="AP1383" s="137">
        <v>1</v>
      </c>
      <c r="AQ1383" s="137">
        <v>1</v>
      </c>
      <c r="AR1383" s="137">
        <v>1</v>
      </c>
      <c r="AS1383" s="158">
        <v>0.0721861525408278</v>
      </c>
      <c r="AT1383" s="141">
        <v>0.153846153846154</v>
      </c>
      <c r="AU1383" s="141">
        <v>0.0555555555555556</v>
      </c>
      <c r="AV1383" s="141">
        <v>0.0555555555555556</v>
      </c>
      <c r="AW1383" s="141">
        <v>0.033434650455927</v>
      </c>
      <c r="AX1383" s="95"/>
      <c r="AY1383" s="93"/>
    </row>
    <row r="1384" ht="15" spans="1:51">
      <c r="A1384" s="91"/>
      <c r="B1384" s="95"/>
      <c r="C1384" s="152" t="s">
        <v>1085</v>
      </c>
      <c r="D1384" s="153" t="s">
        <v>25</v>
      </c>
      <c r="E1384" s="130" t="s">
        <v>1086</v>
      </c>
      <c r="F1384" s="195" t="s">
        <v>1414</v>
      </c>
      <c r="G1384" s="195" t="s">
        <v>1414</v>
      </c>
      <c r="H1384" s="195" t="s">
        <v>1414</v>
      </c>
      <c r="I1384" s="195" t="s">
        <v>1414</v>
      </c>
      <c r="J1384" s="132">
        <v>0.9</v>
      </c>
      <c r="K1384" s="133">
        <v>0.948051948051948</v>
      </c>
      <c r="L1384" s="133">
        <v>1</v>
      </c>
      <c r="M1384" s="134">
        <v>0.984848484848485</v>
      </c>
      <c r="N1384" s="133">
        <v>0.97112462006079</v>
      </c>
      <c r="O1384" s="135">
        <v>0.9</v>
      </c>
      <c r="P1384" s="133">
        <v>0.977324913892078</v>
      </c>
      <c r="Q1384" s="133">
        <v>0.974768280123584</v>
      </c>
      <c r="R1384" s="133">
        <v>0.976785189538642</v>
      </c>
      <c r="S1384" s="133">
        <v>0.976329059773661</v>
      </c>
      <c r="T1384" s="135">
        <v>0.9</v>
      </c>
      <c r="U1384" s="133">
        <v>0.931400688863375</v>
      </c>
      <c r="V1384" s="133">
        <v>0.929969104016478</v>
      </c>
      <c r="W1384" s="133">
        <v>0.935351160740523</v>
      </c>
      <c r="X1384" s="133">
        <v>0.93362803178595</v>
      </c>
      <c r="Y1384" s="135">
        <v>0.92</v>
      </c>
      <c r="Z1384" s="135">
        <v>0.935660218671152</v>
      </c>
      <c r="AA1384" s="135">
        <v>0.936183022275737</v>
      </c>
      <c r="AB1384" s="135">
        <v>0.924969745865268</v>
      </c>
      <c r="AC1384" s="135">
        <v>0.946924448201717</v>
      </c>
      <c r="AD1384" s="135">
        <v>0.92</v>
      </c>
      <c r="AE1384" s="133">
        <v>0.996598639455782</v>
      </c>
      <c r="AF1384" s="133">
        <v>0.992371705963939</v>
      </c>
      <c r="AG1384" s="133">
        <v>0.997899159663866</v>
      </c>
      <c r="AH1384" s="133">
        <v>0.995203028574392</v>
      </c>
      <c r="AI1384" s="135">
        <v>0.92</v>
      </c>
      <c r="AJ1384" s="133">
        <v>0.954793585806892</v>
      </c>
      <c r="AK1384" s="133">
        <v>0.955315015265057</v>
      </c>
      <c r="AL1384" s="133">
        <v>0.951385347611763</v>
      </c>
      <c r="AM1384" s="133">
        <v>0.965385930908676</v>
      </c>
      <c r="AN1384" s="132">
        <v>0.99</v>
      </c>
      <c r="AO1384" s="137">
        <v>1</v>
      </c>
      <c r="AP1384" s="137">
        <v>1</v>
      </c>
      <c r="AQ1384" s="137">
        <v>1</v>
      </c>
      <c r="AR1384" s="137">
        <v>1</v>
      </c>
      <c r="AS1384" s="158">
        <v>0.0721861525408278</v>
      </c>
      <c r="AT1384" s="141">
        <v>0</v>
      </c>
      <c r="AU1384" s="141">
        <v>0.0285714285714286</v>
      </c>
      <c r="AV1384" s="141">
        <v>0.0121951219512195</v>
      </c>
      <c r="AW1384" s="141">
        <v>0.0241502683363148</v>
      </c>
      <c r="AX1384" s="95"/>
      <c r="AY1384" s="93"/>
    </row>
    <row r="1385" ht="15" spans="1:51">
      <c r="A1385" s="91"/>
      <c r="B1385" s="95"/>
      <c r="C1385" s="152" t="s">
        <v>1085</v>
      </c>
      <c r="D1385" s="153" t="s">
        <v>25</v>
      </c>
      <c r="E1385" s="130" t="s">
        <v>1086</v>
      </c>
      <c r="F1385" s="195" t="s">
        <v>1415</v>
      </c>
      <c r="G1385" s="195" t="s">
        <v>1415</v>
      </c>
      <c r="H1385" s="195" t="s">
        <v>1415</v>
      </c>
      <c r="I1385" s="195" t="s">
        <v>1415</v>
      </c>
      <c r="J1385" s="132">
        <v>0.9</v>
      </c>
      <c r="K1385" s="133">
        <v>0.897058823529412</v>
      </c>
      <c r="L1385" s="133">
        <v>0.936507936507937</v>
      </c>
      <c r="M1385" s="134">
        <v>0.885245901639344</v>
      </c>
      <c r="N1385" s="133">
        <v>0.93109243697479</v>
      </c>
      <c r="O1385" s="135">
        <v>0.9</v>
      </c>
      <c r="P1385" s="133">
        <v>0.90233949945593</v>
      </c>
      <c r="Q1385" s="133">
        <v>0.889434889434889</v>
      </c>
      <c r="R1385" s="133">
        <v>0.87866986219293</v>
      </c>
      <c r="S1385" s="133">
        <v>0.885033770834159</v>
      </c>
      <c r="T1385" s="135">
        <v>0.9</v>
      </c>
      <c r="U1385" s="133">
        <v>0.823177366702938</v>
      </c>
      <c r="V1385" s="133">
        <v>0.825061425061425</v>
      </c>
      <c r="W1385" s="133">
        <v>0.801078490113841</v>
      </c>
      <c r="X1385" s="133">
        <v>0.798234135638474</v>
      </c>
      <c r="Y1385" s="135">
        <v>0.92</v>
      </c>
      <c r="Z1385" s="135">
        <v>0.881631037212985</v>
      </c>
      <c r="AA1385" s="135">
        <v>0.918330308529946</v>
      </c>
      <c r="AB1385" s="135">
        <v>0.845283018867925</v>
      </c>
      <c r="AC1385" s="135">
        <v>0.900761263404458</v>
      </c>
      <c r="AD1385" s="135">
        <v>0.92</v>
      </c>
      <c r="AE1385" s="133">
        <v>0.998082979597426</v>
      </c>
      <c r="AF1385" s="133">
        <v>0.998562367864693</v>
      </c>
      <c r="AG1385" s="133">
        <v>0.988475177304965</v>
      </c>
      <c r="AH1385" s="133">
        <v>0.995013558300693</v>
      </c>
      <c r="AI1385" s="135">
        <v>0.92</v>
      </c>
      <c r="AJ1385" s="133">
        <v>0.925991615607868</v>
      </c>
      <c r="AK1385" s="133">
        <v>0.942245119305857</v>
      </c>
      <c r="AL1385" s="133">
        <v>0.907216494845361</v>
      </c>
      <c r="AM1385" s="133">
        <v>0.935434363897266</v>
      </c>
      <c r="AN1385" s="132">
        <v>0.99</v>
      </c>
      <c r="AO1385" s="137">
        <v>1</v>
      </c>
      <c r="AP1385" s="137">
        <v>1</v>
      </c>
      <c r="AQ1385" s="137">
        <v>1</v>
      </c>
      <c r="AR1385" s="137">
        <v>1</v>
      </c>
      <c r="AS1385" s="158">
        <v>0.0721861525408278</v>
      </c>
      <c r="AT1385" s="141">
        <v>0.117647058823529</v>
      </c>
      <c r="AU1385" s="141">
        <v>0.0769230769230769</v>
      </c>
      <c r="AV1385" s="141">
        <v>0.0294117647058824</v>
      </c>
      <c r="AW1385" s="141">
        <v>0.0644007155635063</v>
      </c>
      <c r="AX1385" s="95"/>
      <c r="AY1385" s="93"/>
    </row>
    <row r="1386" ht="15" spans="1:51">
      <c r="A1386" s="91"/>
      <c r="B1386" s="95"/>
      <c r="C1386" s="152" t="s">
        <v>1085</v>
      </c>
      <c r="D1386" s="153" t="s">
        <v>25</v>
      </c>
      <c r="E1386" s="130" t="s">
        <v>1086</v>
      </c>
      <c r="F1386" s="195" t="s">
        <v>1416</v>
      </c>
      <c r="G1386" s="195" t="s">
        <v>1416</v>
      </c>
      <c r="H1386" s="195" t="s">
        <v>1416</v>
      </c>
      <c r="I1386" s="195" t="s">
        <v>1416</v>
      </c>
      <c r="J1386" s="132">
        <v>0.9</v>
      </c>
      <c r="K1386" s="133">
        <v>0.918367346938776</v>
      </c>
      <c r="L1386" s="133">
        <v>0.930232558139535</v>
      </c>
      <c r="M1386" s="134">
        <v>0.869565217391304</v>
      </c>
      <c r="N1386" s="133">
        <v>0.912457912457912</v>
      </c>
      <c r="O1386" s="135">
        <v>0.9</v>
      </c>
      <c r="P1386" s="133">
        <v>0.967307692307692</v>
      </c>
      <c r="Q1386" s="133">
        <v>0.963325183374083</v>
      </c>
      <c r="R1386" s="133">
        <v>0.976316719688936</v>
      </c>
      <c r="S1386" s="133">
        <v>0.946568543556392</v>
      </c>
      <c r="T1386" s="135">
        <v>0.9</v>
      </c>
      <c r="U1386" s="133">
        <v>0.949519230769231</v>
      </c>
      <c r="V1386" s="133">
        <v>0.959657701711491</v>
      </c>
      <c r="W1386" s="133">
        <v>0.965005302226935</v>
      </c>
      <c r="X1386" s="133">
        <v>0.965360260140339</v>
      </c>
      <c r="Y1386" s="135">
        <v>0.92</v>
      </c>
      <c r="Z1386" s="135">
        <v>0.962068965517241</v>
      </c>
      <c r="AA1386" s="135">
        <v>0.96043771043771</v>
      </c>
      <c r="AB1386" s="135">
        <v>0.965948575399583</v>
      </c>
      <c r="AC1386" s="135">
        <v>0.966188450724533</v>
      </c>
      <c r="AD1386" s="135">
        <v>0.92</v>
      </c>
      <c r="AE1386" s="133">
        <v>0.995487364620939</v>
      </c>
      <c r="AF1386" s="133">
        <v>1</v>
      </c>
      <c r="AG1386" s="133">
        <v>1</v>
      </c>
      <c r="AH1386" s="133">
        <v>0.99309839369694</v>
      </c>
      <c r="AI1386" s="135">
        <v>0.92</v>
      </c>
      <c r="AJ1386" s="133">
        <v>0.972019464720195</v>
      </c>
      <c r="AK1386" s="133">
        <v>0.971671388101983</v>
      </c>
      <c r="AL1386" s="133">
        <v>0.979615745079663</v>
      </c>
      <c r="AM1386" s="133">
        <v>0.978971145292995</v>
      </c>
      <c r="AN1386" s="132">
        <v>0.99</v>
      </c>
      <c r="AO1386" s="137">
        <v>1</v>
      </c>
      <c r="AP1386" s="137">
        <v>1</v>
      </c>
      <c r="AQ1386" s="137">
        <v>1</v>
      </c>
      <c r="AR1386" s="137">
        <v>1</v>
      </c>
      <c r="AS1386" s="158">
        <v>0.0721861525408278</v>
      </c>
      <c r="AT1386" s="141">
        <v>0</v>
      </c>
      <c r="AU1386" s="141">
        <v>0</v>
      </c>
      <c r="AV1386" s="141">
        <v>0</v>
      </c>
      <c r="AW1386" s="141">
        <v>0.00938967136150235</v>
      </c>
      <c r="AX1386" s="95"/>
      <c r="AY1386" s="93"/>
    </row>
    <row r="1387" ht="15" spans="1:51">
      <c r="A1387" s="91"/>
      <c r="B1387" s="95"/>
      <c r="C1387" s="152" t="s">
        <v>1085</v>
      </c>
      <c r="D1387" s="153" t="s">
        <v>25</v>
      </c>
      <c r="E1387" s="130" t="s">
        <v>1086</v>
      </c>
      <c r="F1387" s="195" t="s">
        <v>1417</v>
      </c>
      <c r="G1387" s="195" t="s">
        <v>1417</v>
      </c>
      <c r="H1387" s="195" t="s">
        <v>1417</v>
      </c>
      <c r="I1387" s="195" t="s">
        <v>1417</v>
      </c>
      <c r="J1387" s="132">
        <v>0.9</v>
      </c>
      <c r="K1387" s="133">
        <v>0.972972972972973</v>
      </c>
      <c r="L1387" s="133">
        <v>0.967741935483871</v>
      </c>
      <c r="M1387" s="134">
        <v>0.96875</v>
      </c>
      <c r="N1387" s="133">
        <v>0.984251968503937</v>
      </c>
      <c r="O1387" s="135">
        <v>0.9</v>
      </c>
      <c r="P1387" s="133">
        <v>0.981082844096543</v>
      </c>
      <c r="Q1387" s="133">
        <v>0.987906976744186</v>
      </c>
      <c r="R1387" s="133">
        <v>0.989969909729188</v>
      </c>
      <c r="S1387" s="133">
        <v>0.985650510204082</v>
      </c>
      <c r="T1387" s="135">
        <v>0.9</v>
      </c>
      <c r="U1387" s="133">
        <v>0.962818003913894</v>
      </c>
      <c r="V1387" s="133">
        <v>0.965581395348837</v>
      </c>
      <c r="W1387" s="133">
        <v>0.984954864593781</v>
      </c>
      <c r="X1387" s="133">
        <v>0.97563244047619</v>
      </c>
      <c r="Y1387" s="135">
        <v>0.92</v>
      </c>
      <c r="Z1387" s="135">
        <v>0.982142857142857</v>
      </c>
      <c r="AA1387" s="135">
        <v>0.971428571428571</v>
      </c>
      <c r="AB1387" s="135">
        <v>0.983967935871743</v>
      </c>
      <c r="AC1387" s="135">
        <v>0.983134328358209</v>
      </c>
      <c r="AD1387" s="135">
        <v>0.92</v>
      </c>
      <c r="AE1387" s="133">
        <v>0.998571428571429</v>
      </c>
      <c r="AF1387" s="133">
        <v>0.995039682539683</v>
      </c>
      <c r="AG1387" s="133">
        <v>0.996563573883162</v>
      </c>
      <c r="AH1387" s="133">
        <v>0.991207840876333</v>
      </c>
      <c r="AI1387" s="135">
        <v>0.92</v>
      </c>
      <c r="AJ1387" s="133">
        <v>0.984810126582279</v>
      </c>
      <c r="AK1387" s="133">
        <v>0.980851063829787</v>
      </c>
      <c r="AL1387" s="133">
        <v>0.991310160427808</v>
      </c>
      <c r="AM1387" s="133">
        <v>0.989275848154701</v>
      </c>
      <c r="AN1387" s="132">
        <v>0.99</v>
      </c>
      <c r="AO1387" s="137">
        <v>1</v>
      </c>
      <c r="AP1387" s="137">
        <v>1</v>
      </c>
      <c r="AQ1387" s="137">
        <v>1</v>
      </c>
      <c r="AR1387" s="137">
        <v>1</v>
      </c>
      <c r="AS1387" s="158">
        <v>0.0721861525408278</v>
      </c>
      <c r="AT1387" s="141">
        <v>0</v>
      </c>
      <c r="AU1387" s="141">
        <v>0</v>
      </c>
      <c r="AV1387" s="141">
        <v>0</v>
      </c>
      <c r="AW1387" s="141">
        <v>0.0202020202020202</v>
      </c>
      <c r="AX1387" s="95"/>
      <c r="AY1387" s="93"/>
    </row>
    <row r="1388" ht="15" spans="1:51">
      <c r="A1388" s="91"/>
      <c r="B1388" s="95"/>
      <c r="C1388" s="152" t="s">
        <v>1085</v>
      </c>
      <c r="D1388" s="153" t="s">
        <v>25</v>
      </c>
      <c r="E1388" s="130" t="s">
        <v>1086</v>
      </c>
      <c r="F1388" s="195" t="s">
        <v>1418</v>
      </c>
      <c r="G1388" s="195" t="s">
        <v>1418</v>
      </c>
      <c r="H1388" s="195" t="s">
        <v>1418</v>
      </c>
      <c r="I1388" s="195" t="s">
        <v>1418</v>
      </c>
      <c r="J1388" s="132">
        <v>0.9</v>
      </c>
      <c r="K1388" s="133">
        <v>0.902439024390244</v>
      </c>
      <c r="L1388" s="133">
        <v>0.857142857142857</v>
      </c>
      <c r="M1388" s="134">
        <v>0.875</v>
      </c>
      <c r="N1388" s="133">
        <v>0.915134370579915</v>
      </c>
      <c r="O1388" s="135">
        <v>0.9</v>
      </c>
      <c r="P1388" s="133">
        <v>0.986403806934058</v>
      </c>
      <c r="Q1388" s="133">
        <v>0.986363636363636</v>
      </c>
      <c r="R1388" s="133">
        <v>0.982474774296336</v>
      </c>
      <c r="S1388" s="133">
        <v>0.982233368532207</v>
      </c>
      <c r="T1388" s="135">
        <v>0.9</v>
      </c>
      <c r="U1388" s="133">
        <v>0.958531611148878</v>
      </c>
      <c r="V1388" s="133">
        <v>0.949090909090909</v>
      </c>
      <c r="W1388" s="133">
        <v>0.961232076473712</v>
      </c>
      <c r="X1388" s="133">
        <v>0.96343717001056</v>
      </c>
      <c r="Y1388" s="135">
        <v>0.92</v>
      </c>
      <c r="Z1388" s="135">
        <v>0.967309304274937</v>
      </c>
      <c r="AA1388" s="135">
        <v>0.967459324155194</v>
      </c>
      <c r="AB1388" s="135">
        <v>0.973837209302326</v>
      </c>
      <c r="AC1388" s="135">
        <v>0.974903687396808</v>
      </c>
      <c r="AD1388" s="135">
        <v>0.92</v>
      </c>
      <c r="AE1388" s="133">
        <v>0.998171846435101</v>
      </c>
      <c r="AF1388" s="133">
        <v>1</v>
      </c>
      <c r="AG1388" s="133">
        <v>1</v>
      </c>
      <c r="AH1388" s="133">
        <v>0.986704828732342</v>
      </c>
      <c r="AI1388" s="135">
        <v>0.92</v>
      </c>
      <c r="AJ1388" s="133">
        <v>0.977852852852853</v>
      </c>
      <c r="AK1388" s="133">
        <v>0.974723538704581</v>
      </c>
      <c r="AL1388" s="133">
        <v>0.985591766723842</v>
      </c>
      <c r="AM1388" s="133">
        <v>0.984356289723357</v>
      </c>
      <c r="AN1388" s="132">
        <v>0.99</v>
      </c>
      <c r="AO1388" s="137">
        <v>1</v>
      </c>
      <c r="AP1388" s="137">
        <v>1</v>
      </c>
      <c r="AQ1388" s="137">
        <v>1</v>
      </c>
      <c r="AR1388" s="137">
        <v>1</v>
      </c>
      <c r="AS1388" s="158">
        <v>0.0721861525408278</v>
      </c>
      <c r="AT1388" s="141">
        <v>0</v>
      </c>
      <c r="AU1388" s="141">
        <v>0</v>
      </c>
      <c r="AV1388" s="141">
        <v>0</v>
      </c>
      <c r="AW1388" s="141">
        <v>-0.00478468899521531</v>
      </c>
      <c r="AX1388" s="95"/>
      <c r="AY1388" s="93"/>
    </row>
    <row r="1389" ht="15" spans="1:51">
      <c r="A1389" s="91"/>
      <c r="B1389" s="95"/>
      <c r="C1389" s="152" t="s">
        <v>1085</v>
      </c>
      <c r="D1389" s="153" t="s">
        <v>25</v>
      </c>
      <c r="E1389" s="130" t="s">
        <v>1086</v>
      </c>
      <c r="F1389" s="195" t="s">
        <v>1419</v>
      </c>
      <c r="G1389" s="195" t="s">
        <v>1419</v>
      </c>
      <c r="H1389" s="195" t="s">
        <v>1419</v>
      </c>
      <c r="I1389" s="195" t="s">
        <v>1419</v>
      </c>
      <c r="J1389" s="132">
        <v>0.9</v>
      </c>
      <c r="K1389" s="133">
        <v>0.866666666666667</v>
      </c>
      <c r="L1389" s="133">
        <v>0.892857142857143</v>
      </c>
      <c r="M1389" s="134">
        <v>0.935483870967742</v>
      </c>
      <c r="N1389" s="133">
        <v>0.900684931506849</v>
      </c>
      <c r="O1389" s="135">
        <v>0.9</v>
      </c>
      <c r="P1389" s="133">
        <v>0.977099236641221</v>
      </c>
      <c r="Q1389" s="133">
        <v>0.89242053789731</v>
      </c>
      <c r="R1389" s="133">
        <v>0.953348382242287</v>
      </c>
      <c r="S1389" s="133">
        <v>0.964921539652382</v>
      </c>
      <c r="T1389" s="135">
        <v>0.9</v>
      </c>
      <c r="U1389" s="133">
        <v>0.942748091603053</v>
      </c>
      <c r="V1389" s="133">
        <v>0.940097799511002</v>
      </c>
      <c r="W1389" s="133">
        <v>0.948833709556057</v>
      </c>
      <c r="X1389" s="133">
        <v>0.950249806487932</v>
      </c>
      <c r="Y1389" s="135">
        <v>0.92</v>
      </c>
      <c r="Z1389" s="135">
        <v>0.938443670150987</v>
      </c>
      <c r="AA1389" s="135">
        <v>0.857142857142857</v>
      </c>
      <c r="AB1389" s="135">
        <v>0.925465838509317</v>
      </c>
      <c r="AC1389" s="135">
        <v>0.948915427735803</v>
      </c>
      <c r="AD1389" s="135">
        <v>0.92</v>
      </c>
      <c r="AE1389" s="133">
        <v>1</v>
      </c>
      <c r="AF1389" s="133">
        <v>0.992125984251969</v>
      </c>
      <c r="AG1389" s="133">
        <v>1</v>
      </c>
      <c r="AH1389" s="133">
        <v>0.947569843092231</v>
      </c>
      <c r="AI1389" s="135">
        <v>0.92</v>
      </c>
      <c r="AJ1389" s="133">
        <v>0.959140911471975</v>
      </c>
      <c r="AK1389" s="133">
        <v>0.924528301886792</v>
      </c>
      <c r="AL1389" s="133">
        <v>0.963507349214394</v>
      </c>
      <c r="AM1389" s="133">
        <v>0.968694443876821</v>
      </c>
      <c r="AN1389" s="132">
        <v>0.99</v>
      </c>
      <c r="AO1389" s="137">
        <v>1</v>
      </c>
      <c r="AP1389" s="137">
        <v>1</v>
      </c>
      <c r="AQ1389" s="137">
        <v>1</v>
      </c>
      <c r="AR1389" s="137">
        <v>1</v>
      </c>
      <c r="AS1389" s="158">
        <v>0.0721861525408278</v>
      </c>
      <c r="AT1389" s="141">
        <v>0</v>
      </c>
      <c r="AU1389" s="141">
        <v>0.1</v>
      </c>
      <c r="AV1389" s="141">
        <v>0</v>
      </c>
      <c r="AW1389" s="141">
        <v>0.0493827160493827</v>
      </c>
      <c r="AX1389" s="95"/>
      <c r="AY1389" s="93"/>
    </row>
    <row r="1390" ht="15" spans="1:51">
      <c r="A1390" s="91"/>
      <c r="B1390" s="95"/>
      <c r="C1390" s="152" t="s">
        <v>1085</v>
      </c>
      <c r="D1390" s="153" t="s">
        <v>25</v>
      </c>
      <c r="E1390" s="130" t="s">
        <v>1086</v>
      </c>
      <c r="F1390" s="195" t="s">
        <v>1420</v>
      </c>
      <c r="G1390" s="195" t="s">
        <v>1420</v>
      </c>
      <c r="H1390" s="195" t="s">
        <v>1420</v>
      </c>
      <c r="I1390" s="195" t="s">
        <v>1420</v>
      </c>
      <c r="J1390" s="132">
        <v>0.9</v>
      </c>
      <c r="K1390" s="133">
        <v>0.952380952380952</v>
      </c>
      <c r="L1390" s="133">
        <v>1</v>
      </c>
      <c r="M1390" s="134">
        <v>0.91304347826087</v>
      </c>
      <c r="N1390" s="133">
        <v>0.968674698795181</v>
      </c>
      <c r="O1390" s="135">
        <v>0.9</v>
      </c>
      <c r="P1390" s="133">
        <v>0.995697074010327</v>
      </c>
      <c r="Q1390" s="133">
        <v>0.991674375578168</v>
      </c>
      <c r="R1390" s="133">
        <v>0.986330178759201</v>
      </c>
      <c r="S1390" s="133">
        <v>0.990374743326489</v>
      </c>
      <c r="T1390" s="135">
        <v>0.9</v>
      </c>
      <c r="U1390" s="133">
        <v>0.92512908777969</v>
      </c>
      <c r="V1390" s="133">
        <v>0.924144310823312</v>
      </c>
      <c r="W1390" s="133">
        <v>0.936908517350158</v>
      </c>
      <c r="X1390" s="133">
        <v>0.944494353182752</v>
      </c>
      <c r="Y1390" s="135">
        <v>0.92</v>
      </c>
      <c r="Z1390" s="135" t="s">
        <v>35</v>
      </c>
      <c r="AA1390" s="135" t="s">
        <v>35</v>
      </c>
      <c r="AB1390" s="135" t="s">
        <v>35</v>
      </c>
      <c r="AC1390" s="135" t="s">
        <v>35</v>
      </c>
      <c r="AD1390" s="135">
        <v>0.92</v>
      </c>
      <c r="AE1390" s="133">
        <v>1</v>
      </c>
      <c r="AF1390" s="133">
        <v>0.981308411214953</v>
      </c>
      <c r="AG1390" s="133">
        <v>1</v>
      </c>
      <c r="AH1390" s="133">
        <v>0.993937761013068</v>
      </c>
      <c r="AI1390" s="135">
        <v>0.92</v>
      </c>
      <c r="AJ1390" s="133">
        <v>0.94578313253012</v>
      </c>
      <c r="AK1390" s="133">
        <v>0.93154486586494</v>
      </c>
      <c r="AL1390" s="133">
        <v>0.960042060988433</v>
      </c>
      <c r="AM1390" s="133">
        <v>0.965316991786448</v>
      </c>
      <c r="AN1390" s="132">
        <v>0.99</v>
      </c>
      <c r="AO1390" s="137">
        <v>1</v>
      </c>
      <c r="AP1390" s="137">
        <v>1</v>
      </c>
      <c r="AQ1390" s="137">
        <v>1</v>
      </c>
      <c r="AR1390" s="137">
        <v>1</v>
      </c>
      <c r="AS1390" s="158">
        <v>0.0721861525408278</v>
      </c>
      <c r="AT1390" s="141">
        <v>0.111111111111111</v>
      </c>
      <c r="AU1390" s="141">
        <v>0</v>
      </c>
      <c r="AV1390" s="141">
        <v>0</v>
      </c>
      <c r="AW1390" s="141">
        <v>0.036144578313253</v>
      </c>
      <c r="AX1390" s="95"/>
      <c r="AY1390" s="93"/>
    </row>
    <row r="1391" ht="15" spans="1:51">
      <c r="A1391" s="91"/>
      <c r="B1391" s="95"/>
      <c r="C1391" s="152" t="s">
        <v>1085</v>
      </c>
      <c r="D1391" s="153" t="s">
        <v>25</v>
      </c>
      <c r="E1391" s="130" t="s">
        <v>1086</v>
      </c>
      <c r="F1391" s="195" t="s">
        <v>1421</v>
      </c>
      <c r="G1391" s="195" t="s">
        <v>1421</v>
      </c>
      <c r="H1391" s="195" t="s">
        <v>1421</v>
      </c>
      <c r="I1391" s="195" t="s">
        <v>1421</v>
      </c>
      <c r="J1391" s="132">
        <v>0.9</v>
      </c>
      <c r="K1391" s="133">
        <v>0.923076923076923</v>
      </c>
      <c r="L1391" s="133">
        <v>0.903225806451613</v>
      </c>
      <c r="M1391" s="134">
        <v>0.842105263157895</v>
      </c>
      <c r="N1391" s="133">
        <v>0.881705639614856</v>
      </c>
      <c r="O1391" s="135">
        <v>0.9</v>
      </c>
      <c r="P1391" s="133">
        <v>0.98565190268247</v>
      </c>
      <c r="Q1391" s="133">
        <v>0.948318293683347</v>
      </c>
      <c r="R1391" s="133">
        <v>0.941543953592146</v>
      </c>
      <c r="S1391" s="133">
        <v>0.977184115523466</v>
      </c>
      <c r="T1391" s="135">
        <v>0.9</v>
      </c>
      <c r="U1391" s="133">
        <v>0.913911416094822</v>
      </c>
      <c r="V1391" s="133">
        <v>0.895816242821985</v>
      </c>
      <c r="W1391" s="133">
        <v>0.878179384203481</v>
      </c>
      <c r="X1391" s="133">
        <v>0.9061853188929</v>
      </c>
      <c r="Y1391" s="135">
        <v>0.92</v>
      </c>
      <c r="Z1391" s="135">
        <v>0.93952802359882</v>
      </c>
      <c r="AA1391" s="135">
        <v>0.893258426966292</v>
      </c>
      <c r="AB1391" s="135">
        <v>0.929371231696813</v>
      </c>
      <c r="AC1391" s="135">
        <v>0.936948808920426</v>
      </c>
      <c r="AD1391" s="135">
        <v>0.92</v>
      </c>
      <c r="AE1391" s="133">
        <v>1</v>
      </c>
      <c r="AF1391" s="133">
        <v>1</v>
      </c>
      <c r="AG1391" s="133">
        <v>0.993775933609959</v>
      </c>
      <c r="AH1391" s="133">
        <v>0.997229916897507</v>
      </c>
      <c r="AI1391" s="135">
        <v>0.92</v>
      </c>
      <c r="AJ1391" s="133">
        <v>0.952348766475161</v>
      </c>
      <c r="AK1391" s="133">
        <v>0.927927927927928</v>
      </c>
      <c r="AL1391" s="133">
        <v>0.957084068195179</v>
      </c>
      <c r="AM1391" s="133">
        <v>0.958663049742083</v>
      </c>
      <c r="AN1391" s="132">
        <v>0.99</v>
      </c>
      <c r="AO1391" s="137">
        <v>1</v>
      </c>
      <c r="AP1391" s="137">
        <v>1</v>
      </c>
      <c r="AQ1391" s="137">
        <v>1</v>
      </c>
      <c r="AR1391" s="137">
        <v>1</v>
      </c>
      <c r="AS1391" s="158">
        <v>0.0721861525408278</v>
      </c>
      <c r="AT1391" s="141">
        <v>0</v>
      </c>
      <c r="AU1391" s="141">
        <v>0.0666666666666667</v>
      </c>
      <c r="AV1391" s="141">
        <v>0</v>
      </c>
      <c r="AW1391" s="141">
        <v>0.0343511450381679</v>
      </c>
      <c r="AX1391" s="95"/>
      <c r="AY1391" s="93"/>
    </row>
    <row r="1392" ht="15" spans="1:51">
      <c r="A1392" s="91"/>
      <c r="B1392" s="95"/>
      <c r="C1392" s="152" t="s">
        <v>1085</v>
      </c>
      <c r="D1392" s="153" t="s">
        <v>25</v>
      </c>
      <c r="E1392" s="130" t="s">
        <v>1086</v>
      </c>
      <c r="F1392" s="195" t="s">
        <v>1422</v>
      </c>
      <c r="G1392" s="195" t="s">
        <v>1422</v>
      </c>
      <c r="H1392" s="195" t="s">
        <v>1422</v>
      </c>
      <c r="I1392" s="195" t="s">
        <v>1422</v>
      </c>
      <c r="J1392" s="132">
        <v>0.9</v>
      </c>
      <c r="K1392" s="133">
        <v>0.976744186046512</v>
      </c>
      <c r="L1392" s="133">
        <v>1</v>
      </c>
      <c r="M1392" s="134">
        <v>1</v>
      </c>
      <c r="N1392" s="133">
        <v>0.979487179487179</v>
      </c>
      <c r="O1392" s="135">
        <v>0.9</v>
      </c>
      <c r="P1392" s="133">
        <v>0.992608236536431</v>
      </c>
      <c r="Q1392" s="133">
        <v>0.991661321359846</v>
      </c>
      <c r="R1392" s="133">
        <v>0.993867538838921</v>
      </c>
      <c r="S1392" s="133">
        <v>0.990174419827895</v>
      </c>
      <c r="T1392" s="135">
        <v>0.9</v>
      </c>
      <c r="U1392" s="133">
        <v>0.960401267159451</v>
      </c>
      <c r="V1392" s="133">
        <v>0.961513790891597</v>
      </c>
      <c r="W1392" s="133">
        <v>0.938266557645135</v>
      </c>
      <c r="X1392" s="133">
        <v>0.966546739885123</v>
      </c>
      <c r="Y1392" s="135">
        <v>0.92</v>
      </c>
      <c r="Z1392" s="135">
        <v>0.964852607709751</v>
      </c>
      <c r="AA1392" s="135">
        <v>0.948627103631532</v>
      </c>
      <c r="AB1392" s="135">
        <v>0.972804972804973</v>
      </c>
      <c r="AC1392" s="135">
        <v>0.969131740809612</v>
      </c>
      <c r="AD1392" s="135">
        <v>0.92</v>
      </c>
      <c r="AE1392" s="133">
        <v>0.990340193196136</v>
      </c>
      <c r="AF1392" s="133">
        <v>0.996248436848687</v>
      </c>
      <c r="AG1392" s="133">
        <v>0.993541442411195</v>
      </c>
      <c r="AH1392" s="133">
        <v>0.994273568392098</v>
      </c>
      <c r="AI1392" s="135">
        <v>0.92</v>
      </c>
      <c r="AJ1392" s="133">
        <v>0.967741935483871</v>
      </c>
      <c r="AK1392" s="133">
        <v>0.963541666666667</v>
      </c>
      <c r="AL1392" s="133">
        <v>0.980712563621752</v>
      </c>
      <c r="AM1392" s="133">
        <v>0.980093591639793</v>
      </c>
      <c r="AN1392" s="132">
        <v>0.99</v>
      </c>
      <c r="AO1392" s="137">
        <v>1</v>
      </c>
      <c r="AP1392" s="137">
        <v>1</v>
      </c>
      <c r="AQ1392" s="137">
        <v>1</v>
      </c>
      <c r="AR1392" s="137">
        <v>1</v>
      </c>
      <c r="AS1392" s="158">
        <v>0.0721861525408278</v>
      </c>
      <c r="AT1392" s="141">
        <v>0.0526315789473684</v>
      </c>
      <c r="AU1392" s="141">
        <v>0.0526315789473684</v>
      </c>
      <c r="AV1392" s="141">
        <v>0.0740740740740741</v>
      </c>
      <c r="AW1392" s="141">
        <v>0.0129198966408269</v>
      </c>
      <c r="AX1392" s="95"/>
      <c r="AY1392" s="93"/>
    </row>
    <row r="1393" ht="15" spans="1:51">
      <c r="A1393" s="91"/>
      <c r="B1393" s="95"/>
      <c r="C1393" s="152" t="s">
        <v>1085</v>
      </c>
      <c r="D1393" s="153" t="s">
        <v>25</v>
      </c>
      <c r="E1393" s="130" t="s">
        <v>1086</v>
      </c>
      <c r="F1393" s="195" t="s">
        <v>1423</v>
      </c>
      <c r="G1393" s="195" t="s">
        <v>1423</v>
      </c>
      <c r="H1393" s="195" t="s">
        <v>1423</v>
      </c>
      <c r="I1393" s="195" t="s">
        <v>1423</v>
      </c>
      <c r="J1393" s="132">
        <v>0.9</v>
      </c>
      <c r="K1393" s="133">
        <v>0.931034482758621</v>
      </c>
      <c r="L1393" s="133">
        <v>0.84</v>
      </c>
      <c r="M1393" s="134">
        <v>0.8</v>
      </c>
      <c r="N1393" s="133">
        <v>0.843511450381679</v>
      </c>
      <c r="O1393" s="135">
        <v>0.9</v>
      </c>
      <c r="P1393" s="133">
        <v>0.977894736842105</v>
      </c>
      <c r="Q1393" s="133">
        <v>0.97724039829303</v>
      </c>
      <c r="R1393" s="133">
        <v>0.997510373443983</v>
      </c>
      <c r="S1393" s="133">
        <v>0.987097994702989</v>
      </c>
      <c r="T1393" s="135">
        <v>0.9</v>
      </c>
      <c r="U1393" s="133">
        <v>0.956842105263158</v>
      </c>
      <c r="V1393" s="133">
        <v>0.961593172119488</v>
      </c>
      <c r="W1393" s="133">
        <v>0.967634854771784</v>
      </c>
      <c r="X1393" s="133">
        <v>0.965304578130912</v>
      </c>
      <c r="Y1393" s="135">
        <v>0.92</v>
      </c>
      <c r="Z1393" s="135">
        <v>0.964824120603015</v>
      </c>
      <c r="AA1393" s="135">
        <v>0.949409780775717</v>
      </c>
      <c r="AB1393" s="135">
        <v>0.968847352024922</v>
      </c>
      <c r="AC1393" s="135">
        <v>0.976826918326004</v>
      </c>
      <c r="AD1393" s="135">
        <v>0.92</v>
      </c>
      <c r="AE1393" s="133">
        <v>1</v>
      </c>
      <c r="AF1393" s="133">
        <v>0.992957746478873</v>
      </c>
      <c r="AG1393" s="133">
        <v>0.85513078470825</v>
      </c>
      <c r="AH1393" s="133">
        <v>0.989567716141929</v>
      </c>
      <c r="AI1393" s="135">
        <v>0.92</v>
      </c>
      <c r="AJ1393" s="133">
        <v>0.975835475578406</v>
      </c>
      <c r="AK1393" s="133">
        <v>0.966820987654321</v>
      </c>
      <c r="AL1393" s="133">
        <v>0.983757444504602</v>
      </c>
      <c r="AM1393" s="133">
        <v>0.985602262501607</v>
      </c>
      <c r="AN1393" s="132">
        <v>0.99</v>
      </c>
      <c r="AO1393" s="137">
        <v>1</v>
      </c>
      <c r="AP1393" s="137">
        <v>1</v>
      </c>
      <c r="AQ1393" s="137">
        <v>1</v>
      </c>
      <c r="AR1393" s="137">
        <v>1</v>
      </c>
      <c r="AS1393" s="158">
        <v>0.0721861525408278</v>
      </c>
      <c r="AT1393" s="141">
        <v>0</v>
      </c>
      <c r="AU1393" s="141">
        <v>0</v>
      </c>
      <c r="AV1393" s="141">
        <v>0.272727272727273</v>
      </c>
      <c r="AW1393" s="141">
        <v>0.104</v>
      </c>
      <c r="AX1393" s="95"/>
      <c r="AY1393" s="93"/>
    </row>
    <row r="1394" ht="15" spans="1:51">
      <c r="A1394" s="91"/>
      <c r="B1394" s="95"/>
      <c r="C1394" s="152" t="s">
        <v>1085</v>
      </c>
      <c r="D1394" s="153" t="s">
        <v>25</v>
      </c>
      <c r="E1394" s="130" t="s">
        <v>1086</v>
      </c>
      <c r="F1394" s="195" t="s">
        <v>1424</v>
      </c>
      <c r="G1394" s="195" t="s">
        <v>1424</v>
      </c>
      <c r="H1394" s="195" t="s">
        <v>1424</v>
      </c>
      <c r="I1394" s="195" t="s">
        <v>1424</v>
      </c>
      <c r="J1394" s="132">
        <v>0.9</v>
      </c>
      <c r="K1394" s="133">
        <v>0.920634920634921</v>
      </c>
      <c r="L1394" s="133">
        <v>0.946428571428571</v>
      </c>
      <c r="M1394" s="134">
        <v>0.929824561403509</v>
      </c>
      <c r="N1394" s="133">
        <v>0.858156028368794</v>
      </c>
      <c r="O1394" s="135">
        <v>0.9</v>
      </c>
      <c r="P1394" s="133">
        <v>0.99035757332262</v>
      </c>
      <c r="Q1394" s="133">
        <v>0.982871536523929</v>
      </c>
      <c r="R1394" s="133">
        <v>0.979250720461095</v>
      </c>
      <c r="S1394" s="133">
        <v>0.978784110029995</v>
      </c>
      <c r="T1394" s="135">
        <v>0.9</v>
      </c>
      <c r="U1394" s="133">
        <v>0.962233828846926</v>
      </c>
      <c r="V1394" s="133">
        <v>0.95919395465995</v>
      </c>
      <c r="W1394" s="133">
        <v>0.960518731988473</v>
      </c>
      <c r="X1394" s="133">
        <v>0.962952666617894</v>
      </c>
      <c r="Y1394" s="135">
        <v>0.92</v>
      </c>
      <c r="Z1394" s="135">
        <v>0.972835314091681</v>
      </c>
      <c r="AA1394" s="135">
        <v>0.979234263465282</v>
      </c>
      <c r="AB1394" s="135">
        <v>0.974358974358974</v>
      </c>
      <c r="AC1394" s="135">
        <v>0.972491428344927</v>
      </c>
      <c r="AD1394" s="135">
        <v>0.92</v>
      </c>
      <c r="AE1394" s="133">
        <v>0.98034811903425</v>
      </c>
      <c r="AF1394" s="133">
        <v>0.98371104815864</v>
      </c>
      <c r="AG1394" s="133">
        <v>0.976744186046512</v>
      </c>
      <c r="AH1394" s="133">
        <v>0.981526991578075</v>
      </c>
      <c r="AI1394" s="135">
        <v>0.92</v>
      </c>
      <c r="AJ1394" s="133">
        <v>0.980392156862745</v>
      </c>
      <c r="AK1394" s="133">
        <v>0.984685195689166</v>
      </c>
      <c r="AL1394" s="133">
        <v>0.983405619460683</v>
      </c>
      <c r="AM1394" s="133">
        <v>0.983393933272733</v>
      </c>
      <c r="AN1394" s="132">
        <v>0.99</v>
      </c>
      <c r="AO1394" s="137">
        <v>1</v>
      </c>
      <c r="AP1394" s="137">
        <v>1</v>
      </c>
      <c r="AQ1394" s="137">
        <v>1</v>
      </c>
      <c r="AR1394" s="137">
        <v>1</v>
      </c>
      <c r="AS1394" s="158">
        <v>0.0721861525408278</v>
      </c>
      <c r="AT1394" s="141">
        <v>0.0967741935483871</v>
      </c>
      <c r="AU1394" s="141">
        <v>0.0333333333333333</v>
      </c>
      <c r="AV1394" s="141">
        <v>0.04</v>
      </c>
      <c r="AW1394" s="141">
        <v>0.0422163588390501</v>
      </c>
      <c r="AX1394" s="95"/>
      <c r="AY1394" s="93"/>
    </row>
    <row r="1395" ht="15" spans="1:51">
      <c r="A1395" s="91"/>
      <c r="B1395" s="95"/>
      <c r="C1395" s="152" t="s">
        <v>1085</v>
      </c>
      <c r="D1395" s="153" t="s">
        <v>25</v>
      </c>
      <c r="E1395" s="130" t="s">
        <v>1086</v>
      </c>
      <c r="F1395" s="195" t="s">
        <v>1425</v>
      </c>
      <c r="G1395" s="195" t="s">
        <v>1425</v>
      </c>
      <c r="H1395" s="195" t="s">
        <v>1425</v>
      </c>
      <c r="I1395" s="195" t="s">
        <v>1425</v>
      </c>
      <c r="J1395" s="132">
        <v>0.9</v>
      </c>
      <c r="K1395" s="133">
        <v>0.897435897435897</v>
      </c>
      <c r="L1395" s="133">
        <v>0.810810810810811</v>
      </c>
      <c r="M1395" s="134">
        <v>0.815789473684211</v>
      </c>
      <c r="N1395" s="133">
        <v>0.860130718954248</v>
      </c>
      <c r="O1395" s="135">
        <v>0.9</v>
      </c>
      <c r="P1395" s="133">
        <v>0.993963782696177</v>
      </c>
      <c r="Q1395" s="133">
        <v>0.989976869699306</v>
      </c>
      <c r="R1395" s="133">
        <v>0.991533396048918</v>
      </c>
      <c r="S1395" s="133">
        <v>0.988079928776338</v>
      </c>
      <c r="T1395" s="135">
        <v>0.9</v>
      </c>
      <c r="U1395" s="133">
        <v>0.963782696177062</v>
      </c>
      <c r="V1395" s="133">
        <v>0.9745566692367</v>
      </c>
      <c r="W1395" s="133">
        <v>0.982596425211665</v>
      </c>
      <c r="X1395" s="133">
        <v>0.981180136512019</v>
      </c>
      <c r="Y1395" s="135">
        <v>0.92</v>
      </c>
      <c r="Z1395" s="135">
        <v>0.967343976777939</v>
      </c>
      <c r="AA1395" s="135">
        <v>0.96421052631579</v>
      </c>
      <c r="AB1395" s="135">
        <v>0.979458450046685</v>
      </c>
      <c r="AC1395" s="135">
        <v>0.978117784899549</v>
      </c>
      <c r="AD1395" s="135">
        <v>0.92</v>
      </c>
      <c r="AE1395" s="133">
        <v>0.995502958579882</v>
      </c>
      <c r="AF1395" s="133">
        <v>0.998688155922039</v>
      </c>
      <c r="AG1395" s="133">
        <v>0.995601173020528</v>
      </c>
      <c r="AH1395" s="133">
        <v>0.986650132233287</v>
      </c>
      <c r="AI1395" s="135">
        <v>0.92</v>
      </c>
      <c r="AJ1395" s="133">
        <v>0.973509933774834</v>
      </c>
      <c r="AK1395" s="133">
        <v>0.975522919448153</v>
      </c>
      <c r="AL1395" s="133">
        <v>0.986549890522365</v>
      </c>
      <c r="AM1395" s="133">
        <v>0.986481038901207</v>
      </c>
      <c r="AN1395" s="132">
        <v>0.99</v>
      </c>
      <c r="AO1395" s="137">
        <v>1</v>
      </c>
      <c r="AP1395" s="137">
        <v>1</v>
      </c>
      <c r="AQ1395" s="137">
        <v>1</v>
      </c>
      <c r="AR1395" s="137">
        <v>1</v>
      </c>
      <c r="AS1395" s="158">
        <v>0.0721861525408278</v>
      </c>
      <c r="AT1395" s="141">
        <v>0</v>
      </c>
      <c r="AU1395" s="141">
        <v>0</v>
      </c>
      <c r="AV1395" s="141">
        <v>0.0344827586206897</v>
      </c>
      <c r="AW1395" s="141">
        <v>0.0226757369614512</v>
      </c>
      <c r="AX1395" s="95"/>
      <c r="AY1395" s="93"/>
    </row>
    <row r="1396" ht="15" spans="1:51">
      <c r="A1396" s="91"/>
      <c r="B1396" s="95"/>
      <c r="C1396" s="152" t="s">
        <v>1085</v>
      </c>
      <c r="D1396" s="153" t="s">
        <v>25</v>
      </c>
      <c r="E1396" s="130" t="s">
        <v>1086</v>
      </c>
      <c r="F1396" s="195" t="s">
        <v>1426</v>
      </c>
      <c r="G1396" s="195" t="s">
        <v>1426</v>
      </c>
      <c r="H1396" s="195" t="s">
        <v>1426</v>
      </c>
      <c r="I1396" s="195" t="s">
        <v>1426</v>
      </c>
      <c r="J1396" s="132">
        <v>0.9</v>
      </c>
      <c r="K1396" s="133">
        <v>0.951219512195122</v>
      </c>
      <c r="L1396" s="133">
        <v>0.970588235294118</v>
      </c>
      <c r="M1396" s="134">
        <v>0.948717948717949</v>
      </c>
      <c r="N1396" s="133">
        <v>0.955585464333782</v>
      </c>
      <c r="O1396" s="135">
        <v>0.9</v>
      </c>
      <c r="P1396" s="133">
        <v>0.990072799470549</v>
      </c>
      <c r="Q1396" s="133">
        <v>0.943950177935943</v>
      </c>
      <c r="R1396" s="133">
        <v>0.989276139410188</v>
      </c>
      <c r="S1396" s="133">
        <v>0.971631016755015</v>
      </c>
      <c r="T1396" s="135">
        <v>0.9</v>
      </c>
      <c r="U1396" s="133">
        <v>0.945069490403706</v>
      </c>
      <c r="V1396" s="133">
        <v>0.912811387900356</v>
      </c>
      <c r="W1396" s="133">
        <v>0.951742627345844</v>
      </c>
      <c r="X1396" s="133">
        <v>0.94107775498788</v>
      </c>
      <c r="Y1396" s="135">
        <v>0.92</v>
      </c>
      <c r="Z1396" s="135">
        <v>0.95322466335932</v>
      </c>
      <c r="AA1396" s="135">
        <v>0.919338159255429</v>
      </c>
      <c r="AB1396" s="135">
        <v>0.951149425287356</v>
      </c>
      <c r="AC1396" s="135">
        <v>0.953775200027951</v>
      </c>
      <c r="AD1396" s="135">
        <v>0.92</v>
      </c>
      <c r="AE1396" s="133">
        <v>1</v>
      </c>
      <c r="AF1396" s="133">
        <v>1</v>
      </c>
      <c r="AG1396" s="133">
        <v>0.994186046511628</v>
      </c>
      <c r="AH1396" s="133">
        <v>0.999281996050978</v>
      </c>
      <c r="AI1396" s="135">
        <v>0.92</v>
      </c>
      <c r="AJ1396" s="133">
        <v>0.963039014373717</v>
      </c>
      <c r="AK1396" s="133">
        <v>0.941176470588235</v>
      </c>
      <c r="AL1396" s="133">
        <v>0.969759450171821</v>
      </c>
      <c r="AM1396" s="133">
        <v>0.971162565745723</v>
      </c>
      <c r="AN1396" s="132">
        <v>0.99</v>
      </c>
      <c r="AO1396" s="137">
        <v>1</v>
      </c>
      <c r="AP1396" s="137">
        <v>1</v>
      </c>
      <c r="AQ1396" s="137">
        <v>1</v>
      </c>
      <c r="AR1396" s="137">
        <v>1</v>
      </c>
      <c r="AS1396" s="158">
        <v>0.0721861525408278</v>
      </c>
      <c r="AT1396" s="141">
        <v>0</v>
      </c>
      <c r="AU1396" s="141">
        <v>0.142857142857143</v>
      </c>
      <c r="AV1396" s="141">
        <v>0</v>
      </c>
      <c r="AW1396" s="141">
        <v>0.0362903225806452</v>
      </c>
      <c r="AX1396" s="95"/>
      <c r="AY1396" s="93"/>
    </row>
    <row r="1397" ht="15" spans="1:51">
      <c r="A1397" s="91"/>
      <c r="B1397" s="95"/>
      <c r="C1397" s="152" t="s">
        <v>1085</v>
      </c>
      <c r="D1397" s="153" t="s">
        <v>25</v>
      </c>
      <c r="E1397" s="130" t="s">
        <v>1086</v>
      </c>
      <c r="F1397" s="195" t="s">
        <v>1427</v>
      </c>
      <c r="G1397" s="195" t="s">
        <v>1427</v>
      </c>
      <c r="H1397" s="195" t="s">
        <v>1427</v>
      </c>
      <c r="I1397" s="195" t="s">
        <v>1427</v>
      </c>
      <c r="J1397" s="132">
        <v>0.9</v>
      </c>
      <c r="K1397" s="133">
        <v>1</v>
      </c>
      <c r="L1397" s="133">
        <v>0.92156862745098</v>
      </c>
      <c r="M1397" s="134">
        <v>0.964285714285714</v>
      </c>
      <c r="N1397" s="133">
        <v>0.947472745292369</v>
      </c>
      <c r="O1397" s="135">
        <v>0.9</v>
      </c>
      <c r="P1397" s="133">
        <v>0.97406004080443</v>
      </c>
      <c r="Q1397" s="133">
        <v>0.962794918330309</v>
      </c>
      <c r="R1397" s="133">
        <v>0.982178945434503</v>
      </c>
      <c r="S1397" s="133">
        <v>0.976286513564505</v>
      </c>
      <c r="T1397" s="135">
        <v>0.9</v>
      </c>
      <c r="U1397" s="133">
        <v>0.874089186825998</v>
      </c>
      <c r="V1397" s="133">
        <v>0.886872353297036</v>
      </c>
      <c r="W1397" s="133">
        <v>0.803233510931472</v>
      </c>
      <c r="X1397" s="133">
        <v>0.820018216121267</v>
      </c>
      <c r="Y1397" s="135">
        <v>0.92</v>
      </c>
      <c r="Z1397" s="135" t="s">
        <v>35</v>
      </c>
      <c r="AA1397" s="135" t="s">
        <v>35</v>
      </c>
      <c r="AB1397" s="135" t="s">
        <v>35</v>
      </c>
      <c r="AC1397" s="135">
        <v>0.5</v>
      </c>
      <c r="AD1397" s="135">
        <v>0.92</v>
      </c>
      <c r="AE1397" s="133">
        <v>0.998881431767338</v>
      </c>
      <c r="AF1397" s="133">
        <v>0.99873257287706</v>
      </c>
      <c r="AG1397" s="133">
        <v>0.989915966386555</v>
      </c>
      <c r="AH1397" s="133">
        <v>0.998064900267937</v>
      </c>
      <c r="AI1397" s="135">
        <v>0.92</v>
      </c>
      <c r="AJ1397" s="133">
        <v>0.945496939667735</v>
      </c>
      <c r="AK1397" s="133">
        <v>0.955232909860859</v>
      </c>
      <c r="AL1397" s="133">
        <v>0.969502112805438</v>
      </c>
      <c r="AM1397" s="133">
        <v>0.965064839311272</v>
      </c>
      <c r="AN1397" s="132">
        <v>0.99</v>
      </c>
      <c r="AO1397" s="137">
        <v>1</v>
      </c>
      <c r="AP1397" s="137">
        <v>1</v>
      </c>
      <c r="AQ1397" s="137">
        <v>1</v>
      </c>
      <c r="AR1397" s="137">
        <v>1</v>
      </c>
      <c r="AS1397" s="158">
        <v>0.0721861525408278</v>
      </c>
      <c r="AT1397" s="141">
        <v>0</v>
      </c>
      <c r="AU1397" s="141">
        <v>0</v>
      </c>
      <c r="AV1397" s="141">
        <v>0.0454545454545455</v>
      </c>
      <c r="AW1397" s="141">
        <v>0.0294117647058824</v>
      </c>
      <c r="AX1397" s="95"/>
      <c r="AY1397" s="93"/>
    </row>
    <row r="1398" ht="15" spans="1:51">
      <c r="A1398" s="91"/>
      <c r="B1398" s="95"/>
      <c r="C1398" s="152" t="s">
        <v>1085</v>
      </c>
      <c r="D1398" s="153" t="s">
        <v>25</v>
      </c>
      <c r="E1398" s="130" t="s">
        <v>1086</v>
      </c>
      <c r="F1398" s="195" t="s">
        <v>1428</v>
      </c>
      <c r="G1398" s="195" t="s">
        <v>1428</v>
      </c>
      <c r="H1398" s="195" t="s">
        <v>1428</v>
      </c>
      <c r="I1398" s="195" t="s">
        <v>1428</v>
      </c>
      <c r="J1398" s="132">
        <v>0.9</v>
      </c>
      <c r="K1398" s="133">
        <v>0.975</v>
      </c>
      <c r="L1398" s="133">
        <v>0.947368421052632</v>
      </c>
      <c r="M1398" s="134">
        <v>0.948717948717949</v>
      </c>
      <c r="N1398" s="133">
        <v>0.941644562334218</v>
      </c>
      <c r="O1398" s="135">
        <v>0.9</v>
      </c>
      <c r="P1398" s="133">
        <v>0.995079950799508</v>
      </c>
      <c r="Q1398" s="133">
        <v>0.977777777777778</v>
      </c>
      <c r="R1398" s="133">
        <v>0.994706660785179</v>
      </c>
      <c r="S1398" s="133">
        <v>0.986552458725368</v>
      </c>
      <c r="T1398" s="135">
        <v>0.9</v>
      </c>
      <c r="U1398" s="133">
        <v>0.955719557195572</v>
      </c>
      <c r="V1398" s="133">
        <v>0.956989247311828</v>
      </c>
      <c r="W1398" s="133">
        <v>0.963387737097486</v>
      </c>
      <c r="X1398" s="133">
        <v>0.96571542694834</v>
      </c>
      <c r="Y1398" s="135">
        <v>0.92</v>
      </c>
      <c r="Z1398" s="135">
        <v>0.973737373737374</v>
      </c>
      <c r="AA1398" s="135">
        <v>0.978131212723658</v>
      </c>
      <c r="AB1398" s="135">
        <v>0.965403624382208</v>
      </c>
      <c r="AC1398" s="135">
        <v>0.971536766303504</v>
      </c>
      <c r="AD1398" s="135">
        <v>0.92</v>
      </c>
      <c r="AE1398" s="133">
        <v>0.960515713134569</v>
      </c>
      <c r="AF1398" s="133">
        <v>0.992</v>
      </c>
      <c r="AG1398" s="133">
        <v>0.998639455782313</v>
      </c>
      <c r="AH1398" s="133">
        <v>0.985350224489366</v>
      </c>
      <c r="AI1398" s="135">
        <v>0.92</v>
      </c>
      <c r="AJ1398" s="133">
        <v>0.97621343619415</v>
      </c>
      <c r="AK1398" s="133">
        <v>0.978342357351104</v>
      </c>
      <c r="AL1398" s="133">
        <v>0.977592645791439</v>
      </c>
      <c r="AM1398" s="133">
        <v>0.982557612929105</v>
      </c>
      <c r="AN1398" s="132">
        <v>0.99</v>
      </c>
      <c r="AO1398" s="137">
        <v>1</v>
      </c>
      <c r="AP1398" s="137">
        <v>1</v>
      </c>
      <c r="AQ1398" s="137">
        <v>1</v>
      </c>
      <c r="AR1398" s="137">
        <v>1</v>
      </c>
      <c r="AS1398" s="158">
        <v>0.0721861525408278</v>
      </c>
      <c r="AT1398" s="141">
        <v>0</v>
      </c>
      <c r="AU1398" s="141">
        <v>0</v>
      </c>
      <c r="AV1398" s="141">
        <v>0</v>
      </c>
      <c r="AW1398" s="141">
        <v>0.012987012987013</v>
      </c>
      <c r="AX1398" s="95"/>
      <c r="AY1398" s="93"/>
    </row>
    <row r="1399" ht="15" spans="1:51">
      <c r="A1399" s="91"/>
      <c r="B1399" s="95"/>
      <c r="C1399" s="152" t="s">
        <v>1085</v>
      </c>
      <c r="D1399" s="153" t="s">
        <v>25</v>
      </c>
      <c r="E1399" s="130" t="s">
        <v>1086</v>
      </c>
      <c r="F1399" s="195" t="s">
        <v>1429</v>
      </c>
      <c r="G1399" s="195" t="s">
        <v>1429</v>
      </c>
      <c r="H1399" s="195" t="s">
        <v>1429</v>
      </c>
      <c r="I1399" s="195" t="s">
        <v>1429</v>
      </c>
      <c r="J1399" s="132">
        <v>0.9</v>
      </c>
      <c r="K1399" s="133">
        <v>0.935064935064935</v>
      </c>
      <c r="L1399" s="133">
        <v>0.983870967741935</v>
      </c>
      <c r="M1399" s="134">
        <v>0.968253968253968</v>
      </c>
      <c r="N1399" s="133">
        <v>0.959939531368103</v>
      </c>
      <c r="O1399" s="135">
        <v>0.9</v>
      </c>
      <c r="P1399" s="133">
        <v>0.979146301726947</v>
      </c>
      <c r="Q1399" s="133">
        <v>0.968304278922345</v>
      </c>
      <c r="R1399" s="133">
        <v>0.96797153024911</v>
      </c>
      <c r="S1399" s="133">
        <v>0.970439779463153</v>
      </c>
      <c r="T1399" s="135">
        <v>0.9</v>
      </c>
      <c r="U1399" s="133">
        <v>0.959270120560443</v>
      </c>
      <c r="V1399" s="133">
        <v>0.948098256735341</v>
      </c>
      <c r="W1399" s="133">
        <v>0.958244365361803</v>
      </c>
      <c r="X1399" s="133">
        <v>0.951220459192918</v>
      </c>
      <c r="Y1399" s="135">
        <v>0.92</v>
      </c>
      <c r="Z1399" s="135">
        <v>0.941075120606478</v>
      </c>
      <c r="AA1399" s="135">
        <v>0.929042067916878</v>
      </c>
      <c r="AB1399" s="135">
        <v>0.959274015050907</v>
      </c>
      <c r="AC1399" s="135">
        <v>0.946778662055092</v>
      </c>
      <c r="AD1399" s="135">
        <v>0.92</v>
      </c>
      <c r="AE1399" s="133">
        <v>0.998125585754452</v>
      </c>
      <c r="AF1399" s="133">
        <v>0.99581589958159</v>
      </c>
      <c r="AG1399" s="133">
        <v>0.987654320987654</v>
      </c>
      <c r="AH1399" s="133">
        <v>0.975131742554325</v>
      </c>
      <c r="AI1399" s="135">
        <v>0.92</v>
      </c>
      <c r="AJ1399" s="133">
        <v>0.962987774242171</v>
      </c>
      <c r="AK1399" s="133">
        <v>0.954858794752057</v>
      </c>
      <c r="AL1399" s="133">
        <v>0.97451343836886</v>
      </c>
      <c r="AM1399" s="133">
        <v>0.96884542162828</v>
      </c>
      <c r="AN1399" s="132">
        <v>0.99</v>
      </c>
      <c r="AO1399" s="137">
        <v>1</v>
      </c>
      <c r="AP1399" s="137">
        <v>1</v>
      </c>
      <c r="AQ1399" s="137">
        <v>1</v>
      </c>
      <c r="AR1399" s="137">
        <v>1</v>
      </c>
      <c r="AS1399" s="158">
        <v>0.0721861525408278</v>
      </c>
      <c r="AT1399" s="141">
        <v>0.0188679245283019</v>
      </c>
      <c r="AU1399" s="141">
        <v>0.0256410256410256</v>
      </c>
      <c r="AV1399" s="141">
        <v>0.0204081632653061</v>
      </c>
      <c r="AW1399" s="141">
        <v>0.0379464285714286</v>
      </c>
      <c r="AX1399" s="95"/>
      <c r="AY1399" s="93"/>
    </row>
    <row r="1400" ht="15" spans="1:51">
      <c r="A1400" s="91"/>
      <c r="B1400" s="95"/>
      <c r="C1400" s="152" t="s">
        <v>1085</v>
      </c>
      <c r="D1400" s="153" t="s">
        <v>25</v>
      </c>
      <c r="E1400" s="130" t="s">
        <v>1086</v>
      </c>
      <c r="F1400" s="195" t="s">
        <v>1430</v>
      </c>
      <c r="G1400" s="195" t="s">
        <v>1430</v>
      </c>
      <c r="H1400" s="195" t="s">
        <v>1430</v>
      </c>
      <c r="I1400" s="195" t="s">
        <v>1430</v>
      </c>
      <c r="J1400" s="132">
        <v>0.9</v>
      </c>
      <c r="K1400" s="133">
        <v>0.823529411764706</v>
      </c>
      <c r="L1400" s="133">
        <v>0.933333333333333</v>
      </c>
      <c r="M1400" s="134">
        <v>0.823529411764706</v>
      </c>
      <c r="N1400" s="133">
        <v>0.865625</v>
      </c>
      <c r="O1400" s="135">
        <v>0.9</v>
      </c>
      <c r="P1400" s="133">
        <v>0.969549330085262</v>
      </c>
      <c r="Q1400" s="133">
        <v>0.944155844155844</v>
      </c>
      <c r="R1400" s="133">
        <v>0.965976331360947</v>
      </c>
      <c r="S1400" s="133">
        <v>0.961297720865784</v>
      </c>
      <c r="T1400" s="135">
        <v>0.9</v>
      </c>
      <c r="U1400" s="133">
        <v>0.788063337393423</v>
      </c>
      <c r="V1400" s="133">
        <v>0.761038961038961</v>
      </c>
      <c r="W1400" s="133">
        <v>0.636834319526627</v>
      </c>
      <c r="X1400" s="133">
        <v>0.697023269148072</v>
      </c>
      <c r="Y1400" s="135">
        <v>0.92</v>
      </c>
      <c r="Z1400" s="135" t="s">
        <v>35</v>
      </c>
      <c r="AA1400" s="135" t="s">
        <v>35</v>
      </c>
      <c r="AB1400" s="135" t="s">
        <v>35</v>
      </c>
      <c r="AC1400" s="135">
        <v>0</v>
      </c>
      <c r="AD1400" s="135">
        <v>0.92</v>
      </c>
      <c r="AE1400" s="133">
        <v>0.833333333333333</v>
      </c>
      <c r="AF1400" s="133">
        <v>0.583333333333333</v>
      </c>
      <c r="AG1400" s="133">
        <v>1</v>
      </c>
      <c r="AH1400" s="133">
        <v>0.790849673202614</v>
      </c>
      <c r="AI1400" s="135">
        <v>0.92</v>
      </c>
      <c r="AJ1400" s="133">
        <v>0.859926918392205</v>
      </c>
      <c r="AK1400" s="133">
        <v>0.814285714285714</v>
      </c>
      <c r="AL1400" s="133">
        <v>0.881656804733728</v>
      </c>
      <c r="AM1400" s="133">
        <v>0.879455327281414</v>
      </c>
      <c r="AN1400" s="132">
        <v>0.99</v>
      </c>
      <c r="AO1400" s="137">
        <v>1</v>
      </c>
      <c r="AP1400" s="137">
        <v>1</v>
      </c>
      <c r="AQ1400" s="137">
        <v>1</v>
      </c>
      <c r="AR1400" s="137">
        <v>1</v>
      </c>
      <c r="AS1400" s="158">
        <v>0.0721861525408278</v>
      </c>
      <c r="AT1400" s="141">
        <v>0</v>
      </c>
      <c r="AU1400" s="141">
        <v>0</v>
      </c>
      <c r="AV1400" s="141">
        <v>0.125</v>
      </c>
      <c r="AW1400" s="141">
        <v>0.0393700787401575</v>
      </c>
      <c r="AX1400" s="95"/>
      <c r="AY1400" s="93"/>
    </row>
    <row r="1401" ht="15" spans="1:51">
      <c r="A1401" s="91"/>
      <c r="B1401" s="95"/>
      <c r="C1401" s="152" t="s">
        <v>1085</v>
      </c>
      <c r="D1401" s="153" t="s">
        <v>25</v>
      </c>
      <c r="E1401" s="130" t="s">
        <v>1086</v>
      </c>
      <c r="F1401" s="195" t="s">
        <v>1431</v>
      </c>
      <c r="G1401" s="195" t="s">
        <v>1431</v>
      </c>
      <c r="H1401" s="195" t="s">
        <v>1431</v>
      </c>
      <c r="I1401" s="195" t="s">
        <v>1431</v>
      </c>
      <c r="J1401" s="132">
        <v>0.9</v>
      </c>
      <c r="K1401" s="133">
        <v>0.95</v>
      </c>
      <c r="L1401" s="133">
        <v>0.888888888888889</v>
      </c>
      <c r="M1401" s="134">
        <v>0.941176470588235</v>
      </c>
      <c r="N1401" s="133">
        <v>0.944837340876945</v>
      </c>
      <c r="O1401" s="135">
        <v>0.9</v>
      </c>
      <c r="P1401" s="133">
        <v>0.902316844082655</v>
      </c>
      <c r="Q1401" s="133">
        <v>0.991967871485944</v>
      </c>
      <c r="R1401" s="133">
        <v>0.992867332382311</v>
      </c>
      <c r="S1401" s="133">
        <v>0.976206466468387</v>
      </c>
      <c r="T1401" s="135">
        <v>0.9</v>
      </c>
      <c r="U1401" s="133">
        <v>0.877269881026925</v>
      </c>
      <c r="V1401" s="133">
        <v>0.962248995983936</v>
      </c>
      <c r="W1401" s="133">
        <v>0.95244888254874</v>
      </c>
      <c r="X1401" s="133">
        <v>0.953060539192171</v>
      </c>
      <c r="Y1401" s="135">
        <v>0.92</v>
      </c>
      <c r="Z1401" s="135">
        <v>0.964553510565781</v>
      </c>
      <c r="AA1401" s="135">
        <v>0.984833164812942</v>
      </c>
      <c r="AB1401" s="135">
        <v>0.98961038961039</v>
      </c>
      <c r="AC1401" s="135">
        <v>0.971300183678824</v>
      </c>
      <c r="AD1401" s="135">
        <v>0.92</v>
      </c>
      <c r="AE1401" s="133">
        <v>0.99490575649516</v>
      </c>
      <c r="AF1401" s="133">
        <v>0.994267847837415</v>
      </c>
      <c r="AG1401" s="133">
        <v>0.999235474006116</v>
      </c>
      <c r="AH1401" s="133">
        <v>0.994807795292091</v>
      </c>
      <c r="AI1401" s="135">
        <v>0.92</v>
      </c>
      <c r="AJ1401" s="133">
        <v>0.976501305483029</v>
      </c>
      <c r="AK1401" s="133">
        <v>0.988809310653536</v>
      </c>
      <c r="AL1401" s="133">
        <v>0.987722529158993</v>
      </c>
      <c r="AM1401" s="133">
        <v>0.98149174332262</v>
      </c>
      <c r="AN1401" s="132">
        <v>0.99</v>
      </c>
      <c r="AO1401" s="137">
        <v>1</v>
      </c>
      <c r="AP1401" s="137">
        <v>1</v>
      </c>
      <c r="AQ1401" s="137">
        <v>1</v>
      </c>
      <c r="AR1401" s="137">
        <v>1</v>
      </c>
      <c r="AS1401" s="158">
        <v>0.0721861525408278</v>
      </c>
      <c r="AT1401" s="141">
        <v>0.0333333333333333</v>
      </c>
      <c r="AU1401" s="141">
        <v>0</v>
      </c>
      <c r="AV1401" s="141">
        <v>0</v>
      </c>
      <c r="AW1401" s="141">
        <v>-0.00269541778975741</v>
      </c>
      <c r="AX1401" s="95"/>
      <c r="AY1401" s="93"/>
    </row>
    <row r="1402" ht="15" spans="1:51">
      <c r="A1402" s="91"/>
      <c r="B1402" s="95"/>
      <c r="C1402" s="152" t="s">
        <v>1085</v>
      </c>
      <c r="D1402" s="153" t="s">
        <v>25</v>
      </c>
      <c r="E1402" s="130" t="s">
        <v>1086</v>
      </c>
      <c r="F1402" s="195" t="s">
        <v>1432</v>
      </c>
      <c r="G1402" s="195" t="s">
        <v>1432</v>
      </c>
      <c r="H1402" s="195" t="s">
        <v>1432</v>
      </c>
      <c r="I1402" s="195" t="s">
        <v>1432</v>
      </c>
      <c r="J1402" s="132">
        <v>0.9</v>
      </c>
      <c r="K1402" s="133">
        <v>0.902439024390244</v>
      </c>
      <c r="L1402" s="133">
        <v>0.868421052631579</v>
      </c>
      <c r="M1402" s="134">
        <v>0.894736842105263</v>
      </c>
      <c r="N1402" s="133">
        <v>0.933333333333333</v>
      </c>
      <c r="O1402" s="135">
        <v>0.9</v>
      </c>
      <c r="P1402" s="133">
        <v>0.994271164863144</v>
      </c>
      <c r="Q1402" s="133">
        <v>0.992711370262391</v>
      </c>
      <c r="R1402" s="133">
        <v>0.964545454545455</v>
      </c>
      <c r="S1402" s="133">
        <v>0.988207090275087</v>
      </c>
      <c r="T1402" s="135">
        <v>0.9</v>
      </c>
      <c r="U1402" s="133">
        <v>0.92488860598345</v>
      </c>
      <c r="V1402" s="133">
        <v>0.946793002915452</v>
      </c>
      <c r="W1402" s="133">
        <v>0.955</v>
      </c>
      <c r="X1402" s="133">
        <v>0.948082138705928</v>
      </c>
      <c r="Y1402" s="135">
        <v>0.92</v>
      </c>
      <c r="Z1402" s="135">
        <v>0.94850603941513</v>
      </c>
      <c r="AA1402" s="135">
        <v>0.940269749518304</v>
      </c>
      <c r="AB1402" s="135">
        <v>0.958119658119658</v>
      </c>
      <c r="AC1402" s="135">
        <v>0.965260141954809</v>
      </c>
      <c r="AD1402" s="135">
        <v>0.92</v>
      </c>
      <c r="AE1402" s="133">
        <v>1</v>
      </c>
      <c r="AF1402" s="133">
        <v>0.995018679950187</v>
      </c>
      <c r="AG1402" s="133">
        <v>1</v>
      </c>
      <c r="AH1402" s="133">
        <v>0.998963577139473</v>
      </c>
      <c r="AI1402" s="135">
        <v>0.92</v>
      </c>
      <c r="AJ1402" s="133">
        <v>0.955152671755725</v>
      </c>
      <c r="AK1402" s="133">
        <v>0.958921161825726</v>
      </c>
      <c r="AL1402" s="133">
        <v>0.973590504451039</v>
      </c>
      <c r="AM1402" s="133">
        <v>0.976072767671157</v>
      </c>
      <c r="AN1402" s="132">
        <v>0.99</v>
      </c>
      <c r="AO1402" s="137">
        <v>1</v>
      </c>
      <c r="AP1402" s="137">
        <v>1</v>
      </c>
      <c r="AQ1402" s="137">
        <v>1</v>
      </c>
      <c r="AR1402" s="137">
        <v>1</v>
      </c>
      <c r="AS1402" s="158">
        <v>0.0721861525408278</v>
      </c>
      <c r="AT1402" s="141">
        <v>0</v>
      </c>
      <c r="AU1402" s="141">
        <v>0</v>
      </c>
      <c r="AV1402" s="141">
        <v>0</v>
      </c>
      <c r="AW1402" s="141">
        <v>0.0295566502463054</v>
      </c>
      <c r="AX1402" s="95"/>
      <c r="AY1402" s="93"/>
    </row>
    <row r="1403" ht="15" spans="1:51">
      <c r="A1403" s="91"/>
      <c r="B1403" s="95"/>
      <c r="C1403" s="152" t="s">
        <v>1085</v>
      </c>
      <c r="D1403" s="153" t="s">
        <v>25</v>
      </c>
      <c r="E1403" s="130" t="s">
        <v>1086</v>
      </c>
      <c r="F1403" s="195" t="s">
        <v>1433</v>
      </c>
      <c r="G1403" s="195" t="s">
        <v>1433</v>
      </c>
      <c r="H1403" s="195" t="s">
        <v>1433</v>
      </c>
      <c r="I1403" s="195" t="s">
        <v>1433</v>
      </c>
      <c r="J1403" s="132">
        <v>0.9</v>
      </c>
      <c r="K1403" s="133">
        <v>1</v>
      </c>
      <c r="L1403" s="133">
        <v>1</v>
      </c>
      <c r="M1403" s="134">
        <v>1</v>
      </c>
      <c r="N1403" s="133">
        <v>0.993296089385475</v>
      </c>
      <c r="O1403" s="135">
        <v>0.9</v>
      </c>
      <c r="P1403" s="133">
        <v>0.989830508474576</v>
      </c>
      <c r="Q1403" s="133">
        <v>0.994167550371156</v>
      </c>
      <c r="R1403" s="133">
        <v>0.987875113670809</v>
      </c>
      <c r="S1403" s="133">
        <v>0.984887887193712</v>
      </c>
      <c r="T1403" s="135">
        <v>0.9</v>
      </c>
      <c r="U1403" s="133">
        <v>0.952881355932203</v>
      </c>
      <c r="V1403" s="133">
        <v>0.949098621420997</v>
      </c>
      <c r="W1403" s="133">
        <v>0.965444073961807</v>
      </c>
      <c r="X1403" s="133">
        <v>0.953059986130374</v>
      </c>
      <c r="Y1403" s="135">
        <v>0.92</v>
      </c>
      <c r="Z1403" s="135">
        <v>0.9629057187017</v>
      </c>
      <c r="AA1403" s="135">
        <v>0.941624365482233</v>
      </c>
      <c r="AB1403" s="135">
        <v>0.960600375234522</v>
      </c>
      <c r="AC1403" s="135">
        <v>0.963001595287765</v>
      </c>
      <c r="AD1403" s="135">
        <v>0.92</v>
      </c>
      <c r="AE1403" s="133">
        <v>0.999790180444817</v>
      </c>
      <c r="AF1403" s="133">
        <v>0.999301606305497</v>
      </c>
      <c r="AG1403" s="133">
        <v>0.999810677773571</v>
      </c>
      <c r="AH1403" s="133">
        <v>0.995642290070996</v>
      </c>
      <c r="AI1403" s="135">
        <v>0.92</v>
      </c>
      <c r="AJ1403" s="133">
        <v>0.978593272171254</v>
      </c>
      <c r="AK1403" s="133">
        <v>0.970830216903515</v>
      </c>
      <c r="AL1403" s="133">
        <v>0.986951983298539</v>
      </c>
      <c r="AM1403" s="133">
        <v>0.98485698917187</v>
      </c>
      <c r="AN1403" s="132">
        <v>0.99</v>
      </c>
      <c r="AO1403" s="137">
        <v>1</v>
      </c>
      <c r="AP1403" s="137">
        <v>1</v>
      </c>
      <c r="AQ1403" s="137">
        <v>1</v>
      </c>
      <c r="AR1403" s="137">
        <v>1</v>
      </c>
      <c r="AS1403" s="158">
        <v>0.0721861525408278</v>
      </c>
      <c r="AT1403" s="141">
        <v>0.0666666666666667</v>
      </c>
      <c r="AU1403" s="141">
        <v>0</v>
      </c>
      <c r="AV1403" s="141">
        <v>0.0555555555555556</v>
      </c>
      <c r="AW1403" s="141">
        <v>0.0186915887850467</v>
      </c>
      <c r="AX1403" s="95"/>
      <c r="AY1403" s="93"/>
    </row>
    <row r="1404" ht="15" spans="1:51">
      <c r="A1404" s="91"/>
      <c r="B1404" s="95"/>
      <c r="C1404" s="152" t="s">
        <v>1085</v>
      </c>
      <c r="D1404" s="153" t="s">
        <v>25</v>
      </c>
      <c r="E1404" s="130" t="s">
        <v>1086</v>
      </c>
      <c r="F1404" s="195" t="s">
        <v>1434</v>
      </c>
      <c r="G1404" s="195" t="s">
        <v>1434</v>
      </c>
      <c r="H1404" s="195" t="s">
        <v>1434</v>
      </c>
      <c r="I1404" s="195" t="s">
        <v>1434</v>
      </c>
      <c r="J1404" s="132">
        <v>0.9</v>
      </c>
      <c r="K1404" s="133">
        <v>1</v>
      </c>
      <c r="L1404" s="133">
        <v>1</v>
      </c>
      <c r="M1404" s="134">
        <v>1</v>
      </c>
      <c r="N1404" s="133">
        <v>0.995568685376662</v>
      </c>
      <c r="O1404" s="135">
        <v>0.9</v>
      </c>
      <c r="P1404" s="133">
        <v>0.969831849653808</v>
      </c>
      <c r="Q1404" s="133">
        <v>0.996953541507997</v>
      </c>
      <c r="R1404" s="133">
        <v>0.990969581749049</v>
      </c>
      <c r="S1404" s="133">
        <v>0.991581653811064</v>
      </c>
      <c r="T1404" s="135">
        <v>0.9</v>
      </c>
      <c r="U1404" s="133">
        <v>0.919386745796241</v>
      </c>
      <c r="V1404" s="133">
        <v>0.953541507996954</v>
      </c>
      <c r="W1404" s="133">
        <v>0.968631178707224</v>
      </c>
      <c r="X1404" s="133">
        <v>0.958509579497387</v>
      </c>
      <c r="Y1404" s="135">
        <v>0.92</v>
      </c>
      <c r="Z1404" s="135">
        <v>0.974358974358974</v>
      </c>
      <c r="AA1404" s="135">
        <v>0.972277227722772</v>
      </c>
      <c r="AB1404" s="135">
        <v>0.981927710843373</v>
      </c>
      <c r="AC1404" s="135">
        <v>0.983067550618169</v>
      </c>
      <c r="AD1404" s="135">
        <v>0.92</v>
      </c>
      <c r="AE1404" s="133">
        <v>0.989239493965392</v>
      </c>
      <c r="AF1404" s="133">
        <v>0.999172185430464</v>
      </c>
      <c r="AG1404" s="133">
        <v>1</v>
      </c>
      <c r="AH1404" s="133">
        <v>0.998739626153727</v>
      </c>
      <c r="AI1404" s="135">
        <v>0.92</v>
      </c>
      <c r="AJ1404" s="133">
        <v>0.984653818700928</v>
      </c>
      <c r="AK1404" s="133">
        <v>0.984048404840484</v>
      </c>
      <c r="AL1404" s="133">
        <v>0.99384236453202</v>
      </c>
      <c r="AM1404" s="133">
        <v>0.990453420436752</v>
      </c>
      <c r="AN1404" s="132">
        <v>0.99</v>
      </c>
      <c r="AO1404" s="137">
        <v>1</v>
      </c>
      <c r="AP1404" s="137">
        <v>1</v>
      </c>
      <c r="AQ1404" s="137">
        <v>1</v>
      </c>
      <c r="AR1404" s="137">
        <v>1</v>
      </c>
      <c r="AS1404" s="158">
        <v>0.0721861525408278</v>
      </c>
      <c r="AT1404" s="141">
        <v>0.0714285714285714</v>
      </c>
      <c r="AU1404" s="141">
        <v>0</v>
      </c>
      <c r="AV1404" s="141">
        <v>0.0909090909090909</v>
      </c>
      <c r="AW1404" s="141">
        <v>0.0202020202020202</v>
      </c>
      <c r="AX1404" s="95"/>
      <c r="AY1404" s="93"/>
    </row>
    <row r="1405" ht="15" spans="1:51">
      <c r="A1405" s="91"/>
      <c r="B1405" s="95"/>
      <c r="C1405" s="152" t="s">
        <v>1085</v>
      </c>
      <c r="D1405" s="153" t="s">
        <v>25</v>
      </c>
      <c r="E1405" s="130" t="s">
        <v>1086</v>
      </c>
      <c r="F1405" s="195" t="s">
        <v>1435</v>
      </c>
      <c r="G1405" s="195" t="s">
        <v>1435</v>
      </c>
      <c r="H1405" s="195" t="s">
        <v>1435</v>
      </c>
      <c r="I1405" s="195" t="s">
        <v>1435</v>
      </c>
      <c r="J1405" s="132">
        <v>0.9</v>
      </c>
      <c r="K1405" s="133">
        <v>0.918918918918919</v>
      </c>
      <c r="L1405" s="133">
        <v>0.941176470588235</v>
      </c>
      <c r="M1405" s="134">
        <v>0.862068965517241</v>
      </c>
      <c r="N1405" s="133">
        <v>0.921779141104294</v>
      </c>
      <c r="O1405" s="135">
        <v>0.9</v>
      </c>
      <c r="P1405" s="133">
        <v>0.987635239567233</v>
      </c>
      <c r="Q1405" s="133">
        <v>0.979865771812081</v>
      </c>
      <c r="R1405" s="133">
        <v>0.985691573926868</v>
      </c>
      <c r="S1405" s="133">
        <v>0.913614214903806</v>
      </c>
      <c r="T1405" s="135">
        <v>0.9</v>
      </c>
      <c r="U1405" s="133">
        <v>0.93456980937661</v>
      </c>
      <c r="V1405" s="133">
        <v>0.925335570469799</v>
      </c>
      <c r="W1405" s="133">
        <v>0.946475887652358</v>
      </c>
      <c r="X1405" s="133">
        <v>0.914286314374527</v>
      </c>
      <c r="Y1405" s="135">
        <v>0.92</v>
      </c>
      <c r="Z1405" s="135">
        <v>0.931635388739946</v>
      </c>
      <c r="AA1405" s="135">
        <v>0.921325051759834</v>
      </c>
      <c r="AB1405" s="135">
        <v>0.818696883852691</v>
      </c>
      <c r="AC1405" s="135">
        <v>0.926103136629452</v>
      </c>
      <c r="AD1405" s="135">
        <v>0.92</v>
      </c>
      <c r="AE1405" s="133">
        <v>0.996484178804621</v>
      </c>
      <c r="AF1405" s="133">
        <v>0.994356994356994</v>
      </c>
      <c r="AG1405" s="133">
        <v>0.998807631160572</v>
      </c>
      <c r="AH1405" s="133">
        <v>0.995725287924822</v>
      </c>
      <c r="AI1405" s="135">
        <v>0.92</v>
      </c>
      <c r="AJ1405" s="133">
        <v>0.959434313360625</v>
      </c>
      <c r="AK1405" s="133">
        <v>0.955820895522388</v>
      </c>
      <c r="AL1405" s="133">
        <v>0.945089285714286</v>
      </c>
      <c r="AM1405" s="133">
        <v>0.964008013310244</v>
      </c>
      <c r="AN1405" s="132">
        <v>0.99</v>
      </c>
      <c r="AO1405" s="137">
        <v>1</v>
      </c>
      <c r="AP1405" s="137">
        <v>1</v>
      </c>
      <c r="AQ1405" s="137">
        <v>1</v>
      </c>
      <c r="AR1405" s="137">
        <v>1</v>
      </c>
      <c r="AS1405" s="158">
        <v>0.0721861525408278</v>
      </c>
      <c r="AT1405" s="141">
        <v>0.0769230769230769</v>
      </c>
      <c r="AU1405" s="141">
        <v>0.1</v>
      </c>
      <c r="AV1405" s="141">
        <v>0.272727272727273</v>
      </c>
      <c r="AW1405" s="141">
        <v>0.0479704797047971</v>
      </c>
      <c r="AX1405" s="95"/>
      <c r="AY1405" s="93"/>
    </row>
    <row r="1406" ht="15" spans="1:51">
      <c r="A1406" s="91"/>
      <c r="B1406" s="95"/>
      <c r="C1406" s="152" t="s">
        <v>1085</v>
      </c>
      <c r="D1406" s="153" t="s">
        <v>25</v>
      </c>
      <c r="E1406" s="130" t="s">
        <v>1086</v>
      </c>
      <c r="F1406" s="195" t="s">
        <v>1436</v>
      </c>
      <c r="G1406" s="195" t="s">
        <v>1436</v>
      </c>
      <c r="H1406" s="195" t="s">
        <v>1436</v>
      </c>
      <c r="I1406" s="195" t="s">
        <v>1436</v>
      </c>
      <c r="J1406" s="132">
        <v>0.9</v>
      </c>
      <c r="K1406" s="133">
        <v>1</v>
      </c>
      <c r="L1406" s="133">
        <v>0.944444444444444</v>
      </c>
      <c r="M1406" s="134">
        <v>0.971428571428571</v>
      </c>
      <c r="N1406" s="133">
        <v>0.957325746799431</v>
      </c>
      <c r="O1406" s="135">
        <v>0.9</v>
      </c>
      <c r="P1406" s="133">
        <v>0.998870056497175</v>
      </c>
      <c r="Q1406" s="133">
        <v>0.998293515358362</v>
      </c>
      <c r="R1406" s="133">
        <v>0.998434237995825</v>
      </c>
      <c r="S1406" s="133">
        <v>0.982223414372455</v>
      </c>
      <c r="T1406" s="135">
        <v>0.9</v>
      </c>
      <c r="U1406" s="133">
        <v>0.955367231638418</v>
      </c>
      <c r="V1406" s="133">
        <v>0.964163822525597</v>
      </c>
      <c r="W1406" s="133">
        <v>0.973382045929019</v>
      </c>
      <c r="X1406" s="133">
        <v>0.949108732229511</v>
      </c>
      <c r="Y1406" s="135">
        <v>0.92</v>
      </c>
      <c r="Z1406" s="135">
        <v>0.969609261939218</v>
      </c>
      <c r="AA1406" s="135">
        <v>0.962305986696231</v>
      </c>
      <c r="AB1406" s="135">
        <v>0.972696245733788</v>
      </c>
      <c r="AC1406" s="135">
        <v>0.962886809910558</v>
      </c>
      <c r="AD1406" s="135">
        <v>0.92</v>
      </c>
      <c r="AE1406" s="133">
        <v>0.988423028785982</v>
      </c>
      <c r="AF1406" s="133">
        <v>0.967925818955689</v>
      </c>
      <c r="AG1406" s="133">
        <v>0.990748189863234</v>
      </c>
      <c r="AH1406" s="133">
        <v>0.885622620655778</v>
      </c>
      <c r="AI1406" s="135">
        <v>0.92</v>
      </c>
      <c r="AJ1406" s="133">
        <v>0.979276716781796</v>
      </c>
      <c r="AK1406" s="133">
        <v>0.982131854590265</v>
      </c>
      <c r="AL1406" s="133">
        <v>0.989588048890901</v>
      </c>
      <c r="AM1406" s="133">
        <v>0.985712314999113</v>
      </c>
      <c r="AN1406" s="132">
        <v>0.99</v>
      </c>
      <c r="AO1406" s="137">
        <v>1</v>
      </c>
      <c r="AP1406" s="137">
        <v>1</v>
      </c>
      <c r="AQ1406" s="137">
        <v>1</v>
      </c>
      <c r="AR1406" s="137">
        <v>1</v>
      </c>
      <c r="AS1406" s="158">
        <v>0.0721861525408278</v>
      </c>
      <c r="AT1406" s="141">
        <v>0.05</v>
      </c>
      <c r="AU1406" s="141">
        <v>0</v>
      </c>
      <c r="AV1406" s="141">
        <v>0</v>
      </c>
      <c r="AW1406" s="141">
        <v>0.0321100917431193</v>
      </c>
      <c r="AX1406" s="95"/>
      <c r="AY1406" s="93"/>
    </row>
    <row r="1407" ht="15" spans="1:51">
      <c r="A1407" s="91"/>
      <c r="B1407" s="95"/>
      <c r="C1407" s="152" t="s">
        <v>1085</v>
      </c>
      <c r="D1407" s="153" t="s">
        <v>25</v>
      </c>
      <c r="E1407" s="130" t="s">
        <v>1086</v>
      </c>
      <c r="F1407" s="195" t="s">
        <v>1437</v>
      </c>
      <c r="G1407" s="195" t="s">
        <v>1437</v>
      </c>
      <c r="H1407" s="195" t="s">
        <v>1437</v>
      </c>
      <c r="I1407" s="195" t="s">
        <v>1437</v>
      </c>
      <c r="J1407" s="132">
        <v>0.9</v>
      </c>
      <c r="K1407" s="133">
        <v>0.97752808988764</v>
      </c>
      <c r="L1407" s="133">
        <v>0.896103896103896</v>
      </c>
      <c r="M1407" s="134">
        <v>0.897058823529412</v>
      </c>
      <c r="N1407" s="133">
        <v>0.930172966047406</v>
      </c>
      <c r="O1407" s="135">
        <v>0.9</v>
      </c>
      <c r="P1407" s="133">
        <v>0.956539316757631</v>
      </c>
      <c r="Q1407" s="133">
        <v>0.992197253433209</v>
      </c>
      <c r="R1407" s="133">
        <v>0.98636712749616</v>
      </c>
      <c r="S1407" s="133">
        <v>0.951650681722922</v>
      </c>
      <c r="T1407" s="135">
        <v>0.9</v>
      </c>
      <c r="U1407" s="133">
        <v>0.937740044471397</v>
      </c>
      <c r="V1407" s="133">
        <v>0.945692883895131</v>
      </c>
      <c r="W1407" s="133">
        <v>0.916090629800307</v>
      </c>
      <c r="X1407" s="133">
        <v>0.925803561889264</v>
      </c>
      <c r="Y1407" s="135">
        <v>0.92</v>
      </c>
      <c r="Z1407" s="135">
        <v>0.92148213498015</v>
      </c>
      <c r="AA1407" s="135">
        <v>0.936850519584333</v>
      </c>
      <c r="AB1407" s="135">
        <v>0.909855769230769</v>
      </c>
      <c r="AC1407" s="135">
        <v>0.930013633707719</v>
      </c>
      <c r="AD1407" s="135">
        <v>0.92</v>
      </c>
      <c r="AE1407" s="133">
        <v>0.797673452430411</v>
      </c>
      <c r="AF1407" s="133">
        <v>0.98581911122104</v>
      </c>
      <c r="AG1407" s="133">
        <v>0.979945149125814</v>
      </c>
      <c r="AH1407" s="133">
        <v>0.903956153334066</v>
      </c>
      <c r="AI1407" s="135">
        <v>0.92</v>
      </c>
      <c r="AJ1407" s="133">
        <v>0.954532852786249</v>
      </c>
      <c r="AK1407" s="133">
        <v>0.962738496071829</v>
      </c>
      <c r="AL1407" s="133">
        <v>0.954966887417219</v>
      </c>
      <c r="AM1407" s="133">
        <v>0.966980575265926</v>
      </c>
      <c r="AN1407" s="132">
        <v>0.99</v>
      </c>
      <c r="AO1407" s="137">
        <v>1</v>
      </c>
      <c r="AP1407" s="137">
        <v>1</v>
      </c>
      <c r="AQ1407" s="137">
        <v>1</v>
      </c>
      <c r="AR1407" s="137">
        <v>1</v>
      </c>
      <c r="AS1407" s="158">
        <v>0.0721861525408278</v>
      </c>
      <c r="AT1407" s="141">
        <v>0.0303030303030303</v>
      </c>
      <c r="AU1407" s="141">
        <v>0.0416666666666667</v>
      </c>
      <c r="AV1407" s="141">
        <v>0</v>
      </c>
      <c r="AW1407" s="141">
        <v>0.0332326283987915</v>
      </c>
      <c r="AX1407" s="95"/>
      <c r="AY1407" s="93"/>
    </row>
    <row r="1408" ht="15" spans="1:51">
      <c r="A1408" s="91"/>
      <c r="B1408" s="95"/>
      <c r="C1408" s="152" t="s">
        <v>1085</v>
      </c>
      <c r="D1408" s="153" t="s">
        <v>25</v>
      </c>
      <c r="E1408" s="130" t="s">
        <v>1086</v>
      </c>
      <c r="F1408" s="195" t="s">
        <v>1438</v>
      </c>
      <c r="G1408" s="195" t="s">
        <v>1438</v>
      </c>
      <c r="H1408" s="195" t="s">
        <v>1438</v>
      </c>
      <c r="I1408" s="195" t="s">
        <v>1438</v>
      </c>
      <c r="J1408" s="132">
        <v>0.9</v>
      </c>
      <c r="K1408" s="133">
        <v>1</v>
      </c>
      <c r="L1408" s="133">
        <v>1</v>
      </c>
      <c r="M1408" s="134">
        <v>1</v>
      </c>
      <c r="N1408" s="133">
        <v>0.99780701754386</v>
      </c>
      <c r="O1408" s="135">
        <v>0.9</v>
      </c>
      <c r="P1408" s="133">
        <v>0.936484490398818</v>
      </c>
      <c r="Q1408" s="133">
        <v>0.996583143507973</v>
      </c>
      <c r="R1408" s="133">
        <v>0.988938053097345</v>
      </c>
      <c r="S1408" s="133">
        <v>0.984272692258313</v>
      </c>
      <c r="T1408" s="135">
        <v>0.9</v>
      </c>
      <c r="U1408" s="133">
        <v>0.944608567208272</v>
      </c>
      <c r="V1408" s="133">
        <v>0.939635535307517</v>
      </c>
      <c r="W1408" s="133">
        <v>0.973451327433628</v>
      </c>
      <c r="X1408" s="133">
        <v>0.949704711773013</v>
      </c>
      <c r="Y1408" s="135">
        <v>0.92</v>
      </c>
      <c r="Z1408" s="135">
        <v>0.93631669535284</v>
      </c>
      <c r="AA1408" s="135">
        <v>0.949008498583569</v>
      </c>
      <c r="AB1408" s="135">
        <v>0.945205479452055</v>
      </c>
      <c r="AC1408" s="135">
        <v>0.952899912313667</v>
      </c>
      <c r="AD1408" s="135">
        <v>0.92</v>
      </c>
      <c r="AE1408" s="133">
        <v>0.995195195195195</v>
      </c>
      <c r="AF1408" s="133">
        <v>0.989406408684994</v>
      </c>
      <c r="AG1408" s="133">
        <v>0.991746905089409</v>
      </c>
      <c r="AH1408" s="133">
        <v>0.99442492082086</v>
      </c>
      <c r="AI1408" s="135">
        <v>0.92</v>
      </c>
      <c r="AJ1408" s="133">
        <v>0.968475452196382</v>
      </c>
      <c r="AK1408" s="133">
        <v>0.9731925264013</v>
      </c>
      <c r="AL1408" s="133">
        <v>0.987309644670051</v>
      </c>
      <c r="AM1408" s="133">
        <v>0.980251896890887</v>
      </c>
      <c r="AN1408" s="132">
        <v>0.99</v>
      </c>
      <c r="AO1408" s="137">
        <v>1</v>
      </c>
      <c r="AP1408" s="137">
        <v>1</v>
      </c>
      <c r="AQ1408" s="137">
        <v>1</v>
      </c>
      <c r="AR1408" s="137">
        <v>1</v>
      </c>
      <c r="AS1408" s="158">
        <v>0.0721861525408278</v>
      </c>
      <c r="AT1408" s="141">
        <v>0</v>
      </c>
      <c r="AU1408" s="141">
        <v>0</v>
      </c>
      <c r="AV1408" s="141">
        <v>0</v>
      </c>
      <c r="AW1408" s="141">
        <v>0.0186335403726708</v>
      </c>
      <c r="AX1408" s="95"/>
      <c r="AY1408" s="93"/>
    </row>
    <row r="1409" ht="15" spans="1:51">
      <c r="A1409" s="91"/>
      <c r="B1409" s="95"/>
      <c r="C1409" s="152" t="s">
        <v>1085</v>
      </c>
      <c r="D1409" s="153" t="s">
        <v>25</v>
      </c>
      <c r="E1409" s="130" t="s">
        <v>1086</v>
      </c>
      <c r="F1409" s="195" t="s">
        <v>1439</v>
      </c>
      <c r="G1409" s="195" t="s">
        <v>1439</v>
      </c>
      <c r="H1409" s="195" t="s">
        <v>1439</v>
      </c>
      <c r="I1409" s="195" t="s">
        <v>1439</v>
      </c>
      <c r="J1409" s="132">
        <v>0.9</v>
      </c>
      <c r="K1409" s="133">
        <v>0.985294117647059</v>
      </c>
      <c r="L1409" s="133">
        <v>0.983050847457627</v>
      </c>
      <c r="M1409" s="134">
        <v>0.964285714285714</v>
      </c>
      <c r="N1409" s="133">
        <v>0.981132075471698</v>
      </c>
      <c r="O1409" s="135">
        <v>0.9</v>
      </c>
      <c r="P1409" s="133">
        <v>0.987098472880463</v>
      </c>
      <c r="Q1409" s="133">
        <v>0.992709599027947</v>
      </c>
      <c r="R1409" s="133">
        <v>0.983505662235352</v>
      </c>
      <c r="S1409" s="133">
        <v>0.980134388330501</v>
      </c>
      <c r="T1409" s="135">
        <v>0.9</v>
      </c>
      <c r="U1409" s="133">
        <v>0.941811479726172</v>
      </c>
      <c r="V1409" s="133">
        <v>0.937221547185095</v>
      </c>
      <c r="W1409" s="133">
        <v>0.947070408665682</v>
      </c>
      <c r="X1409" s="133">
        <v>0.935011874345785</v>
      </c>
      <c r="Y1409" s="135">
        <v>0.92</v>
      </c>
      <c r="Z1409" s="135">
        <v>0.949427480916031</v>
      </c>
      <c r="AA1409" s="135">
        <v>0.953007518796993</v>
      </c>
      <c r="AB1409" s="135">
        <v>0.934699103713188</v>
      </c>
      <c r="AC1409" s="135">
        <v>0.943989194056731</v>
      </c>
      <c r="AD1409" s="135">
        <v>0.92</v>
      </c>
      <c r="AE1409" s="133">
        <v>0.330809767683515</v>
      </c>
      <c r="AF1409" s="133">
        <v>0.964882943143813</v>
      </c>
      <c r="AG1409" s="133">
        <v>0.972963098282791</v>
      </c>
      <c r="AH1409" s="133">
        <v>0.931265223842988</v>
      </c>
      <c r="AI1409" s="135">
        <v>0.92</v>
      </c>
      <c r="AJ1409" s="133">
        <v>0.967808501857202</v>
      </c>
      <c r="AK1409" s="133">
        <v>0.964619303707897</v>
      </c>
      <c r="AL1409" s="133">
        <v>0.967175887696119</v>
      </c>
      <c r="AM1409" s="133">
        <v>0.97522216319879</v>
      </c>
      <c r="AN1409" s="132">
        <v>0.99</v>
      </c>
      <c r="AO1409" s="137">
        <v>1</v>
      </c>
      <c r="AP1409" s="137">
        <v>1</v>
      </c>
      <c r="AQ1409" s="137">
        <v>1</v>
      </c>
      <c r="AR1409" s="137">
        <v>1</v>
      </c>
      <c r="AS1409" s="158">
        <v>0.0721861525408278</v>
      </c>
      <c r="AT1409" s="141">
        <v>0.0303030303030303</v>
      </c>
      <c r="AU1409" s="141">
        <v>0</v>
      </c>
      <c r="AV1409" s="141">
        <v>0.0303030303030303</v>
      </c>
      <c r="AW1409" s="141">
        <v>0.0291411042944785</v>
      </c>
      <c r="AX1409" s="95"/>
      <c r="AY1409" s="93"/>
    </row>
    <row r="1410" ht="15" spans="1:51">
      <c r="A1410" s="91"/>
      <c r="B1410" s="95"/>
      <c r="C1410" s="152" t="s">
        <v>1085</v>
      </c>
      <c r="D1410" s="153" t="s">
        <v>25</v>
      </c>
      <c r="E1410" s="130" t="s">
        <v>1086</v>
      </c>
      <c r="F1410" s="195" t="s">
        <v>1440</v>
      </c>
      <c r="G1410" s="195" t="s">
        <v>1440</v>
      </c>
      <c r="H1410" s="195" t="s">
        <v>1440</v>
      </c>
      <c r="I1410" s="195" t="s">
        <v>1440</v>
      </c>
      <c r="J1410" s="132">
        <v>0.9</v>
      </c>
      <c r="K1410" s="133">
        <v>0.911111111111111</v>
      </c>
      <c r="L1410" s="133">
        <v>0.873239436619718</v>
      </c>
      <c r="M1410" s="134">
        <v>0.942028985507246</v>
      </c>
      <c r="N1410" s="133">
        <v>0.883399209486166</v>
      </c>
      <c r="O1410" s="135">
        <v>0.9</v>
      </c>
      <c r="P1410" s="133">
        <v>0.975604713665495</v>
      </c>
      <c r="Q1410" s="133">
        <v>0.973820297349709</v>
      </c>
      <c r="R1410" s="133">
        <v>0.963673890608875</v>
      </c>
      <c r="S1410" s="133">
        <v>0.946164791977233</v>
      </c>
      <c r="T1410" s="135">
        <v>0.9</v>
      </c>
      <c r="U1410" s="133">
        <v>0.94604093446351</v>
      </c>
      <c r="V1410" s="133">
        <v>0.9469941822883</v>
      </c>
      <c r="W1410" s="133">
        <v>0.920536635706914</v>
      </c>
      <c r="X1410" s="133">
        <v>0.931443962596558</v>
      </c>
      <c r="Y1410" s="135">
        <v>0.92</v>
      </c>
      <c r="Z1410" s="135">
        <v>0.922109337203677</v>
      </c>
      <c r="AA1410" s="135">
        <v>0.902020202020202</v>
      </c>
      <c r="AB1410" s="135">
        <v>0.895113230035757</v>
      </c>
      <c r="AC1410" s="135">
        <v>0.916717087233513</v>
      </c>
      <c r="AD1410" s="135">
        <v>0.92</v>
      </c>
      <c r="AE1410" s="133">
        <v>0.999077916090364</v>
      </c>
      <c r="AF1410" s="133">
        <v>0.998986828774063</v>
      </c>
      <c r="AG1410" s="133">
        <v>0.997673516867003</v>
      </c>
      <c r="AH1410" s="133">
        <v>0.992785582437402</v>
      </c>
      <c r="AI1410" s="135">
        <v>0.92</v>
      </c>
      <c r="AJ1410" s="133">
        <v>0.95842989571263</v>
      </c>
      <c r="AK1410" s="133">
        <v>0.955925563173359</v>
      </c>
      <c r="AL1410" s="133">
        <v>0.945988740323716</v>
      </c>
      <c r="AM1410" s="133">
        <v>0.964820098109645</v>
      </c>
      <c r="AN1410" s="132">
        <v>0.99</v>
      </c>
      <c r="AO1410" s="137">
        <v>1</v>
      </c>
      <c r="AP1410" s="137">
        <v>1</v>
      </c>
      <c r="AQ1410" s="137">
        <v>1</v>
      </c>
      <c r="AR1410" s="137">
        <v>1</v>
      </c>
      <c r="AS1410" s="158">
        <v>0.0721861525408278</v>
      </c>
      <c r="AT1410" s="141">
        <v>0.0638297872340425</v>
      </c>
      <c r="AU1410" s="141">
        <v>0.0588235294117647</v>
      </c>
      <c r="AV1410" s="141">
        <v>0.0138888888888889</v>
      </c>
      <c r="AW1410" s="141">
        <v>0.0398406374501992</v>
      </c>
      <c r="AX1410" s="95"/>
      <c r="AY1410" s="93"/>
    </row>
    <row r="1411" ht="15" spans="1:51">
      <c r="A1411" s="91"/>
      <c r="B1411" s="95"/>
      <c r="C1411" s="152" t="s">
        <v>1085</v>
      </c>
      <c r="D1411" s="153" t="s">
        <v>25</v>
      </c>
      <c r="E1411" s="130" t="s">
        <v>1086</v>
      </c>
      <c r="F1411" s="195" t="s">
        <v>1441</v>
      </c>
      <c r="G1411" s="195" t="s">
        <v>1441</v>
      </c>
      <c r="H1411" s="195" t="s">
        <v>1441</v>
      </c>
      <c r="I1411" s="195" t="s">
        <v>1441</v>
      </c>
      <c r="J1411" s="132">
        <v>0.9</v>
      </c>
      <c r="K1411" s="133">
        <v>0.949367088607595</v>
      </c>
      <c r="L1411" s="133">
        <v>0.91044776119403</v>
      </c>
      <c r="M1411" s="134">
        <v>0.967213114754098</v>
      </c>
      <c r="N1411" s="133">
        <v>0.941690962099125</v>
      </c>
      <c r="O1411" s="135">
        <v>0.9</v>
      </c>
      <c r="P1411" s="133">
        <v>0.963020372010629</v>
      </c>
      <c r="Q1411" s="133">
        <v>0.953456536618754</v>
      </c>
      <c r="R1411" s="133">
        <v>0.960982025427444</v>
      </c>
      <c r="S1411" s="133">
        <v>0.946920028489508</v>
      </c>
      <c r="T1411" s="135">
        <v>0.9</v>
      </c>
      <c r="U1411" s="133">
        <v>0.920726306465899</v>
      </c>
      <c r="V1411" s="133">
        <v>0.909650924024641</v>
      </c>
      <c r="W1411" s="133">
        <v>0.91341516878562</v>
      </c>
      <c r="X1411" s="133">
        <v>0.928082254323648</v>
      </c>
      <c r="Y1411" s="135">
        <v>0.92</v>
      </c>
      <c r="Z1411" s="135">
        <v>0.899120538023797</v>
      </c>
      <c r="AA1411" s="135">
        <v>0.877106045589693</v>
      </c>
      <c r="AB1411" s="135">
        <v>0.817427385892116</v>
      </c>
      <c r="AC1411" s="135">
        <v>0.904298774557479</v>
      </c>
      <c r="AD1411" s="135">
        <v>0.92</v>
      </c>
      <c r="AE1411" s="133">
        <v>0.979958850872514</v>
      </c>
      <c r="AF1411" s="133">
        <v>0.863034137025543</v>
      </c>
      <c r="AG1411" s="133">
        <v>0.88030436055019</v>
      </c>
      <c r="AH1411" s="133">
        <v>0.969849192806757</v>
      </c>
      <c r="AI1411" s="135">
        <v>0.92</v>
      </c>
      <c r="AJ1411" s="133">
        <v>0.943720930232558</v>
      </c>
      <c r="AK1411" s="133">
        <v>0.93614856270669</v>
      </c>
      <c r="AL1411" s="133">
        <v>0.93285417060715</v>
      </c>
      <c r="AM1411" s="133">
        <v>0.961010344496122</v>
      </c>
      <c r="AN1411" s="132">
        <v>0.99</v>
      </c>
      <c r="AO1411" s="137">
        <v>1</v>
      </c>
      <c r="AP1411" s="137">
        <v>1</v>
      </c>
      <c r="AQ1411" s="137">
        <v>1</v>
      </c>
      <c r="AR1411" s="137">
        <v>1</v>
      </c>
      <c r="AS1411" s="158">
        <v>0.0721861525408278</v>
      </c>
      <c r="AT1411" s="141">
        <v>0.0104166666666667</v>
      </c>
      <c r="AU1411" s="141">
        <v>0.0306122448979592</v>
      </c>
      <c r="AV1411" s="141">
        <v>0.0238095238095238</v>
      </c>
      <c r="AW1411" s="141">
        <v>0.0282608695652174</v>
      </c>
      <c r="AX1411" s="95"/>
      <c r="AY1411" s="93"/>
    </row>
    <row r="1412" ht="15" spans="1:51">
      <c r="A1412" s="91"/>
      <c r="B1412" s="95"/>
      <c r="C1412" s="152" t="s">
        <v>1085</v>
      </c>
      <c r="D1412" s="153" t="s">
        <v>25</v>
      </c>
      <c r="E1412" s="130" t="s">
        <v>1086</v>
      </c>
      <c r="F1412" s="195" t="s">
        <v>1442</v>
      </c>
      <c r="G1412" s="195" t="s">
        <v>1442</v>
      </c>
      <c r="H1412" s="195" t="s">
        <v>1442</v>
      </c>
      <c r="I1412" s="195" t="s">
        <v>1442</v>
      </c>
      <c r="J1412" s="132">
        <v>0.9</v>
      </c>
      <c r="K1412" s="133">
        <v>0.963414634146341</v>
      </c>
      <c r="L1412" s="133">
        <v>0.921875</v>
      </c>
      <c r="M1412" s="134">
        <v>0.936507936507937</v>
      </c>
      <c r="N1412" s="133">
        <v>0.923605805958747</v>
      </c>
      <c r="O1412" s="135">
        <v>0.9</v>
      </c>
      <c r="P1412" s="133">
        <v>0.969682151589242</v>
      </c>
      <c r="Q1412" s="133">
        <v>0.947247706422018</v>
      </c>
      <c r="R1412" s="133">
        <v>0.959285714285714</v>
      </c>
      <c r="S1412" s="133">
        <v>0.941309895094982</v>
      </c>
      <c r="T1412" s="135">
        <v>0.9</v>
      </c>
      <c r="U1412" s="133">
        <v>0.93960880195599</v>
      </c>
      <c r="V1412" s="133">
        <v>0.928516819571865</v>
      </c>
      <c r="W1412" s="133">
        <v>0.912857142857143</v>
      </c>
      <c r="X1412" s="133">
        <v>0.917240471465025</v>
      </c>
      <c r="Y1412" s="135">
        <v>0.92</v>
      </c>
      <c r="Z1412" s="135">
        <v>0.939766441303012</v>
      </c>
      <c r="AA1412" s="135">
        <v>0.931906614785992</v>
      </c>
      <c r="AB1412" s="135">
        <v>0.916167664670659</v>
      </c>
      <c r="AC1412" s="135">
        <v>0.929652134904775</v>
      </c>
      <c r="AD1412" s="135">
        <v>0.92</v>
      </c>
      <c r="AE1412" s="133">
        <v>0.99915872125631</v>
      </c>
      <c r="AF1412" s="133">
        <v>0.998692126602145</v>
      </c>
      <c r="AG1412" s="133">
        <v>0.991574854180169</v>
      </c>
      <c r="AH1412" s="133">
        <v>0.995931195789884</v>
      </c>
      <c r="AI1412" s="135">
        <v>0.92</v>
      </c>
      <c r="AJ1412" s="133">
        <v>0.961007169085504</v>
      </c>
      <c r="AK1412" s="133">
        <v>0.955543358946213</v>
      </c>
      <c r="AL1412" s="133">
        <v>0.957700205338809</v>
      </c>
      <c r="AM1412" s="133">
        <v>0.968568508484475</v>
      </c>
      <c r="AN1412" s="132">
        <v>0.99</v>
      </c>
      <c r="AO1412" s="137">
        <v>1</v>
      </c>
      <c r="AP1412" s="137">
        <v>1</v>
      </c>
      <c r="AQ1412" s="137">
        <v>1</v>
      </c>
      <c r="AR1412" s="137">
        <v>1</v>
      </c>
      <c r="AS1412" s="158">
        <v>0.0721861525408278</v>
      </c>
      <c r="AT1412" s="141">
        <v>0.0181818181818182</v>
      </c>
      <c r="AU1412" s="141">
        <v>0</v>
      </c>
      <c r="AV1412" s="141">
        <v>0.0465116279069767</v>
      </c>
      <c r="AW1412" s="141">
        <v>0.0239520958083832</v>
      </c>
      <c r="AX1412" s="95"/>
      <c r="AY1412" s="93"/>
    </row>
    <row r="1413" ht="15" spans="1:51">
      <c r="A1413" s="91"/>
      <c r="B1413" s="95"/>
      <c r="C1413" s="152" t="s">
        <v>1085</v>
      </c>
      <c r="D1413" s="153" t="s">
        <v>25</v>
      </c>
      <c r="E1413" s="130" t="s">
        <v>1086</v>
      </c>
      <c r="F1413" s="195" t="s">
        <v>1443</v>
      </c>
      <c r="G1413" s="195" t="s">
        <v>1443</v>
      </c>
      <c r="H1413" s="195" t="s">
        <v>1443</v>
      </c>
      <c r="I1413" s="195" t="s">
        <v>1443</v>
      </c>
      <c r="J1413" s="132">
        <v>0.9</v>
      </c>
      <c r="K1413" s="133">
        <v>0.958333333333333</v>
      </c>
      <c r="L1413" s="133">
        <v>0.91304347826087</v>
      </c>
      <c r="M1413" s="134">
        <v>0.947368421052632</v>
      </c>
      <c r="N1413" s="133">
        <v>0.935334872979215</v>
      </c>
      <c r="O1413" s="135">
        <v>0.9</v>
      </c>
      <c r="P1413" s="133">
        <v>0.993231810490694</v>
      </c>
      <c r="Q1413" s="133">
        <v>0.984936268829664</v>
      </c>
      <c r="R1413" s="133">
        <v>0.981035740335522</v>
      </c>
      <c r="S1413" s="133">
        <v>0.982688029917148</v>
      </c>
      <c r="T1413" s="135">
        <v>0.9</v>
      </c>
      <c r="U1413" s="133">
        <v>0.949238578680203</v>
      </c>
      <c r="V1413" s="133">
        <v>0.933951332560834</v>
      </c>
      <c r="W1413" s="133">
        <v>0.933625091174325</v>
      </c>
      <c r="X1413" s="133">
        <v>0.942970437473806</v>
      </c>
      <c r="Y1413" s="135">
        <v>0.92</v>
      </c>
      <c r="Z1413" s="135">
        <v>0.949532710280374</v>
      </c>
      <c r="AA1413" s="135">
        <v>0.938356164383562</v>
      </c>
      <c r="AB1413" s="135">
        <v>0.957746478873239</v>
      </c>
      <c r="AC1413" s="135">
        <v>0.954022988505747</v>
      </c>
      <c r="AD1413" s="135">
        <v>0.92</v>
      </c>
      <c r="AE1413" s="133">
        <v>0.999282982791587</v>
      </c>
      <c r="AF1413" s="133">
        <v>0.998775010208248</v>
      </c>
      <c r="AG1413" s="133">
        <v>1</v>
      </c>
      <c r="AH1413" s="133">
        <v>0.999388491408304</v>
      </c>
      <c r="AI1413" s="135">
        <v>0.92</v>
      </c>
      <c r="AJ1413" s="133">
        <v>0.962165308498254</v>
      </c>
      <c r="AK1413" s="133">
        <v>0.961038961038961</v>
      </c>
      <c r="AL1413" s="133">
        <v>0.96780303030303</v>
      </c>
      <c r="AM1413" s="133">
        <v>0.977619159672654</v>
      </c>
      <c r="AN1413" s="132">
        <v>0.99</v>
      </c>
      <c r="AO1413" s="137">
        <v>1</v>
      </c>
      <c r="AP1413" s="137">
        <v>1</v>
      </c>
      <c r="AQ1413" s="137">
        <v>1</v>
      </c>
      <c r="AR1413" s="137">
        <v>1</v>
      </c>
      <c r="AS1413" s="158">
        <v>0.0721861525408278</v>
      </c>
      <c r="AT1413" s="141">
        <v>0</v>
      </c>
      <c r="AU1413" s="141">
        <v>0</v>
      </c>
      <c r="AV1413" s="141">
        <v>0</v>
      </c>
      <c r="AW1413" s="141">
        <v>0.036231884057971</v>
      </c>
      <c r="AX1413" s="95"/>
      <c r="AY1413" s="93"/>
    </row>
    <row r="1414" ht="15" spans="1:51">
      <c r="A1414" s="91"/>
      <c r="B1414" s="95"/>
      <c r="C1414" s="152" t="s">
        <v>1085</v>
      </c>
      <c r="D1414" s="153" t="s">
        <v>25</v>
      </c>
      <c r="E1414" s="130" t="s">
        <v>1086</v>
      </c>
      <c r="F1414" s="195" t="s">
        <v>1444</v>
      </c>
      <c r="G1414" s="195" t="s">
        <v>1444</v>
      </c>
      <c r="H1414" s="195" t="s">
        <v>1444</v>
      </c>
      <c r="I1414" s="195" t="s">
        <v>1444</v>
      </c>
      <c r="J1414" s="132">
        <v>0.9</v>
      </c>
      <c r="K1414" s="133">
        <v>1</v>
      </c>
      <c r="L1414" s="133">
        <v>1</v>
      </c>
      <c r="M1414" s="134">
        <v>0.92</v>
      </c>
      <c r="N1414" s="133">
        <v>0.987132352941177</v>
      </c>
      <c r="O1414" s="135">
        <v>0.9</v>
      </c>
      <c r="P1414" s="133">
        <v>0.986159169550173</v>
      </c>
      <c r="Q1414" s="133">
        <v>0.994</v>
      </c>
      <c r="R1414" s="133">
        <v>0.988903394255875</v>
      </c>
      <c r="S1414" s="133">
        <v>0.991214614419188</v>
      </c>
      <c r="T1414" s="135">
        <v>0.9</v>
      </c>
      <c r="U1414" s="133">
        <v>0.949826989619377</v>
      </c>
      <c r="V1414" s="133">
        <v>0.949</v>
      </c>
      <c r="W1414" s="133">
        <v>0.939947780678851</v>
      </c>
      <c r="X1414" s="133">
        <v>0.946283642448752</v>
      </c>
      <c r="Y1414" s="135">
        <v>0.92</v>
      </c>
      <c r="Z1414" s="135">
        <v>0.962570621468927</v>
      </c>
      <c r="AA1414" s="135">
        <v>0.962962962962963</v>
      </c>
      <c r="AB1414" s="135">
        <v>0.945147679324895</v>
      </c>
      <c r="AC1414" s="135">
        <v>0.971585701191567</v>
      </c>
      <c r="AD1414" s="135">
        <v>0.92</v>
      </c>
      <c r="AE1414" s="133">
        <v>1</v>
      </c>
      <c r="AF1414" s="133">
        <v>1</v>
      </c>
      <c r="AG1414" s="133">
        <v>0.94954954954955</v>
      </c>
      <c r="AH1414" s="133">
        <v>0.998703968537719</v>
      </c>
      <c r="AI1414" s="135">
        <v>0.92</v>
      </c>
      <c r="AJ1414" s="133">
        <v>0.96740220661986</v>
      </c>
      <c r="AK1414" s="133">
        <v>0.977341389728097</v>
      </c>
      <c r="AL1414" s="133">
        <v>0.979649519502544</v>
      </c>
      <c r="AM1414" s="133">
        <v>0.98334366781415</v>
      </c>
      <c r="AN1414" s="132">
        <v>0.99</v>
      </c>
      <c r="AO1414" s="137">
        <v>1</v>
      </c>
      <c r="AP1414" s="137">
        <v>1</v>
      </c>
      <c r="AQ1414" s="137">
        <v>1</v>
      </c>
      <c r="AR1414" s="137">
        <v>1</v>
      </c>
      <c r="AS1414" s="158">
        <v>0.0721861525408278</v>
      </c>
      <c r="AT1414" s="141">
        <v>0.05</v>
      </c>
      <c r="AU1414" s="141">
        <v>0</v>
      </c>
      <c r="AV1414" s="141">
        <v>0</v>
      </c>
      <c r="AW1414" s="141">
        <v>0.0299625468164794</v>
      </c>
      <c r="AX1414" s="95"/>
      <c r="AY1414" s="93"/>
    </row>
    <row r="1415" ht="15" spans="1:51">
      <c r="A1415" s="91"/>
      <c r="B1415" s="95"/>
      <c r="C1415" s="152" t="s">
        <v>1085</v>
      </c>
      <c r="D1415" s="153" t="s">
        <v>25</v>
      </c>
      <c r="E1415" s="130" t="s">
        <v>1086</v>
      </c>
      <c r="F1415" s="195" t="s">
        <v>1445</v>
      </c>
      <c r="G1415" s="195" t="s">
        <v>1445</v>
      </c>
      <c r="H1415" s="195" t="s">
        <v>1445</v>
      </c>
      <c r="I1415" s="195" t="s">
        <v>1445</v>
      </c>
      <c r="J1415" s="132">
        <v>0.9</v>
      </c>
      <c r="K1415" s="133">
        <v>0.938775510204082</v>
      </c>
      <c r="L1415" s="133">
        <v>0.844444444444444</v>
      </c>
      <c r="M1415" s="134">
        <v>1</v>
      </c>
      <c r="N1415" s="133">
        <v>0.922093023255814</v>
      </c>
      <c r="O1415" s="135">
        <v>0.9</v>
      </c>
      <c r="P1415" s="133">
        <v>0.975510204081633</v>
      </c>
      <c r="Q1415" s="133">
        <v>0.978432403997896</v>
      </c>
      <c r="R1415" s="133">
        <v>0.974394949140652</v>
      </c>
      <c r="S1415" s="133">
        <v>0.971982995278209</v>
      </c>
      <c r="T1415" s="135">
        <v>0.9</v>
      </c>
      <c r="U1415" s="133">
        <v>0.949387755102041</v>
      </c>
      <c r="V1415" s="133">
        <v>0.970015781167806</v>
      </c>
      <c r="W1415" s="133">
        <v>0.947386881795861</v>
      </c>
      <c r="X1415" s="133">
        <v>0.956939150077651</v>
      </c>
      <c r="Y1415" s="135">
        <v>0.92</v>
      </c>
      <c r="Z1415" s="135">
        <v>0.960984848484848</v>
      </c>
      <c r="AA1415" s="135">
        <v>0.944360902255639</v>
      </c>
      <c r="AB1415" s="135">
        <v>0.895256916996047</v>
      </c>
      <c r="AC1415" s="135">
        <v>0.936725846407927</v>
      </c>
      <c r="AD1415" s="135">
        <v>0.92</v>
      </c>
      <c r="AE1415" s="133">
        <v>0.996124031007752</v>
      </c>
      <c r="AF1415" s="133">
        <v>0.994038550705438</v>
      </c>
      <c r="AG1415" s="133">
        <v>0.471446179129006</v>
      </c>
      <c r="AH1415" s="133">
        <v>0.933186456280804</v>
      </c>
      <c r="AI1415" s="135">
        <v>0.92</v>
      </c>
      <c r="AJ1415" s="133">
        <v>0.962561321972631</v>
      </c>
      <c r="AK1415" s="133">
        <v>0.973643410852713</v>
      </c>
      <c r="AL1415" s="133">
        <v>0.956017830609213</v>
      </c>
      <c r="AM1415" s="133">
        <v>0.971140335074761</v>
      </c>
      <c r="AN1415" s="132">
        <v>0.99</v>
      </c>
      <c r="AO1415" s="137">
        <v>1</v>
      </c>
      <c r="AP1415" s="137">
        <v>1</v>
      </c>
      <c r="AQ1415" s="137">
        <v>1</v>
      </c>
      <c r="AR1415" s="137">
        <v>1</v>
      </c>
      <c r="AS1415" s="158">
        <v>0.0721861525408278</v>
      </c>
      <c r="AT1415" s="141">
        <v>0</v>
      </c>
      <c r="AU1415" s="141">
        <v>0.105263157894737</v>
      </c>
      <c r="AV1415" s="141">
        <v>0.0689655172413793</v>
      </c>
      <c r="AW1415" s="141">
        <v>0.025369978858351</v>
      </c>
      <c r="AX1415" s="95"/>
      <c r="AY1415" s="93"/>
    </row>
    <row r="1416" ht="15" spans="1:51">
      <c r="A1416" s="91"/>
      <c r="B1416" s="95"/>
      <c r="C1416" s="152" t="s">
        <v>1085</v>
      </c>
      <c r="D1416" s="153" t="s">
        <v>125</v>
      </c>
      <c r="E1416" s="130" t="s">
        <v>1086</v>
      </c>
      <c r="F1416" s="195" t="s">
        <v>1446</v>
      </c>
      <c r="G1416" s="195" t="s">
        <v>1446</v>
      </c>
      <c r="H1416" s="195" t="s">
        <v>1446</v>
      </c>
      <c r="I1416" s="195" t="s">
        <v>1446</v>
      </c>
      <c r="J1416" s="132">
        <v>0.9</v>
      </c>
      <c r="K1416" s="133" t="s">
        <v>35</v>
      </c>
      <c r="L1416" s="133" t="s">
        <v>35</v>
      </c>
      <c r="M1416" s="134" t="s">
        <v>35</v>
      </c>
      <c r="N1416" s="133" t="s">
        <v>35</v>
      </c>
      <c r="O1416" s="135">
        <v>0.9</v>
      </c>
      <c r="P1416" s="133" t="s">
        <v>35</v>
      </c>
      <c r="Q1416" s="133" t="s">
        <v>35</v>
      </c>
      <c r="R1416" s="133" t="s">
        <v>35</v>
      </c>
      <c r="S1416" s="133" t="s">
        <v>35</v>
      </c>
      <c r="T1416" s="135">
        <v>0.9</v>
      </c>
      <c r="U1416" s="133" t="s">
        <v>35</v>
      </c>
      <c r="V1416" s="133" t="s">
        <v>35</v>
      </c>
      <c r="W1416" s="133" t="s">
        <v>35</v>
      </c>
      <c r="X1416" s="133" t="s">
        <v>35</v>
      </c>
      <c r="Y1416" s="135">
        <v>0.92</v>
      </c>
      <c r="Z1416" s="135" t="s">
        <v>35</v>
      </c>
      <c r="AA1416" s="135" t="s">
        <v>35</v>
      </c>
      <c r="AB1416" s="135" t="s">
        <v>35</v>
      </c>
      <c r="AC1416" s="135" t="s">
        <v>35</v>
      </c>
      <c r="AD1416" s="135">
        <v>0.92</v>
      </c>
      <c r="AE1416" s="133">
        <v>0.998782961460446</v>
      </c>
      <c r="AF1416" s="133">
        <v>1</v>
      </c>
      <c r="AG1416" s="133">
        <v>1</v>
      </c>
      <c r="AH1416" s="133">
        <v>0.999018342962921</v>
      </c>
      <c r="AI1416" s="135">
        <v>0.92</v>
      </c>
      <c r="AJ1416" s="133" t="s">
        <v>35</v>
      </c>
      <c r="AK1416" s="133" t="s">
        <v>35</v>
      </c>
      <c r="AL1416" s="133" t="s">
        <v>35</v>
      </c>
      <c r="AM1416" s="133" t="s">
        <v>35</v>
      </c>
      <c r="AN1416" s="132">
        <v>0.99</v>
      </c>
      <c r="AO1416" s="137">
        <v>1</v>
      </c>
      <c r="AP1416" s="137">
        <v>1</v>
      </c>
      <c r="AQ1416" s="137">
        <v>1</v>
      </c>
      <c r="AR1416" s="137">
        <v>1</v>
      </c>
      <c r="AS1416" s="158">
        <v>0.0721861525408278</v>
      </c>
      <c r="AT1416" s="141" t="s">
        <v>35</v>
      </c>
      <c r="AU1416" s="141" t="s">
        <v>35</v>
      </c>
      <c r="AV1416" s="141" t="s">
        <v>35</v>
      </c>
      <c r="AW1416" s="141" t="s">
        <v>35</v>
      </c>
      <c r="AX1416" s="95"/>
      <c r="AY1416" s="93"/>
    </row>
    <row r="1417" ht="15" spans="1:51">
      <c r="A1417" s="91"/>
      <c r="B1417" s="95"/>
      <c r="C1417" s="152" t="s">
        <v>1085</v>
      </c>
      <c r="D1417" s="153" t="s">
        <v>25</v>
      </c>
      <c r="E1417" s="130" t="s">
        <v>1086</v>
      </c>
      <c r="F1417" s="195" t="s">
        <v>1447</v>
      </c>
      <c r="G1417" s="195" t="s">
        <v>1447</v>
      </c>
      <c r="H1417" s="195" t="s">
        <v>1447</v>
      </c>
      <c r="I1417" s="195" t="s">
        <v>1447</v>
      </c>
      <c r="J1417" s="132">
        <v>0.9</v>
      </c>
      <c r="K1417" s="133">
        <v>0.971830985915493</v>
      </c>
      <c r="L1417" s="133">
        <v>0.842105263157895</v>
      </c>
      <c r="M1417" s="134">
        <v>0.839285714285714</v>
      </c>
      <c r="N1417" s="133">
        <v>0.874367622259696</v>
      </c>
      <c r="O1417" s="135">
        <v>0.9</v>
      </c>
      <c r="P1417" s="133">
        <v>0.968067999081094</v>
      </c>
      <c r="Q1417" s="133">
        <v>0.980287859824781</v>
      </c>
      <c r="R1417" s="133">
        <v>0.981805929919138</v>
      </c>
      <c r="S1417" s="133">
        <v>0.948973148510088</v>
      </c>
      <c r="T1417" s="135">
        <v>0.9</v>
      </c>
      <c r="U1417" s="133">
        <v>0.945554789800138</v>
      </c>
      <c r="V1417" s="133">
        <v>0.943053817271589</v>
      </c>
      <c r="W1417" s="133">
        <v>0.896900269541779</v>
      </c>
      <c r="X1417" s="133">
        <v>0.896783634523058</v>
      </c>
      <c r="Y1417" s="135">
        <v>0.92</v>
      </c>
      <c r="Z1417" s="135">
        <v>0.925525525525525</v>
      </c>
      <c r="AA1417" s="135">
        <v>0.940444444444444</v>
      </c>
      <c r="AB1417" s="135">
        <v>0.847161572052402</v>
      </c>
      <c r="AC1417" s="135">
        <v>0.931249512822511</v>
      </c>
      <c r="AD1417" s="135">
        <v>0.92</v>
      </c>
      <c r="AE1417" s="133">
        <v>0.992288865792738</v>
      </c>
      <c r="AF1417" s="133">
        <v>0.963843672642712</v>
      </c>
      <c r="AG1417" s="133">
        <v>0.995498739647101</v>
      </c>
      <c r="AH1417" s="133">
        <v>0.958485239820249</v>
      </c>
      <c r="AI1417" s="135">
        <v>0.92</v>
      </c>
      <c r="AJ1417" s="133">
        <v>0.957966439607908</v>
      </c>
      <c r="AK1417" s="133">
        <v>0.963905599259602</v>
      </c>
      <c r="AL1417" s="133">
        <v>0.93463687150838</v>
      </c>
      <c r="AM1417" s="133">
        <v>0.962800596210714</v>
      </c>
      <c r="AN1417" s="132">
        <v>0.99</v>
      </c>
      <c r="AO1417" s="137">
        <v>1</v>
      </c>
      <c r="AP1417" s="137">
        <v>1</v>
      </c>
      <c r="AQ1417" s="137">
        <v>1</v>
      </c>
      <c r="AR1417" s="137">
        <v>1</v>
      </c>
      <c r="AS1417" s="158">
        <v>0.0721861525408278</v>
      </c>
      <c r="AT1417" s="141">
        <v>0.0851063829787234</v>
      </c>
      <c r="AU1417" s="141">
        <v>0.0652173913043478</v>
      </c>
      <c r="AV1417" s="141">
        <v>0.0470588235294118</v>
      </c>
      <c r="AW1417" s="141">
        <v>0.0446735395189003</v>
      </c>
      <c r="AX1417" s="95"/>
      <c r="AY1417" s="93"/>
    </row>
    <row r="1418" ht="15" spans="1:51">
      <c r="A1418" s="91"/>
      <c r="B1418" s="95"/>
      <c r="C1418" s="152" t="s">
        <v>1085</v>
      </c>
      <c r="D1418" s="153" t="s">
        <v>25</v>
      </c>
      <c r="E1418" s="130" t="s">
        <v>1086</v>
      </c>
      <c r="F1418" s="195" t="s">
        <v>1448</v>
      </c>
      <c r="G1418" s="195" t="s">
        <v>1448</v>
      </c>
      <c r="H1418" s="195" t="s">
        <v>1448</v>
      </c>
      <c r="I1418" s="195" t="s">
        <v>1448</v>
      </c>
      <c r="J1418" s="132">
        <v>0.9</v>
      </c>
      <c r="K1418" s="133">
        <v>1</v>
      </c>
      <c r="L1418" s="133">
        <v>0.977272727272727</v>
      </c>
      <c r="M1418" s="134">
        <v>0.976744186046512</v>
      </c>
      <c r="N1418" s="133">
        <v>0.974576271186441</v>
      </c>
      <c r="O1418" s="135">
        <v>0.9</v>
      </c>
      <c r="P1418" s="133">
        <v>0.992548435171386</v>
      </c>
      <c r="Q1418" s="133">
        <v>0.97949979499795</v>
      </c>
      <c r="R1418" s="133">
        <v>0.996610169491525</v>
      </c>
      <c r="S1418" s="133">
        <v>0.97739167364069</v>
      </c>
      <c r="T1418" s="135">
        <v>0.9</v>
      </c>
      <c r="U1418" s="133">
        <v>0.960059612518629</v>
      </c>
      <c r="V1418" s="133">
        <v>0.955719557195572</v>
      </c>
      <c r="W1418" s="133">
        <v>0.93135593220339</v>
      </c>
      <c r="X1418" s="133">
        <v>0.943416730161506</v>
      </c>
      <c r="Y1418" s="135">
        <v>0.92</v>
      </c>
      <c r="Z1418" s="135">
        <v>0.951372549019608</v>
      </c>
      <c r="AA1418" s="135">
        <v>0.940954773869347</v>
      </c>
      <c r="AB1418" s="135">
        <v>0.909230769230769</v>
      </c>
      <c r="AC1418" s="135">
        <v>0.936638673557278</v>
      </c>
      <c r="AD1418" s="135">
        <v>0.92</v>
      </c>
      <c r="AE1418" s="133">
        <v>0.912338362068966</v>
      </c>
      <c r="AF1418" s="133">
        <v>0.998437092992967</v>
      </c>
      <c r="AG1418" s="133">
        <v>0.859657782165186</v>
      </c>
      <c r="AH1418" s="133">
        <v>0.959716256112583</v>
      </c>
      <c r="AI1418" s="135">
        <v>0.92</v>
      </c>
      <c r="AJ1418" s="133">
        <v>0.96889848812095</v>
      </c>
      <c r="AK1418" s="133">
        <v>0.967861557478368</v>
      </c>
      <c r="AL1418" s="133">
        <v>0.954903364352183</v>
      </c>
      <c r="AM1418" s="133">
        <v>0.968525407750555</v>
      </c>
      <c r="AN1418" s="132">
        <v>0.99</v>
      </c>
      <c r="AO1418" s="137">
        <v>1</v>
      </c>
      <c r="AP1418" s="137">
        <v>1</v>
      </c>
      <c r="AQ1418" s="137">
        <v>1</v>
      </c>
      <c r="AR1418" s="137">
        <v>1</v>
      </c>
      <c r="AS1418" s="158">
        <v>0.0721861525408278</v>
      </c>
      <c r="AT1418" s="141">
        <v>0.0555555555555556</v>
      </c>
      <c r="AU1418" s="141">
        <v>0</v>
      </c>
      <c r="AV1418" s="141">
        <v>0.0333333333333333</v>
      </c>
      <c r="AW1418" s="141">
        <v>0.0461538461538462</v>
      </c>
      <c r="AX1418" s="95"/>
      <c r="AY1418" s="93"/>
    </row>
    <row r="1419" ht="15" spans="1:51">
      <c r="A1419" s="91"/>
      <c r="B1419" s="95"/>
      <c r="C1419" s="152" t="s">
        <v>1085</v>
      </c>
      <c r="D1419" s="153" t="s">
        <v>25</v>
      </c>
      <c r="E1419" s="130" t="s">
        <v>1086</v>
      </c>
      <c r="F1419" s="195" t="s">
        <v>1449</v>
      </c>
      <c r="G1419" s="195" t="s">
        <v>1449</v>
      </c>
      <c r="H1419" s="195" t="s">
        <v>1449</v>
      </c>
      <c r="I1419" s="195" t="s">
        <v>1449</v>
      </c>
      <c r="J1419" s="132">
        <v>0.9</v>
      </c>
      <c r="K1419" s="133">
        <v>0.957142857142857</v>
      </c>
      <c r="L1419" s="133">
        <v>0.842105263157895</v>
      </c>
      <c r="M1419" s="134">
        <v>0.962962962962963</v>
      </c>
      <c r="N1419" s="133">
        <v>0.923544743701129</v>
      </c>
      <c r="O1419" s="135">
        <v>0.9</v>
      </c>
      <c r="P1419" s="133">
        <v>0.982037608756666</v>
      </c>
      <c r="Q1419" s="133">
        <v>0.976365118174409</v>
      </c>
      <c r="R1419" s="133">
        <v>0.977193453179501</v>
      </c>
      <c r="S1419" s="133">
        <v>0.926988070998838</v>
      </c>
      <c r="T1419" s="135">
        <v>0.9</v>
      </c>
      <c r="U1419" s="133">
        <v>0.93909626719057</v>
      </c>
      <c r="V1419" s="133">
        <v>0.945802770986145</v>
      </c>
      <c r="W1419" s="133">
        <v>0.907432251140327</v>
      </c>
      <c r="X1419" s="133">
        <v>0.896262553059323</v>
      </c>
      <c r="Y1419" s="135">
        <v>0.92</v>
      </c>
      <c r="Z1419" s="135">
        <v>0.914101646385111</v>
      </c>
      <c r="AA1419" s="135">
        <v>0.915214866434379</v>
      </c>
      <c r="AB1419" s="135">
        <v>0.910846953937593</v>
      </c>
      <c r="AC1419" s="135">
        <v>0.913045514141225</v>
      </c>
      <c r="AD1419" s="135">
        <v>0.92</v>
      </c>
      <c r="AE1419" s="133">
        <v>0.608792804871236</v>
      </c>
      <c r="AF1419" s="133">
        <v>0.954614639546146</v>
      </c>
      <c r="AG1419" s="133">
        <v>0.9888053979451</v>
      </c>
      <c r="AH1419" s="133">
        <v>0.932273113574309</v>
      </c>
      <c r="AI1419" s="135">
        <v>0.92</v>
      </c>
      <c r="AJ1419" s="133">
        <v>0.956653225806452</v>
      </c>
      <c r="AK1419" s="133">
        <v>0.962594268476621</v>
      </c>
      <c r="AL1419" s="133">
        <v>0.954318181818182</v>
      </c>
      <c r="AM1419" s="133">
        <v>0.962647286964873</v>
      </c>
      <c r="AN1419" s="132">
        <v>0.99</v>
      </c>
      <c r="AO1419" s="137">
        <v>1</v>
      </c>
      <c r="AP1419" s="137">
        <v>1</v>
      </c>
      <c r="AQ1419" s="137">
        <v>1</v>
      </c>
      <c r="AR1419" s="137">
        <v>0.999521302058401</v>
      </c>
      <c r="AS1419" s="158">
        <v>0.0721861525408278</v>
      </c>
      <c r="AT1419" s="141">
        <v>0.08</v>
      </c>
      <c r="AU1419" s="141">
        <v>0.04</v>
      </c>
      <c r="AV1419" s="141">
        <v>0.0285714285714286</v>
      </c>
      <c r="AW1419" s="141">
        <v>0.0594795539033457</v>
      </c>
      <c r="AX1419" s="95"/>
      <c r="AY1419" s="93"/>
    </row>
    <row r="1420" ht="15" spans="1:51">
      <c r="A1420" s="91"/>
      <c r="B1420" s="95"/>
      <c r="C1420" s="152" t="s">
        <v>1085</v>
      </c>
      <c r="D1420" s="153" t="s">
        <v>25</v>
      </c>
      <c r="E1420" s="130" t="s">
        <v>1086</v>
      </c>
      <c r="F1420" s="195" t="s">
        <v>1450</v>
      </c>
      <c r="G1420" s="195" t="s">
        <v>1450</v>
      </c>
      <c r="H1420" s="195" t="s">
        <v>1450</v>
      </c>
      <c r="I1420" s="195" t="s">
        <v>1450</v>
      </c>
      <c r="J1420" s="132">
        <v>0.9</v>
      </c>
      <c r="K1420" s="133">
        <v>0.923076923076923</v>
      </c>
      <c r="L1420" s="133">
        <v>0.919354838709677</v>
      </c>
      <c r="M1420" s="134">
        <v>0.892857142857143</v>
      </c>
      <c r="N1420" s="133">
        <v>0.933756805807623</v>
      </c>
      <c r="O1420" s="135">
        <v>0.9</v>
      </c>
      <c r="P1420" s="133">
        <v>0.97588285960379</v>
      </c>
      <c r="Q1420" s="133">
        <v>0.972158657513349</v>
      </c>
      <c r="R1420" s="133">
        <v>0.968563685636856</v>
      </c>
      <c r="S1420" s="133">
        <v>0.930933933183371</v>
      </c>
      <c r="T1420" s="135">
        <v>0.9</v>
      </c>
      <c r="U1420" s="133">
        <v>0.945162216480046</v>
      </c>
      <c r="V1420" s="133">
        <v>0.948893974065599</v>
      </c>
      <c r="W1420" s="133">
        <v>0.938482384823848</v>
      </c>
      <c r="X1420" s="133">
        <v>0.927458611537592</v>
      </c>
      <c r="Y1420" s="135">
        <v>0.92</v>
      </c>
      <c r="Z1420" s="135">
        <v>0.914343983684568</v>
      </c>
      <c r="AA1420" s="135">
        <v>0.919431279620853</v>
      </c>
      <c r="AB1420" s="135">
        <v>0.893009985734665</v>
      </c>
      <c r="AC1420" s="135">
        <v>0.920665226347787</v>
      </c>
      <c r="AD1420" s="135">
        <v>0.92</v>
      </c>
      <c r="AE1420" s="133">
        <v>0.961539844002732</v>
      </c>
      <c r="AF1420" s="133">
        <v>0.73350128703653</v>
      </c>
      <c r="AG1420" s="133">
        <v>0.993946983928199</v>
      </c>
      <c r="AH1420" s="133">
        <v>0.946298278382897</v>
      </c>
      <c r="AI1420" s="135">
        <v>0.92</v>
      </c>
      <c r="AJ1420" s="133">
        <v>0.952361727896649</v>
      </c>
      <c r="AK1420" s="133">
        <v>0.959330833573695</v>
      </c>
      <c r="AL1420" s="133">
        <v>0.952630380323389</v>
      </c>
      <c r="AM1420" s="133">
        <v>0.965054746281294</v>
      </c>
      <c r="AN1420" s="132">
        <v>0.99</v>
      </c>
      <c r="AO1420" s="137">
        <v>1</v>
      </c>
      <c r="AP1420" s="137">
        <v>1</v>
      </c>
      <c r="AQ1420" s="137">
        <v>1</v>
      </c>
      <c r="AR1420" s="137">
        <v>1</v>
      </c>
      <c r="AS1420" s="158">
        <v>0.0721861525408278</v>
      </c>
      <c r="AT1420" s="141">
        <v>0.05</v>
      </c>
      <c r="AU1420" s="141">
        <v>0</v>
      </c>
      <c r="AV1420" s="141">
        <v>0.0344827586206897</v>
      </c>
      <c r="AW1420" s="141">
        <v>0.0394736842105263</v>
      </c>
      <c r="AX1420" s="95"/>
      <c r="AY1420" s="93"/>
    </row>
    <row r="1421" ht="15" spans="1:51">
      <c r="A1421" s="91"/>
      <c r="B1421" s="95"/>
      <c r="C1421" s="152" t="s">
        <v>1085</v>
      </c>
      <c r="D1421" s="153" t="s">
        <v>25</v>
      </c>
      <c r="E1421" s="130" t="s">
        <v>1086</v>
      </c>
      <c r="F1421" s="195" t="s">
        <v>1451</v>
      </c>
      <c r="G1421" s="195" t="s">
        <v>1451</v>
      </c>
      <c r="H1421" s="195" t="s">
        <v>1451</v>
      </c>
      <c r="I1421" s="195" t="s">
        <v>1451</v>
      </c>
      <c r="J1421" s="132">
        <v>0.9</v>
      </c>
      <c r="K1421" s="133">
        <v>0.983606557377049</v>
      </c>
      <c r="L1421" s="133">
        <v>0.882352941176471</v>
      </c>
      <c r="M1421" s="134">
        <v>0.914893617021277</v>
      </c>
      <c r="N1421" s="133">
        <v>0.943786982248521</v>
      </c>
      <c r="O1421" s="135">
        <v>0.9</v>
      </c>
      <c r="P1421" s="133">
        <v>0.978387096774194</v>
      </c>
      <c r="Q1421" s="133">
        <v>0.985308056872038</v>
      </c>
      <c r="R1421" s="133">
        <v>0.975609756097561</v>
      </c>
      <c r="S1421" s="133">
        <v>0.97471090457149</v>
      </c>
      <c r="T1421" s="135">
        <v>0.9</v>
      </c>
      <c r="U1421" s="133">
        <v>0.948709677419355</v>
      </c>
      <c r="V1421" s="133">
        <v>0.952132701421801</v>
      </c>
      <c r="W1421" s="133">
        <v>0.933265582655827</v>
      </c>
      <c r="X1421" s="133">
        <v>0.944855722468389</v>
      </c>
      <c r="Y1421" s="135">
        <v>0.92</v>
      </c>
      <c r="Z1421" s="135">
        <v>0.922367409684858</v>
      </c>
      <c r="AA1421" s="135">
        <v>0.922131147540984</v>
      </c>
      <c r="AB1421" s="135">
        <v>0.835820895522388</v>
      </c>
      <c r="AC1421" s="135">
        <v>0.897837686043246</v>
      </c>
      <c r="AD1421" s="135">
        <v>0.92</v>
      </c>
      <c r="AE1421" s="133">
        <v>0.986526029261654</v>
      </c>
      <c r="AF1421" s="133">
        <v>0.97192513368984</v>
      </c>
      <c r="AG1421" s="133">
        <v>0.970419720186542</v>
      </c>
      <c r="AH1421" s="133">
        <v>0.979635079458505</v>
      </c>
      <c r="AI1421" s="135">
        <v>0.92</v>
      </c>
      <c r="AJ1421" s="133">
        <v>0.958872983412861</v>
      </c>
      <c r="AK1421" s="133">
        <v>0.959887403237157</v>
      </c>
      <c r="AL1421" s="133">
        <v>0.939793577981651</v>
      </c>
      <c r="AM1421" s="133">
        <v>0.960982674695909</v>
      </c>
      <c r="AN1421" s="132">
        <v>0.99</v>
      </c>
      <c r="AO1421" s="137">
        <v>1</v>
      </c>
      <c r="AP1421" s="137">
        <v>1</v>
      </c>
      <c r="AQ1421" s="137">
        <v>1</v>
      </c>
      <c r="AR1421" s="137">
        <v>1</v>
      </c>
      <c r="AS1421" s="158">
        <v>0.0721861525408278</v>
      </c>
      <c r="AT1421" s="141">
        <v>0.03125</v>
      </c>
      <c r="AU1421" s="141">
        <v>0.0425531914893617</v>
      </c>
      <c r="AV1421" s="141">
        <v>0.0652173913043478</v>
      </c>
      <c r="AW1421" s="141">
        <v>0.0428769017980636</v>
      </c>
      <c r="AX1421" s="95"/>
      <c r="AY1421" s="93"/>
    </row>
    <row r="1422" ht="15" spans="1:51">
      <c r="A1422" s="91"/>
      <c r="B1422" s="95"/>
      <c r="C1422" s="152" t="s">
        <v>1085</v>
      </c>
      <c r="D1422" s="153" t="s">
        <v>1452</v>
      </c>
      <c r="E1422" s="130" t="s">
        <v>1086</v>
      </c>
      <c r="F1422" s="195" t="s">
        <v>1453</v>
      </c>
      <c r="G1422" s="195" t="s">
        <v>1453</v>
      </c>
      <c r="H1422" s="195" t="s">
        <v>1453</v>
      </c>
      <c r="I1422" s="195" t="s">
        <v>1453</v>
      </c>
      <c r="J1422" s="132">
        <v>0.9</v>
      </c>
      <c r="K1422" s="133" t="s">
        <v>35</v>
      </c>
      <c r="L1422" s="133" t="s">
        <v>35</v>
      </c>
      <c r="M1422" s="134" t="s">
        <v>35</v>
      </c>
      <c r="N1422" s="133" t="s">
        <v>35</v>
      </c>
      <c r="O1422" s="135">
        <v>0.9</v>
      </c>
      <c r="P1422" s="133" t="s">
        <v>35</v>
      </c>
      <c r="Q1422" s="133" t="s">
        <v>35</v>
      </c>
      <c r="R1422" s="133" t="s">
        <v>35</v>
      </c>
      <c r="S1422" s="133" t="s">
        <v>35</v>
      </c>
      <c r="T1422" s="135">
        <v>0.9</v>
      </c>
      <c r="U1422" s="133" t="s">
        <v>35</v>
      </c>
      <c r="V1422" s="133" t="s">
        <v>35</v>
      </c>
      <c r="W1422" s="133" t="s">
        <v>35</v>
      </c>
      <c r="X1422" s="133" t="s">
        <v>35</v>
      </c>
      <c r="Y1422" s="135">
        <v>0.92</v>
      </c>
      <c r="Z1422" s="135" t="s">
        <v>35</v>
      </c>
      <c r="AA1422" s="135" t="s">
        <v>35</v>
      </c>
      <c r="AB1422" s="135" t="s">
        <v>35</v>
      </c>
      <c r="AC1422" s="135" t="s">
        <v>35</v>
      </c>
      <c r="AD1422" s="135">
        <v>0.92</v>
      </c>
      <c r="AE1422" s="133" t="s">
        <v>35</v>
      </c>
      <c r="AF1422" s="133" t="s">
        <v>35</v>
      </c>
      <c r="AG1422" s="133" t="s">
        <v>35</v>
      </c>
      <c r="AH1422" s="133" t="s">
        <v>35</v>
      </c>
      <c r="AI1422" s="135">
        <v>0.92</v>
      </c>
      <c r="AJ1422" s="133" t="s">
        <v>35</v>
      </c>
      <c r="AK1422" s="133" t="s">
        <v>35</v>
      </c>
      <c r="AL1422" s="133" t="s">
        <v>35</v>
      </c>
      <c r="AM1422" s="133" t="s">
        <v>35</v>
      </c>
      <c r="AN1422" s="132">
        <v>0.99</v>
      </c>
      <c r="AO1422" s="137" t="s">
        <v>35</v>
      </c>
      <c r="AP1422" s="137" t="s">
        <v>35</v>
      </c>
      <c r="AQ1422" s="137" t="s">
        <v>35</v>
      </c>
      <c r="AR1422" s="137" t="s">
        <v>35</v>
      </c>
      <c r="AS1422" s="158">
        <v>0.0721861525408278</v>
      </c>
      <c r="AT1422" s="141" t="s">
        <v>35</v>
      </c>
      <c r="AU1422" s="141" t="s">
        <v>35</v>
      </c>
      <c r="AV1422" s="141" t="s">
        <v>35</v>
      </c>
      <c r="AW1422" s="141" t="s">
        <v>35</v>
      </c>
      <c r="AX1422" s="95"/>
      <c r="AY1422" s="93"/>
    </row>
    <row r="1423" ht="15" spans="1:51">
      <c r="A1423" s="91"/>
      <c r="B1423" s="95"/>
      <c r="C1423" s="152" t="s">
        <v>1085</v>
      </c>
      <c r="D1423" s="153" t="s">
        <v>25</v>
      </c>
      <c r="E1423" s="130" t="s">
        <v>1086</v>
      </c>
      <c r="F1423" s="195" t="s">
        <v>1454</v>
      </c>
      <c r="G1423" s="195" t="s">
        <v>1454</v>
      </c>
      <c r="H1423" s="195" t="s">
        <v>1454</v>
      </c>
      <c r="I1423" s="195" t="s">
        <v>1454</v>
      </c>
      <c r="J1423" s="132">
        <v>0.9</v>
      </c>
      <c r="K1423" s="133" t="s">
        <v>35</v>
      </c>
      <c r="L1423" s="133" t="s">
        <v>35</v>
      </c>
      <c r="M1423" s="134" t="s">
        <v>35</v>
      </c>
      <c r="N1423" s="133" t="s">
        <v>35</v>
      </c>
      <c r="O1423" s="135">
        <v>0.9</v>
      </c>
      <c r="P1423" s="133" t="s">
        <v>35</v>
      </c>
      <c r="Q1423" s="133" t="s">
        <v>35</v>
      </c>
      <c r="R1423" s="133" t="s">
        <v>35</v>
      </c>
      <c r="S1423" s="133" t="s">
        <v>35</v>
      </c>
      <c r="T1423" s="135">
        <v>0.9</v>
      </c>
      <c r="U1423" s="133" t="s">
        <v>35</v>
      </c>
      <c r="V1423" s="133" t="s">
        <v>35</v>
      </c>
      <c r="W1423" s="133" t="s">
        <v>35</v>
      </c>
      <c r="X1423" s="133" t="s">
        <v>35</v>
      </c>
      <c r="Y1423" s="135">
        <v>0.92</v>
      </c>
      <c r="Z1423" s="135" t="s">
        <v>35</v>
      </c>
      <c r="AA1423" s="135" t="s">
        <v>35</v>
      </c>
      <c r="AB1423" s="135" t="s">
        <v>35</v>
      </c>
      <c r="AC1423" s="135" t="s">
        <v>35</v>
      </c>
      <c r="AD1423" s="135">
        <v>0.92</v>
      </c>
      <c r="AE1423" s="133" t="s">
        <v>35</v>
      </c>
      <c r="AF1423" s="133" t="s">
        <v>35</v>
      </c>
      <c r="AG1423" s="133" t="s">
        <v>35</v>
      </c>
      <c r="AH1423" s="133" t="s">
        <v>35</v>
      </c>
      <c r="AI1423" s="135">
        <v>0.92</v>
      </c>
      <c r="AJ1423" s="133" t="s">
        <v>35</v>
      </c>
      <c r="AK1423" s="133" t="s">
        <v>35</v>
      </c>
      <c r="AL1423" s="133" t="s">
        <v>35</v>
      </c>
      <c r="AM1423" s="133" t="s">
        <v>35</v>
      </c>
      <c r="AN1423" s="132">
        <v>0.99</v>
      </c>
      <c r="AO1423" s="137" t="s">
        <v>35</v>
      </c>
      <c r="AP1423" s="137" t="s">
        <v>35</v>
      </c>
      <c r="AQ1423" s="137" t="s">
        <v>35</v>
      </c>
      <c r="AR1423" s="137" t="s">
        <v>35</v>
      </c>
      <c r="AS1423" s="158">
        <v>0.0721861525408278</v>
      </c>
      <c r="AT1423" s="141" t="s">
        <v>35</v>
      </c>
      <c r="AU1423" s="141" t="s">
        <v>35</v>
      </c>
      <c r="AV1423" s="141" t="s">
        <v>35</v>
      </c>
      <c r="AW1423" s="141" t="s">
        <v>35</v>
      </c>
      <c r="AX1423" s="95"/>
      <c r="AY1423" s="93"/>
    </row>
    <row r="1424" ht="15" spans="1:51">
      <c r="A1424" s="91"/>
      <c r="B1424" s="95"/>
      <c r="C1424" s="174"/>
      <c r="D1424" s="175"/>
      <c r="E1424" s="176"/>
      <c r="F1424" s="176"/>
      <c r="G1424" s="145"/>
      <c r="H1424" s="145"/>
      <c r="I1424" s="176"/>
      <c r="J1424" s="177"/>
      <c r="K1424" s="199"/>
      <c r="L1424" s="199"/>
      <c r="M1424" s="199"/>
      <c r="N1424" s="199"/>
      <c r="O1424" s="150"/>
      <c r="P1424" s="178"/>
      <c r="Q1424" s="178"/>
      <c r="R1424" s="133"/>
      <c r="S1424" s="178"/>
      <c r="T1424" s="150"/>
      <c r="U1424" s="178"/>
      <c r="V1424" s="178"/>
      <c r="W1424" s="133"/>
      <c r="X1424" s="178"/>
      <c r="Y1424" s="150"/>
      <c r="Z1424" s="150"/>
      <c r="AA1424" s="150"/>
      <c r="AB1424" s="135"/>
      <c r="AC1424" s="150"/>
      <c r="AD1424" s="178"/>
      <c r="AE1424" s="178"/>
      <c r="AF1424" s="178"/>
      <c r="AG1424" s="133"/>
      <c r="AH1424" s="178"/>
      <c r="AI1424" s="178"/>
      <c r="AJ1424" s="178"/>
      <c r="AK1424" s="178"/>
      <c r="AL1424" s="133"/>
      <c r="AM1424" s="178"/>
      <c r="AN1424" s="177"/>
      <c r="AO1424" s="177"/>
      <c r="AP1424" s="177"/>
      <c r="AQ1424" s="137"/>
      <c r="AR1424" s="177"/>
      <c r="AS1424" s="178"/>
      <c r="AT1424" s="177"/>
      <c r="AU1424" s="177"/>
      <c r="AV1424" s="141"/>
      <c r="AW1424" s="177"/>
      <c r="AX1424" s="95"/>
      <c r="AY1424" s="93"/>
    </row>
    <row r="1425" ht="15" spans="1:51">
      <c r="A1425" s="91"/>
      <c r="B1425" s="95"/>
      <c r="C1425" s="152" t="s">
        <v>1455</v>
      </c>
      <c r="D1425" s="153" t="s">
        <v>125</v>
      </c>
      <c r="E1425" s="130" t="s">
        <v>1456</v>
      </c>
      <c r="F1425" s="200" t="s">
        <v>1457</v>
      </c>
      <c r="G1425" s="200" t="s">
        <v>1457</v>
      </c>
      <c r="H1425" s="200" t="s">
        <v>1457</v>
      </c>
      <c r="I1425" s="200" t="s">
        <v>1457</v>
      </c>
      <c r="J1425" s="132">
        <v>0.9</v>
      </c>
      <c r="K1425" s="133" t="s">
        <v>35</v>
      </c>
      <c r="L1425" s="133" t="s">
        <v>35</v>
      </c>
      <c r="M1425" s="134" t="s">
        <v>35</v>
      </c>
      <c r="N1425" s="133" t="s">
        <v>35</v>
      </c>
      <c r="O1425" s="135">
        <v>0.9</v>
      </c>
      <c r="P1425" s="133">
        <v>0</v>
      </c>
      <c r="Q1425" s="133" t="s">
        <v>35</v>
      </c>
      <c r="R1425" s="133">
        <v>0</v>
      </c>
      <c r="S1425" s="133">
        <v>0</v>
      </c>
      <c r="T1425" s="135">
        <v>0.9</v>
      </c>
      <c r="U1425" s="133">
        <v>0</v>
      </c>
      <c r="V1425" s="133" t="s">
        <v>35</v>
      </c>
      <c r="W1425" s="133">
        <v>1</v>
      </c>
      <c r="X1425" s="133">
        <v>0.9</v>
      </c>
      <c r="Y1425" s="135">
        <v>0.92</v>
      </c>
      <c r="Z1425" s="135" t="s">
        <v>35</v>
      </c>
      <c r="AA1425" s="135" t="s">
        <v>35</v>
      </c>
      <c r="AB1425" s="135" t="s">
        <v>35</v>
      </c>
      <c r="AC1425" s="135" t="s">
        <v>35</v>
      </c>
      <c r="AD1425" s="135">
        <v>0.92</v>
      </c>
      <c r="AE1425" s="133">
        <v>0.980854197349043</v>
      </c>
      <c r="AF1425" s="133">
        <v>1</v>
      </c>
      <c r="AG1425" s="133">
        <v>0.985637342908438</v>
      </c>
      <c r="AH1425" s="133">
        <v>0.990952087188978</v>
      </c>
      <c r="AI1425" s="135">
        <v>0.92</v>
      </c>
      <c r="AJ1425" s="133">
        <v>0</v>
      </c>
      <c r="AK1425" s="133" t="s">
        <v>35</v>
      </c>
      <c r="AL1425" s="133">
        <v>1</v>
      </c>
      <c r="AM1425" s="133">
        <v>0.916666666666667</v>
      </c>
      <c r="AN1425" s="132">
        <v>0.99</v>
      </c>
      <c r="AO1425" s="137" t="s">
        <v>35</v>
      </c>
      <c r="AP1425" s="137">
        <v>1</v>
      </c>
      <c r="AQ1425" s="137">
        <v>1</v>
      </c>
      <c r="AR1425" s="137">
        <v>1</v>
      </c>
      <c r="AS1425" s="158">
        <v>0.110069253262963</v>
      </c>
      <c r="AT1425" s="141" t="s">
        <v>35</v>
      </c>
      <c r="AU1425" s="141" t="s">
        <v>35</v>
      </c>
      <c r="AV1425" s="141" t="s">
        <v>35</v>
      </c>
      <c r="AW1425" s="141" t="s">
        <v>35</v>
      </c>
      <c r="AX1425" s="95"/>
      <c r="AY1425" s="93"/>
    </row>
    <row r="1426" ht="15" spans="1:51">
      <c r="A1426" s="91"/>
      <c r="B1426" s="95"/>
      <c r="C1426" s="152" t="s">
        <v>1455</v>
      </c>
      <c r="D1426" s="153" t="s">
        <v>125</v>
      </c>
      <c r="E1426" s="130" t="s">
        <v>1456</v>
      </c>
      <c r="F1426" s="201" t="s">
        <v>1458</v>
      </c>
      <c r="G1426" s="201" t="s">
        <v>1458</v>
      </c>
      <c r="H1426" s="201" t="s">
        <v>1458</v>
      </c>
      <c r="I1426" s="201" t="s">
        <v>1458</v>
      </c>
      <c r="J1426" s="132">
        <v>0.9</v>
      </c>
      <c r="K1426" s="133" t="s">
        <v>35</v>
      </c>
      <c r="L1426" s="133" t="s">
        <v>35</v>
      </c>
      <c r="M1426" s="134" t="s">
        <v>35</v>
      </c>
      <c r="N1426" s="133" t="s">
        <v>35</v>
      </c>
      <c r="O1426" s="135">
        <v>0.9</v>
      </c>
      <c r="P1426" s="133" t="s">
        <v>35</v>
      </c>
      <c r="Q1426" s="133" t="s">
        <v>35</v>
      </c>
      <c r="R1426" s="133" t="s">
        <v>35</v>
      </c>
      <c r="S1426" s="133">
        <v>0</v>
      </c>
      <c r="T1426" s="135">
        <v>0.9</v>
      </c>
      <c r="U1426" s="133" t="s">
        <v>35</v>
      </c>
      <c r="V1426" s="133" t="s">
        <v>35</v>
      </c>
      <c r="W1426" s="133" t="s">
        <v>35</v>
      </c>
      <c r="X1426" s="133">
        <v>1</v>
      </c>
      <c r="Y1426" s="135">
        <v>0.92</v>
      </c>
      <c r="Z1426" s="135" t="s">
        <v>35</v>
      </c>
      <c r="AA1426" s="135" t="s">
        <v>35</v>
      </c>
      <c r="AB1426" s="135" t="s">
        <v>35</v>
      </c>
      <c r="AC1426" s="135" t="s">
        <v>35</v>
      </c>
      <c r="AD1426" s="135">
        <v>0.92</v>
      </c>
      <c r="AE1426" s="133">
        <v>0.932489451476793</v>
      </c>
      <c r="AF1426" s="133">
        <v>0.937823834196891</v>
      </c>
      <c r="AG1426" s="133">
        <v>0.944444444444444</v>
      </c>
      <c r="AH1426" s="133">
        <v>0.974739501105147</v>
      </c>
      <c r="AI1426" s="135">
        <v>0.92</v>
      </c>
      <c r="AJ1426" s="133" t="s">
        <v>35</v>
      </c>
      <c r="AK1426" s="133" t="s">
        <v>35</v>
      </c>
      <c r="AL1426" s="133" t="s">
        <v>35</v>
      </c>
      <c r="AM1426" s="133">
        <v>1</v>
      </c>
      <c r="AN1426" s="132">
        <v>0.99</v>
      </c>
      <c r="AO1426" s="137" t="s">
        <v>35</v>
      </c>
      <c r="AP1426" s="137" t="s">
        <v>35</v>
      </c>
      <c r="AQ1426" s="137" t="s">
        <v>35</v>
      </c>
      <c r="AR1426" s="137">
        <v>1</v>
      </c>
      <c r="AS1426" s="158">
        <v>0.110069253262963</v>
      </c>
      <c r="AT1426" s="141" t="s">
        <v>35</v>
      </c>
      <c r="AU1426" s="141" t="s">
        <v>35</v>
      </c>
      <c r="AV1426" s="141" t="s">
        <v>35</v>
      </c>
      <c r="AW1426" s="141" t="s">
        <v>35</v>
      </c>
      <c r="AX1426" s="95"/>
      <c r="AY1426" s="93"/>
    </row>
    <row r="1427" ht="15" spans="1:51">
      <c r="A1427" s="91"/>
      <c r="B1427" s="95"/>
      <c r="C1427" s="152" t="s">
        <v>1455</v>
      </c>
      <c r="D1427" s="153" t="s">
        <v>125</v>
      </c>
      <c r="E1427" s="130" t="s">
        <v>1456</v>
      </c>
      <c r="F1427" s="200" t="s">
        <v>1459</v>
      </c>
      <c r="G1427" s="200" t="s">
        <v>1459</v>
      </c>
      <c r="H1427" s="200" t="s">
        <v>1459</v>
      </c>
      <c r="I1427" s="200" t="s">
        <v>1459</v>
      </c>
      <c r="J1427" s="132">
        <v>0.9</v>
      </c>
      <c r="K1427" s="133" t="s">
        <v>35</v>
      </c>
      <c r="L1427" s="133" t="s">
        <v>35</v>
      </c>
      <c r="M1427" s="134" t="s">
        <v>35</v>
      </c>
      <c r="N1427" s="133" t="s">
        <v>35</v>
      </c>
      <c r="O1427" s="135">
        <v>0.9</v>
      </c>
      <c r="P1427" s="133" t="s">
        <v>35</v>
      </c>
      <c r="Q1427" s="133" t="s">
        <v>35</v>
      </c>
      <c r="R1427" s="133" t="s">
        <v>35</v>
      </c>
      <c r="S1427" s="133" t="s">
        <v>35</v>
      </c>
      <c r="T1427" s="135">
        <v>0.9</v>
      </c>
      <c r="U1427" s="133" t="s">
        <v>35</v>
      </c>
      <c r="V1427" s="133" t="s">
        <v>35</v>
      </c>
      <c r="W1427" s="133" t="s">
        <v>35</v>
      </c>
      <c r="X1427" s="133" t="s">
        <v>35</v>
      </c>
      <c r="Y1427" s="135">
        <v>0.92</v>
      </c>
      <c r="Z1427" s="135" t="s">
        <v>35</v>
      </c>
      <c r="AA1427" s="135" t="s">
        <v>35</v>
      </c>
      <c r="AB1427" s="135" t="s">
        <v>35</v>
      </c>
      <c r="AC1427" s="135" t="s">
        <v>35</v>
      </c>
      <c r="AD1427" s="135">
        <v>0.92</v>
      </c>
      <c r="AE1427" s="133">
        <v>0.981651376146789</v>
      </c>
      <c r="AF1427" s="133">
        <v>0.156521739130435</v>
      </c>
      <c r="AG1427" s="133">
        <v>1</v>
      </c>
      <c r="AH1427" s="133">
        <v>0.864285714285714</v>
      </c>
      <c r="AI1427" s="135">
        <v>0.92</v>
      </c>
      <c r="AJ1427" s="133" t="s">
        <v>35</v>
      </c>
      <c r="AK1427" s="133" t="s">
        <v>35</v>
      </c>
      <c r="AL1427" s="133" t="s">
        <v>35</v>
      </c>
      <c r="AM1427" s="133" t="s">
        <v>35</v>
      </c>
      <c r="AN1427" s="132">
        <v>0.99</v>
      </c>
      <c r="AO1427" s="137" t="s">
        <v>35</v>
      </c>
      <c r="AP1427" s="137" t="s">
        <v>35</v>
      </c>
      <c r="AQ1427" s="137" t="s">
        <v>35</v>
      </c>
      <c r="AR1427" s="137">
        <v>1</v>
      </c>
      <c r="AS1427" s="158">
        <v>0.110069253262963</v>
      </c>
      <c r="AT1427" s="141" t="s">
        <v>35</v>
      </c>
      <c r="AU1427" s="141" t="s">
        <v>35</v>
      </c>
      <c r="AV1427" s="141" t="s">
        <v>35</v>
      </c>
      <c r="AW1427" s="141" t="s">
        <v>35</v>
      </c>
      <c r="AX1427" s="95"/>
      <c r="AY1427" s="93"/>
    </row>
    <row r="1428" ht="15" spans="1:51">
      <c r="A1428" s="91"/>
      <c r="B1428" s="95"/>
      <c r="C1428" s="152" t="s">
        <v>1455</v>
      </c>
      <c r="D1428" s="153" t="s">
        <v>125</v>
      </c>
      <c r="E1428" s="130" t="s">
        <v>1456</v>
      </c>
      <c r="F1428" s="201" t="s">
        <v>1460</v>
      </c>
      <c r="G1428" s="201" t="s">
        <v>1460</v>
      </c>
      <c r="H1428" s="201" t="s">
        <v>1460</v>
      </c>
      <c r="I1428" s="201" t="s">
        <v>1460</v>
      </c>
      <c r="J1428" s="132">
        <v>0.9</v>
      </c>
      <c r="K1428" s="133" t="s">
        <v>35</v>
      </c>
      <c r="L1428" s="133" t="s">
        <v>35</v>
      </c>
      <c r="M1428" s="134" t="s">
        <v>35</v>
      </c>
      <c r="N1428" s="133" t="s">
        <v>35</v>
      </c>
      <c r="O1428" s="135">
        <v>0.9</v>
      </c>
      <c r="P1428" s="133">
        <v>0</v>
      </c>
      <c r="Q1428" s="133">
        <v>0</v>
      </c>
      <c r="R1428" s="133">
        <v>0</v>
      </c>
      <c r="S1428" s="133">
        <v>0</v>
      </c>
      <c r="T1428" s="135">
        <v>0.9</v>
      </c>
      <c r="U1428" s="133">
        <v>1</v>
      </c>
      <c r="V1428" s="133">
        <v>0.666666666666667</v>
      </c>
      <c r="W1428" s="133">
        <v>1</v>
      </c>
      <c r="X1428" s="133">
        <v>0.990825688073395</v>
      </c>
      <c r="Y1428" s="135">
        <v>0.92</v>
      </c>
      <c r="Z1428" s="135">
        <v>1</v>
      </c>
      <c r="AA1428" s="135" t="s">
        <v>35</v>
      </c>
      <c r="AB1428" s="135">
        <v>1</v>
      </c>
      <c r="AC1428" s="135">
        <v>0.954545454545455</v>
      </c>
      <c r="AD1428" s="135">
        <v>0.92</v>
      </c>
      <c r="AE1428" s="133">
        <v>0.999521988527725</v>
      </c>
      <c r="AF1428" s="133">
        <v>0.999115566037736</v>
      </c>
      <c r="AG1428" s="133">
        <v>0.999745676500509</v>
      </c>
      <c r="AH1428" s="133">
        <v>0.997855994282651</v>
      </c>
      <c r="AI1428" s="135">
        <v>0.92</v>
      </c>
      <c r="AJ1428" s="133">
        <v>1</v>
      </c>
      <c r="AK1428" s="133">
        <v>0.75</v>
      </c>
      <c r="AL1428" s="133">
        <v>1</v>
      </c>
      <c r="AM1428" s="133">
        <v>0.975</v>
      </c>
      <c r="AN1428" s="132">
        <v>0.99</v>
      </c>
      <c r="AO1428" s="137">
        <v>1</v>
      </c>
      <c r="AP1428" s="137">
        <v>1</v>
      </c>
      <c r="AQ1428" s="137">
        <v>1</v>
      </c>
      <c r="AR1428" s="137">
        <v>1</v>
      </c>
      <c r="AS1428" s="158">
        <v>0.110069253262963</v>
      </c>
      <c r="AT1428" s="141" t="s">
        <v>35</v>
      </c>
      <c r="AU1428" s="141" t="s">
        <v>35</v>
      </c>
      <c r="AV1428" s="141" t="s">
        <v>35</v>
      </c>
      <c r="AW1428" s="141" t="s">
        <v>35</v>
      </c>
      <c r="AX1428" s="95"/>
      <c r="AY1428" s="93"/>
    </row>
    <row r="1429" ht="15" spans="1:51">
      <c r="A1429" s="91"/>
      <c r="B1429" s="95"/>
      <c r="C1429" s="152" t="s">
        <v>1455</v>
      </c>
      <c r="D1429" s="153" t="s">
        <v>125</v>
      </c>
      <c r="E1429" s="130" t="s">
        <v>1456</v>
      </c>
      <c r="F1429" s="201" t="s">
        <v>1461</v>
      </c>
      <c r="G1429" s="201" t="s">
        <v>1461</v>
      </c>
      <c r="H1429" s="201" t="s">
        <v>1461</v>
      </c>
      <c r="I1429" s="201" t="s">
        <v>1461</v>
      </c>
      <c r="J1429" s="132">
        <v>0.9</v>
      </c>
      <c r="K1429" s="133" t="s">
        <v>35</v>
      </c>
      <c r="L1429" s="133" t="s">
        <v>35</v>
      </c>
      <c r="M1429" s="134" t="s">
        <v>35</v>
      </c>
      <c r="N1429" s="133" t="s">
        <v>35</v>
      </c>
      <c r="O1429" s="135">
        <v>0.9</v>
      </c>
      <c r="P1429" s="133" t="s">
        <v>35</v>
      </c>
      <c r="Q1429" s="133">
        <v>0</v>
      </c>
      <c r="R1429" s="133" t="s">
        <v>35</v>
      </c>
      <c r="S1429" s="133">
        <v>0</v>
      </c>
      <c r="T1429" s="135">
        <v>0.9</v>
      </c>
      <c r="U1429" s="133" t="s">
        <v>35</v>
      </c>
      <c r="V1429" s="133">
        <v>1</v>
      </c>
      <c r="W1429" s="133" t="s">
        <v>35</v>
      </c>
      <c r="X1429" s="133">
        <v>1</v>
      </c>
      <c r="Y1429" s="135">
        <v>0.92</v>
      </c>
      <c r="Z1429" s="135" t="s">
        <v>35</v>
      </c>
      <c r="AA1429" s="135" t="s">
        <v>35</v>
      </c>
      <c r="AB1429" s="135" t="s">
        <v>35</v>
      </c>
      <c r="AC1429" s="135" t="s">
        <v>35</v>
      </c>
      <c r="AD1429" s="135">
        <v>0.92</v>
      </c>
      <c r="AE1429" s="133">
        <v>0.936363636363636</v>
      </c>
      <c r="AF1429" s="133">
        <v>0.589285714285714</v>
      </c>
      <c r="AG1429" s="133">
        <v>1</v>
      </c>
      <c r="AH1429" s="133">
        <v>0.952938475665748</v>
      </c>
      <c r="AI1429" s="135">
        <v>0.92</v>
      </c>
      <c r="AJ1429" s="133" t="s">
        <v>35</v>
      </c>
      <c r="AK1429" s="133">
        <v>1</v>
      </c>
      <c r="AL1429" s="133" t="s">
        <v>35</v>
      </c>
      <c r="AM1429" s="133">
        <v>1</v>
      </c>
      <c r="AN1429" s="132">
        <v>0.99</v>
      </c>
      <c r="AO1429" s="137">
        <v>1</v>
      </c>
      <c r="AP1429" s="137">
        <v>1</v>
      </c>
      <c r="AQ1429" s="137">
        <v>1</v>
      </c>
      <c r="AR1429" s="137">
        <v>1</v>
      </c>
      <c r="AS1429" s="158">
        <v>0.110069253262963</v>
      </c>
      <c r="AT1429" s="141" t="s">
        <v>35</v>
      </c>
      <c r="AU1429" s="141" t="s">
        <v>35</v>
      </c>
      <c r="AV1429" s="141" t="s">
        <v>35</v>
      </c>
      <c r="AW1429" s="141" t="s">
        <v>35</v>
      </c>
      <c r="AX1429" s="95"/>
      <c r="AY1429" s="93"/>
    </row>
    <row r="1430" ht="15" spans="1:51">
      <c r="A1430" s="91"/>
      <c r="B1430" s="95"/>
      <c r="C1430" s="152" t="s">
        <v>1455</v>
      </c>
      <c r="D1430" s="153" t="s">
        <v>125</v>
      </c>
      <c r="E1430" s="130" t="s">
        <v>1456</v>
      </c>
      <c r="F1430" s="201" t="s">
        <v>1462</v>
      </c>
      <c r="G1430" s="201" t="s">
        <v>1462</v>
      </c>
      <c r="H1430" s="201" t="s">
        <v>1462</v>
      </c>
      <c r="I1430" s="201" t="s">
        <v>1462</v>
      </c>
      <c r="J1430" s="132">
        <v>0.9</v>
      </c>
      <c r="K1430" s="133" t="s">
        <v>35</v>
      </c>
      <c r="L1430" s="133" t="s">
        <v>35</v>
      </c>
      <c r="M1430" s="134" t="s">
        <v>35</v>
      </c>
      <c r="N1430" s="133" t="s">
        <v>35</v>
      </c>
      <c r="O1430" s="135">
        <v>0.9</v>
      </c>
      <c r="P1430" s="133" t="s">
        <v>35</v>
      </c>
      <c r="Q1430" s="133" t="s">
        <v>35</v>
      </c>
      <c r="R1430" s="133" t="s">
        <v>35</v>
      </c>
      <c r="S1430" s="133">
        <v>0</v>
      </c>
      <c r="T1430" s="135">
        <v>0.9</v>
      </c>
      <c r="U1430" s="133" t="s">
        <v>35</v>
      </c>
      <c r="V1430" s="133" t="s">
        <v>35</v>
      </c>
      <c r="W1430" s="133" t="s">
        <v>35</v>
      </c>
      <c r="X1430" s="133">
        <v>0</v>
      </c>
      <c r="Y1430" s="135">
        <v>0.92</v>
      </c>
      <c r="Z1430" s="135" t="s">
        <v>35</v>
      </c>
      <c r="AA1430" s="135" t="s">
        <v>35</v>
      </c>
      <c r="AB1430" s="135" t="s">
        <v>35</v>
      </c>
      <c r="AC1430" s="135" t="s">
        <v>35</v>
      </c>
      <c r="AD1430" s="135">
        <v>0.92</v>
      </c>
      <c r="AE1430" s="133">
        <v>0.997235659986178</v>
      </c>
      <c r="AF1430" s="133">
        <v>0.995607613469985</v>
      </c>
      <c r="AG1430" s="133">
        <v>1</v>
      </c>
      <c r="AH1430" s="133">
        <v>0.983334920483763</v>
      </c>
      <c r="AI1430" s="135">
        <v>0.92</v>
      </c>
      <c r="AJ1430" s="133" t="s">
        <v>35</v>
      </c>
      <c r="AK1430" s="133" t="s">
        <v>35</v>
      </c>
      <c r="AL1430" s="133" t="s">
        <v>35</v>
      </c>
      <c r="AM1430" s="133">
        <v>0.416666666666667</v>
      </c>
      <c r="AN1430" s="132">
        <v>0.99</v>
      </c>
      <c r="AO1430" s="137">
        <v>1</v>
      </c>
      <c r="AP1430" s="137">
        <v>1</v>
      </c>
      <c r="AQ1430" s="137">
        <v>1</v>
      </c>
      <c r="AR1430" s="137">
        <v>1</v>
      </c>
      <c r="AS1430" s="158">
        <v>0.110069253262963</v>
      </c>
      <c r="AT1430" s="141" t="s">
        <v>35</v>
      </c>
      <c r="AU1430" s="141" t="s">
        <v>35</v>
      </c>
      <c r="AV1430" s="141" t="s">
        <v>35</v>
      </c>
      <c r="AW1430" s="141" t="s">
        <v>35</v>
      </c>
      <c r="AX1430" s="95"/>
      <c r="AY1430" s="93"/>
    </row>
    <row r="1431" ht="15" spans="1:51">
      <c r="A1431" s="91"/>
      <c r="B1431" s="95"/>
      <c r="C1431" s="152" t="s">
        <v>1455</v>
      </c>
      <c r="D1431" s="153" t="s">
        <v>125</v>
      </c>
      <c r="E1431" s="130" t="s">
        <v>1456</v>
      </c>
      <c r="F1431" s="201" t="s">
        <v>1463</v>
      </c>
      <c r="G1431" s="201" t="s">
        <v>1463</v>
      </c>
      <c r="H1431" s="201" t="s">
        <v>1463</v>
      </c>
      <c r="I1431" s="201" t="s">
        <v>1463</v>
      </c>
      <c r="J1431" s="132">
        <v>0.9</v>
      </c>
      <c r="K1431" s="133" t="s">
        <v>35</v>
      </c>
      <c r="L1431" s="133" t="s">
        <v>35</v>
      </c>
      <c r="M1431" s="134" t="s">
        <v>35</v>
      </c>
      <c r="N1431" s="133" t="s">
        <v>35</v>
      </c>
      <c r="O1431" s="135">
        <v>0.9</v>
      </c>
      <c r="P1431" s="133" t="s">
        <v>35</v>
      </c>
      <c r="Q1431" s="133" t="s">
        <v>35</v>
      </c>
      <c r="R1431" s="133">
        <v>0</v>
      </c>
      <c r="S1431" s="133">
        <v>0</v>
      </c>
      <c r="T1431" s="135">
        <v>0.9</v>
      </c>
      <c r="U1431" s="133" t="s">
        <v>35</v>
      </c>
      <c r="V1431" s="133" t="s">
        <v>35</v>
      </c>
      <c r="W1431" s="133">
        <v>1</v>
      </c>
      <c r="X1431" s="133">
        <v>1</v>
      </c>
      <c r="Y1431" s="135">
        <v>0.92</v>
      </c>
      <c r="Z1431" s="135" t="s">
        <v>35</v>
      </c>
      <c r="AA1431" s="135" t="s">
        <v>35</v>
      </c>
      <c r="AB1431" s="135" t="s">
        <v>35</v>
      </c>
      <c r="AC1431" s="135" t="s">
        <v>35</v>
      </c>
      <c r="AD1431" s="135">
        <v>0.92</v>
      </c>
      <c r="AE1431" s="133">
        <v>1</v>
      </c>
      <c r="AF1431" s="133">
        <v>0.997252747252747</v>
      </c>
      <c r="AG1431" s="133">
        <v>1</v>
      </c>
      <c r="AH1431" s="133">
        <v>0.997140569598536</v>
      </c>
      <c r="AI1431" s="135">
        <v>0.92</v>
      </c>
      <c r="AJ1431" s="133" t="s">
        <v>35</v>
      </c>
      <c r="AK1431" s="133" t="s">
        <v>35</v>
      </c>
      <c r="AL1431" s="133">
        <v>1</v>
      </c>
      <c r="AM1431" s="133">
        <v>1</v>
      </c>
      <c r="AN1431" s="132">
        <v>0.99</v>
      </c>
      <c r="AO1431" s="137">
        <v>1</v>
      </c>
      <c r="AP1431" s="137">
        <v>1</v>
      </c>
      <c r="AQ1431" s="137">
        <v>1</v>
      </c>
      <c r="AR1431" s="137">
        <v>1</v>
      </c>
      <c r="AS1431" s="158">
        <v>0.110069253262963</v>
      </c>
      <c r="AT1431" s="141" t="s">
        <v>35</v>
      </c>
      <c r="AU1431" s="141" t="s">
        <v>35</v>
      </c>
      <c r="AV1431" s="141" t="s">
        <v>35</v>
      </c>
      <c r="AW1431" s="141" t="s">
        <v>35</v>
      </c>
      <c r="AX1431" s="95"/>
      <c r="AY1431" s="93"/>
    </row>
    <row r="1432" ht="15" spans="1:51">
      <c r="A1432" s="91"/>
      <c r="B1432" s="95"/>
      <c r="C1432" s="152" t="s">
        <v>1455</v>
      </c>
      <c r="D1432" s="153" t="s">
        <v>125</v>
      </c>
      <c r="E1432" s="130" t="s">
        <v>1456</v>
      </c>
      <c r="F1432" s="201" t="s">
        <v>1464</v>
      </c>
      <c r="G1432" s="201" t="s">
        <v>1464</v>
      </c>
      <c r="H1432" s="201" t="s">
        <v>1464</v>
      </c>
      <c r="I1432" s="201" t="s">
        <v>1464</v>
      </c>
      <c r="J1432" s="132">
        <v>0.9</v>
      </c>
      <c r="K1432" s="133" t="s">
        <v>35</v>
      </c>
      <c r="L1432" s="133" t="s">
        <v>35</v>
      </c>
      <c r="M1432" s="134" t="s">
        <v>35</v>
      </c>
      <c r="N1432" s="133" t="s">
        <v>35</v>
      </c>
      <c r="O1432" s="135">
        <v>0.9</v>
      </c>
      <c r="P1432" s="133" t="s">
        <v>35</v>
      </c>
      <c r="Q1432" s="133" t="s">
        <v>35</v>
      </c>
      <c r="R1432" s="133" t="s">
        <v>35</v>
      </c>
      <c r="S1432" s="133">
        <v>0</v>
      </c>
      <c r="T1432" s="135">
        <v>0.9</v>
      </c>
      <c r="U1432" s="133" t="s">
        <v>35</v>
      </c>
      <c r="V1432" s="133" t="s">
        <v>35</v>
      </c>
      <c r="W1432" s="133" t="s">
        <v>35</v>
      </c>
      <c r="X1432" s="133">
        <v>0.619047619047619</v>
      </c>
      <c r="Y1432" s="135">
        <v>0.92</v>
      </c>
      <c r="Z1432" s="135" t="s">
        <v>35</v>
      </c>
      <c r="AA1432" s="135" t="s">
        <v>35</v>
      </c>
      <c r="AB1432" s="135" t="s">
        <v>35</v>
      </c>
      <c r="AC1432" s="135">
        <v>0</v>
      </c>
      <c r="AD1432" s="135">
        <v>0.92</v>
      </c>
      <c r="AE1432" s="133">
        <v>0.998652291105121</v>
      </c>
      <c r="AF1432" s="133">
        <v>0.984615384615385</v>
      </c>
      <c r="AG1432" s="133">
        <v>0.99781181619256</v>
      </c>
      <c r="AH1432" s="133">
        <v>0.994496320573867</v>
      </c>
      <c r="AI1432" s="135">
        <v>0.92</v>
      </c>
      <c r="AJ1432" s="133" t="s">
        <v>35</v>
      </c>
      <c r="AK1432" s="133" t="s">
        <v>35</v>
      </c>
      <c r="AL1432" s="133" t="s">
        <v>35</v>
      </c>
      <c r="AM1432" s="133">
        <v>0.818181818181818</v>
      </c>
      <c r="AN1432" s="132">
        <v>0.99</v>
      </c>
      <c r="AO1432" s="137" t="s">
        <v>35</v>
      </c>
      <c r="AP1432" s="137">
        <v>1</v>
      </c>
      <c r="AQ1432" s="137" t="s">
        <v>35</v>
      </c>
      <c r="AR1432" s="137">
        <v>1</v>
      </c>
      <c r="AS1432" s="158">
        <v>0.110069253262963</v>
      </c>
      <c r="AT1432" s="141" t="s">
        <v>35</v>
      </c>
      <c r="AU1432" s="141" t="s">
        <v>35</v>
      </c>
      <c r="AV1432" s="141" t="s">
        <v>35</v>
      </c>
      <c r="AW1432" s="141" t="s">
        <v>35</v>
      </c>
      <c r="AX1432" s="95"/>
      <c r="AY1432" s="93"/>
    </row>
    <row r="1433" ht="15" spans="1:51">
      <c r="A1433" s="91"/>
      <c r="B1433" s="95"/>
      <c r="C1433" s="152" t="s">
        <v>1455</v>
      </c>
      <c r="D1433" s="153" t="s">
        <v>125</v>
      </c>
      <c r="E1433" s="130" t="s">
        <v>1456</v>
      </c>
      <c r="F1433" s="200" t="s">
        <v>1465</v>
      </c>
      <c r="G1433" s="200" t="s">
        <v>1465</v>
      </c>
      <c r="H1433" s="200" t="s">
        <v>1465</v>
      </c>
      <c r="I1433" s="200" t="s">
        <v>1465</v>
      </c>
      <c r="J1433" s="132">
        <v>0.9</v>
      </c>
      <c r="K1433" s="133" t="s">
        <v>35</v>
      </c>
      <c r="L1433" s="133" t="s">
        <v>35</v>
      </c>
      <c r="M1433" s="134" t="s">
        <v>35</v>
      </c>
      <c r="N1433" s="133" t="s">
        <v>35</v>
      </c>
      <c r="O1433" s="135">
        <v>0.9</v>
      </c>
      <c r="P1433" s="133" t="s">
        <v>35</v>
      </c>
      <c r="Q1433" s="133">
        <v>0</v>
      </c>
      <c r="R1433" s="133" t="s">
        <v>35</v>
      </c>
      <c r="S1433" s="133">
        <v>0</v>
      </c>
      <c r="T1433" s="135">
        <v>0.9</v>
      </c>
      <c r="U1433" s="133" t="s">
        <v>35</v>
      </c>
      <c r="V1433" s="133">
        <v>1</v>
      </c>
      <c r="W1433" s="133" t="s">
        <v>35</v>
      </c>
      <c r="X1433" s="133">
        <v>1</v>
      </c>
      <c r="Y1433" s="135">
        <v>0.92</v>
      </c>
      <c r="Z1433" s="135" t="s">
        <v>35</v>
      </c>
      <c r="AA1433" s="135" t="s">
        <v>35</v>
      </c>
      <c r="AB1433" s="135" t="s">
        <v>35</v>
      </c>
      <c r="AC1433" s="135" t="s">
        <v>35</v>
      </c>
      <c r="AD1433" s="135">
        <v>0.92</v>
      </c>
      <c r="AE1433" s="133">
        <v>0.921397379912664</v>
      </c>
      <c r="AF1433" s="133">
        <v>0.938461538461538</v>
      </c>
      <c r="AG1433" s="133">
        <v>1</v>
      </c>
      <c r="AH1433" s="133">
        <v>0.986021911598036</v>
      </c>
      <c r="AI1433" s="135">
        <v>0.92</v>
      </c>
      <c r="AJ1433" s="133" t="s">
        <v>35</v>
      </c>
      <c r="AK1433" s="133">
        <v>1</v>
      </c>
      <c r="AL1433" s="133" t="s">
        <v>35</v>
      </c>
      <c r="AM1433" s="133">
        <v>1</v>
      </c>
      <c r="AN1433" s="132">
        <v>0.99</v>
      </c>
      <c r="AO1433" s="137" t="s">
        <v>35</v>
      </c>
      <c r="AP1433" s="137">
        <v>1</v>
      </c>
      <c r="AQ1433" s="137" t="s">
        <v>35</v>
      </c>
      <c r="AR1433" s="137">
        <v>1</v>
      </c>
      <c r="AS1433" s="158">
        <v>0.110069253262963</v>
      </c>
      <c r="AT1433" s="141" t="s">
        <v>35</v>
      </c>
      <c r="AU1433" s="141" t="s">
        <v>35</v>
      </c>
      <c r="AV1433" s="141" t="s">
        <v>35</v>
      </c>
      <c r="AW1433" s="141" t="s">
        <v>35</v>
      </c>
      <c r="AX1433" s="95"/>
      <c r="AY1433" s="93"/>
    </row>
    <row r="1434" ht="15" spans="1:51">
      <c r="A1434" s="91"/>
      <c r="B1434" s="95"/>
      <c r="C1434" s="152" t="s">
        <v>1455</v>
      </c>
      <c r="D1434" s="153" t="s">
        <v>125</v>
      </c>
      <c r="E1434" s="130" t="s">
        <v>1456</v>
      </c>
      <c r="F1434" s="201" t="s">
        <v>1466</v>
      </c>
      <c r="G1434" s="201" t="s">
        <v>1466</v>
      </c>
      <c r="H1434" s="201" t="s">
        <v>1466</v>
      </c>
      <c r="I1434" s="201" t="s">
        <v>1466</v>
      </c>
      <c r="J1434" s="132">
        <v>0.9</v>
      </c>
      <c r="K1434" s="133" t="s">
        <v>35</v>
      </c>
      <c r="L1434" s="133" t="s">
        <v>35</v>
      </c>
      <c r="M1434" s="134" t="s">
        <v>35</v>
      </c>
      <c r="N1434" s="133" t="s">
        <v>35</v>
      </c>
      <c r="O1434" s="135">
        <v>0.9</v>
      </c>
      <c r="P1434" s="133">
        <v>0</v>
      </c>
      <c r="Q1434" s="133" t="s">
        <v>35</v>
      </c>
      <c r="R1434" s="133" t="s">
        <v>35</v>
      </c>
      <c r="S1434" s="133">
        <v>0</v>
      </c>
      <c r="T1434" s="135">
        <v>0.9</v>
      </c>
      <c r="U1434" s="133">
        <v>0</v>
      </c>
      <c r="V1434" s="133" t="s">
        <v>35</v>
      </c>
      <c r="W1434" s="133" t="s">
        <v>35</v>
      </c>
      <c r="X1434" s="133">
        <v>0</v>
      </c>
      <c r="Y1434" s="135">
        <v>0.92</v>
      </c>
      <c r="Z1434" s="135" t="s">
        <v>35</v>
      </c>
      <c r="AA1434" s="135" t="s">
        <v>35</v>
      </c>
      <c r="AB1434" s="135" t="s">
        <v>35</v>
      </c>
      <c r="AC1434" s="135" t="s">
        <v>35</v>
      </c>
      <c r="AD1434" s="135">
        <v>0.92</v>
      </c>
      <c r="AE1434" s="133">
        <v>0.987577639751553</v>
      </c>
      <c r="AF1434" s="133">
        <v>0.774193548387097</v>
      </c>
      <c r="AG1434" s="133">
        <v>1</v>
      </c>
      <c r="AH1434" s="133">
        <v>0.955332725615314</v>
      </c>
      <c r="AI1434" s="135">
        <v>0.92</v>
      </c>
      <c r="AJ1434" s="133">
        <v>0</v>
      </c>
      <c r="AK1434" s="133" t="s">
        <v>35</v>
      </c>
      <c r="AL1434" s="133" t="s">
        <v>35</v>
      </c>
      <c r="AM1434" s="133">
        <v>0</v>
      </c>
      <c r="AN1434" s="132">
        <v>0.99</v>
      </c>
      <c r="AO1434" s="137" t="s">
        <v>35</v>
      </c>
      <c r="AP1434" s="137" t="s">
        <v>35</v>
      </c>
      <c r="AQ1434" s="137" t="s">
        <v>35</v>
      </c>
      <c r="AR1434" s="137" t="s">
        <v>35</v>
      </c>
      <c r="AS1434" s="158">
        <v>0.110069253262963</v>
      </c>
      <c r="AT1434" s="141" t="s">
        <v>35</v>
      </c>
      <c r="AU1434" s="141" t="s">
        <v>35</v>
      </c>
      <c r="AV1434" s="141" t="s">
        <v>35</v>
      </c>
      <c r="AW1434" s="141" t="s">
        <v>35</v>
      </c>
      <c r="AX1434" s="95"/>
      <c r="AY1434" s="93"/>
    </row>
    <row r="1435" ht="15" spans="1:51">
      <c r="A1435" s="91"/>
      <c r="B1435" s="95"/>
      <c r="C1435" s="152" t="s">
        <v>1455</v>
      </c>
      <c r="D1435" s="153" t="s">
        <v>125</v>
      </c>
      <c r="E1435" s="130" t="s">
        <v>1456</v>
      </c>
      <c r="F1435" s="200" t="s">
        <v>1467</v>
      </c>
      <c r="G1435" s="200" t="s">
        <v>1467</v>
      </c>
      <c r="H1435" s="200" t="s">
        <v>1467</v>
      </c>
      <c r="I1435" s="200" t="s">
        <v>1467</v>
      </c>
      <c r="J1435" s="132">
        <v>0.9</v>
      </c>
      <c r="K1435" s="133" t="s">
        <v>35</v>
      </c>
      <c r="L1435" s="133" t="s">
        <v>35</v>
      </c>
      <c r="M1435" s="134" t="s">
        <v>35</v>
      </c>
      <c r="N1435" s="133" t="s">
        <v>35</v>
      </c>
      <c r="O1435" s="135">
        <v>0.9</v>
      </c>
      <c r="P1435" s="133">
        <v>0</v>
      </c>
      <c r="Q1435" s="133" t="s">
        <v>35</v>
      </c>
      <c r="R1435" s="133">
        <v>0</v>
      </c>
      <c r="S1435" s="133">
        <v>0</v>
      </c>
      <c r="T1435" s="135">
        <v>0.9</v>
      </c>
      <c r="U1435" s="133">
        <v>0.4</v>
      </c>
      <c r="V1435" s="133" t="s">
        <v>35</v>
      </c>
      <c r="W1435" s="133">
        <v>1</v>
      </c>
      <c r="X1435" s="133">
        <v>0.804878048780488</v>
      </c>
      <c r="Y1435" s="135">
        <v>0.92</v>
      </c>
      <c r="Z1435" s="135" t="s">
        <v>35</v>
      </c>
      <c r="AA1435" s="135" t="s">
        <v>35</v>
      </c>
      <c r="AB1435" s="135" t="s">
        <v>35</v>
      </c>
      <c r="AC1435" s="135">
        <v>0.5</v>
      </c>
      <c r="AD1435" s="135">
        <v>0.92</v>
      </c>
      <c r="AE1435" s="133">
        <v>0.999496981891348</v>
      </c>
      <c r="AF1435" s="133">
        <v>0.992258064516129</v>
      </c>
      <c r="AG1435" s="133">
        <v>0.99935691318328</v>
      </c>
      <c r="AH1435" s="133">
        <v>0.973882447398871</v>
      </c>
      <c r="AI1435" s="135">
        <v>0.92</v>
      </c>
      <c r="AJ1435" s="133">
        <v>0.5</v>
      </c>
      <c r="AK1435" s="133">
        <v>0</v>
      </c>
      <c r="AL1435" s="133">
        <v>1</v>
      </c>
      <c r="AM1435" s="133">
        <v>0.841269841269841</v>
      </c>
      <c r="AN1435" s="132">
        <v>0.99</v>
      </c>
      <c r="AO1435" s="137">
        <v>1</v>
      </c>
      <c r="AP1435" s="137" t="s">
        <v>35</v>
      </c>
      <c r="AQ1435" s="137">
        <v>1</v>
      </c>
      <c r="AR1435" s="137">
        <v>1</v>
      </c>
      <c r="AS1435" s="158">
        <v>0.110069253262963</v>
      </c>
      <c r="AT1435" s="141" t="s">
        <v>35</v>
      </c>
      <c r="AU1435" s="141" t="s">
        <v>35</v>
      </c>
      <c r="AV1435" s="141" t="s">
        <v>35</v>
      </c>
      <c r="AW1435" s="141" t="s">
        <v>35</v>
      </c>
      <c r="AX1435" s="95"/>
      <c r="AY1435" s="93"/>
    </row>
    <row r="1436" ht="15" spans="1:51">
      <c r="A1436" s="91"/>
      <c r="B1436" s="95"/>
      <c r="C1436" s="152" t="s">
        <v>1455</v>
      </c>
      <c r="D1436" s="153" t="s">
        <v>125</v>
      </c>
      <c r="E1436" s="130" t="s">
        <v>1456</v>
      </c>
      <c r="F1436" s="200" t="s">
        <v>1468</v>
      </c>
      <c r="G1436" s="200" t="s">
        <v>1468</v>
      </c>
      <c r="H1436" s="200" t="s">
        <v>1468</v>
      </c>
      <c r="I1436" s="200" t="s">
        <v>1468</v>
      </c>
      <c r="J1436" s="132">
        <v>0.9</v>
      </c>
      <c r="K1436" s="133" t="s">
        <v>35</v>
      </c>
      <c r="L1436" s="133" t="s">
        <v>35</v>
      </c>
      <c r="M1436" s="134" t="s">
        <v>35</v>
      </c>
      <c r="N1436" s="133" t="s">
        <v>35</v>
      </c>
      <c r="O1436" s="135">
        <v>0.9</v>
      </c>
      <c r="P1436" s="133" t="s">
        <v>35</v>
      </c>
      <c r="Q1436" s="133" t="s">
        <v>35</v>
      </c>
      <c r="R1436" s="133" t="s">
        <v>35</v>
      </c>
      <c r="S1436" s="133" t="s">
        <v>35</v>
      </c>
      <c r="T1436" s="135">
        <v>0.9</v>
      </c>
      <c r="U1436" s="133" t="s">
        <v>35</v>
      </c>
      <c r="V1436" s="133" t="s">
        <v>35</v>
      </c>
      <c r="W1436" s="133" t="s">
        <v>35</v>
      </c>
      <c r="X1436" s="133" t="s">
        <v>35</v>
      </c>
      <c r="Y1436" s="135">
        <v>0.92</v>
      </c>
      <c r="Z1436" s="135" t="s">
        <v>35</v>
      </c>
      <c r="AA1436" s="135" t="s">
        <v>35</v>
      </c>
      <c r="AB1436" s="135" t="s">
        <v>35</v>
      </c>
      <c r="AC1436" s="135" t="s">
        <v>35</v>
      </c>
      <c r="AD1436" s="135">
        <v>0.92</v>
      </c>
      <c r="AE1436" s="133">
        <v>1</v>
      </c>
      <c r="AF1436" s="133">
        <v>1</v>
      </c>
      <c r="AG1436" s="133">
        <v>1</v>
      </c>
      <c r="AH1436" s="133">
        <v>1</v>
      </c>
      <c r="AI1436" s="135">
        <v>0.92</v>
      </c>
      <c r="AJ1436" s="133" t="s">
        <v>35</v>
      </c>
      <c r="AK1436" s="133" t="s">
        <v>35</v>
      </c>
      <c r="AL1436" s="133" t="s">
        <v>35</v>
      </c>
      <c r="AM1436" s="133" t="s">
        <v>35</v>
      </c>
      <c r="AN1436" s="132">
        <v>0.99</v>
      </c>
      <c r="AO1436" s="137" t="s">
        <v>35</v>
      </c>
      <c r="AP1436" s="137" t="s">
        <v>35</v>
      </c>
      <c r="AQ1436" s="137">
        <v>1</v>
      </c>
      <c r="AR1436" s="137">
        <v>1</v>
      </c>
      <c r="AS1436" s="158">
        <v>0.110069253262963</v>
      </c>
      <c r="AT1436" s="141" t="s">
        <v>35</v>
      </c>
      <c r="AU1436" s="141" t="s">
        <v>35</v>
      </c>
      <c r="AV1436" s="141" t="s">
        <v>35</v>
      </c>
      <c r="AW1436" s="141" t="s">
        <v>35</v>
      </c>
      <c r="AX1436" s="95"/>
      <c r="AY1436" s="93"/>
    </row>
    <row r="1437" ht="15" spans="1:51">
      <c r="A1437" s="91"/>
      <c r="B1437" s="95"/>
      <c r="C1437" s="152" t="s">
        <v>1455</v>
      </c>
      <c r="D1437" s="153" t="s">
        <v>125</v>
      </c>
      <c r="E1437" s="130" t="s">
        <v>1456</v>
      </c>
      <c r="F1437" s="201" t="s">
        <v>1469</v>
      </c>
      <c r="G1437" s="201" t="s">
        <v>1469</v>
      </c>
      <c r="H1437" s="201" t="s">
        <v>1469</v>
      </c>
      <c r="I1437" s="201" t="s">
        <v>1469</v>
      </c>
      <c r="J1437" s="132">
        <v>0.9</v>
      </c>
      <c r="K1437" s="133" t="s">
        <v>35</v>
      </c>
      <c r="L1437" s="133" t="s">
        <v>35</v>
      </c>
      <c r="M1437" s="134" t="s">
        <v>35</v>
      </c>
      <c r="N1437" s="133" t="s">
        <v>35</v>
      </c>
      <c r="O1437" s="135">
        <v>0.9</v>
      </c>
      <c r="P1437" s="133" t="s">
        <v>35</v>
      </c>
      <c r="Q1437" s="133" t="s">
        <v>35</v>
      </c>
      <c r="R1437" s="133" t="s">
        <v>35</v>
      </c>
      <c r="S1437" s="133">
        <v>0</v>
      </c>
      <c r="T1437" s="135">
        <v>0.9</v>
      </c>
      <c r="U1437" s="133" t="s">
        <v>35</v>
      </c>
      <c r="V1437" s="133" t="s">
        <v>35</v>
      </c>
      <c r="W1437" s="133" t="s">
        <v>35</v>
      </c>
      <c r="X1437" s="133">
        <v>0.5</v>
      </c>
      <c r="Y1437" s="135">
        <v>0.92</v>
      </c>
      <c r="Z1437" s="135" t="s">
        <v>35</v>
      </c>
      <c r="AA1437" s="135" t="s">
        <v>35</v>
      </c>
      <c r="AB1437" s="135" t="s">
        <v>35</v>
      </c>
      <c r="AC1437" s="135" t="s">
        <v>35</v>
      </c>
      <c r="AD1437" s="135">
        <v>0.92</v>
      </c>
      <c r="AE1437" s="133">
        <v>0.998102466793169</v>
      </c>
      <c r="AF1437" s="133">
        <v>1</v>
      </c>
      <c r="AG1437" s="133">
        <v>1</v>
      </c>
      <c r="AH1437" s="133">
        <v>0.992569790892687</v>
      </c>
      <c r="AI1437" s="135">
        <v>0.92</v>
      </c>
      <c r="AJ1437" s="133" t="s">
        <v>35</v>
      </c>
      <c r="AK1437" s="133" t="s">
        <v>35</v>
      </c>
      <c r="AL1437" s="133" t="s">
        <v>35</v>
      </c>
      <c r="AM1437" s="133">
        <v>0.5</v>
      </c>
      <c r="AN1437" s="132">
        <v>0.99</v>
      </c>
      <c r="AO1437" s="137" t="s">
        <v>35</v>
      </c>
      <c r="AP1437" s="137" t="s">
        <v>35</v>
      </c>
      <c r="AQ1437" s="137">
        <v>1</v>
      </c>
      <c r="AR1437" s="137">
        <v>1</v>
      </c>
      <c r="AS1437" s="158">
        <v>0.110069253262963</v>
      </c>
      <c r="AT1437" s="141" t="s">
        <v>35</v>
      </c>
      <c r="AU1437" s="141" t="s">
        <v>35</v>
      </c>
      <c r="AV1437" s="141" t="s">
        <v>35</v>
      </c>
      <c r="AW1437" s="141" t="s">
        <v>35</v>
      </c>
      <c r="AX1437" s="95"/>
      <c r="AY1437" s="93"/>
    </row>
    <row r="1438" ht="15" spans="1:51">
      <c r="A1438" s="91"/>
      <c r="B1438" s="95"/>
      <c r="C1438" s="152" t="s">
        <v>1455</v>
      </c>
      <c r="D1438" s="153" t="s">
        <v>125</v>
      </c>
      <c r="E1438" s="130" t="s">
        <v>1456</v>
      </c>
      <c r="F1438" s="201" t="s">
        <v>1470</v>
      </c>
      <c r="G1438" s="201" t="s">
        <v>1470</v>
      </c>
      <c r="H1438" s="201" t="s">
        <v>1470</v>
      </c>
      <c r="I1438" s="201" t="s">
        <v>1470</v>
      </c>
      <c r="J1438" s="132">
        <v>0.9</v>
      </c>
      <c r="K1438" s="133" t="s">
        <v>35</v>
      </c>
      <c r="L1438" s="133" t="s">
        <v>35</v>
      </c>
      <c r="M1438" s="134" t="s">
        <v>35</v>
      </c>
      <c r="N1438" s="133" t="s">
        <v>35</v>
      </c>
      <c r="O1438" s="135">
        <v>0.9</v>
      </c>
      <c r="P1438" s="133" t="s">
        <v>35</v>
      </c>
      <c r="Q1438" s="133" t="s">
        <v>35</v>
      </c>
      <c r="R1438" s="133" t="s">
        <v>35</v>
      </c>
      <c r="S1438" s="133">
        <v>0</v>
      </c>
      <c r="T1438" s="135">
        <v>0.9</v>
      </c>
      <c r="U1438" s="133" t="s">
        <v>35</v>
      </c>
      <c r="V1438" s="133" t="s">
        <v>35</v>
      </c>
      <c r="W1438" s="133" t="s">
        <v>35</v>
      </c>
      <c r="X1438" s="133">
        <v>1</v>
      </c>
      <c r="Y1438" s="135">
        <v>0.92</v>
      </c>
      <c r="Z1438" s="135" t="s">
        <v>35</v>
      </c>
      <c r="AA1438" s="135" t="s">
        <v>35</v>
      </c>
      <c r="AB1438" s="135" t="s">
        <v>35</v>
      </c>
      <c r="AC1438" s="135" t="s">
        <v>35</v>
      </c>
      <c r="AD1438" s="135">
        <v>0.92</v>
      </c>
      <c r="AE1438" s="133">
        <v>0.983333333333333</v>
      </c>
      <c r="AF1438" s="133">
        <v>0.986301369863014</v>
      </c>
      <c r="AG1438" s="133">
        <v>1</v>
      </c>
      <c r="AH1438" s="133">
        <v>0.994743758212878</v>
      </c>
      <c r="AI1438" s="135">
        <v>0.92</v>
      </c>
      <c r="AJ1438" s="133" t="s">
        <v>35</v>
      </c>
      <c r="AK1438" s="133" t="s">
        <v>35</v>
      </c>
      <c r="AL1438" s="133" t="s">
        <v>35</v>
      </c>
      <c r="AM1438" s="133">
        <v>1</v>
      </c>
      <c r="AN1438" s="132">
        <v>0.99</v>
      </c>
      <c r="AO1438" s="137" t="s">
        <v>35</v>
      </c>
      <c r="AP1438" s="137">
        <v>1</v>
      </c>
      <c r="AQ1438" s="137" t="s">
        <v>35</v>
      </c>
      <c r="AR1438" s="137">
        <v>1</v>
      </c>
      <c r="AS1438" s="158">
        <v>0.110069253262963</v>
      </c>
      <c r="AT1438" s="141" t="s">
        <v>35</v>
      </c>
      <c r="AU1438" s="141" t="s">
        <v>35</v>
      </c>
      <c r="AV1438" s="141" t="s">
        <v>35</v>
      </c>
      <c r="AW1438" s="141" t="s">
        <v>35</v>
      </c>
      <c r="AX1438" s="95"/>
      <c r="AY1438" s="93"/>
    </row>
    <row r="1439" ht="15" spans="1:51">
      <c r="A1439" s="91"/>
      <c r="B1439" s="95"/>
      <c r="C1439" s="152" t="s">
        <v>1455</v>
      </c>
      <c r="D1439" s="153" t="s">
        <v>125</v>
      </c>
      <c r="E1439" s="130" t="s">
        <v>1456</v>
      </c>
      <c r="F1439" s="201" t="s">
        <v>1471</v>
      </c>
      <c r="G1439" s="201" t="s">
        <v>1471</v>
      </c>
      <c r="H1439" s="201" t="s">
        <v>1471</v>
      </c>
      <c r="I1439" s="201" t="s">
        <v>1471</v>
      </c>
      <c r="J1439" s="132">
        <v>0.9</v>
      </c>
      <c r="K1439" s="133" t="s">
        <v>35</v>
      </c>
      <c r="L1439" s="133" t="s">
        <v>35</v>
      </c>
      <c r="M1439" s="134" t="s">
        <v>35</v>
      </c>
      <c r="N1439" s="133" t="s">
        <v>35</v>
      </c>
      <c r="O1439" s="135">
        <v>0.9</v>
      </c>
      <c r="P1439" s="133" t="s">
        <v>35</v>
      </c>
      <c r="Q1439" s="133" t="s">
        <v>35</v>
      </c>
      <c r="R1439" s="133" t="s">
        <v>35</v>
      </c>
      <c r="S1439" s="133" t="s">
        <v>35</v>
      </c>
      <c r="T1439" s="135">
        <v>0.9</v>
      </c>
      <c r="U1439" s="133" t="s">
        <v>35</v>
      </c>
      <c r="V1439" s="133" t="s">
        <v>35</v>
      </c>
      <c r="W1439" s="133" t="s">
        <v>35</v>
      </c>
      <c r="X1439" s="133" t="s">
        <v>35</v>
      </c>
      <c r="Y1439" s="135">
        <v>0.92</v>
      </c>
      <c r="Z1439" s="135" t="s">
        <v>35</v>
      </c>
      <c r="AA1439" s="135" t="s">
        <v>35</v>
      </c>
      <c r="AB1439" s="135" t="s">
        <v>35</v>
      </c>
      <c r="AC1439" s="135" t="s">
        <v>35</v>
      </c>
      <c r="AD1439" s="135">
        <v>0.92</v>
      </c>
      <c r="AE1439" s="133">
        <v>1</v>
      </c>
      <c r="AF1439" s="133">
        <v>1</v>
      </c>
      <c r="AG1439" s="133">
        <v>1</v>
      </c>
      <c r="AH1439" s="133">
        <v>0.999796126401631</v>
      </c>
      <c r="AI1439" s="135">
        <v>0.92</v>
      </c>
      <c r="AJ1439" s="133" t="s">
        <v>35</v>
      </c>
      <c r="AK1439" s="133" t="s">
        <v>35</v>
      </c>
      <c r="AL1439" s="133" t="s">
        <v>35</v>
      </c>
      <c r="AM1439" s="133" t="s">
        <v>35</v>
      </c>
      <c r="AN1439" s="132">
        <v>0.99</v>
      </c>
      <c r="AO1439" s="137" t="s">
        <v>35</v>
      </c>
      <c r="AP1439" s="137" t="s">
        <v>35</v>
      </c>
      <c r="AQ1439" s="137" t="s">
        <v>35</v>
      </c>
      <c r="AR1439" s="137" t="s">
        <v>35</v>
      </c>
      <c r="AS1439" s="158">
        <v>0.110069253262963</v>
      </c>
      <c r="AT1439" s="141" t="s">
        <v>35</v>
      </c>
      <c r="AU1439" s="141" t="s">
        <v>35</v>
      </c>
      <c r="AV1439" s="141" t="s">
        <v>35</v>
      </c>
      <c r="AW1439" s="141" t="s">
        <v>35</v>
      </c>
      <c r="AX1439" s="95"/>
      <c r="AY1439" s="93"/>
    </row>
    <row r="1440" ht="15" spans="1:51">
      <c r="A1440" s="91"/>
      <c r="B1440" s="95"/>
      <c r="C1440" s="152" t="s">
        <v>1455</v>
      </c>
      <c r="D1440" s="153" t="s">
        <v>125</v>
      </c>
      <c r="E1440" s="130" t="s">
        <v>1456</v>
      </c>
      <c r="F1440" s="201" t="s">
        <v>1472</v>
      </c>
      <c r="G1440" s="201" t="s">
        <v>1472</v>
      </c>
      <c r="H1440" s="201" t="s">
        <v>1472</v>
      </c>
      <c r="I1440" s="201" t="s">
        <v>1472</v>
      </c>
      <c r="J1440" s="132">
        <v>0.9</v>
      </c>
      <c r="K1440" s="133" t="s">
        <v>35</v>
      </c>
      <c r="L1440" s="133" t="s">
        <v>35</v>
      </c>
      <c r="M1440" s="134" t="s">
        <v>35</v>
      </c>
      <c r="N1440" s="133" t="s">
        <v>35</v>
      </c>
      <c r="O1440" s="135">
        <v>0.9</v>
      </c>
      <c r="P1440" s="133" t="s">
        <v>35</v>
      </c>
      <c r="Q1440" s="133" t="s">
        <v>35</v>
      </c>
      <c r="R1440" s="133" t="s">
        <v>35</v>
      </c>
      <c r="S1440" s="133" t="s">
        <v>35</v>
      </c>
      <c r="T1440" s="135">
        <v>0.9</v>
      </c>
      <c r="U1440" s="133" t="s">
        <v>35</v>
      </c>
      <c r="V1440" s="133" t="s">
        <v>35</v>
      </c>
      <c r="W1440" s="133" t="s">
        <v>35</v>
      </c>
      <c r="X1440" s="133" t="s">
        <v>35</v>
      </c>
      <c r="Y1440" s="135">
        <v>0.92</v>
      </c>
      <c r="Z1440" s="135" t="s">
        <v>35</v>
      </c>
      <c r="AA1440" s="135" t="s">
        <v>35</v>
      </c>
      <c r="AB1440" s="135" t="s">
        <v>35</v>
      </c>
      <c r="AC1440" s="135" t="s">
        <v>35</v>
      </c>
      <c r="AD1440" s="135">
        <v>0.92</v>
      </c>
      <c r="AE1440" s="133">
        <v>0.994444444444444</v>
      </c>
      <c r="AF1440" s="133">
        <v>1</v>
      </c>
      <c r="AG1440" s="133">
        <v>1</v>
      </c>
      <c r="AH1440" s="133">
        <v>0.990506329113924</v>
      </c>
      <c r="AI1440" s="135">
        <v>0.92</v>
      </c>
      <c r="AJ1440" s="133" t="s">
        <v>35</v>
      </c>
      <c r="AK1440" s="133" t="s">
        <v>35</v>
      </c>
      <c r="AL1440" s="133" t="s">
        <v>35</v>
      </c>
      <c r="AM1440" s="133" t="s">
        <v>35</v>
      </c>
      <c r="AN1440" s="132">
        <v>0.99</v>
      </c>
      <c r="AO1440" s="137">
        <v>1</v>
      </c>
      <c r="AP1440" s="137" t="s">
        <v>35</v>
      </c>
      <c r="AQ1440" s="137" t="s">
        <v>35</v>
      </c>
      <c r="AR1440" s="137">
        <v>1</v>
      </c>
      <c r="AS1440" s="158">
        <v>0.110069253262963</v>
      </c>
      <c r="AT1440" s="141" t="s">
        <v>35</v>
      </c>
      <c r="AU1440" s="141" t="s">
        <v>35</v>
      </c>
      <c r="AV1440" s="141" t="s">
        <v>35</v>
      </c>
      <c r="AW1440" s="141" t="s">
        <v>35</v>
      </c>
      <c r="AX1440" s="95"/>
      <c r="AY1440" s="93"/>
    </row>
    <row r="1441" ht="15" spans="1:51">
      <c r="A1441" s="91"/>
      <c r="B1441" s="95"/>
      <c r="C1441" s="152" t="s">
        <v>1455</v>
      </c>
      <c r="D1441" s="153" t="s">
        <v>125</v>
      </c>
      <c r="E1441" s="130" t="s">
        <v>1456</v>
      </c>
      <c r="F1441" s="201" t="s">
        <v>1473</v>
      </c>
      <c r="G1441" s="201" t="s">
        <v>1473</v>
      </c>
      <c r="H1441" s="201" t="s">
        <v>1473</v>
      </c>
      <c r="I1441" s="201" t="s">
        <v>1473</v>
      </c>
      <c r="J1441" s="132">
        <v>0.9</v>
      </c>
      <c r="K1441" s="133" t="s">
        <v>35</v>
      </c>
      <c r="L1441" s="133" t="s">
        <v>35</v>
      </c>
      <c r="M1441" s="134" t="s">
        <v>35</v>
      </c>
      <c r="N1441" s="133" t="s">
        <v>35</v>
      </c>
      <c r="O1441" s="135">
        <v>0.9</v>
      </c>
      <c r="P1441" s="133">
        <v>0</v>
      </c>
      <c r="Q1441" s="133">
        <v>0</v>
      </c>
      <c r="R1441" s="133" t="s">
        <v>35</v>
      </c>
      <c r="S1441" s="133">
        <v>0</v>
      </c>
      <c r="T1441" s="135">
        <v>0.9</v>
      </c>
      <c r="U1441" s="133">
        <v>1</v>
      </c>
      <c r="V1441" s="133">
        <v>1</v>
      </c>
      <c r="W1441" s="133" t="s">
        <v>35</v>
      </c>
      <c r="X1441" s="133">
        <v>1</v>
      </c>
      <c r="Y1441" s="135">
        <v>0.92</v>
      </c>
      <c r="Z1441" s="135" t="s">
        <v>35</v>
      </c>
      <c r="AA1441" s="135" t="s">
        <v>35</v>
      </c>
      <c r="AB1441" s="135" t="s">
        <v>35</v>
      </c>
      <c r="AC1441" s="135">
        <v>1</v>
      </c>
      <c r="AD1441" s="135">
        <v>0.92</v>
      </c>
      <c r="AE1441" s="133">
        <v>0.97879177377892</v>
      </c>
      <c r="AF1441" s="133">
        <v>0.984285714285714</v>
      </c>
      <c r="AG1441" s="133">
        <v>0.996031746031746</v>
      </c>
      <c r="AH1441" s="133">
        <v>0.995048041389505</v>
      </c>
      <c r="AI1441" s="135">
        <v>0.92</v>
      </c>
      <c r="AJ1441" s="133">
        <v>1</v>
      </c>
      <c r="AK1441" s="133">
        <v>1</v>
      </c>
      <c r="AL1441" s="133" t="s">
        <v>35</v>
      </c>
      <c r="AM1441" s="133">
        <v>1</v>
      </c>
      <c r="AN1441" s="132">
        <v>0.99</v>
      </c>
      <c r="AO1441" s="137">
        <v>1</v>
      </c>
      <c r="AP1441" s="137" t="s">
        <v>35</v>
      </c>
      <c r="AQ1441" s="137" t="s">
        <v>35</v>
      </c>
      <c r="AR1441" s="137">
        <v>1</v>
      </c>
      <c r="AS1441" s="158">
        <v>0.110069253262963</v>
      </c>
      <c r="AT1441" s="141" t="s">
        <v>35</v>
      </c>
      <c r="AU1441" s="141" t="s">
        <v>35</v>
      </c>
      <c r="AV1441" s="141" t="s">
        <v>35</v>
      </c>
      <c r="AW1441" s="141" t="s">
        <v>35</v>
      </c>
      <c r="AX1441" s="95"/>
      <c r="AY1441" s="93"/>
    </row>
    <row r="1442" ht="15" spans="1:51">
      <c r="A1442" s="91"/>
      <c r="B1442" s="95"/>
      <c r="C1442" s="152" t="s">
        <v>1455</v>
      </c>
      <c r="D1442" s="153" t="s">
        <v>125</v>
      </c>
      <c r="E1442" s="130" t="s">
        <v>1456</v>
      </c>
      <c r="F1442" s="201" t="s">
        <v>1474</v>
      </c>
      <c r="G1442" s="201" t="s">
        <v>1474</v>
      </c>
      <c r="H1442" s="201" t="s">
        <v>1474</v>
      </c>
      <c r="I1442" s="201" t="s">
        <v>1474</v>
      </c>
      <c r="J1442" s="132">
        <v>0.9</v>
      </c>
      <c r="K1442" s="133" t="s">
        <v>35</v>
      </c>
      <c r="L1442" s="133" t="s">
        <v>35</v>
      </c>
      <c r="M1442" s="134" t="s">
        <v>35</v>
      </c>
      <c r="N1442" s="133" t="s">
        <v>35</v>
      </c>
      <c r="O1442" s="135">
        <v>0.9</v>
      </c>
      <c r="P1442" s="133" t="s">
        <v>35</v>
      </c>
      <c r="Q1442" s="133" t="s">
        <v>35</v>
      </c>
      <c r="R1442" s="133" t="s">
        <v>35</v>
      </c>
      <c r="S1442" s="133" t="s">
        <v>35</v>
      </c>
      <c r="T1442" s="135">
        <v>0.9</v>
      </c>
      <c r="U1442" s="133" t="s">
        <v>35</v>
      </c>
      <c r="V1442" s="133" t="s">
        <v>35</v>
      </c>
      <c r="W1442" s="133" t="s">
        <v>35</v>
      </c>
      <c r="X1442" s="133" t="s">
        <v>35</v>
      </c>
      <c r="Y1442" s="135">
        <v>0.92</v>
      </c>
      <c r="Z1442" s="135" t="s">
        <v>35</v>
      </c>
      <c r="AA1442" s="135" t="s">
        <v>35</v>
      </c>
      <c r="AB1442" s="135" t="s">
        <v>35</v>
      </c>
      <c r="AC1442" s="135" t="s">
        <v>35</v>
      </c>
      <c r="AD1442" s="135">
        <v>0.92</v>
      </c>
      <c r="AE1442" s="133">
        <v>0.931693989071038</v>
      </c>
      <c r="AF1442" s="133">
        <v>0.7576</v>
      </c>
      <c r="AG1442" s="133">
        <v>0.553086419753086</v>
      </c>
      <c r="AH1442" s="133">
        <v>0.843345848977889</v>
      </c>
      <c r="AI1442" s="135">
        <v>0.92</v>
      </c>
      <c r="AJ1442" s="133" t="s">
        <v>35</v>
      </c>
      <c r="AK1442" s="133" t="s">
        <v>35</v>
      </c>
      <c r="AL1442" s="133" t="s">
        <v>35</v>
      </c>
      <c r="AM1442" s="133" t="s">
        <v>35</v>
      </c>
      <c r="AN1442" s="132">
        <v>0.99</v>
      </c>
      <c r="AO1442" s="137">
        <v>1</v>
      </c>
      <c r="AP1442" s="137" t="s">
        <v>35</v>
      </c>
      <c r="AQ1442" s="137" t="s">
        <v>35</v>
      </c>
      <c r="AR1442" s="137">
        <v>1</v>
      </c>
      <c r="AS1442" s="158">
        <v>0.110069253262963</v>
      </c>
      <c r="AT1442" s="141" t="s">
        <v>35</v>
      </c>
      <c r="AU1442" s="141" t="s">
        <v>35</v>
      </c>
      <c r="AV1442" s="141" t="s">
        <v>35</v>
      </c>
      <c r="AW1442" s="141" t="s">
        <v>35</v>
      </c>
      <c r="AX1442" s="95"/>
      <c r="AY1442" s="93"/>
    </row>
    <row r="1443" ht="15" spans="1:51">
      <c r="A1443" s="91"/>
      <c r="B1443" s="95"/>
      <c r="C1443" s="152" t="s">
        <v>1455</v>
      </c>
      <c r="D1443" s="153" t="s">
        <v>125</v>
      </c>
      <c r="E1443" s="130" t="s">
        <v>1456</v>
      </c>
      <c r="F1443" s="200" t="s">
        <v>1475</v>
      </c>
      <c r="G1443" s="200" t="s">
        <v>1475</v>
      </c>
      <c r="H1443" s="200" t="s">
        <v>1475</v>
      </c>
      <c r="I1443" s="200" t="s">
        <v>1475</v>
      </c>
      <c r="J1443" s="132">
        <v>0.9</v>
      </c>
      <c r="K1443" s="133" t="s">
        <v>35</v>
      </c>
      <c r="L1443" s="133" t="s">
        <v>35</v>
      </c>
      <c r="M1443" s="134" t="s">
        <v>35</v>
      </c>
      <c r="N1443" s="133" t="s">
        <v>35</v>
      </c>
      <c r="O1443" s="135">
        <v>0.9</v>
      </c>
      <c r="P1443" s="133" t="s">
        <v>35</v>
      </c>
      <c r="Q1443" s="133" t="s">
        <v>35</v>
      </c>
      <c r="R1443" s="133">
        <v>0</v>
      </c>
      <c r="S1443" s="133">
        <v>0</v>
      </c>
      <c r="T1443" s="135">
        <v>0.9</v>
      </c>
      <c r="U1443" s="133" t="s">
        <v>35</v>
      </c>
      <c r="V1443" s="133" t="s">
        <v>35</v>
      </c>
      <c r="W1443" s="133">
        <v>0</v>
      </c>
      <c r="X1443" s="133">
        <v>0.5</v>
      </c>
      <c r="Y1443" s="135">
        <v>0.92</v>
      </c>
      <c r="Z1443" s="135" t="s">
        <v>35</v>
      </c>
      <c r="AA1443" s="135" t="s">
        <v>35</v>
      </c>
      <c r="AB1443" s="135" t="s">
        <v>35</v>
      </c>
      <c r="AC1443" s="135" t="s">
        <v>35</v>
      </c>
      <c r="AD1443" s="135">
        <v>0.92</v>
      </c>
      <c r="AE1443" s="133">
        <v>0.977112676056338</v>
      </c>
      <c r="AF1443" s="133">
        <v>0.964527027027027</v>
      </c>
      <c r="AG1443" s="133">
        <v>1</v>
      </c>
      <c r="AH1443" s="133">
        <v>0.994546217312264</v>
      </c>
      <c r="AI1443" s="135">
        <v>0.92</v>
      </c>
      <c r="AJ1443" s="133" t="s">
        <v>35</v>
      </c>
      <c r="AK1443" s="133">
        <v>1</v>
      </c>
      <c r="AL1443" s="133">
        <v>0</v>
      </c>
      <c r="AM1443" s="133">
        <v>0.75</v>
      </c>
      <c r="AN1443" s="132">
        <v>0.99</v>
      </c>
      <c r="AO1443" s="137" t="s">
        <v>35</v>
      </c>
      <c r="AP1443" s="137">
        <v>1</v>
      </c>
      <c r="AQ1443" s="137" t="s">
        <v>35</v>
      </c>
      <c r="AR1443" s="137">
        <v>1</v>
      </c>
      <c r="AS1443" s="158">
        <v>0.110069253262963</v>
      </c>
      <c r="AT1443" s="141" t="s">
        <v>35</v>
      </c>
      <c r="AU1443" s="141" t="s">
        <v>35</v>
      </c>
      <c r="AV1443" s="141" t="s">
        <v>35</v>
      </c>
      <c r="AW1443" s="141" t="s">
        <v>35</v>
      </c>
      <c r="AX1443" s="95"/>
      <c r="AY1443" s="93"/>
    </row>
    <row r="1444" ht="15" spans="1:51">
      <c r="A1444" s="91"/>
      <c r="B1444" s="95"/>
      <c r="C1444" s="152" t="s">
        <v>1455</v>
      </c>
      <c r="D1444" s="153" t="s">
        <v>125</v>
      </c>
      <c r="E1444" s="130" t="s">
        <v>1456</v>
      </c>
      <c r="F1444" s="200" t="s">
        <v>1476</v>
      </c>
      <c r="G1444" s="200" t="s">
        <v>1476</v>
      </c>
      <c r="H1444" s="200" t="s">
        <v>1476</v>
      </c>
      <c r="I1444" s="200" t="s">
        <v>1476</v>
      </c>
      <c r="J1444" s="132">
        <v>0.9</v>
      </c>
      <c r="K1444" s="133" t="s">
        <v>35</v>
      </c>
      <c r="L1444" s="133" t="s">
        <v>35</v>
      </c>
      <c r="M1444" s="134" t="s">
        <v>35</v>
      </c>
      <c r="N1444" s="133" t="s">
        <v>35</v>
      </c>
      <c r="O1444" s="135">
        <v>0.9</v>
      </c>
      <c r="P1444" s="133" t="s">
        <v>35</v>
      </c>
      <c r="Q1444" s="133" t="s">
        <v>35</v>
      </c>
      <c r="R1444" s="133" t="s">
        <v>35</v>
      </c>
      <c r="S1444" s="133" t="s">
        <v>35</v>
      </c>
      <c r="T1444" s="135">
        <v>0.9</v>
      </c>
      <c r="U1444" s="133" t="s">
        <v>35</v>
      </c>
      <c r="V1444" s="133" t="s">
        <v>35</v>
      </c>
      <c r="W1444" s="133" t="s">
        <v>35</v>
      </c>
      <c r="X1444" s="133" t="s">
        <v>35</v>
      </c>
      <c r="Y1444" s="135">
        <v>0.92</v>
      </c>
      <c r="Z1444" s="135" t="s">
        <v>35</v>
      </c>
      <c r="AA1444" s="135" t="s">
        <v>35</v>
      </c>
      <c r="AB1444" s="135" t="s">
        <v>35</v>
      </c>
      <c r="AC1444" s="135" t="s">
        <v>35</v>
      </c>
      <c r="AD1444" s="135">
        <v>0.92</v>
      </c>
      <c r="AE1444" s="133">
        <v>0.181818181818182</v>
      </c>
      <c r="AF1444" s="133">
        <v>0</v>
      </c>
      <c r="AG1444" s="133">
        <v>0.117647058823529</v>
      </c>
      <c r="AH1444" s="133">
        <v>0.34468085106383</v>
      </c>
      <c r="AI1444" s="135">
        <v>0.92</v>
      </c>
      <c r="AJ1444" s="133" t="s">
        <v>35</v>
      </c>
      <c r="AK1444" s="133" t="s">
        <v>35</v>
      </c>
      <c r="AL1444" s="133" t="s">
        <v>35</v>
      </c>
      <c r="AM1444" s="133" t="s">
        <v>35</v>
      </c>
      <c r="AN1444" s="132">
        <v>0.99</v>
      </c>
      <c r="AO1444" s="137" t="s">
        <v>35</v>
      </c>
      <c r="AP1444" s="137" t="s">
        <v>35</v>
      </c>
      <c r="AQ1444" s="137" t="s">
        <v>35</v>
      </c>
      <c r="AR1444" s="137" t="s">
        <v>35</v>
      </c>
      <c r="AS1444" s="158">
        <v>0.110069253262963</v>
      </c>
      <c r="AT1444" s="141" t="s">
        <v>35</v>
      </c>
      <c r="AU1444" s="141" t="s">
        <v>35</v>
      </c>
      <c r="AV1444" s="141" t="s">
        <v>35</v>
      </c>
      <c r="AW1444" s="141" t="s">
        <v>35</v>
      </c>
      <c r="AX1444" s="95"/>
      <c r="AY1444" s="93"/>
    </row>
    <row r="1445" ht="15" spans="1:51">
      <c r="A1445" s="91"/>
      <c r="B1445" s="95"/>
      <c r="C1445" s="152" t="s">
        <v>1455</v>
      </c>
      <c r="D1445" s="153" t="s">
        <v>125</v>
      </c>
      <c r="E1445" s="130" t="s">
        <v>1456</v>
      </c>
      <c r="F1445" s="200" t="s">
        <v>1477</v>
      </c>
      <c r="G1445" s="200" t="s">
        <v>1477</v>
      </c>
      <c r="H1445" s="200" t="s">
        <v>1477</v>
      </c>
      <c r="I1445" s="200" t="s">
        <v>1477</v>
      </c>
      <c r="J1445" s="132">
        <v>0.9</v>
      </c>
      <c r="K1445" s="133" t="s">
        <v>35</v>
      </c>
      <c r="L1445" s="133" t="s">
        <v>35</v>
      </c>
      <c r="M1445" s="134" t="s">
        <v>35</v>
      </c>
      <c r="N1445" s="133" t="s">
        <v>35</v>
      </c>
      <c r="O1445" s="135">
        <v>0.9</v>
      </c>
      <c r="P1445" s="133" t="s">
        <v>35</v>
      </c>
      <c r="Q1445" s="133" t="s">
        <v>35</v>
      </c>
      <c r="R1445" s="133" t="s">
        <v>35</v>
      </c>
      <c r="S1445" s="133" t="s">
        <v>35</v>
      </c>
      <c r="T1445" s="135">
        <v>0.9</v>
      </c>
      <c r="U1445" s="133" t="s">
        <v>35</v>
      </c>
      <c r="V1445" s="133" t="s">
        <v>35</v>
      </c>
      <c r="W1445" s="133" t="s">
        <v>35</v>
      </c>
      <c r="X1445" s="133" t="s">
        <v>35</v>
      </c>
      <c r="Y1445" s="135">
        <v>0.92</v>
      </c>
      <c r="Z1445" s="135" t="s">
        <v>35</v>
      </c>
      <c r="AA1445" s="135" t="s">
        <v>35</v>
      </c>
      <c r="AB1445" s="135" t="s">
        <v>35</v>
      </c>
      <c r="AC1445" s="135" t="s">
        <v>35</v>
      </c>
      <c r="AD1445" s="135">
        <v>0.92</v>
      </c>
      <c r="AE1445" s="133">
        <v>1</v>
      </c>
      <c r="AF1445" s="133">
        <v>0</v>
      </c>
      <c r="AG1445" s="133">
        <v>1</v>
      </c>
      <c r="AH1445" s="133">
        <v>0.850649350649351</v>
      </c>
      <c r="AI1445" s="135">
        <v>0.92</v>
      </c>
      <c r="AJ1445" s="133" t="s">
        <v>35</v>
      </c>
      <c r="AK1445" s="133" t="s">
        <v>35</v>
      </c>
      <c r="AL1445" s="133" t="s">
        <v>35</v>
      </c>
      <c r="AM1445" s="133" t="s">
        <v>35</v>
      </c>
      <c r="AN1445" s="132">
        <v>0.99</v>
      </c>
      <c r="AO1445" s="137" t="s">
        <v>35</v>
      </c>
      <c r="AP1445" s="137" t="s">
        <v>35</v>
      </c>
      <c r="AQ1445" s="137" t="s">
        <v>35</v>
      </c>
      <c r="AR1445" s="137" t="s">
        <v>35</v>
      </c>
      <c r="AS1445" s="158">
        <v>0.110069253262963</v>
      </c>
      <c r="AT1445" s="141" t="s">
        <v>35</v>
      </c>
      <c r="AU1445" s="141" t="s">
        <v>35</v>
      </c>
      <c r="AV1445" s="141" t="s">
        <v>35</v>
      </c>
      <c r="AW1445" s="141" t="s">
        <v>35</v>
      </c>
      <c r="AX1445" s="95"/>
      <c r="AY1445" s="93"/>
    </row>
    <row r="1446" ht="15" spans="1:51">
      <c r="A1446" s="91"/>
      <c r="B1446" s="95"/>
      <c r="C1446" s="152" t="s">
        <v>1455</v>
      </c>
      <c r="D1446" s="153" t="s">
        <v>125</v>
      </c>
      <c r="E1446" s="130" t="s">
        <v>1456</v>
      </c>
      <c r="F1446" s="201" t="s">
        <v>1478</v>
      </c>
      <c r="G1446" s="201" t="s">
        <v>1478</v>
      </c>
      <c r="H1446" s="201" t="s">
        <v>1478</v>
      </c>
      <c r="I1446" s="201" t="s">
        <v>1478</v>
      </c>
      <c r="J1446" s="132">
        <v>0.9</v>
      </c>
      <c r="K1446" s="133" t="s">
        <v>35</v>
      </c>
      <c r="L1446" s="133" t="s">
        <v>35</v>
      </c>
      <c r="M1446" s="134" t="s">
        <v>35</v>
      </c>
      <c r="N1446" s="133" t="s">
        <v>35</v>
      </c>
      <c r="O1446" s="135">
        <v>0.9</v>
      </c>
      <c r="P1446" s="133" t="s">
        <v>35</v>
      </c>
      <c r="Q1446" s="133">
        <v>0</v>
      </c>
      <c r="R1446" s="133">
        <v>0</v>
      </c>
      <c r="S1446" s="133">
        <v>0</v>
      </c>
      <c r="T1446" s="135">
        <v>0.9</v>
      </c>
      <c r="U1446" s="133" t="s">
        <v>35</v>
      </c>
      <c r="V1446" s="133">
        <v>0.666666666666667</v>
      </c>
      <c r="W1446" s="133">
        <v>1</v>
      </c>
      <c r="X1446" s="133">
        <v>0.615384615384615</v>
      </c>
      <c r="Y1446" s="135">
        <v>0.92</v>
      </c>
      <c r="Z1446" s="135" t="s">
        <v>35</v>
      </c>
      <c r="AA1446" s="135" t="s">
        <v>35</v>
      </c>
      <c r="AB1446" s="135" t="s">
        <v>35</v>
      </c>
      <c r="AC1446" s="135">
        <v>0.0697674418604651</v>
      </c>
      <c r="AD1446" s="135">
        <v>0.92</v>
      </c>
      <c r="AE1446" s="133">
        <v>0.999647038061062</v>
      </c>
      <c r="AF1446" s="133">
        <v>0.999622807568995</v>
      </c>
      <c r="AG1446" s="133">
        <v>1</v>
      </c>
      <c r="AH1446" s="133">
        <v>0.999725168715872</v>
      </c>
      <c r="AI1446" s="135">
        <v>0.92</v>
      </c>
      <c r="AJ1446" s="133">
        <v>0</v>
      </c>
      <c r="AK1446" s="133">
        <v>0.666666666666667</v>
      </c>
      <c r="AL1446" s="133">
        <v>1</v>
      </c>
      <c r="AM1446" s="133">
        <v>0.382022471910112</v>
      </c>
      <c r="AN1446" s="132">
        <v>0.99</v>
      </c>
      <c r="AO1446" s="137">
        <v>1</v>
      </c>
      <c r="AP1446" s="137">
        <v>1</v>
      </c>
      <c r="AQ1446" s="137" t="s">
        <v>35</v>
      </c>
      <c r="AR1446" s="137">
        <v>1</v>
      </c>
      <c r="AS1446" s="158">
        <v>0.110069253262963</v>
      </c>
      <c r="AT1446" s="141" t="s">
        <v>35</v>
      </c>
      <c r="AU1446" s="141" t="s">
        <v>35</v>
      </c>
      <c r="AV1446" s="141" t="s">
        <v>35</v>
      </c>
      <c r="AW1446" s="141" t="s">
        <v>35</v>
      </c>
      <c r="AX1446" s="95"/>
      <c r="AY1446" s="93"/>
    </row>
    <row r="1447" ht="15" spans="1:51">
      <c r="A1447" s="91"/>
      <c r="B1447" s="95"/>
      <c r="C1447" s="152" t="s">
        <v>1455</v>
      </c>
      <c r="D1447" s="153" t="s">
        <v>125</v>
      </c>
      <c r="E1447" s="130" t="s">
        <v>1456</v>
      </c>
      <c r="F1447" s="201" t="s">
        <v>1479</v>
      </c>
      <c r="G1447" s="201" t="s">
        <v>1479</v>
      </c>
      <c r="H1447" s="201" t="s">
        <v>1479</v>
      </c>
      <c r="I1447" s="201" t="s">
        <v>1479</v>
      </c>
      <c r="J1447" s="132">
        <v>0.9</v>
      </c>
      <c r="K1447" s="133" t="s">
        <v>35</v>
      </c>
      <c r="L1447" s="133" t="s">
        <v>35</v>
      </c>
      <c r="M1447" s="134" t="s">
        <v>35</v>
      </c>
      <c r="N1447" s="133" t="s">
        <v>35</v>
      </c>
      <c r="O1447" s="135">
        <v>0.9</v>
      </c>
      <c r="P1447" s="133">
        <v>0</v>
      </c>
      <c r="Q1447" s="133">
        <v>0</v>
      </c>
      <c r="R1447" s="133">
        <v>0</v>
      </c>
      <c r="S1447" s="133">
        <v>0</v>
      </c>
      <c r="T1447" s="135">
        <v>0.9</v>
      </c>
      <c r="U1447" s="133">
        <v>0</v>
      </c>
      <c r="V1447" s="133">
        <v>0</v>
      </c>
      <c r="W1447" s="133">
        <v>0</v>
      </c>
      <c r="X1447" s="133">
        <v>0</v>
      </c>
      <c r="Y1447" s="135">
        <v>0.92</v>
      </c>
      <c r="Z1447" s="135" t="s">
        <v>35</v>
      </c>
      <c r="AA1447" s="135" t="s">
        <v>35</v>
      </c>
      <c r="AB1447" s="135" t="s">
        <v>35</v>
      </c>
      <c r="AC1447" s="135" t="s">
        <v>35</v>
      </c>
      <c r="AD1447" s="135">
        <v>0.92</v>
      </c>
      <c r="AE1447" s="133">
        <v>0.789954337899543</v>
      </c>
      <c r="AF1447" s="133">
        <v>0.956896551724138</v>
      </c>
      <c r="AG1447" s="133">
        <v>0.978723404255319</v>
      </c>
      <c r="AH1447" s="133">
        <v>0.913110224132637</v>
      </c>
      <c r="AI1447" s="135">
        <v>0.92</v>
      </c>
      <c r="AJ1447" s="133">
        <v>0</v>
      </c>
      <c r="AK1447" s="133">
        <v>0</v>
      </c>
      <c r="AL1447" s="133">
        <v>0</v>
      </c>
      <c r="AM1447" s="133">
        <v>0</v>
      </c>
      <c r="AN1447" s="132">
        <v>0.99</v>
      </c>
      <c r="AO1447" s="137">
        <v>1</v>
      </c>
      <c r="AP1447" s="137">
        <v>1</v>
      </c>
      <c r="AQ1447" s="137">
        <v>1</v>
      </c>
      <c r="AR1447" s="137">
        <v>1</v>
      </c>
      <c r="AS1447" s="158">
        <v>0.110069253262963</v>
      </c>
      <c r="AT1447" s="141" t="s">
        <v>35</v>
      </c>
      <c r="AU1447" s="141" t="s">
        <v>35</v>
      </c>
      <c r="AV1447" s="141" t="s">
        <v>35</v>
      </c>
      <c r="AW1447" s="141" t="s">
        <v>35</v>
      </c>
      <c r="AX1447" s="95"/>
      <c r="AY1447" s="93"/>
    </row>
    <row r="1448" ht="15" spans="1:51">
      <c r="A1448" s="91"/>
      <c r="B1448" s="95"/>
      <c r="C1448" s="152" t="s">
        <v>1455</v>
      </c>
      <c r="D1448" s="153" t="s">
        <v>125</v>
      </c>
      <c r="E1448" s="130" t="s">
        <v>1456</v>
      </c>
      <c r="F1448" s="201" t="s">
        <v>1480</v>
      </c>
      <c r="G1448" s="201" t="s">
        <v>1480</v>
      </c>
      <c r="H1448" s="201" t="s">
        <v>1480</v>
      </c>
      <c r="I1448" s="201" t="s">
        <v>1480</v>
      </c>
      <c r="J1448" s="132">
        <v>0.9</v>
      </c>
      <c r="K1448" s="133" t="s">
        <v>35</v>
      </c>
      <c r="L1448" s="133" t="s">
        <v>35</v>
      </c>
      <c r="M1448" s="134" t="s">
        <v>35</v>
      </c>
      <c r="N1448" s="133" t="s">
        <v>35</v>
      </c>
      <c r="O1448" s="135">
        <v>0.9</v>
      </c>
      <c r="P1448" s="133" t="s">
        <v>35</v>
      </c>
      <c r="Q1448" s="133" t="s">
        <v>35</v>
      </c>
      <c r="R1448" s="133" t="s">
        <v>35</v>
      </c>
      <c r="S1448" s="133" t="s">
        <v>35</v>
      </c>
      <c r="T1448" s="135">
        <v>0.9</v>
      </c>
      <c r="U1448" s="133" t="s">
        <v>35</v>
      </c>
      <c r="V1448" s="133" t="s">
        <v>35</v>
      </c>
      <c r="W1448" s="133" t="s">
        <v>35</v>
      </c>
      <c r="X1448" s="133" t="s">
        <v>35</v>
      </c>
      <c r="Y1448" s="135">
        <v>0.92</v>
      </c>
      <c r="Z1448" s="135" t="s">
        <v>35</v>
      </c>
      <c r="AA1448" s="135" t="s">
        <v>35</v>
      </c>
      <c r="AB1448" s="135" t="s">
        <v>35</v>
      </c>
      <c r="AC1448" s="135" t="s">
        <v>35</v>
      </c>
      <c r="AD1448" s="135">
        <v>0.92</v>
      </c>
      <c r="AE1448" s="133">
        <v>1</v>
      </c>
      <c r="AF1448" s="133">
        <v>0.952127659574468</v>
      </c>
      <c r="AG1448" s="133">
        <v>0.418300653594771</v>
      </c>
      <c r="AH1448" s="133">
        <v>0.816942333482342</v>
      </c>
      <c r="AI1448" s="135">
        <v>0.92</v>
      </c>
      <c r="AJ1448" s="133" t="s">
        <v>35</v>
      </c>
      <c r="AK1448" s="133">
        <v>1</v>
      </c>
      <c r="AL1448" s="133" t="s">
        <v>35</v>
      </c>
      <c r="AM1448" s="133">
        <v>1</v>
      </c>
      <c r="AN1448" s="132">
        <v>0.99</v>
      </c>
      <c r="AO1448" s="137">
        <v>1</v>
      </c>
      <c r="AP1448" s="137">
        <v>1</v>
      </c>
      <c r="AQ1448" s="137">
        <v>1</v>
      </c>
      <c r="AR1448" s="137">
        <v>1</v>
      </c>
      <c r="AS1448" s="158">
        <v>0.110069253262963</v>
      </c>
      <c r="AT1448" s="141" t="s">
        <v>35</v>
      </c>
      <c r="AU1448" s="141" t="s">
        <v>35</v>
      </c>
      <c r="AV1448" s="141" t="s">
        <v>35</v>
      </c>
      <c r="AW1448" s="141" t="s">
        <v>35</v>
      </c>
      <c r="AX1448" s="95"/>
      <c r="AY1448" s="93"/>
    </row>
    <row r="1449" ht="15" spans="1:51">
      <c r="A1449" s="91"/>
      <c r="B1449" s="95"/>
      <c r="C1449" s="152" t="s">
        <v>1455</v>
      </c>
      <c r="D1449" s="153" t="s">
        <v>125</v>
      </c>
      <c r="E1449" s="130" t="s">
        <v>1456</v>
      </c>
      <c r="F1449" s="200" t="s">
        <v>1481</v>
      </c>
      <c r="G1449" s="200" t="s">
        <v>1481</v>
      </c>
      <c r="H1449" s="200" t="s">
        <v>1481</v>
      </c>
      <c r="I1449" s="200" t="s">
        <v>1481</v>
      </c>
      <c r="J1449" s="132">
        <v>0.9</v>
      </c>
      <c r="K1449" s="133" t="s">
        <v>35</v>
      </c>
      <c r="L1449" s="133" t="s">
        <v>35</v>
      </c>
      <c r="M1449" s="134" t="s">
        <v>35</v>
      </c>
      <c r="N1449" s="133" t="s">
        <v>35</v>
      </c>
      <c r="O1449" s="135">
        <v>0.9</v>
      </c>
      <c r="P1449" s="133" t="s">
        <v>35</v>
      </c>
      <c r="Q1449" s="133" t="s">
        <v>35</v>
      </c>
      <c r="R1449" s="133" t="s">
        <v>35</v>
      </c>
      <c r="S1449" s="133" t="s">
        <v>35</v>
      </c>
      <c r="T1449" s="135">
        <v>0.9</v>
      </c>
      <c r="U1449" s="133" t="s">
        <v>35</v>
      </c>
      <c r="V1449" s="133" t="s">
        <v>35</v>
      </c>
      <c r="W1449" s="133" t="s">
        <v>35</v>
      </c>
      <c r="X1449" s="133" t="s">
        <v>35</v>
      </c>
      <c r="Y1449" s="135">
        <v>0.92</v>
      </c>
      <c r="Z1449" s="135" t="s">
        <v>35</v>
      </c>
      <c r="AA1449" s="135" t="s">
        <v>35</v>
      </c>
      <c r="AB1449" s="135" t="s">
        <v>35</v>
      </c>
      <c r="AC1449" s="135" t="s">
        <v>35</v>
      </c>
      <c r="AD1449" s="135">
        <v>0.92</v>
      </c>
      <c r="AE1449" s="133">
        <v>0.5</v>
      </c>
      <c r="AF1449" s="133">
        <v>0.505882352941176</v>
      </c>
      <c r="AG1449" s="133" t="s">
        <v>35</v>
      </c>
      <c r="AH1449" s="133">
        <v>0.509316770186335</v>
      </c>
      <c r="AI1449" s="135">
        <v>0.92</v>
      </c>
      <c r="AJ1449" s="133" t="s">
        <v>35</v>
      </c>
      <c r="AK1449" s="133" t="s">
        <v>35</v>
      </c>
      <c r="AL1449" s="133" t="s">
        <v>35</v>
      </c>
      <c r="AM1449" s="133">
        <v>0</v>
      </c>
      <c r="AN1449" s="132">
        <v>0.99</v>
      </c>
      <c r="AO1449" s="137">
        <v>1</v>
      </c>
      <c r="AP1449" s="137" t="s">
        <v>35</v>
      </c>
      <c r="AQ1449" s="137" t="s">
        <v>35</v>
      </c>
      <c r="AR1449" s="137">
        <v>1</v>
      </c>
      <c r="AS1449" s="158">
        <v>0.110069253262963</v>
      </c>
      <c r="AT1449" s="141" t="s">
        <v>35</v>
      </c>
      <c r="AU1449" s="141" t="s">
        <v>35</v>
      </c>
      <c r="AV1449" s="141" t="s">
        <v>35</v>
      </c>
      <c r="AW1449" s="141" t="s">
        <v>35</v>
      </c>
      <c r="AX1449" s="95"/>
      <c r="AY1449" s="93"/>
    </row>
    <row r="1450" ht="15" spans="1:51">
      <c r="A1450" s="91"/>
      <c r="B1450" s="95"/>
      <c r="C1450" s="152" t="s">
        <v>1455</v>
      </c>
      <c r="D1450" s="153" t="s">
        <v>125</v>
      </c>
      <c r="E1450" s="130" t="s">
        <v>1456</v>
      </c>
      <c r="F1450" s="200" t="s">
        <v>1482</v>
      </c>
      <c r="G1450" s="200" t="s">
        <v>1482</v>
      </c>
      <c r="H1450" s="200" t="s">
        <v>1482</v>
      </c>
      <c r="I1450" s="200" t="s">
        <v>1482</v>
      </c>
      <c r="J1450" s="132">
        <v>0.9</v>
      </c>
      <c r="K1450" s="133" t="s">
        <v>35</v>
      </c>
      <c r="L1450" s="133" t="s">
        <v>35</v>
      </c>
      <c r="M1450" s="134" t="s">
        <v>35</v>
      </c>
      <c r="N1450" s="133" t="s">
        <v>35</v>
      </c>
      <c r="O1450" s="135">
        <v>0.9</v>
      </c>
      <c r="P1450" s="133">
        <v>0</v>
      </c>
      <c r="Q1450" s="133" t="s">
        <v>35</v>
      </c>
      <c r="R1450" s="133" t="s">
        <v>35</v>
      </c>
      <c r="S1450" s="133">
        <v>0</v>
      </c>
      <c r="T1450" s="135">
        <v>0.9</v>
      </c>
      <c r="U1450" s="133">
        <v>0.5</v>
      </c>
      <c r="V1450" s="133" t="s">
        <v>35</v>
      </c>
      <c r="W1450" s="133" t="s">
        <v>35</v>
      </c>
      <c r="X1450" s="133">
        <v>0.769230769230769</v>
      </c>
      <c r="Y1450" s="135">
        <v>0.92</v>
      </c>
      <c r="Z1450" s="135" t="s">
        <v>35</v>
      </c>
      <c r="AA1450" s="135" t="s">
        <v>35</v>
      </c>
      <c r="AB1450" s="135" t="s">
        <v>35</v>
      </c>
      <c r="AC1450" s="135" t="s">
        <v>35</v>
      </c>
      <c r="AD1450" s="135">
        <v>0.92</v>
      </c>
      <c r="AE1450" s="133">
        <v>1</v>
      </c>
      <c r="AF1450" s="133">
        <v>0.406712734452122</v>
      </c>
      <c r="AG1450" s="133">
        <v>0.75023832221163</v>
      </c>
      <c r="AH1450" s="133">
        <v>0.734460762498146</v>
      </c>
      <c r="AI1450" s="135">
        <v>0.92</v>
      </c>
      <c r="AJ1450" s="133">
        <v>1</v>
      </c>
      <c r="AK1450" s="133" t="s">
        <v>35</v>
      </c>
      <c r="AL1450" s="133" t="s">
        <v>35</v>
      </c>
      <c r="AM1450" s="133">
        <v>0.785714285714286</v>
      </c>
      <c r="AN1450" s="132">
        <v>0.99</v>
      </c>
      <c r="AO1450" s="137">
        <v>1</v>
      </c>
      <c r="AP1450" s="137" t="s">
        <v>35</v>
      </c>
      <c r="AQ1450" s="137" t="s">
        <v>35</v>
      </c>
      <c r="AR1450" s="137">
        <v>1</v>
      </c>
      <c r="AS1450" s="158">
        <v>0.110069253262963</v>
      </c>
      <c r="AT1450" s="141" t="s">
        <v>35</v>
      </c>
      <c r="AU1450" s="141" t="s">
        <v>35</v>
      </c>
      <c r="AV1450" s="141" t="s">
        <v>35</v>
      </c>
      <c r="AW1450" s="141" t="s">
        <v>35</v>
      </c>
      <c r="AX1450" s="95"/>
      <c r="AY1450" s="93"/>
    </row>
    <row r="1451" ht="15" spans="1:51">
      <c r="A1451" s="91"/>
      <c r="B1451" s="95"/>
      <c r="C1451" s="152" t="s">
        <v>1455</v>
      </c>
      <c r="D1451" s="153" t="s">
        <v>125</v>
      </c>
      <c r="E1451" s="130" t="s">
        <v>1456</v>
      </c>
      <c r="F1451" s="200" t="s">
        <v>1483</v>
      </c>
      <c r="G1451" s="200" t="s">
        <v>1483</v>
      </c>
      <c r="H1451" s="200" t="s">
        <v>1483</v>
      </c>
      <c r="I1451" s="200" t="s">
        <v>1483</v>
      </c>
      <c r="J1451" s="132">
        <v>0.9</v>
      </c>
      <c r="K1451" s="133" t="s">
        <v>35</v>
      </c>
      <c r="L1451" s="133" t="s">
        <v>35</v>
      </c>
      <c r="M1451" s="134" t="s">
        <v>35</v>
      </c>
      <c r="N1451" s="133" t="s">
        <v>35</v>
      </c>
      <c r="O1451" s="135">
        <v>0.9</v>
      </c>
      <c r="P1451" s="133" t="s">
        <v>35</v>
      </c>
      <c r="Q1451" s="133" t="s">
        <v>35</v>
      </c>
      <c r="R1451" s="133" t="s">
        <v>35</v>
      </c>
      <c r="S1451" s="133" t="s">
        <v>35</v>
      </c>
      <c r="T1451" s="135">
        <v>0.9</v>
      </c>
      <c r="U1451" s="133" t="s">
        <v>35</v>
      </c>
      <c r="V1451" s="133" t="s">
        <v>35</v>
      </c>
      <c r="W1451" s="133" t="s">
        <v>35</v>
      </c>
      <c r="X1451" s="133" t="s">
        <v>35</v>
      </c>
      <c r="Y1451" s="135">
        <v>0.92</v>
      </c>
      <c r="Z1451" s="135" t="s">
        <v>35</v>
      </c>
      <c r="AA1451" s="135" t="s">
        <v>35</v>
      </c>
      <c r="AB1451" s="135" t="s">
        <v>35</v>
      </c>
      <c r="AC1451" s="135" t="s">
        <v>35</v>
      </c>
      <c r="AD1451" s="135">
        <v>0.92</v>
      </c>
      <c r="AE1451" s="133">
        <v>1</v>
      </c>
      <c r="AF1451" s="133">
        <v>1</v>
      </c>
      <c r="AG1451" s="133">
        <v>1</v>
      </c>
      <c r="AH1451" s="133">
        <v>0.900699300699301</v>
      </c>
      <c r="AI1451" s="135">
        <v>0.92</v>
      </c>
      <c r="AJ1451" s="133" t="s">
        <v>35</v>
      </c>
      <c r="AK1451" s="133" t="s">
        <v>35</v>
      </c>
      <c r="AL1451" s="133" t="s">
        <v>35</v>
      </c>
      <c r="AM1451" s="133" t="s">
        <v>35</v>
      </c>
      <c r="AN1451" s="132">
        <v>0.99</v>
      </c>
      <c r="AO1451" s="137" t="s">
        <v>35</v>
      </c>
      <c r="AP1451" s="137" t="s">
        <v>35</v>
      </c>
      <c r="AQ1451" s="137" t="s">
        <v>35</v>
      </c>
      <c r="AR1451" s="137">
        <v>1</v>
      </c>
      <c r="AS1451" s="158">
        <v>0.110069253262963</v>
      </c>
      <c r="AT1451" s="141" t="s">
        <v>35</v>
      </c>
      <c r="AU1451" s="141" t="s">
        <v>35</v>
      </c>
      <c r="AV1451" s="141" t="s">
        <v>35</v>
      </c>
      <c r="AW1451" s="141" t="s">
        <v>35</v>
      </c>
      <c r="AX1451" s="95"/>
      <c r="AY1451" s="93"/>
    </row>
    <row r="1452" ht="15" spans="1:51">
      <c r="A1452" s="91"/>
      <c r="B1452" s="95"/>
      <c r="C1452" s="152" t="s">
        <v>1455</v>
      </c>
      <c r="D1452" s="153" t="s">
        <v>125</v>
      </c>
      <c r="E1452" s="130" t="s">
        <v>1456</v>
      </c>
      <c r="F1452" s="200" t="s">
        <v>1484</v>
      </c>
      <c r="G1452" s="200" t="s">
        <v>1484</v>
      </c>
      <c r="H1452" s="200" t="s">
        <v>1484</v>
      </c>
      <c r="I1452" s="200" t="s">
        <v>1484</v>
      </c>
      <c r="J1452" s="132">
        <v>0.9</v>
      </c>
      <c r="K1452" s="133" t="s">
        <v>35</v>
      </c>
      <c r="L1452" s="133" t="s">
        <v>35</v>
      </c>
      <c r="M1452" s="134" t="s">
        <v>35</v>
      </c>
      <c r="N1452" s="133" t="s">
        <v>35</v>
      </c>
      <c r="O1452" s="135">
        <v>0.9</v>
      </c>
      <c r="P1452" s="133" t="s">
        <v>35</v>
      </c>
      <c r="Q1452" s="133" t="s">
        <v>35</v>
      </c>
      <c r="R1452" s="133" t="s">
        <v>35</v>
      </c>
      <c r="S1452" s="133" t="s">
        <v>35</v>
      </c>
      <c r="T1452" s="135">
        <v>0.9</v>
      </c>
      <c r="U1452" s="133" t="s">
        <v>35</v>
      </c>
      <c r="V1452" s="133" t="s">
        <v>35</v>
      </c>
      <c r="W1452" s="133" t="s">
        <v>35</v>
      </c>
      <c r="X1452" s="133" t="s">
        <v>35</v>
      </c>
      <c r="Y1452" s="135">
        <v>0.92</v>
      </c>
      <c r="Z1452" s="135" t="s">
        <v>35</v>
      </c>
      <c r="AA1452" s="135" t="s">
        <v>35</v>
      </c>
      <c r="AB1452" s="135" t="s">
        <v>35</v>
      </c>
      <c r="AC1452" s="135" t="s">
        <v>35</v>
      </c>
      <c r="AD1452" s="135">
        <v>0.92</v>
      </c>
      <c r="AE1452" s="133">
        <v>1</v>
      </c>
      <c r="AF1452" s="133">
        <v>0.923913043478261</v>
      </c>
      <c r="AG1452" s="133">
        <v>0.7</v>
      </c>
      <c r="AH1452" s="133">
        <v>0.931571815718157</v>
      </c>
      <c r="AI1452" s="135">
        <v>0.92</v>
      </c>
      <c r="AJ1452" s="133" t="s">
        <v>35</v>
      </c>
      <c r="AK1452" s="133" t="s">
        <v>35</v>
      </c>
      <c r="AL1452" s="133" t="s">
        <v>35</v>
      </c>
      <c r="AM1452" s="133" t="s">
        <v>35</v>
      </c>
      <c r="AN1452" s="132">
        <v>0.99</v>
      </c>
      <c r="AO1452" s="137" t="s">
        <v>35</v>
      </c>
      <c r="AP1452" s="137" t="s">
        <v>35</v>
      </c>
      <c r="AQ1452" s="137" t="s">
        <v>35</v>
      </c>
      <c r="AR1452" s="137">
        <v>1</v>
      </c>
      <c r="AS1452" s="158">
        <v>0.110069253262963</v>
      </c>
      <c r="AT1452" s="141" t="s">
        <v>35</v>
      </c>
      <c r="AU1452" s="141" t="s">
        <v>35</v>
      </c>
      <c r="AV1452" s="141" t="s">
        <v>35</v>
      </c>
      <c r="AW1452" s="141" t="s">
        <v>35</v>
      </c>
      <c r="AX1452" s="95"/>
      <c r="AY1452" s="93"/>
    </row>
    <row r="1453" ht="15" spans="1:51">
      <c r="A1453" s="91"/>
      <c r="B1453" s="95"/>
      <c r="C1453" s="152" t="s">
        <v>1455</v>
      </c>
      <c r="D1453" s="153" t="s">
        <v>125</v>
      </c>
      <c r="E1453" s="130" t="s">
        <v>1456</v>
      </c>
      <c r="F1453" s="200" t="s">
        <v>1485</v>
      </c>
      <c r="G1453" s="200" t="s">
        <v>1485</v>
      </c>
      <c r="H1453" s="200" t="s">
        <v>1485</v>
      </c>
      <c r="I1453" s="200" t="s">
        <v>1485</v>
      </c>
      <c r="J1453" s="132">
        <v>0.9</v>
      </c>
      <c r="K1453" s="133" t="s">
        <v>35</v>
      </c>
      <c r="L1453" s="133" t="s">
        <v>35</v>
      </c>
      <c r="M1453" s="134" t="s">
        <v>35</v>
      </c>
      <c r="N1453" s="133" t="s">
        <v>35</v>
      </c>
      <c r="O1453" s="135">
        <v>0.9</v>
      </c>
      <c r="P1453" s="133" t="s">
        <v>35</v>
      </c>
      <c r="Q1453" s="133" t="s">
        <v>35</v>
      </c>
      <c r="R1453" s="133" t="s">
        <v>35</v>
      </c>
      <c r="S1453" s="133">
        <v>0</v>
      </c>
      <c r="T1453" s="135">
        <v>0.9</v>
      </c>
      <c r="U1453" s="133" t="s">
        <v>35</v>
      </c>
      <c r="V1453" s="133" t="s">
        <v>35</v>
      </c>
      <c r="W1453" s="133" t="s">
        <v>35</v>
      </c>
      <c r="X1453" s="133">
        <v>1</v>
      </c>
      <c r="Y1453" s="135">
        <v>0.92</v>
      </c>
      <c r="Z1453" s="135" t="s">
        <v>35</v>
      </c>
      <c r="AA1453" s="135" t="s">
        <v>35</v>
      </c>
      <c r="AB1453" s="135" t="s">
        <v>35</v>
      </c>
      <c r="AC1453" s="135" t="s">
        <v>35</v>
      </c>
      <c r="AD1453" s="135">
        <v>0.92</v>
      </c>
      <c r="AE1453" s="133">
        <v>1</v>
      </c>
      <c r="AF1453" s="133">
        <v>1</v>
      </c>
      <c r="AG1453" s="133">
        <v>1</v>
      </c>
      <c r="AH1453" s="133">
        <v>0.999340804218853</v>
      </c>
      <c r="AI1453" s="135">
        <v>0.92</v>
      </c>
      <c r="AJ1453" s="133" t="s">
        <v>35</v>
      </c>
      <c r="AK1453" s="133" t="s">
        <v>35</v>
      </c>
      <c r="AL1453" s="133" t="s">
        <v>35</v>
      </c>
      <c r="AM1453" s="133">
        <v>1</v>
      </c>
      <c r="AN1453" s="132">
        <v>0.99</v>
      </c>
      <c r="AO1453" s="137" t="s">
        <v>35</v>
      </c>
      <c r="AP1453" s="137" t="s">
        <v>35</v>
      </c>
      <c r="AQ1453" s="137" t="s">
        <v>35</v>
      </c>
      <c r="AR1453" s="137">
        <v>1</v>
      </c>
      <c r="AS1453" s="158">
        <v>0.110069253262963</v>
      </c>
      <c r="AT1453" s="141" t="s">
        <v>35</v>
      </c>
      <c r="AU1453" s="141" t="s">
        <v>35</v>
      </c>
      <c r="AV1453" s="141" t="s">
        <v>35</v>
      </c>
      <c r="AW1453" s="141" t="s">
        <v>35</v>
      </c>
      <c r="AX1453" s="95"/>
      <c r="AY1453" s="93"/>
    </row>
    <row r="1454" ht="15" spans="1:51">
      <c r="A1454" s="91"/>
      <c r="B1454" s="95"/>
      <c r="C1454" s="152" t="s">
        <v>1455</v>
      </c>
      <c r="D1454" s="153" t="s">
        <v>125</v>
      </c>
      <c r="E1454" s="130" t="s">
        <v>1456</v>
      </c>
      <c r="F1454" s="200" t="s">
        <v>1486</v>
      </c>
      <c r="G1454" s="200" t="s">
        <v>1486</v>
      </c>
      <c r="H1454" s="200" t="s">
        <v>1486</v>
      </c>
      <c r="I1454" s="200" t="s">
        <v>1486</v>
      </c>
      <c r="J1454" s="132">
        <v>0.9</v>
      </c>
      <c r="K1454" s="133" t="s">
        <v>35</v>
      </c>
      <c r="L1454" s="133" t="s">
        <v>35</v>
      </c>
      <c r="M1454" s="134" t="s">
        <v>35</v>
      </c>
      <c r="N1454" s="133" t="s">
        <v>35</v>
      </c>
      <c r="O1454" s="135">
        <v>0.9</v>
      </c>
      <c r="P1454" s="133">
        <v>0</v>
      </c>
      <c r="Q1454" s="133">
        <v>0</v>
      </c>
      <c r="R1454" s="133">
        <v>0</v>
      </c>
      <c r="S1454" s="133">
        <v>0</v>
      </c>
      <c r="T1454" s="135">
        <v>0.9</v>
      </c>
      <c r="U1454" s="133">
        <v>1</v>
      </c>
      <c r="V1454" s="133">
        <v>1</v>
      </c>
      <c r="W1454" s="133">
        <v>1</v>
      </c>
      <c r="X1454" s="133">
        <v>1</v>
      </c>
      <c r="Y1454" s="135">
        <v>0.92</v>
      </c>
      <c r="Z1454" s="135" t="s">
        <v>35</v>
      </c>
      <c r="AA1454" s="135">
        <v>1</v>
      </c>
      <c r="AB1454" s="135" t="s">
        <v>35</v>
      </c>
      <c r="AC1454" s="135">
        <v>0.727272727272727</v>
      </c>
      <c r="AD1454" s="135">
        <v>0.92</v>
      </c>
      <c r="AE1454" s="133">
        <v>0.99867080194949</v>
      </c>
      <c r="AF1454" s="133">
        <v>0.992138939670932</v>
      </c>
      <c r="AG1454" s="133">
        <v>0.959501557632399</v>
      </c>
      <c r="AH1454" s="133">
        <v>0.995636816954083</v>
      </c>
      <c r="AI1454" s="135">
        <v>0.92</v>
      </c>
      <c r="AJ1454" s="133">
        <v>1</v>
      </c>
      <c r="AK1454" s="133">
        <v>1</v>
      </c>
      <c r="AL1454" s="133">
        <v>1</v>
      </c>
      <c r="AM1454" s="133">
        <v>0.988549618320611</v>
      </c>
      <c r="AN1454" s="132">
        <v>0.99</v>
      </c>
      <c r="AO1454" s="137">
        <v>1</v>
      </c>
      <c r="AP1454" s="137">
        <v>1</v>
      </c>
      <c r="AQ1454" s="137">
        <v>1</v>
      </c>
      <c r="AR1454" s="137">
        <v>1</v>
      </c>
      <c r="AS1454" s="158">
        <v>0.110069253262963</v>
      </c>
      <c r="AT1454" s="141" t="s">
        <v>35</v>
      </c>
      <c r="AU1454" s="141" t="s">
        <v>35</v>
      </c>
      <c r="AV1454" s="141" t="s">
        <v>35</v>
      </c>
      <c r="AW1454" s="141" t="s">
        <v>35</v>
      </c>
      <c r="AX1454" s="95"/>
      <c r="AY1454" s="93"/>
    </row>
    <row r="1455" ht="15" spans="1:51">
      <c r="A1455" s="91"/>
      <c r="B1455" s="95"/>
      <c r="C1455" s="152" t="s">
        <v>1455</v>
      </c>
      <c r="D1455" s="153" t="s">
        <v>125</v>
      </c>
      <c r="E1455" s="130" t="s">
        <v>1456</v>
      </c>
      <c r="F1455" s="200" t="s">
        <v>1487</v>
      </c>
      <c r="G1455" s="200" t="s">
        <v>1487</v>
      </c>
      <c r="H1455" s="200" t="s">
        <v>1487</v>
      </c>
      <c r="I1455" s="200" t="s">
        <v>1487</v>
      </c>
      <c r="J1455" s="132">
        <v>0.9</v>
      </c>
      <c r="K1455" s="133" t="s">
        <v>35</v>
      </c>
      <c r="L1455" s="133" t="s">
        <v>35</v>
      </c>
      <c r="M1455" s="134" t="s">
        <v>35</v>
      </c>
      <c r="N1455" s="133" t="s">
        <v>35</v>
      </c>
      <c r="O1455" s="135">
        <v>0.9</v>
      </c>
      <c r="P1455" s="133" t="s">
        <v>35</v>
      </c>
      <c r="Q1455" s="133" t="s">
        <v>35</v>
      </c>
      <c r="R1455" s="133">
        <v>0</v>
      </c>
      <c r="S1455" s="133">
        <v>0</v>
      </c>
      <c r="T1455" s="135">
        <v>0.9</v>
      </c>
      <c r="U1455" s="133" t="s">
        <v>35</v>
      </c>
      <c r="V1455" s="133" t="s">
        <v>35</v>
      </c>
      <c r="W1455" s="133">
        <v>1</v>
      </c>
      <c r="X1455" s="133">
        <v>1</v>
      </c>
      <c r="Y1455" s="135">
        <v>0.92</v>
      </c>
      <c r="Z1455" s="135" t="s">
        <v>35</v>
      </c>
      <c r="AA1455" s="135" t="s">
        <v>35</v>
      </c>
      <c r="AB1455" s="135" t="s">
        <v>35</v>
      </c>
      <c r="AC1455" s="135" t="s">
        <v>35</v>
      </c>
      <c r="AD1455" s="135">
        <v>0.92</v>
      </c>
      <c r="AE1455" s="133">
        <v>1</v>
      </c>
      <c r="AF1455" s="133">
        <v>1</v>
      </c>
      <c r="AG1455" s="133">
        <v>1</v>
      </c>
      <c r="AH1455" s="133">
        <v>0.999656445933179</v>
      </c>
      <c r="AI1455" s="135">
        <v>0.92</v>
      </c>
      <c r="AJ1455" s="133" t="s">
        <v>35</v>
      </c>
      <c r="AK1455" s="133" t="s">
        <v>35</v>
      </c>
      <c r="AL1455" s="133">
        <v>1</v>
      </c>
      <c r="AM1455" s="133">
        <v>1</v>
      </c>
      <c r="AN1455" s="132">
        <v>0.99</v>
      </c>
      <c r="AO1455" s="137" t="s">
        <v>35</v>
      </c>
      <c r="AP1455" s="137" t="s">
        <v>35</v>
      </c>
      <c r="AQ1455" s="137">
        <v>1</v>
      </c>
      <c r="AR1455" s="137">
        <v>1</v>
      </c>
      <c r="AS1455" s="158">
        <v>0.110069253262963</v>
      </c>
      <c r="AT1455" s="141" t="s">
        <v>35</v>
      </c>
      <c r="AU1455" s="141" t="s">
        <v>35</v>
      </c>
      <c r="AV1455" s="141" t="s">
        <v>35</v>
      </c>
      <c r="AW1455" s="141" t="s">
        <v>35</v>
      </c>
      <c r="AX1455" s="95"/>
      <c r="AY1455" s="93"/>
    </row>
    <row r="1456" ht="15" spans="1:51">
      <c r="A1456" s="91"/>
      <c r="B1456" s="95"/>
      <c r="C1456" s="152" t="s">
        <v>1455</v>
      </c>
      <c r="D1456" s="153" t="s">
        <v>125</v>
      </c>
      <c r="E1456" s="130" t="s">
        <v>1456</v>
      </c>
      <c r="F1456" s="200" t="s">
        <v>1488</v>
      </c>
      <c r="G1456" s="200" t="s">
        <v>1488</v>
      </c>
      <c r="H1456" s="200" t="s">
        <v>1488</v>
      </c>
      <c r="I1456" s="200" t="s">
        <v>1488</v>
      </c>
      <c r="J1456" s="132">
        <v>0.9</v>
      </c>
      <c r="K1456" s="133" t="s">
        <v>35</v>
      </c>
      <c r="L1456" s="133" t="s">
        <v>35</v>
      </c>
      <c r="M1456" s="134" t="s">
        <v>35</v>
      </c>
      <c r="N1456" s="133" t="s">
        <v>35</v>
      </c>
      <c r="O1456" s="135">
        <v>0.9</v>
      </c>
      <c r="P1456" s="133" t="s">
        <v>35</v>
      </c>
      <c r="Q1456" s="133" t="s">
        <v>35</v>
      </c>
      <c r="R1456" s="133" t="s">
        <v>35</v>
      </c>
      <c r="S1456" s="133" t="s">
        <v>35</v>
      </c>
      <c r="T1456" s="135">
        <v>0.9</v>
      </c>
      <c r="U1456" s="133" t="s">
        <v>35</v>
      </c>
      <c r="V1456" s="133" t="s">
        <v>35</v>
      </c>
      <c r="W1456" s="133" t="s">
        <v>35</v>
      </c>
      <c r="X1456" s="133" t="s">
        <v>35</v>
      </c>
      <c r="Y1456" s="135">
        <v>0.92</v>
      </c>
      <c r="Z1456" s="135" t="s">
        <v>35</v>
      </c>
      <c r="AA1456" s="135" t="s">
        <v>35</v>
      </c>
      <c r="AB1456" s="135" t="s">
        <v>35</v>
      </c>
      <c r="AC1456" s="135" t="s">
        <v>35</v>
      </c>
      <c r="AD1456" s="135">
        <v>0.92</v>
      </c>
      <c r="AE1456" s="133">
        <v>0.868312757201646</v>
      </c>
      <c r="AF1456" s="133">
        <v>1</v>
      </c>
      <c r="AG1456" s="133">
        <v>0</v>
      </c>
      <c r="AH1456" s="133">
        <v>0.837325112639317</v>
      </c>
      <c r="AI1456" s="135">
        <v>0.92</v>
      </c>
      <c r="AJ1456" s="133" t="s">
        <v>35</v>
      </c>
      <c r="AK1456" s="133" t="s">
        <v>35</v>
      </c>
      <c r="AL1456" s="133" t="s">
        <v>35</v>
      </c>
      <c r="AM1456" s="133" t="s">
        <v>35</v>
      </c>
      <c r="AN1456" s="132">
        <v>0.99</v>
      </c>
      <c r="AO1456" s="137" t="s">
        <v>35</v>
      </c>
      <c r="AP1456" s="137" t="s">
        <v>35</v>
      </c>
      <c r="AQ1456" s="137" t="s">
        <v>35</v>
      </c>
      <c r="AR1456" s="137">
        <v>1</v>
      </c>
      <c r="AS1456" s="158">
        <v>0.110069253262963</v>
      </c>
      <c r="AT1456" s="141" t="s">
        <v>35</v>
      </c>
      <c r="AU1456" s="141" t="s">
        <v>35</v>
      </c>
      <c r="AV1456" s="141" t="s">
        <v>35</v>
      </c>
      <c r="AW1456" s="141" t="s">
        <v>35</v>
      </c>
      <c r="AX1456" s="95"/>
      <c r="AY1456" s="93"/>
    </row>
    <row r="1457" ht="15" spans="1:51">
      <c r="A1457" s="91"/>
      <c r="B1457" s="95"/>
      <c r="C1457" s="152" t="s">
        <v>1455</v>
      </c>
      <c r="D1457" s="153" t="s">
        <v>125</v>
      </c>
      <c r="E1457" s="130" t="s">
        <v>1456</v>
      </c>
      <c r="F1457" s="202" t="s">
        <v>1489</v>
      </c>
      <c r="G1457" s="202" t="s">
        <v>1489</v>
      </c>
      <c r="H1457" s="202" t="s">
        <v>1489</v>
      </c>
      <c r="I1457" s="202" t="s">
        <v>1489</v>
      </c>
      <c r="J1457" s="132">
        <v>0.9</v>
      </c>
      <c r="K1457" s="133" t="s">
        <v>35</v>
      </c>
      <c r="L1457" s="133" t="s">
        <v>35</v>
      </c>
      <c r="M1457" s="134" t="s">
        <v>35</v>
      </c>
      <c r="N1457" s="133" t="s">
        <v>35</v>
      </c>
      <c r="O1457" s="135">
        <v>0.9</v>
      </c>
      <c r="P1457" s="133" t="s">
        <v>35</v>
      </c>
      <c r="Q1457" s="133" t="s">
        <v>35</v>
      </c>
      <c r="R1457" s="133" t="s">
        <v>35</v>
      </c>
      <c r="S1457" s="133" t="s">
        <v>35</v>
      </c>
      <c r="T1457" s="135">
        <v>0.9</v>
      </c>
      <c r="U1457" s="133" t="s">
        <v>35</v>
      </c>
      <c r="V1457" s="133" t="s">
        <v>35</v>
      </c>
      <c r="W1457" s="133" t="s">
        <v>35</v>
      </c>
      <c r="X1457" s="133" t="s">
        <v>35</v>
      </c>
      <c r="Y1457" s="135">
        <v>0.92</v>
      </c>
      <c r="Z1457" s="135" t="s">
        <v>35</v>
      </c>
      <c r="AA1457" s="135" t="s">
        <v>35</v>
      </c>
      <c r="AB1457" s="135" t="s">
        <v>35</v>
      </c>
      <c r="AC1457" s="135" t="s">
        <v>35</v>
      </c>
      <c r="AD1457" s="135">
        <v>0.92</v>
      </c>
      <c r="AE1457" s="133">
        <v>0.927444794952681</v>
      </c>
      <c r="AF1457" s="133">
        <v>0.962790697674419</v>
      </c>
      <c r="AG1457" s="133">
        <v>1</v>
      </c>
      <c r="AH1457" s="133">
        <v>0.899441340782123</v>
      </c>
      <c r="AI1457" s="135">
        <v>0.92</v>
      </c>
      <c r="AJ1457" s="133" t="s">
        <v>35</v>
      </c>
      <c r="AK1457" s="133" t="s">
        <v>35</v>
      </c>
      <c r="AL1457" s="133" t="s">
        <v>35</v>
      </c>
      <c r="AM1457" s="133" t="s">
        <v>35</v>
      </c>
      <c r="AN1457" s="132">
        <v>0.99</v>
      </c>
      <c r="AO1457" s="137">
        <v>1</v>
      </c>
      <c r="AP1457" s="137">
        <v>1</v>
      </c>
      <c r="AQ1457" s="137">
        <v>1</v>
      </c>
      <c r="AR1457" s="137">
        <v>1</v>
      </c>
      <c r="AS1457" s="158">
        <v>0.110069253262963</v>
      </c>
      <c r="AT1457" s="141" t="s">
        <v>35</v>
      </c>
      <c r="AU1457" s="141" t="s">
        <v>35</v>
      </c>
      <c r="AV1457" s="141" t="s">
        <v>35</v>
      </c>
      <c r="AW1457" s="141" t="s">
        <v>35</v>
      </c>
      <c r="AX1457" s="95"/>
      <c r="AY1457" s="93"/>
    </row>
    <row r="1458" ht="15" spans="1:51">
      <c r="A1458" s="91"/>
      <c r="B1458" s="95"/>
      <c r="C1458" s="152" t="s">
        <v>1455</v>
      </c>
      <c r="D1458" s="153" t="s">
        <v>125</v>
      </c>
      <c r="E1458" s="130" t="s">
        <v>1456</v>
      </c>
      <c r="F1458" s="202" t="s">
        <v>1490</v>
      </c>
      <c r="G1458" s="202" t="s">
        <v>1490</v>
      </c>
      <c r="H1458" s="202" t="s">
        <v>1490</v>
      </c>
      <c r="I1458" s="202" t="s">
        <v>1490</v>
      </c>
      <c r="J1458" s="132">
        <v>0.9</v>
      </c>
      <c r="K1458" s="133" t="s">
        <v>35</v>
      </c>
      <c r="L1458" s="133" t="s">
        <v>35</v>
      </c>
      <c r="M1458" s="134" t="s">
        <v>35</v>
      </c>
      <c r="N1458" s="133" t="s">
        <v>35</v>
      </c>
      <c r="O1458" s="135">
        <v>0.9</v>
      </c>
      <c r="P1458" s="133" t="s">
        <v>35</v>
      </c>
      <c r="Q1458" s="133" t="s">
        <v>35</v>
      </c>
      <c r="R1458" s="133" t="s">
        <v>35</v>
      </c>
      <c r="S1458" s="133" t="s">
        <v>35</v>
      </c>
      <c r="T1458" s="135">
        <v>0.9</v>
      </c>
      <c r="U1458" s="133" t="s">
        <v>35</v>
      </c>
      <c r="V1458" s="133" t="s">
        <v>35</v>
      </c>
      <c r="W1458" s="133" t="s">
        <v>35</v>
      </c>
      <c r="X1458" s="133" t="s">
        <v>35</v>
      </c>
      <c r="Y1458" s="135">
        <v>0.92</v>
      </c>
      <c r="Z1458" s="135" t="s">
        <v>35</v>
      </c>
      <c r="AA1458" s="135" t="s">
        <v>35</v>
      </c>
      <c r="AB1458" s="135" t="s">
        <v>35</v>
      </c>
      <c r="AC1458" s="135" t="s">
        <v>35</v>
      </c>
      <c r="AD1458" s="135">
        <v>0.92</v>
      </c>
      <c r="AE1458" s="133">
        <v>1</v>
      </c>
      <c r="AF1458" s="133">
        <v>1</v>
      </c>
      <c r="AG1458" s="133">
        <v>1</v>
      </c>
      <c r="AH1458" s="133">
        <v>0.998544973544974</v>
      </c>
      <c r="AI1458" s="135">
        <v>0.92</v>
      </c>
      <c r="AJ1458" s="133" t="s">
        <v>35</v>
      </c>
      <c r="AK1458" s="133" t="s">
        <v>35</v>
      </c>
      <c r="AL1458" s="133" t="s">
        <v>35</v>
      </c>
      <c r="AM1458" s="133" t="s">
        <v>35</v>
      </c>
      <c r="AN1458" s="132">
        <v>0.99</v>
      </c>
      <c r="AO1458" s="137">
        <v>1</v>
      </c>
      <c r="AP1458" s="137">
        <v>1</v>
      </c>
      <c r="AQ1458" s="137">
        <v>1</v>
      </c>
      <c r="AR1458" s="137">
        <v>1</v>
      </c>
      <c r="AS1458" s="158">
        <v>0.110069253262963</v>
      </c>
      <c r="AT1458" s="141" t="s">
        <v>35</v>
      </c>
      <c r="AU1458" s="141" t="s">
        <v>35</v>
      </c>
      <c r="AV1458" s="141" t="s">
        <v>35</v>
      </c>
      <c r="AW1458" s="141" t="s">
        <v>35</v>
      </c>
      <c r="AX1458" s="95"/>
      <c r="AY1458" s="93"/>
    </row>
    <row r="1459" ht="15" spans="1:51">
      <c r="A1459" s="91"/>
      <c r="B1459" s="95"/>
      <c r="C1459" s="152" t="s">
        <v>1455</v>
      </c>
      <c r="D1459" s="153" t="s">
        <v>125</v>
      </c>
      <c r="E1459" s="130" t="s">
        <v>1456</v>
      </c>
      <c r="F1459" s="200" t="s">
        <v>1491</v>
      </c>
      <c r="G1459" s="200" t="s">
        <v>1491</v>
      </c>
      <c r="H1459" s="200" t="s">
        <v>1491</v>
      </c>
      <c r="I1459" s="200" t="s">
        <v>1491</v>
      </c>
      <c r="J1459" s="132">
        <v>0.9</v>
      </c>
      <c r="K1459" s="133" t="s">
        <v>35</v>
      </c>
      <c r="L1459" s="133" t="s">
        <v>35</v>
      </c>
      <c r="M1459" s="134" t="s">
        <v>35</v>
      </c>
      <c r="N1459" s="133" t="s">
        <v>35</v>
      </c>
      <c r="O1459" s="135">
        <v>0.9</v>
      </c>
      <c r="P1459" s="133" t="s">
        <v>35</v>
      </c>
      <c r="Q1459" s="133" t="s">
        <v>35</v>
      </c>
      <c r="R1459" s="133" t="s">
        <v>35</v>
      </c>
      <c r="S1459" s="133">
        <v>0</v>
      </c>
      <c r="T1459" s="135">
        <v>0.9</v>
      </c>
      <c r="U1459" s="133" t="s">
        <v>35</v>
      </c>
      <c r="V1459" s="133" t="s">
        <v>35</v>
      </c>
      <c r="W1459" s="133" t="s">
        <v>35</v>
      </c>
      <c r="X1459" s="133">
        <v>1</v>
      </c>
      <c r="Y1459" s="135">
        <v>0.92</v>
      </c>
      <c r="Z1459" s="135" t="s">
        <v>35</v>
      </c>
      <c r="AA1459" s="135" t="s">
        <v>35</v>
      </c>
      <c r="AB1459" s="135" t="s">
        <v>35</v>
      </c>
      <c r="AC1459" s="135">
        <v>1</v>
      </c>
      <c r="AD1459" s="135">
        <v>0.92</v>
      </c>
      <c r="AE1459" s="133">
        <v>1</v>
      </c>
      <c r="AF1459" s="133">
        <v>0.996592844974446</v>
      </c>
      <c r="AG1459" s="133">
        <v>0.992647058823529</v>
      </c>
      <c r="AH1459" s="133">
        <v>0.991614861934365</v>
      </c>
      <c r="AI1459" s="135">
        <v>0.92</v>
      </c>
      <c r="AJ1459" s="133" t="s">
        <v>35</v>
      </c>
      <c r="AK1459" s="133" t="s">
        <v>35</v>
      </c>
      <c r="AL1459" s="133" t="s">
        <v>35</v>
      </c>
      <c r="AM1459" s="133">
        <v>1</v>
      </c>
      <c r="AN1459" s="132">
        <v>0.99</v>
      </c>
      <c r="AO1459" s="137">
        <v>1</v>
      </c>
      <c r="AP1459" s="137">
        <v>1</v>
      </c>
      <c r="AQ1459" s="137">
        <v>1</v>
      </c>
      <c r="AR1459" s="137">
        <v>1</v>
      </c>
      <c r="AS1459" s="158">
        <v>0.110069253262963</v>
      </c>
      <c r="AT1459" s="141" t="s">
        <v>35</v>
      </c>
      <c r="AU1459" s="141" t="s">
        <v>35</v>
      </c>
      <c r="AV1459" s="141" t="s">
        <v>35</v>
      </c>
      <c r="AW1459" s="141" t="s">
        <v>35</v>
      </c>
      <c r="AX1459" s="95"/>
      <c r="AY1459" s="93"/>
    </row>
    <row r="1460" ht="15" spans="1:51">
      <c r="A1460" s="91"/>
      <c r="B1460" s="95"/>
      <c r="C1460" s="152" t="s">
        <v>1455</v>
      </c>
      <c r="D1460" s="153" t="s">
        <v>25</v>
      </c>
      <c r="E1460" s="130" t="s">
        <v>1456</v>
      </c>
      <c r="F1460" s="171" t="s">
        <v>1492</v>
      </c>
      <c r="G1460" s="171" t="s">
        <v>1492</v>
      </c>
      <c r="H1460" s="171" t="s">
        <v>1492</v>
      </c>
      <c r="I1460" s="171" t="s">
        <v>1492</v>
      </c>
      <c r="J1460" s="132">
        <v>0.9</v>
      </c>
      <c r="K1460" s="133">
        <v>1</v>
      </c>
      <c r="L1460" s="133">
        <v>1</v>
      </c>
      <c r="M1460" s="134">
        <v>1</v>
      </c>
      <c r="N1460" s="133">
        <v>0.99618320610687</v>
      </c>
      <c r="O1460" s="135">
        <v>0.9</v>
      </c>
      <c r="P1460" s="133">
        <v>0.854151624548736</v>
      </c>
      <c r="Q1460" s="133">
        <v>0.770517928286853</v>
      </c>
      <c r="R1460" s="133">
        <v>0.675551470588235</v>
      </c>
      <c r="S1460" s="133">
        <v>0.940307042625258</v>
      </c>
      <c r="T1460" s="135">
        <v>0.9</v>
      </c>
      <c r="U1460" s="133">
        <v>0.890974729241877</v>
      </c>
      <c r="V1460" s="133">
        <v>0.951394422310757</v>
      </c>
      <c r="W1460" s="133">
        <v>0.954963235294118</v>
      </c>
      <c r="X1460" s="133">
        <v>0.930453525711521</v>
      </c>
      <c r="Y1460" s="135">
        <v>0.92</v>
      </c>
      <c r="Z1460" s="135" t="s">
        <v>35</v>
      </c>
      <c r="AA1460" s="135" t="s">
        <v>35</v>
      </c>
      <c r="AB1460" s="135" t="s">
        <v>35</v>
      </c>
      <c r="AC1460" s="135" t="s">
        <v>35</v>
      </c>
      <c r="AD1460" s="135">
        <v>0.92</v>
      </c>
      <c r="AE1460" s="133">
        <v>1</v>
      </c>
      <c r="AF1460" s="133">
        <v>1</v>
      </c>
      <c r="AG1460" s="133">
        <v>1</v>
      </c>
      <c r="AH1460" s="133">
        <v>0.972477064220184</v>
      </c>
      <c r="AI1460" s="135">
        <v>0.92</v>
      </c>
      <c r="AJ1460" s="133">
        <v>0.942960288808664</v>
      </c>
      <c r="AK1460" s="133">
        <v>0.990438247011952</v>
      </c>
      <c r="AL1460" s="133">
        <v>0.990808823529412</v>
      </c>
      <c r="AM1460" s="133">
        <v>0.987023270135926</v>
      </c>
      <c r="AN1460" s="132">
        <v>0.99</v>
      </c>
      <c r="AO1460" s="137" t="s">
        <v>35</v>
      </c>
      <c r="AP1460" s="137">
        <v>1</v>
      </c>
      <c r="AQ1460" s="137">
        <v>1</v>
      </c>
      <c r="AR1460" s="137">
        <v>1</v>
      </c>
      <c r="AS1460" s="158">
        <v>0.110069253262963</v>
      </c>
      <c r="AT1460" s="141">
        <v>0</v>
      </c>
      <c r="AU1460" s="141">
        <v>0.2</v>
      </c>
      <c r="AV1460" s="141">
        <v>0.0833333333333333</v>
      </c>
      <c r="AW1460" s="141">
        <v>0.099236641221374</v>
      </c>
      <c r="AX1460" s="95"/>
      <c r="AY1460" s="93"/>
    </row>
    <row r="1461" ht="15" spans="1:51">
      <c r="A1461" s="91"/>
      <c r="B1461" s="95"/>
      <c r="C1461" s="152" t="s">
        <v>1455</v>
      </c>
      <c r="D1461" s="153" t="s">
        <v>25</v>
      </c>
      <c r="E1461" s="130" t="s">
        <v>1456</v>
      </c>
      <c r="F1461" s="171" t="s">
        <v>1493</v>
      </c>
      <c r="G1461" s="171" t="s">
        <v>1493</v>
      </c>
      <c r="H1461" s="171" t="s">
        <v>1493</v>
      </c>
      <c r="I1461" s="171" t="s">
        <v>1493</v>
      </c>
      <c r="J1461" s="132">
        <v>0.9</v>
      </c>
      <c r="K1461" s="133">
        <v>0.971428571428571</v>
      </c>
      <c r="L1461" s="133">
        <v>1</v>
      </c>
      <c r="M1461" s="134">
        <v>0.941176470588235</v>
      </c>
      <c r="N1461" s="133">
        <v>0.985804416403785</v>
      </c>
      <c r="O1461" s="135">
        <v>0.9</v>
      </c>
      <c r="P1461" s="133">
        <v>0.999172642029785</v>
      </c>
      <c r="Q1461" s="133">
        <v>0.999108734402852</v>
      </c>
      <c r="R1461" s="133">
        <v>0.997385620915033</v>
      </c>
      <c r="S1461" s="133">
        <v>0.998552968097994</v>
      </c>
      <c r="T1461" s="135">
        <v>0.9</v>
      </c>
      <c r="U1461" s="133">
        <v>0.958080529509101</v>
      </c>
      <c r="V1461" s="133">
        <v>0.952465834818776</v>
      </c>
      <c r="W1461" s="133">
        <v>0.950980392156863</v>
      </c>
      <c r="X1461" s="133">
        <v>0.963622291021672</v>
      </c>
      <c r="Y1461" s="135">
        <v>0.92</v>
      </c>
      <c r="Z1461" s="135" t="s">
        <v>35</v>
      </c>
      <c r="AA1461" s="135" t="s">
        <v>35</v>
      </c>
      <c r="AB1461" s="135" t="s">
        <v>35</v>
      </c>
      <c r="AC1461" s="135">
        <v>0</v>
      </c>
      <c r="AD1461" s="135">
        <v>0.92</v>
      </c>
      <c r="AE1461" s="133">
        <v>0.833333333333333</v>
      </c>
      <c r="AF1461" s="133">
        <v>0.9375</v>
      </c>
      <c r="AG1461" s="133">
        <v>1</v>
      </c>
      <c r="AH1461" s="133">
        <v>0.789968652037618</v>
      </c>
      <c r="AI1461" s="135">
        <v>0.92</v>
      </c>
      <c r="AJ1461" s="133">
        <v>0.984004412575841</v>
      </c>
      <c r="AK1461" s="133">
        <v>0.981877599524658</v>
      </c>
      <c r="AL1461" s="133">
        <v>0.986928104575163</v>
      </c>
      <c r="AM1461" s="133">
        <v>0.989416654047415</v>
      </c>
      <c r="AN1461" s="132">
        <v>0.99</v>
      </c>
      <c r="AO1461" s="137">
        <v>1</v>
      </c>
      <c r="AP1461" s="137">
        <v>1</v>
      </c>
      <c r="AQ1461" s="137">
        <v>1</v>
      </c>
      <c r="AR1461" s="137">
        <v>1</v>
      </c>
      <c r="AS1461" s="158">
        <v>0.110069253262963</v>
      </c>
      <c r="AT1461" s="141">
        <v>0.0833333333333333</v>
      </c>
      <c r="AU1461" s="141">
        <v>0.111111111111111</v>
      </c>
      <c r="AV1461" s="141">
        <v>0.0909090909090909</v>
      </c>
      <c r="AW1461" s="141">
        <v>0.0404858299595142</v>
      </c>
      <c r="AX1461" s="95"/>
      <c r="AY1461" s="93"/>
    </row>
    <row r="1462" ht="15" spans="1:51">
      <c r="A1462" s="91"/>
      <c r="B1462" s="95"/>
      <c r="C1462" s="152" t="s">
        <v>1455</v>
      </c>
      <c r="D1462" s="153" t="s">
        <v>25</v>
      </c>
      <c r="E1462" s="130" t="s">
        <v>1456</v>
      </c>
      <c r="F1462" s="171" t="s">
        <v>1494</v>
      </c>
      <c r="G1462" s="171" t="s">
        <v>1494</v>
      </c>
      <c r="H1462" s="171" t="s">
        <v>1494</v>
      </c>
      <c r="I1462" s="171" t="s">
        <v>1494</v>
      </c>
      <c r="J1462" s="132">
        <v>0.9</v>
      </c>
      <c r="K1462" s="133" t="s">
        <v>35</v>
      </c>
      <c r="L1462" s="133" t="s">
        <v>35</v>
      </c>
      <c r="M1462" s="134" t="s">
        <v>35</v>
      </c>
      <c r="N1462" s="133" t="s">
        <v>35</v>
      </c>
      <c r="O1462" s="135">
        <v>0.9</v>
      </c>
      <c r="P1462" s="133" t="s">
        <v>35</v>
      </c>
      <c r="Q1462" s="133" t="s">
        <v>35</v>
      </c>
      <c r="R1462" s="133" t="s">
        <v>35</v>
      </c>
      <c r="S1462" s="133" t="s">
        <v>35</v>
      </c>
      <c r="T1462" s="135">
        <v>0.9</v>
      </c>
      <c r="U1462" s="133" t="s">
        <v>35</v>
      </c>
      <c r="V1462" s="133" t="s">
        <v>35</v>
      </c>
      <c r="W1462" s="133" t="s">
        <v>35</v>
      </c>
      <c r="X1462" s="133" t="s">
        <v>35</v>
      </c>
      <c r="Y1462" s="135">
        <v>0.92</v>
      </c>
      <c r="Z1462" s="135" t="s">
        <v>35</v>
      </c>
      <c r="AA1462" s="135" t="s">
        <v>35</v>
      </c>
      <c r="AB1462" s="135" t="s">
        <v>35</v>
      </c>
      <c r="AC1462" s="135" t="s">
        <v>35</v>
      </c>
      <c r="AD1462" s="135">
        <v>0.92</v>
      </c>
      <c r="AE1462" s="133" t="s">
        <v>35</v>
      </c>
      <c r="AF1462" s="133" t="s">
        <v>35</v>
      </c>
      <c r="AG1462" s="133" t="s">
        <v>35</v>
      </c>
      <c r="AH1462" s="133" t="s">
        <v>35</v>
      </c>
      <c r="AI1462" s="135">
        <v>0.92</v>
      </c>
      <c r="AJ1462" s="133" t="s">
        <v>35</v>
      </c>
      <c r="AK1462" s="133" t="s">
        <v>35</v>
      </c>
      <c r="AL1462" s="133" t="s">
        <v>35</v>
      </c>
      <c r="AM1462" s="133" t="s">
        <v>35</v>
      </c>
      <c r="AN1462" s="132">
        <v>0.99</v>
      </c>
      <c r="AO1462" s="137" t="s">
        <v>35</v>
      </c>
      <c r="AP1462" s="137" t="s">
        <v>35</v>
      </c>
      <c r="AQ1462" s="137" t="s">
        <v>35</v>
      </c>
      <c r="AR1462" s="137" t="s">
        <v>35</v>
      </c>
      <c r="AS1462" s="158">
        <v>0.110069253262963</v>
      </c>
      <c r="AT1462" s="141" t="s">
        <v>35</v>
      </c>
      <c r="AU1462" s="141" t="s">
        <v>35</v>
      </c>
      <c r="AV1462" s="141" t="s">
        <v>35</v>
      </c>
      <c r="AW1462" s="141" t="s">
        <v>35</v>
      </c>
      <c r="AX1462" s="95"/>
      <c r="AY1462" s="93"/>
    </row>
    <row r="1463" ht="15" spans="1:51">
      <c r="A1463" s="91"/>
      <c r="B1463" s="95"/>
      <c r="C1463" s="152" t="s">
        <v>1455</v>
      </c>
      <c r="D1463" s="153" t="s">
        <v>25</v>
      </c>
      <c r="E1463" s="130" t="s">
        <v>1456</v>
      </c>
      <c r="F1463" s="171" t="s">
        <v>1495</v>
      </c>
      <c r="G1463" s="171" t="s">
        <v>1495</v>
      </c>
      <c r="H1463" s="171" t="s">
        <v>1495</v>
      </c>
      <c r="I1463" s="171" t="s">
        <v>1495</v>
      </c>
      <c r="J1463" s="132">
        <v>0.9</v>
      </c>
      <c r="K1463" s="133">
        <v>0.875</v>
      </c>
      <c r="L1463" s="133">
        <v>0.777777777777778</v>
      </c>
      <c r="M1463" s="134">
        <v>0.666666666666667</v>
      </c>
      <c r="N1463" s="133">
        <v>0.729323308270677</v>
      </c>
      <c r="O1463" s="135">
        <v>0.9</v>
      </c>
      <c r="P1463" s="133">
        <v>0.4</v>
      </c>
      <c r="Q1463" s="133">
        <v>0.446153846153846</v>
      </c>
      <c r="R1463" s="133">
        <v>0.725544997205143</v>
      </c>
      <c r="S1463" s="133">
        <v>0.611327879169289</v>
      </c>
      <c r="T1463" s="135">
        <v>0.9</v>
      </c>
      <c r="U1463" s="133">
        <v>0.371428571428571</v>
      </c>
      <c r="V1463" s="133">
        <v>0.4</v>
      </c>
      <c r="W1463" s="133">
        <v>0.549468977082169</v>
      </c>
      <c r="X1463" s="133">
        <v>0.485966016362492</v>
      </c>
      <c r="Y1463" s="135">
        <v>0.92</v>
      </c>
      <c r="Z1463" s="135" t="s">
        <v>35</v>
      </c>
      <c r="AA1463" s="135" t="s">
        <v>35</v>
      </c>
      <c r="AB1463" s="135" t="s">
        <v>35</v>
      </c>
      <c r="AC1463" s="135" t="s">
        <v>35</v>
      </c>
      <c r="AD1463" s="135">
        <v>0.92</v>
      </c>
      <c r="AE1463" s="133">
        <v>1</v>
      </c>
      <c r="AF1463" s="133">
        <v>1</v>
      </c>
      <c r="AG1463" s="133">
        <v>1</v>
      </c>
      <c r="AH1463" s="133">
        <v>1</v>
      </c>
      <c r="AI1463" s="135">
        <v>0.92</v>
      </c>
      <c r="AJ1463" s="133">
        <v>0.542857142857143</v>
      </c>
      <c r="AK1463" s="133">
        <v>0.441176470588235</v>
      </c>
      <c r="AL1463" s="133">
        <v>0.590173087660525</v>
      </c>
      <c r="AM1463" s="133">
        <v>0.534985059760956</v>
      </c>
      <c r="AN1463" s="132">
        <v>0.99</v>
      </c>
      <c r="AO1463" s="137">
        <v>1</v>
      </c>
      <c r="AP1463" s="137">
        <v>1</v>
      </c>
      <c r="AQ1463" s="137">
        <v>1</v>
      </c>
      <c r="AR1463" s="137">
        <v>1</v>
      </c>
      <c r="AS1463" s="158">
        <v>0.110069253262963</v>
      </c>
      <c r="AT1463" s="141">
        <v>0.209677419354839</v>
      </c>
      <c r="AU1463" s="141">
        <v>0.0769230769230769</v>
      </c>
      <c r="AV1463" s="141">
        <v>0.0681818181818182</v>
      </c>
      <c r="AW1463" s="141">
        <v>0.122448979591837</v>
      </c>
      <c r="AX1463" s="95"/>
      <c r="AY1463" s="93"/>
    </row>
    <row r="1464" ht="15" spans="1:51">
      <c r="A1464" s="91"/>
      <c r="B1464" s="95"/>
      <c r="C1464" s="152" t="s">
        <v>1455</v>
      </c>
      <c r="D1464" s="153" t="s">
        <v>25</v>
      </c>
      <c r="E1464" s="130" t="s">
        <v>1456</v>
      </c>
      <c r="F1464" s="171" t="s">
        <v>1496</v>
      </c>
      <c r="G1464" s="171" t="s">
        <v>1496</v>
      </c>
      <c r="H1464" s="171" t="s">
        <v>1496</v>
      </c>
      <c r="I1464" s="171" t="s">
        <v>1496</v>
      </c>
      <c r="J1464" s="132">
        <v>0.9</v>
      </c>
      <c r="K1464" s="133">
        <v>1</v>
      </c>
      <c r="L1464" s="133">
        <v>1</v>
      </c>
      <c r="M1464" s="134">
        <v>1</v>
      </c>
      <c r="N1464" s="133">
        <v>0.920634920634921</v>
      </c>
      <c r="O1464" s="135">
        <v>0.9</v>
      </c>
      <c r="P1464" s="133" t="s">
        <v>35</v>
      </c>
      <c r="Q1464" s="133" t="s">
        <v>35</v>
      </c>
      <c r="R1464" s="133" t="s">
        <v>35</v>
      </c>
      <c r="S1464" s="133">
        <v>0.333333333333333</v>
      </c>
      <c r="T1464" s="135">
        <v>0.9</v>
      </c>
      <c r="U1464" s="133" t="s">
        <v>35</v>
      </c>
      <c r="V1464" s="133" t="s">
        <v>35</v>
      </c>
      <c r="W1464" s="133" t="s">
        <v>35</v>
      </c>
      <c r="X1464" s="133">
        <v>0</v>
      </c>
      <c r="Y1464" s="135">
        <v>0.92</v>
      </c>
      <c r="Z1464" s="135" t="s">
        <v>35</v>
      </c>
      <c r="AA1464" s="135" t="s">
        <v>35</v>
      </c>
      <c r="AB1464" s="135" t="s">
        <v>35</v>
      </c>
      <c r="AC1464" s="135" t="s">
        <v>35</v>
      </c>
      <c r="AD1464" s="135">
        <v>0.92</v>
      </c>
      <c r="AE1464" s="133">
        <v>0</v>
      </c>
      <c r="AF1464" s="133">
        <v>0</v>
      </c>
      <c r="AG1464" s="133">
        <v>0</v>
      </c>
      <c r="AH1464" s="133">
        <v>0.0714285714285714</v>
      </c>
      <c r="AI1464" s="135">
        <v>0.92</v>
      </c>
      <c r="AJ1464" s="133">
        <v>0.755859375</v>
      </c>
      <c r="AK1464" s="133">
        <v>0.833679833679834</v>
      </c>
      <c r="AL1464" s="133">
        <v>0.902840059790732</v>
      </c>
      <c r="AM1464" s="133">
        <v>0.879551820728291</v>
      </c>
      <c r="AN1464" s="132">
        <v>0.99</v>
      </c>
      <c r="AO1464" s="137" t="s">
        <v>35</v>
      </c>
      <c r="AP1464" s="137" t="s">
        <v>35</v>
      </c>
      <c r="AQ1464" s="137" t="s">
        <v>35</v>
      </c>
      <c r="AR1464" s="137" t="s">
        <v>35</v>
      </c>
      <c r="AS1464" s="158">
        <v>0.110069253262963</v>
      </c>
      <c r="AT1464" s="141">
        <v>0.142857142857143</v>
      </c>
      <c r="AU1464" s="141">
        <v>0.111111111111111</v>
      </c>
      <c r="AV1464" s="141">
        <v>0.1</v>
      </c>
      <c r="AW1464" s="141">
        <v>0.0939226519337017</v>
      </c>
      <c r="AX1464" s="95"/>
      <c r="AY1464" s="93"/>
    </row>
    <row r="1465" ht="15" spans="1:51">
      <c r="A1465" s="91"/>
      <c r="B1465" s="95"/>
      <c r="C1465" s="152" t="s">
        <v>1455</v>
      </c>
      <c r="D1465" s="153" t="s">
        <v>25</v>
      </c>
      <c r="E1465" s="130" t="s">
        <v>1456</v>
      </c>
      <c r="F1465" s="171" t="s">
        <v>1497</v>
      </c>
      <c r="G1465" s="171" t="s">
        <v>1497</v>
      </c>
      <c r="H1465" s="171" t="s">
        <v>1497</v>
      </c>
      <c r="I1465" s="171" t="s">
        <v>1497</v>
      </c>
      <c r="J1465" s="132">
        <v>0.9</v>
      </c>
      <c r="K1465" s="133">
        <v>0.48</v>
      </c>
      <c r="L1465" s="133">
        <v>0.48</v>
      </c>
      <c r="M1465" s="134">
        <v>0.423076923076923</v>
      </c>
      <c r="N1465" s="133">
        <v>0.53862660944206</v>
      </c>
      <c r="O1465" s="135">
        <v>0.9</v>
      </c>
      <c r="P1465" s="133">
        <v>0.714902807775378</v>
      </c>
      <c r="Q1465" s="133">
        <v>0.745827984595635</v>
      </c>
      <c r="R1465" s="133">
        <v>0.647623619779165</v>
      </c>
      <c r="S1465" s="133">
        <v>0.77376231122784</v>
      </c>
      <c r="T1465" s="135">
        <v>0.9</v>
      </c>
      <c r="U1465" s="133">
        <v>0.597840172786177</v>
      </c>
      <c r="V1465" s="133">
        <v>0.525887890457852</v>
      </c>
      <c r="W1465" s="133">
        <v>0.387902064330293</v>
      </c>
      <c r="X1465" s="133">
        <v>0.540984898227183</v>
      </c>
      <c r="Y1465" s="135">
        <v>0.92</v>
      </c>
      <c r="Z1465" s="135" t="s">
        <v>35</v>
      </c>
      <c r="AA1465" s="135" t="s">
        <v>35</v>
      </c>
      <c r="AB1465" s="135" t="s">
        <v>35</v>
      </c>
      <c r="AC1465" s="135" t="s">
        <v>35</v>
      </c>
      <c r="AD1465" s="135">
        <v>0.92</v>
      </c>
      <c r="AE1465" s="133">
        <v>0.923076923076923</v>
      </c>
      <c r="AF1465" s="133">
        <v>0.461538461538462</v>
      </c>
      <c r="AG1465" s="133">
        <v>1</v>
      </c>
      <c r="AH1465" s="133">
        <v>0.962825278810409</v>
      </c>
      <c r="AI1465" s="135">
        <v>0.92</v>
      </c>
      <c r="AJ1465" s="133">
        <v>0.8</v>
      </c>
      <c r="AK1465" s="133">
        <v>0.765939238339752</v>
      </c>
      <c r="AL1465" s="133">
        <v>0.788766202592415</v>
      </c>
      <c r="AM1465" s="133">
        <v>0.841602101116218</v>
      </c>
      <c r="AN1465" s="132">
        <v>0.99</v>
      </c>
      <c r="AO1465" s="137">
        <v>1</v>
      </c>
      <c r="AP1465" s="137">
        <v>1</v>
      </c>
      <c r="AQ1465" s="137">
        <v>1</v>
      </c>
      <c r="AR1465" s="137">
        <v>1</v>
      </c>
      <c r="AS1465" s="158">
        <v>0.110069253262963</v>
      </c>
      <c r="AT1465" s="141">
        <v>0.08</v>
      </c>
      <c r="AU1465" s="141">
        <v>0.304347826086957</v>
      </c>
      <c r="AV1465" s="141">
        <v>0.192307692307692</v>
      </c>
      <c r="AW1465" s="141">
        <v>0.148453608247423</v>
      </c>
      <c r="AX1465" s="95"/>
      <c r="AY1465" s="93"/>
    </row>
    <row r="1466" ht="15" spans="1:51">
      <c r="A1466" s="91"/>
      <c r="B1466" s="95"/>
      <c r="C1466" s="152" t="s">
        <v>1455</v>
      </c>
      <c r="D1466" s="153" t="s">
        <v>25</v>
      </c>
      <c r="E1466" s="130" t="s">
        <v>1456</v>
      </c>
      <c r="F1466" s="171" t="s">
        <v>1498</v>
      </c>
      <c r="G1466" s="171" t="s">
        <v>1498</v>
      </c>
      <c r="H1466" s="171" t="s">
        <v>1498</v>
      </c>
      <c r="I1466" s="171" t="s">
        <v>1498</v>
      </c>
      <c r="J1466" s="132">
        <v>0.9</v>
      </c>
      <c r="K1466" s="133">
        <v>0.75</v>
      </c>
      <c r="L1466" s="133">
        <v>0.733333333333333</v>
      </c>
      <c r="M1466" s="134">
        <v>0.933333333333333</v>
      </c>
      <c r="N1466" s="133">
        <v>0.793774319066148</v>
      </c>
      <c r="O1466" s="135">
        <v>0.9</v>
      </c>
      <c r="P1466" s="133">
        <v>1</v>
      </c>
      <c r="Q1466" s="133">
        <v>0.877059569074778</v>
      </c>
      <c r="R1466" s="133">
        <v>0.925714285714286</v>
      </c>
      <c r="S1466" s="133">
        <v>0.978547530013777</v>
      </c>
      <c r="T1466" s="135">
        <v>0.9</v>
      </c>
      <c r="U1466" s="133">
        <v>1</v>
      </c>
      <c r="V1466" s="133">
        <v>0.742712294043092</v>
      </c>
      <c r="W1466" s="133">
        <v>0.724285714285714</v>
      </c>
      <c r="X1466" s="133">
        <v>0.900085285048875</v>
      </c>
      <c r="Y1466" s="135">
        <v>0.92</v>
      </c>
      <c r="Z1466" s="135" t="s">
        <v>35</v>
      </c>
      <c r="AA1466" s="135" t="s">
        <v>35</v>
      </c>
      <c r="AB1466" s="135" t="s">
        <v>35</v>
      </c>
      <c r="AC1466" s="135" t="s">
        <v>35</v>
      </c>
      <c r="AD1466" s="135">
        <v>0.92</v>
      </c>
      <c r="AE1466" s="133">
        <v>0</v>
      </c>
      <c r="AF1466" s="133">
        <v>0</v>
      </c>
      <c r="AG1466" s="133">
        <v>0</v>
      </c>
      <c r="AH1466" s="133">
        <v>0.319148936170213</v>
      </c>
      <c r="AI1466" s="135">
        <v>0.92</v>
      </c>
      <c r="AJ1466" s="133">
        <v>1</v>
      </c>
      <c r="AK1466" s="133">
        <v>0.788607594936709</v>
      </c>
      <c r="AL1466" s="133">
        <v>0.838801711840228</v>
      </c>
      <c r="AM1466" s="133">
        <v>0.937516374115798</v>
      </c>
      <c r="AN1466" s="132">
        <v>0.99</v>
      </c>
      <c r="AO1466" s="137">
        <v>1</v>
      </c>
      <c r="AP1466" s="137">
        <v>1</v>
      </c>
      <c r="AQ1466" s="137" t="s">
        <v>35</v>
      </c>
      <c r="AR1466" s="137">
        <v>1</v>
      </c>
      <c r="AS1466" s="158">
        <v>0.110069253262963</v>
      </c>
      <c r="AT1466" s="141">
        <v>0.0416666666666667</v>
      </c>
      <c r="AU1466" s="141">
        <v>0.107142857142857</v>
      </c>
      <c r="AV1466" s="141">
        <v>0.04</v>
      </c>
      <c r="AW1466" s="141">
        <v>0.0975143403441683</v>
      </c>
      <c r="AX1466" s="95"/>
      <c r="AY1466" s="93"/>
    </row>
    <row r="1467" ht="15" spans="1:51">
      <c r="A1467" s="91"/>
      <c r="B1467" s="95"/>
      <c r="C1467" s="152" t="s">
        <v>1455</v>
      </c>
      <c r="D1467" s="153" t="s">
        <v>25</v>
      </c>
      <c r="E1467" s="130" t="s">
        <v>1456</v>
      </c>
      <c r="F1467" s="171" t="s">
        <v>1499</v>
      </c>
      <c r="G1467" s="171" t="s">
        <v>1499</v>
      </c>
      <c r="H1467" s="171" t="s">
        <v>1499</v>
      </c>
      <c r="I1467" s="171" t="s">
        <v>1499</v>
      </c>
      <c r="J1467" s="132">
        <v>0.9</v>
      </c>
      <c r="K1467" s="133">
        <v>1</v>
      </c>
      <c r="L1467" s="133">
        <v>1</v>
      </c>
      <c r="M1467" s="134">
        <v>1</v>
      </c>
      <c r="N1467" s="133">
        <v>0.973154362416107</v>
      </c>
      <c r="O1467" s="135">
        <v>0.9</v>
      </c>
      <c r="P1467" s="133">
        <v>0.983009708737864</v>
      </c>
      <c r="Q1467" s="133">
        <v>0.992405063291139</v>
      </c>
      <c r="R1467" s="133">
        <v>0.968571428571429</v>
      </c>
      <c r="S1467" s="133">
        <v>0.965853978240923</v>
      </c>
      <c r="T1467" s="135">
        <v>0.9</v>
      </c>
      <c r="U1467" s="133">
        <v>0.63915857605178</v>
      </c>
      <c r="V1467" s="133">
        <v>0.545569620253165</v>
      </c>
      <c r="W1467" s="133">
        <v>0.534857142857143</v>
      </c>
      <c r="X1467" s="133">
        <v>0.413750163848473</v>
      </c>
      <c r="Y1467" s="135">
        <v>0.92</v>
      </c>
      <c r="Z1467" s="135" t="s">
        <v>35</v>
      </c>
      <c r="AA1467" s="135" t="s">
        <v>35</v>
      </c>
      <c r="AB1467" s="135" t="s">
        <v>35</v>
      </c>
      <c r="AC1467" s="135" t="s">
        <v>35</v>
      </c>
      <c r="AD1467" s="135">
        <v>0.92</v>
      </c>
      <c r="AE1467" s="133">
        <v>1</v>
      </c>
      <c r="AF1467" s="133">
        <v>1</v>
      </c>
      <c r="AG1467" s="133">
        <v>1</v>
      </c>
      <c r="AH1467" s="133">
        <v>0.946902654867257</v>
      </c>
      <c r="AI1467" s="135">
        <v>0.92</v>
      </c>
      <c r="AJ1467" s="133">
        <v>0.900485436893204</v>
      </c>
      <c r="AK1467" s="133">
        <v>0.912658227848101</v>
      </c>
      <c r="AL1467" s="133">
        <v>0.964571428571429</v>
      </c>
      <c r="AM1467" s="133">
        <v>0.914274478961856</v>
      </c>
      <c r="AN1467" s="132">
        <v>0.99</v>
      </c>
      <c r="AO1467" s="137">
        <v>1</v>
      </c>
      <c r="AP1467" s="137">
        <v>1</v>
      </c>
      <c r="AQ1467" s="137">
        <v>1</v>
      </c>
      <c r="AR1467" s="137">
        <v>1</v>
      </c>
      <c r="AS1467" s="158">
        <v>0.110069253262963</v>
      </c>
      <c r="AT1467" s="141">
        <v>0</v>
      </c>
      <c r="AU1467" s="141">
        <v>0.75</v>
      </c>
      <c r="AV1467" s="141">
        <v>0.0909090909090909</v>
      </c>
      <c r="AW1467" s="141">
        <v>0.099009900990099</v>
      </c>
      <c r="AX1467" s="95"/>
      <c r="AY1467" s="93"/>
    </row>
    <row r="1468" ht="15" spans="1:51">
      <c r="A1468" s="91"/>
      <c r="B1468" s="95"/>
      <c r="C1468" s="152" t="s">
        <v>1455</v>
      </c>
      <c r="D1468" s="153" t="s">
        <v>25</v>
      </c>
      <c r="E1468" s="130" t="s">
        <v>1456</v>
      </c>
      <c r="F1468" s="171" t="s">
        <v>1500</v>
      </c>
      <c r="G1468" s="171" t="s">
        <v>1500</v>
      </c>
      <c r="H1468" s="171" t="s">
        <v>1500</v>
      </c>
      <c r="I1468" s="171" t="s">
        <v>1500</v>
      </c>
      <c r="J1468" s="132">
        <v>0.9</v>
      </c>
      <c r="K1468" s="133">
        <v>1</v>
      </c>
      <c r="L1468" s="133">
        <v>1</v>
      </c>
      <c r="M1468" s="134">
        <v>1</v>
      </c>
      <c r="N1468" s="133">
        <v>0.866666666666667</v>
      </c>
      <c r="O1468" s="135">
        <v>0.9</v>
      </c>
      <c r="P1468" s="133" t="s">
        <v>35</v>
      </c>
      <c r="Q1468" s="133" t="s">
        <v>35</v>
      </c>
      <c r="R1468" s="133" t="s">
        <v>35</v>
      </c>
      <c r="S1468" s="133">
        <v>1</v>
      </c>
      <c r="T1468" s="135">
        <v>0.9</v>
      </c>
      <c r="U1468" s="133" t="s">
        <v>35</v>
      </c>
      <c r="V1468" s="133" t="s">
        <v>35</v>
      </c>
      <c r="W1468" s="133" t="s">
        <v>35</v>
      </c>
      <c r="X1468" s="133">
        <v>0</v>
      </c>
      <c r="Y1468" s="135">
        <v>0.92</v>
      </c>
      <c r="Z1468" s="135" t="s">
        <v>35</v>
      </c>
      <c r="AA1468" s="135" t="s">
        <v>35</v>
      </c>
      <c r="AB1468" s="135" t="s">
        <v>35</v>
      </c>
      <c r="AC1468" s="135" t="s">
        <v>35</v>
      </c>
      <c r="AD1468" s="135">
        <v>0.92</v>
      </c>
      <c r="AE1468" s="133">
        <v>0</v>
      </c>
      <c r="AF1468" s="133" t="s">
        <v>35</v>
      </c>
      <c r="AG1468" s="133">
        <v>0</v>
      </c>
      <c r="AH1468" s="133">
        <v>0.169491525423729</v>
      </c>
      <c r="AI1468" s="135">
        <v>0.92</v>
      </c>
      <c r="AJ1468" s="133">
        <v>0.868029739776952</v>
      </c>
      <c r="AK1468" s="133">
        <v>0.991620111731844</v>
      </c>
      <c r="AL1468" s="133">
        <v>0.993273542600897</v>
      </c>
      <c r="AM1468" s="133">
        <v>0.952561017531798</v>
      </c>
      <c r="AN1468" s="132">
        <v>0.99</v>
      </c>
      <c r="AO1468" s="137">
        <v>1</v>
      </c>
      <c r="AP1468" s="137">
        <v>1</v>
      </c>
      <c r="AQ1468" s="137" t="s">
        <v>35</v>
      </c>
      <c r="AR1468" s="137">
        <v>1</v>
      </c>
      <c r="AS1468" s="158">
        <v>0.110069253262963</v>
      </c>
      <c r="AT1468" s="141">
        <v>0.25</v>
      </c>
      <c r="AU1468" s="141">
        <v>0.5</v>
      </c>
      <c r="AV1468" s="141">
        <v>0</v>
      </c>
      <c r="AW1468" s="141">
        <v>0.0823529411764706</v>
      </c>
      <c r="AX1468" s="95"/>
      <c r="AY1468" s="93"/>
    </row>
    <row r="1469" ht="15" spans="1:51">
      <c r="A1469" s="91"/>
      <c r="B1469" s="95"/>
      <c r="C1469" s="152" t="s">
        <v>1455</v>
      </c>
      <c r="D1469" s="153" t="s">
        <v>25</v>
      </c>
      <c r="E1469" s="130" t="s">
        <v>1456</v>
      </c>
      <c r="F1469" s="171" t="s">
        <v>1501</v>
      </c>
      <c r="G1469" s="171" t="s">
        <v>1501</v>
      </c>
      <c r="H1469" s="171" t="s">
        <v>1501</v>
      </c>
      <c r="I1469" s="171" t="s">
        <v>1501</v>
      </c>
      <c r="J1469" s="132">
        <v>0.9</v>
      </c>
      <c r="K1469" s="133">
        <v>0.923076923076923</v>
      </c>
      <c r="L1469" s="133">
        <v>1</v>
      </c>
      <c r="M1469" s="134">
        <v>1</v>
      </c>
      <c r="N1469" s="133">
        <v>0.924107142857143</v>
      </c>
      <c r="O1469" s="135">
        <v>0.9</v>
      </c>
      <c r="P1469" s="133" t="s">
        <v>35</v>
      </c>
      <c r="Q1469" s="133" t="s">
        <v>35</v>
      </c>
      <c r="R1469" s="133" t="s">
        <v>35</v>
      </c>
      <c r="S1469" s="133">
        <v>1</v>
      </c>
      <c r="T1469" s="135">
        <v>0.9</v>
      </c>
      <c r="U1469" s="133" t="s">
        <v>35</v>
      </c>
      <c r="V1469" s="133" t="s">
        <v>35</v>
      </c>
      <c r="W1469" s="133" t="s">
        <v>35</v>
      </c>
      <c r="X1469" s="133">
        <v>0</v>
      </c>
      <c r="Y1469" s="135">
        <v>0.92</v>
      </c>
      <c r="Z1469" s="135" t="s">
        <v>35</v>
      </c>
      <c r="AA1469" s="135" t="s">
        <v>35</v>
      </c>
      <c r="AB1469" s="135" t="s">
        <v>35</v>
      </c>
      <c r="AC1469" s="135" t="s">
        <v>35</v>
      </c>
      <c r="AD1469" s="135">
        <v>0.92</v>
      </c>
      <c r="AE1469" s="133">
        <v>0</v>
      </c>
      <c r="AF1469" s="133">
        <v>0.5</v>
      </c>
      <c r="AG1469" s="133">
        <v>0.166666666666667</v>
      </c>
      <c r="AH1469" s="133">
        <v>0.0964912280701754</v>
      </c>
      <c r="AI1469" s="135">
        <v>0.92</v>
      </c>
      <c r="AJ1469" s="133">
        <v>0.920886075949367</v>
      </c>
      <c r="AK1469" s="133">
        <v>0.936383928571429</v>
      </c>
      <c r="AL1469" s="133">
        <v>0.959810874704492</v>
      </c>
      <c r="AM1469" s="133">
        <v>0.958724946212207</v>
      </c>
      <c r="AN1469" s="132">
        <v>0.99</v>
      </c>
      <c r="AO1469" s="137">
        <v>1</v>
      </c>
      <c r="AP1469" s="137" t="s">
        <v>35</v>
      </c>
      <c r="AQ1469" s="137" t="s">
        <v>35</v>
      </c>
      <c r="AR1469" s="137">
        <v>1</v>
      </c>
      <c r="AS1469" s="158">
        <v>0.110069253262963</v>
      </c>
      <c r="AT1469" s="141">
        <v>0.125</v>
      </c>
      <c r="AU1469" s="141">
        <v>0.181818181818182</v>
      </c>
      <c r="AV1469" s="141">
        <v>0.333333333333333</v>
      </c>
      <c r="AW1469" s="141">
        <v>0.130434782608696</v>
      </c>
      <c r="AX1469" s="95"/>
      <c r="AY1469" s="93"/>
    </row>
    <row r="1470" ht="15" spans="1:51">
      <c r="A1470" s="91"/>
      <c r="B1470" s="95"/>
      <c r="C1470" s="152" t="s">
        <v>1455</v>
      </c>
      <c r="D1470" s="153" t="s">
        <v>25</v>
      </c>
      <c r="E1470" s="130" t="s">
        <v>1456</v>
      </c>
      <c r="F1470" s="171" t="s">
        <v>1502</v>
      </c>
      <c r="G1470" s="171" t="s">
        <v>1502</v>
      </c>
      <c r="H1470" s="171" t="s">
        <v>1502</v>
      </c>
      <c r="I1470" s="171" t="s">
        <v>1502</v>
      </c>
      <c r="J1470" s="132">
        <v>0.9</v>
      </c>
      <c r="K1470" s="133">
        <v>0.45</v>
      </c>
      <c r="L1470" s="133">
        <v>0.380952380952381</v>
      </c>
      <c r="M1470" s="134">
        <v>0.263157894736842</v>
      </c>
      <c r="N1470" s="133">
        <v>0.347826086956522</v>
      </c>
      <c r="O1470" s="135">
        <v>0.9</v>
      </c>
      <c r="P1470" s="133">
        <v>0.912529550827423</v>
      </c>
      <c r="Q1470" s="133">
        <v>0.982021574111067</v>
      </c>
      <c r="R1470" s="133">
        <v>0.950634696755994</v>
      </c>
      <c r="S1470" s="133">
        <v>0.976761959351341</v>
      </c>
      <c r="T1470" s="135">
        <v>0.9</v>
      </c>
      <c r="U1470" s="133">
        <v>0.73364854215918</v>
      </c>
      <c r="V1470" s="133">
        <v>0.721534159009189</v>
      </c>
      <c r="W1470" s="133">
        <v>0.717912552891396</v>
      </c>
      <c r="X1470" s="133">
        <v>0.755176613885505</v>
      </c>
      <c r="Y1470" s="135">
        <v>0.92</v>
      </c>
      <c r="Z1470" s="135" t="s">
        <v>35</v>
      </c>
      <c r="AA1470" s="135" t="s">
        <v>35</v>
      </c>
      <c r="AB1470" s="135" t="s">
        <v>35</v>
      </c>
      <c r="AC1470" s="135" t="s">
        <v>35</v>
      </c>
      <c r="AD1470" s="135">
        <v>0.92</v>
      </c>
      <c r="AE1470" s="133">
        <v>0.882352941176471</v>
      </c>
      <c r="AF1470" s="133">
        <v>0.888888888888889</v>
      </c>
      <c r="AG1470" s="133">
        <v>0.583333333333333</v>
      </c>
      <c r="AH1470" s="133">
        <v>0.881904761904762</v>
      </c>
      <c r="AI1470" s="135">
        <v>0.92</v>
      </c>
      <c r="AJ1470" s="133">
        <v>0.861702127659574</v>
      </c>
      <c r="AK1470" s="133">
        <v>0.856172592888534</v>
      </c>
      <c r="AL1470" s="133">
        <v>0.896097790314998</v>
      </c>
      <c r="AM1470" s="133">
        <v>0.898688829977789</v>
      </c>
      <c r="AN1470" s="132">
        <v>0.99</v>
      </c>
      <c r="AO1470" s="137">
        <v>1</v>
      </c>
      <c r="AP1470" s="137">
        <v>1</v>
      </c>
      <c r="AQ1470" s="137">
        <v>1</v>
      </c>
      <c r="AR1470" s="137">
        <v>1</v>
      </c>
      <c r="AS1470" s="158">
        <v>0.110069253262963</v>
      </c>
      <c r="AT1470" s="141">
        <v>0.115384615384615</v>
      </c>
      <c r="AU1470" s="141">
        <v>0.157894736842105</v>
      </c>
      <c r="AV1470" s="141">
        <v>0.0833333333333333</v>
      </c>
      <c r="AW1470" s="141">
        <v>0.0997679814385151</v>
      </c>
      <c r="AX1470" s="95"/>
      <c r="AY1470" s="93"/>
    </row>
    <row r="1471" ht="15" spans="1:51">
      <c r="A1471" s="91"/>
      <c r="B1471" s="95"/>
      <c r="C1471" s="152" t="s">
        <v>1455</v>
      </c>
      <c r="D1471" s="153" t="s">
        <v>25</v>
      </c>
      <c r="E1471" s="130" t="s">
        <v>1456</v>
      </c>
      <c r="F1471" s="171" t="s">
        <v>1503</v>
      </c>
      <c r="G1471" s="171" t="s">
        <v>1503</v>
      </c>
      <c r="H1471" s="171" t="s">
        <v>1503</v>
      </c>
      <c r="I1471" s="171" t="s">
        <v>1503</v>
      </c>
      <c r="J1471" s="132">
        <v>0.9</v>
      </c>
      <c r="K1471" s="133">
        <v>0.96</v>
      </c>
      <c r="L1471" s="133">
        <v>1</v>
      </c>
      <c r="M1471" s="134">
        <v>1</v>
      </c>
      <c r="N1471" s="133">
        <v>0.997849462365591</v>
      </c>
      <c r="O1471" s="135">
        <v>0.9</v>
      </c>
      <c r="P1471" s="133">
        <v>0.9752</v>
      </c>
      <c r="Q1471" s="133">
        <v>0.954781319495923</v>
      </c>
      <c r="R1471" s="133">
        <v>0.957695113056163</v>
      </c>
      <c r="S1471" s="133">
        <v>0.967159960093116</v>
      </c>
      <c r="T1471" s="135">
        <v>0.9</v>
      </c>
      <c r="U1471" s="133">
        <v>0.8024</v>
      </c>
      <c r="V1471" s="133">
        <v>0.804299481097109</v>
      </c>
      <c r="W1471" s="133">
        <v>0.835156819839533</v>
      </c>
      <c r="X1471" s="133">
        <v>0.799800465580313</v>
      </c>
      <c r="Y1471" s="135">
        <v>0.92</v>
      </c>
      <c r="Z1471" s="135">
        <v>0.809045226130653</v>
      </c>
      <c r="AA1471" s="135">
        <v>0.902578796561605</v>
      </c>
      <c r="AB1471" s="135">
        <v>0.87218045112782</v>
      </c>
      <c r="AC1471" s="135">
        <v>0.897207766772984</v>
      </c>
      <c r="AD1471" s="135">
        <v>0.92</v>
      </c>
      <c r="AE1471" s="133">
        <v>0.909090909090909</v>
      </c>
      <c r="AF1471" s="133">
        <v>0.951219512195122</v>
      </c>
      <c r="AG1471" s="133">
        <v>1</v>
      </c>
      <c r="AH1471" s="133">
        <v>0.896929824561403</v>
      </c>
      <c r="AI1471" s="135">
        <v>0.92</v>
      </c>
      <c r="AJ1471" s="133">
        <v>0.89648033126294</v>
      </c>
      <c r="AK1471" s="133">
        <v>0.926233512457254</v>
      </c>
      <c r="AL1471" s="133">
        <v>0.914579055441478</v>
      </c>
      <c r="AM1471" s="133">
        <v>0.925871157010995</v>
      </c>
      <c r="AN1471" s="132">
        <v>0.99</v>
      </c>
      <c r="AO1471" s="137">
        <v>1</v>
      </c>
      <c r="AP1471" s="137">
        <v>1</v>
      </c>
      <c r="AQ1471" s="137">
        <v>1</v>
      </c>
      <c r="AR1471" s="137">
        <v>1</v>
      </c>
      <c r="AS1471" s="158">
        <v>0.110069253262963</v>
      </c>
      <c r="AT1471" s="141">
        <v>0</v>
      </c>
      <c r="AU1471" s="141">
        <v>0</v>
      </c>
      <c r="AV1471" s="141">
        <v>0.25</v>
      </c>
      <c r="AW1471" s="141">
        <v>0.10625</v>
      </c>
      <c r="AX1471" s="95"/>
      <c r="AY1471" s="93"/>
    </row>
    <row r="1472" ht="15" spans="1:51">
      <c r="A1472" s="91"/>
      <c r="B1472" s="95"/>
      <c r="C1472" s="152" t="s">
        <v>1455</v>
      </c>
      <c r="D1472" s="153" t="s">
        <v>25</v>
      </c>
      <c r="E1472" s="130" t="s">
        <v>1456</v>
      </c>
      <c r="F1472" s="171" t="s">
        <v>1504</v>
      </c>
      <c r="G1472" s="171" t="s">
        <v>1504</v>
      </c>
      <c r="H1472" s="171" t="s">
        <v>1504</v>
      </c>
      <c r="I1472" s="171" t="s">
        <v>1504</v>
      </c>
      <c r="J1472" s="132">
        <v>0.9</v>
      </c>
      <c r="K1472" s="133">
        <v>0.655172413793103</v>
      </c>
      <c r="L1472" s="133">
        <v>0.655172413793103</v>
      </c>
      <c r="M1472" s="134">
        <v>0.870967741935484</v>
      </c>
      <c r="N1472" s="133">
        <v>0.780590717299578</v>
      </c>
      <c r="O1472" s="135">
        <v>0.9</v>
      </c>
      <c r="P1472" s="133">
        <v>0.790409899458623</v>
      </c>
      <c r="Q1472" s="133">
        <v>0.695530726256983</v>
      </c>
      <c r="R1472" s="133">
        <v>0.540352314625154</v>
      </c>
      <c r="S1472" s="133">
        <v>0.698071781048238</v>
      </c>
      <c r="T1472" s="135">
        <v>0.9</v>
      </c>
      <c r="U1472" s="133">
        <v>0.520494972931168</v>
      </c>
      <c r="V1472" s="133">
        <v>0.496508379888268</v>
      </c>
      <c r="W1472" s="133">
        <v>0.405981155264236</v>
      </c>
      <c r="X1472" s="133">
        <v>0.52987978522206</v>
      </c>
      <c r="Y1472" s="135">
        <v>0.92</v>
      </c>
      <c r="Z1472" s="135" t="s">
        <v>35</v>
      </c>
      <c r="AA1472" s="135" t="s">
        <v>35</v>
      </c>
      <c r="AB1472" s="135" t="s">
        <v>35</v>
      </c>
      <c r="AC1472" s="135" t="s">
        <v>35</v>
      </c>
      <c r="AD1472" s="135">
        <v>0.92</v>
      </c>
      <c r="AE1472" s="133">
        <v>0.956521739130435</v>
      </c>
      <c r="AF1472" s="133">
        <v>1</v>
      </c>
      <c r="AG1472" s="133">
        <v>0.894736842105263</v>
      </c>
      <c r="AH1472" s="133">
        <v>0.946708463949843</v>
      </c>
      <c r="AI1472" s="135">
        <v>0.92</v>
      </c>
      <c r="AJ1472" s="133">
        <v>0.68522815158546</v>
      </c>
      <c r="AK1472" s="133">
        <v>0.702513966480447</v>
      </c>
      <c r="AL1472" s="133">
        <v>0.628226136829168</v>
      </c>
      <c r="AM1472" s="133">
        <v>0.733244929458055</v>
      </c>
      <c r="AN1472" s="132">
        <v>0.99</v>
      </c>
      <c r="AO1472" s="137">
        <v>1</v>
      </c>
      <c r="AP1472" s="137">
        <v>1</v>
      </c>
      <c r="AQ1472" s="137">
        <v>1</v>
      </c>
      <c r="AR1472" s="137">
        <v>1</v>
      </c>
      <c r="AS1472" s="158">
        <v>0.110069253262963</v>
      </c>
      <c r="AT1472" s="141">
        <v>0.136363636363636</v>
      </c>
      <c r="AU1472" s="141">
        <v>0.2</v>
      </c>
      <c r="AV1472" s="141">
        <v>0.121212121212121</v>
      </c>
      <c r="AW1472" s="141">
        <v>0.172888015717092</v>
      </c>
      <c r="AX1472" s="95"/>
      <c r="AY1472" s="93"/>
    </row>
    <row r="1473" ht="15" spans="1:51">
      <c r="A1473" s="91"/>
      <c r="B1473" s="95"/>
      <c r="C1473" s="152" t="s">
        <v>1455</v>
      </c>
      <c r="D1473" s="153" t="s">
        <v>25</v>
      </c>
      <c r="E1473" s="130" t="s">
        <v>1456</v>
      </c>
      <c r="F1473" s="171" t="s">
        <v>1505</v>
      </c>
      <c r="G1473" s="171" t="s">
        <v>1505</v>
      </c>
      <c r="H1473" s="171" t="s">
        <v>1505</v>
      </c>
      <c r="I1473" s="171" t="s">
        <v>1505</v>
      </c>
      <c r="J1473" s="132">
        <v>0.9</v>
      </c>
      <c r="K1473" s="133">
        <v>0.875</v>
      </c>
      <c r="L1473" s="133">
        <v>0.888888888888889</v>
      </c>
      <c r="M1473" s="134">
        <v>0.833333333333333</v>
      </c>
      <c r="N1473" s="133">
        <v>0.860927152317881</v>
      </c>
      <c r="O1473" s="135">
        <v>0.9</v>
      </c>
      <c r="P1473" s="133">
        <v>1</v>
      </c>
      <c r="Q1473" s="133">
        <v>0.997297297297297</v>
      </c>
      <c r="R1473" s="133">
        <v>1</v>
      </c>
      <c r="S1473" s="133">
        <v>0.412900131878672</v>
      </c>
      <c r="T1473" s="135">
        <v>0.9</v>
      </c>
      <c r="U1473" s="133">
        <v>0.0434782608695652</v>
      </c>
      <c r="V1473" s="133">
        <v>0.267567567567568</v>
      </c>
      <c r="W1473" s="133">
        <v>0.0468227424749164</v>
      </c>
      <c r="X1473" s="133">
        <v>0.210726131958598</v>
      </c>
      <c r="Y1473" s="135">
        <v>0.92</v>
      </c>
      <c r="Z1473" s="135">
        <v>0</v>
      </c>
      <c r="AA1473" s="135" t="s">
        <v>35</v>
      </c>
      <c r="AB1473" s="135">
        <v>0</v>
      </c>
      <c r="AC1473" s="135">
        <v>0</v>
      </c>
      <c r="AD1473" s="135">
        <v>0.92</v>
      </c>
      <c r="AE1473" s="133">
        <v>0.6</v>
      </c>
      <c r="AF1473" s="133">
        <v>1</v>
      </c>
      <c r="AG1473" s="133">
        <v>1</v>
      </c>
      <c r="AH1473" s="133">
        <v>0.75</v>
      </c>
      <c r="AI1473" s="135">
        <v>0.92</v>
      </c>
      <c r="AJ1473" s="133">
        <v>0.168627450980392</v>
      </c>
      <c r="AK1473" s="133">
        <v>0.111325611325611</v>
      </c>
      <c r="AL1473" s="133">
        <v>0.100991033506371</v>
      </c>
      <c r="AM1473" s="133">
        <v>0.232758046245086</v>
      </c>
      <c r="AN1473" s="132">
        <v>0.99</v>
      </c>
      <c r="AO1473" s="137">
        <v>1</v>
      </c>
      <c r="AP1473" s="137">
        <v>1</v>
      </c>
      <c r="AQ1473" s="137">
        <v>1</v>
      </c>
      <c r="AR1473" s="137">
        <v>1</v>
      </c>
      <c r="AS1473" s="158">
        <v>0.110069253262963</v>
      </c>
      <c r="AT1473" s="141">
        <v>0.442307692307692</v>
      </c>
      <c r="AU1473" s="141">
        <v>0.333333333333333</v>
      </c>
      <c r="AV1473" s="141">
        <v>0.377777777777778</v>
      </c>
      <c r="AW1473" s="141">
        <v>0.118380062305296</v>
      </c>
      <c r="AX1473" s="95"/>
      <c r="AY1473" s="93"/>
    </row>
    <row r="1474" ht="15" spans="1:51">
      <c r="A1474" s="91"/>
      <c r="B1474" s="95"/>
      <c r="C1474" s="152" t="s">
        <v>1455</v>
      </c>
      <c r="D1474" s="153" t="s">
        <v>25</v>
      </c>
      <c r="E1474" s="130" t="s">
        <v>1456</v>
      </c>
      <c r="F1474" s="171" t="s">
        <v>1506</v>
      </c>
      <c r="G1474" s="171" t="s">
        <v>1506</v>
      </c>
      <c r="H1474" s="171" t="s">
        <v>1506</v>
      </c>
      <c r="I1474" s="171" t="s">
        <v>1506</v>
      </c>
      <c r="J1474" s="132">
        <v>0.9</v>
      </c>
      <c r="K1474" s="133">
        <v>1</v>
      </c>
      <c r="L1474" s="133">
        <v>1</v>
      </c>
      <c r="M1474" s="134">
        <v>0.8</v>
      </c>
      <c r="N1474" s="133">
        <v>0.888888888888889</v>
      </c>
      <c r="O1474" s="135">
        <v>0.9</v>
      </c>
      <c r="P1474" s="133">
        <v>0.340579710144928</v>
      </c>
      <c r="Q1474" s="133">
        <v>0.314917127071823</v>
      </c>
      <c r="R1474" s="133">
        <v>0.380116959064327</v>
      </c>
      <c r="S1474" s="133">
        <v>0.534967782492535</v>
      </c>
      <c r="T1474" s="135">
        <v>0.9</v>
      </c>
      <c r="U1474" s="133">
        <v>0.340579710144928</v>
      </c>
      <c r="V1474" s="133">
        <v>0.270718232044199</v>
      </c>
      <c r="W1474" s="133">
        <v>0.315789473684211</v>
      </c>
      <c r="X1474" s="133">
        <v>0.369008329404369</v>
      </c>
      <c r="Y1474" s="135">
        <v>0.92</v>
      </c>
      <c r="Z1474" s="135" t="s">
        <v>35</v>
      </c>
      <c r="AA1474" s="135" t="s">
        <v>35</v>
      </c>
      <c r="AB1474" s="135" t="s">
        <v>35</v>
      </c>
      <c r="AC1474" s="135" t="s">
        <v>35</v>
      </c>
      <c r="AD1474" s="135">
        <v>0.92</v>
      </c>
      <c r="AE1474" s="133">
        <v>0</v>
      </c>
      <c r="AF1474" s="133" t="s">
        <v>35</v>
      </c>
      <c r="AG1474" s="133" t="s">
        <v>35</v>
      </c>
      <c r="AH1474" s="133">
        <v>0.661016949152542</v>
      </c>
      <c r="AI1474" s="135">
        <v>0.92</v>
      </c>
      <c r="AJ1474" s="133">
        <v>0.347826086956522</v>
      </c>
      <c r="AK1474" s="133">
        <v>0.307692307692308</v>
      </c>
      <c r="AL1474" s="133">
        <v>0.272357723577236</v>
      </c>
      <c r="AM1474" s="133">
        <v>0.40301724137931</v>
      </c>
      <c r="AN1474" s="132">
        <v>0.99</v>
      </c>
      <c r="AO1474" s="137" t="s">
        <v>35</v>
      </c>
      <c r="AP1474" s="137" t="s">
        <v>35</v>
      </c>
      <c r="AQ1474" s="137" t="s">
        <v>35</v>
      </c>
      <c r="AR1474" s="137">
        <v>1</v>
      </c>
      <c r="AS1474" s="158">
        <v>0.110069253262963</v>
      </c>
      <c r="AT1474" s="141">
        <v>0.0909090909090909</v>
      </c>
      <c r="AU1474" s="141">
        <v>0.470588235294118</v>
      </c>
      <c r="AV1474" s="141">
        <v>0.739130434782609</v>
      </c>
      <c r="AW1474" s="141">
        <v>0.131578947368421</v>
      </c>
      <c r="AX1474" s="95"/>
      <c r="AY1474" s="93"/>
    </row>
    <row r="1475" ht="15" spans="1:51">
      <c r="A1475" s="91"/>
      <c r="B1475" s="95"/>
      <c r="C1475" s="152" t="s">
        <v>1455</v>
      </c>
      <c r="D1475" s="153" t="s">
        <v>25</v>
      </c>
      <c r="E1475" s="130" t="s">
        <v>1456</v>
      </c>
      <c r="F1475" s="171" t="s">
        <v>1507</v>
      </c>
      <c r="G1475" s="171" t="s">
        <v>1507</v>
      </c>
      <c r="H1475" s="171" t="s">
        <v>1507</v>
      </c>
      <c r="I1475" s="171" t="s">
        <v>1507</v>
      </c>
      <c r="J1475" s="132">
        <v>0.9</v>
      </c>
      <c r="K1475" s="133">
        <v>0.9</v>
      </c>
      <c r="L1475" s="133">
        <v>0.666666666666667</v>
      </c>
      <c r="M1475" s="134">
        <v>0.789473684210526</v>
      </c>
      <c r="N1475" s="133">
        <v>0.817258883248731</v>
      </c>
      <c r="O1475" s="135">
        <v>0.9</v>
      </c>
      <c r="P1475" s="133" t="s">
        <v>35</v>
      </c>
      <c r="Q1475" s="133">
        <v>0</v>
      </c>
      <c r="R1475" s="133" t="s">
        <v>35</v>
      </c>
      <c r="S1475" s="133">
        <v>0</v>
      </c>
      <c r="T1475" s="135">
        <v>0.9</v>
      </c>
      <c r="U1475" s="133" t="s">
        <v>35</v>
      </c>
      <c r="V1475" s="133">
        <v>0</v>
      </c>
      <c r="W1475" s="133" t="s">
        <v>35</v>
      </c>
      <c r="X1475" s="133">
        <v>0</v>
      </c>
      <c r="Y1475" s="135">
        <v>0.92</v>
      </c>
      <c r="Z1475" s="135" t="s">
        <v>35</v>
      </c>
      <c r="AA1475" s="135" t="s">
        <v>35</v>
      </c>
      <c r="AB1475" s="135" t="s">
        <v>35</v>
      </c>
      <c r="AC1475" s="135" t="s">
        <v>35</v>
      </c>
      <c r="AD1475" s="135">
        <v>0.92</v>
      </c>
      <c r="AE1475" s="133">
        <v>0.25</v>
      </c>
      <c r="AF1475" s="133">
        <v>0</v>
      </c>
      <c r="AG1475" s="133">
        <v>0.333333333333333</v>
      </c>
      <c r="AH1475" s="133">
        <v>0.18796992481203</v>
      </c>
      <c r="AI1475" s="135">
        <v>0.92</v>
      </c>
      <c r="AJ1475" s="133">
        <v>0.847946725860155</v>
      </c>
      <c r="AK1475" s="133">
        <v>0.842985842985843</v>
      </c>
      <c r="AL1475" s="133">
        <v>0.877726750861079</v>
      </c>
      <c r="AM1475" s="133">
        <v>0.92615298087739</v>
      </c>
      <c r="AN1475" s="132">
        <v>0.99</v>
      </c>
      <c r="AO1475" s="137">
        <v>1</v>
      </c>
      <c r="AP1475" s="137">
        <v>1</v>
      </c>
      <c r="AQ1475" s="137">
        <v>1</v>
      </c>
      <c r="AR1475" s="137">
        <v>1</v>
      </c>
      <c r="AS1475" s="158">
        <v>0.110069253262963</v>
      </c>
      <c r="AT1475" s="141">
        <v>0.0625</v>
      </c>
      <c r="AU1475" s="141">
        <v>0.285714285714286</v>
      </c>
      <c r="AV1475" s="141">
        <v>0.0277777777777778</v>
      </c>
      <c r="AW1475" s="141">
        <v>0.0956848030018762</v>
      </c>
      <c r="AX1475" s="95"/>
      <c r="AY1475" s="93"/>
    </row>
    <row r="1476" ht="15" spans="1:51">
      <c r="A1476" s="91"/>
      <c r="B1476" s="95"/>
      <c r="C1476" s="152" t="s">
        <v>1455</v>
      </c>
      <c r="D1476" s="153" t="s">
        <v>25</v>
      </c>
      <c r="E1476" s="130" t="s">
        <v>1456</v>
      </c>
      <c r="F1476" s="171" t="s">
        <v>1508</v>
      </c>
      <c r="G1476" s="171" t="s">
        <v>1508</v>
      </c>
      <c r="H1476" s="171" t="s">
        <v>1508</v>
      </c>
      <c r="I1476" s="171" t="s">
        <v>1508</v>
      </c>
      <c r="J1476" s="132">
        <v>0.9</v>
      </c>
      <c r="K1476" s="133">
        <v>0.722222222222222</v>
      </c>
      <c r="L1476" s="133">
        <v>0.857142857142857</v>
      </c>
      <c r="M1476" s="134">
        <v>0.789473684210526</v>
      </c>
      <c r="N1476" s="133">
        <v>0.873684210526316</v>
      </c>
      <c r="O1476" s="135">
        <v>0.9</v>
      </c>
      <c r="P1476" s="133">
        <v>1</v>
      </c>
      <c r="Q1476" s="133">
        <v>0.999073215940686</v>
      </c>
      <c r="R1476" s="133">
        <v>1</v>
      </c>
      <c r="S1476" s="133">
        <v>0.509438243034758</v>
      </c>
      <c r="T1476" s="135">
        <v>0.9</v>
      </c>
      <c r="U1476" s="133">
        <v>0.953125</v>
      </c>
      <c r="V1476" s="133">
        <v>0.810009267840593</v>
      </c>
      <c r="W1476" s="133">
        <v>0.619389587073609</v>
      </c>
      <c r="X1476" s="133">
        <v>0.390098920047191</v>
      </c>
      <c r="Y1476" s="135">
        <v>0.92</v>
      </c>
      <c r="Z1476" s="135" t="s">
        <v>35</v>
      </c>
      <c r="AA1476" s="135" t="s">
        <v>35</v>
      </c>
      <c r="AB1476" s="135" t="s">
        <v>35</v>
      </c>
      <c r="AC1476" s="135">
        <v>0</v>
      </c>
      <c r="AD1476" s="135">
        <v>0.92</v>
      </c>
      <c r="AE1476" s="133">
        <v>0.666666666666667</v>
      </c>
      <c r="AF1476" s="133">
        <v>0</v>
      </c>
      <c r="AG1476" s="133">
        <v>0.636363636363636</v>
      </c>
      <c r="AH1476" s="133">
        <v>0.304093567251462</v>
      </c>
      <c r="AI1476" s="135">
        <v>0.92</v>
      </c>
      <c r="AJ1476" s="133">
        <v>0.323066153307665</v>
      </c>
      <c r="AK1476" s="133">
        <v>0.313036480686695</v>
      </c>
      <c r="AL1476" s="133">
        <v>0.276505513146734</v>
      </c>
      <c r="AM1476" s="133">
        <v>0.366956465531172</v>
      </c>
      <c r="AN1476" s="132">
        <v>0.99</v>
      </c>
      <c r="AO1476" s="137" t="s">
        <v>35</v>
      </c>
      <c r="AP1476" s="137" t="s">
        <v>35</v>
      </c>
      <c r="AQ1476" s="137" t="s">
        <v>35</v>
      </c>
      <c r="AR1476" s="137">
        <v>1</v>
      </c>
      <c r="AS1476" s="158">
        <v>0.110069253262963</v>
      </c>
      <c r="AT1476" s="141">
        <v>0.164705882352941</v>
      </c>
      <c r="AU1476" s="141">
        <v>0.377049180327869</v>
      </c>
      <c r="AV1476" s="141">
        <v>0.209090909090909</v>
      </c>
      <c r="AW1476" s="141">
        <v>0.131714495952907</v>
      </c>
      <c r="AX1476" s="95"/>
      <c r="AY1476" s="93"/>
    </row>
    <row r="1477" ht="15" spans="1:51">
      <c r="A1477" s="91"/>
      <c r="B1477" s="95"/>
      <c r="C1477" s="152" t="s">
        <v>1455</v>
      </c>
      <c r="D1477" s="153" t="s">
        <v>25</v>
      </c>
      <c r="E1477" s="130" t="s">
        <v>1456</v>
      </c>
      <c r="F1477" s="171" t="s">
        <v>1509</v>
      </c>
      <c r="G1477" s="171" t="s">
        <v>1509</v>
      </c>
      <c r="H1477" s="171" t="s">
        <v>1509</v>
      </c>
      <c r="I1477" s="171" t="s">
        <v>1509</v>
      </c>
      <c r="J1477" s="132">
        <v>0.9</v>
      </c>
      <c r="K1477" s="133">
        <v>1</v>
      </c>
      <c r="L1477" s="133">
        <v>1</v>
      </c>
      <c r="M1477" s="134">
        <v>0.909090909090909</v>
      </c>
      <c r="N1477" s="133">
        <v>0.975247524752475</v>
      </c>
      <c r="O1477" s="135">
        <v>0.9</v>
      </c>
      <c r="P1477" s="133">
        <v>0.998217468805704</v>
      </c>
      <c r="Q1477" s="133">
        <v>1</v>
      </c>
      <c r="R1477" s="133">
        <v>0.992146596858639</v>
      </c>
      <c r="S1477" s="133">
        <v>0.568949444245249</v>
      </c>
      <c r="T1477" s="135">
        <v>0.9</v>
      </c>
      <c r="U1477" s="133">
        <v>0.948306595365419</v>
      </c>
      <c r="V1477" s="133">
        <v>0.867669172932331</v>
      </c>
      <c r="W1477" s="133">
        <v>0.722513089005236</v>
      </c>
      <c r="X1477" s="133">
        <v>0.453424166367874</v>
      </c>
      <c r="Y1477" s="135">
        <v>0.92</v>
      </c>
      <c r="Z1477" s="135" t="s">
        <v>35</v>
      </c>
      <c r="AA1477" s="135" t="s">
        <v>35</v>
      </c>
      <c r="AB1477" s="135" t="s">
        <v>35</v>
      </c>
      <c r="AC1477" s="135">
        <v>0</v>
      </c>
      <c r="AD1477" s="135">
        <v>0.92</v>
      </c>
      <c r="AE1477" s="133">
        <v>0.833333333333333</v>
      </c>
      <c r="AF1477" s="133">
        <v>0.6</v>
      </c>
      <c r="AG1477" s="133">
        <v>1</v>
      </c>
      <c r="AH1477" s="133">
        <v>0.71551724137931</v>
      </c>
      <c r="AI1477" s="135">
        <v>0.92</v>
      </c>
      <c r="AJ1477" s="133">
        <v>0.7117202268431</v>
      </c>
      <c r="AK1477" s="133">
        <v>0.470341521869383</v>
      </c>
      <c r="AL1477" s="133">
        <v>0.34527027027027</v>
      </c>
      <c r="AM1477" s="133">
        <v>0.451876110124334</v>
      </c>
      <c r="AN1477" s="132">
        <v>0.99</v>
      </c>
      <c r="AO1477" s="137">
        <v>1</v>
      </c>
      <c r="AP1477" s="137">
        <v>1</v>
      </c>
      <c r="AQ1477" s="137">
        <v>1</v>
      </c>
      <c r="AR1477" s="137">
        <v>1</v>
      </c>
      <c r="AS1477" s="158">
        <v>0.110069253262963</v>
      </c>
      <c r="AT1477" s="141">
        <v>0.176470588235294</v>
      </c>
      <c r="AU1477" s="141">
        <v>0.0759493670886076</v>
      </c>
      <c r="AV1477" s="141">
        <v>0.2625</v>
      </c>
      <c r="AW1477" s="141">
        <v>0.116710875331565</v>
      </c>
      <c r="AX1477" s="95"/>
      <c r="AY1477" s="93"/>
    </row>
    <row r="1478" ht="15" spans="1:51">
      <c r="A1478" s="91"/>
      <c r="B1478" s="95"/>
      <c r="C1478" s="152" t="s">
        <v>1455</v>
      </c>
      <c r="D1478" s="153" t="s">
        <v>25</v>
      </c>
      <c r="E1478" s="130" t="s">
        <v>1456</v>
      </c>
      <c r="F1478" s="171" t="s">
        <v>1510</v>
      </c>
      <c r="G1478" s="171" t="s">
        <v>1510</v>
      </c>
      <c r="H1478" s="171" t="s">
        <v>1510</v>
      </c>
      <c r="I1478" s="171" t="s">
        <v>1510</v>
      </c>
      <c r="J1478" s="132">
        <v>0.9</v>
      </c>
      <c r="K1478" s="133">
        <v>1</v>
      </c>
      <c r="L1478" s="133">
        <v>0.916666666666667</v>
      </c>
      <c r="M1478" s="134">
        <v>1</v>
      </c>
      <c r="N1478" s="133">
        <v>0.969827586206897</v>
      </c>
      <c r="O1478" s="135">
        <v>0.9</v>
      </c>
      <c r="P1478" s="133">
        <v>1</v>
      </c>
      <c r="Q1478" s="133">
        <v>0.967948717948718</v>
      </c>
      <c r="R1478" s="133">
        <v>0.997936016511868</v>
      </c>
      <c r="S1478" s="133">
        <v>0.997684917235791</v>
      </c>
      <c r="T1478" s="135">
        <v>0.9</v>
      </c>
      <c r="U1478" s="133">
        <v>0.677304964539007</v>
      </c>
      <c r="V1478" s="133">
        <v>0.83974358974359</v>
      </c>
      <c r="W1478" s="133">
        <v>0.919504643962848</v>
      </c>
      <c r="X1478" s="133">
        <v>0.860574140525524</v>
      </c>
      <c r="Y1478" s="135">
        <v>0.92</v>
      </c>
      <c r="Z1478" s="135" t="s">
        <v>35</v>
      </c>
      <c r="AA1478" s="135" t="s">
        <v>35</v>
      </c>
      <c r="AB1478" s="135" t="s">
        <v>35</v>
      </c>
      <c r="AC1478" s="135" t="s">
        <v>35</v>
      </c>
      <c r="AD1478" s="135">
        <v>0.92</v>
      </c>
      <c r="AE1478" s="133">
        <v>0.96551724137931</v>
      </c>
      <c r="AF1478" s="133">
        <v>0.757575757575758</v>
      </c>
      <c r="AG1478" s="133">
        <v>1</v>
      </c>
      <c r="AH1478" s="133">
        <v>0.808641975308642</v>
      </c>
      <c r="AI1478" s="135">
        <v>0.92</v>
      </c>
      <c r="AJ1478" s="133">
        <v>0.687394957983193</v>
      </c>
      <c r="AK1478" s="133">
        <v>0.846153846153846</v>
      </c>
      <c r="AL1478" s="133">
        <v>0.933952528379773</v>
      </c>
      <c r="AM1478" s="133">
        <v>0.885499711149624</v>
      </c>
      <c r="AN1478" s="132">
        <v>0.99</v>
      </c>
      <c r="AO1478" s="137">
        <v>1</v>
      </c>
      <c r="AP1478" s="137">
        <v>1</v>
      </c>
      <c r="AQ1478" s="137">
        <v>1</v>
      </c>
      <c r="AR1478" s="137">
        <v>1</v>
      </c>
      <c r="AS1478" s="158">
        <v>0.110069253262963</v>
      </c>
      <c r="AT1478" s="141">
        <v>0.2</v>
      </c>
      <c r="AU1478" s="141">
        <v>0.68</v>
      </c>
      <c r="AV1478" s="141">
        <v>0.105263157894737</v>
      </c>
      <c r="AW1478" s="141">
        <v>0.13681592039801</v>
      </c>
      <c r="AX1478" s="95"/>
      <c r="AY1478" s="93"/>
    </row>
    <row r="1479" ht="15" spans="1:51">
      <c r="A1479" s="91"/>
      <c r="B1479" s="95"/>
      <c r="C1479" s="152" t="s">
        <v>1455</v>
      </c>
      <c r="D1479" s="153" t="s">
        <v>25</v>
      </c>
      <c r="E1479" s="130" t="s">
        <v>1456</v>
      </c>
      <c r="F1479" s="171" t="s">
        <v>1511</v>
      </c>
      <c r="G1479" s="171" t="s">
        <v>1511</v>
      </c>
      <c r="H1479" s="171" t="s">
        <v>1511</v>
      </c>
      <c r="I1479" s="171" t="s">
        <v>1511</v>
      </c>
      <c r="J1479" s="132">
        <v>0.9</v>
      </c>
      <c r="K1479" s="133">
        <v>1</v>
      </c>
      <c r="L1479" s="133">
        <v>1</v>
      </c>
      <c r="M1479" s="134">
        <v>0.967741935483871</v>
      </c>
      <c r="N1479" s="133">
        <v>0.972413793103448</v>
      </c>
      <c r="O1479" s="135">
        <v>0.9</v>
      </c>
      <c r="P1479" s="133">
        <v>0.981220657276995</v>
      </c>
      <c r="Q1479" s="133">
        <v>0.997701809824763</v>
      </c>
      <c r="R1479" s="133">
        <v>0.990149348585955</v>
      </c>
      <c r="S1479" s="133">
        <v>0.992784834004024</v>
      </c>
      <c r="T1479" s="135">
        <v>0.9</v>
      </c>
      <c r="U1479" s="133">
        <v>0.914940624136979</v>
      </c>
      <c r="V1479" s="133">
        <v>0.88882505027291</v>
      </c>
      <c r="W1479" s="133">
        <v>0.894184938036225</v>
      </c>
      <c r="X1479" s="133">
        <v>0.918133802816901</v>
      </c>
      <c r="Y1479" s="135">
        <v>0.92</v>
      </c>
      <c r="Z1479" s="135" t="s">
        <v>35</v>
      </c>
      <c r="AA1479" s="135" t="s">
        <v>35</v>
      </c>
      <c r="AB1479" s="135" t="s">
        <v>35</v>
      </c>
      <c r="AC1479" s="135" t="s">
        <v>35</v>
      </c>
      <c r="AD1479" s="135">
        <v>0.92</v>
      </c>
      <c r="AE1479" s="133">
        <v>1</v>
      </c>
      <c r="AF1479" s="133">
        <v>0.973684210526316</v>
      </c>
      <c r="AG1479" s="133">
        <v>1</v>
      </c>
      <c r="AH1479" s="133">
        <v>0.965770171149144</v>
      </c>
      <c r="AI1479" s="135">
        <v>0.92</v>
      </c>
      <c r="AJ1479" s="133">
        <v>0.96078431372549</v>
      </c>
      <c r="AK1479" s="133">
        <v>0.98448721631715</v>
      </c>
      <c r="AL1479" s="133">
        <v>0.95584498094028</v>
      </c>
      <c r="AM1479" s="133">
        <v>0.979486615212915</v>
      </c>
      <c r="AN1479" s="132">
        <v>0.99</v>
      </c>
      <c r="AO1479" s="137">
        <v>1</v>
      </c>
      <c r="AP1479" s="137">
        <v>1</v>
      </c>
      <c r="AQ1479" s="137">
        <v>1</v>
      </c>
      <c r="AR1479" s="137">
        <v>1</v>
      </c>
      <c r="AS1479" s="158">
        <v>0.110069253262963</v>
      </c>
      <c r="AT1479" s="141">
        <v>0</v>
      </c>
      <c r="AU1479" s="141">
        <v>0.0588235294117647</v>
      </c>
      <c r="AV1479" s="141">
        <v>0</v>
      </c>
      <c r="AW1479" s="141">
        <v>0.0719178082191781</v>
      </c>
      <c r="AX1479" s="95"/>
      <c r="AY1479" s="93"/>
    </row>
    <row r="1480" ht="15" spans="1:51">
      <c r="A1480" s="91"/>
      <c r="B1480" s="95"/>
      <c r="C1480" s="152" t="s">
        <v>1455</v>
      </c>
      <c r="D1480" s="153" t="s">
        <v>25</v>
      </c>
      <c r="E1480" s="130" t="s">
        <v>1456</v>
      </c>
      <c r="F1480" s="171" t="s">
        <v>1512</v>
      </c>
      <c r="G1480" s="171" t="s">
        <v>1512</v>
      </c>
      <c r="H1480" s="171" t="s">
        <v>1512</v>
      </c>
      <c r="I1480" s="171" t="s">
        <v>1512</v>
      </c>
      <c r="J1480" s="132">
        <v>0.9</v>
      </c>
      <c r="K1480" s="133">
        <v>0.333333333333333</v>
      </c>
      <c r="L1480" s="133">
        <v>0.272727272727273</v>
      </c>
      <c r="M1480" s="134">
        <v>0.227272727272727</v>
      </c>
      <c r="N1480" s="133">
        <v>0.261764705882353</v>
      </c>
      <c r="O1480" s="135">
        <v>0.9</v>
      </c>
      <c r="P1480" s="133">
        <v>0.673732896511852</v>
      </c>
      <c r="Q1480" s="133">
        <v>0.706414473684211</v>
      </c>
      <c r="R1480" s="133">
        <v>0.595130237825595</v>
      </c>
      <c r="S1480" s="133">
        <v>0.72757503903765</v>
      </c>
      <c r="T1480" s="135">
        <v>0.9</v>
      </c>
      <c r="U1480" s="133">
        <v>0.792060127192137</v>
      </c>
      <c r="V1480" s="133">
        <v>0.850328947368421</v>
      </c>
      <c r="W1480" s="133">
        <v>0.834654586636467</v>
      </c>
      <c r="X1480" s="133">
        <v>0.769504366433405</v>
      </c>
      <c r="Y1480" s="135">
        <v>0.92</v>
      </c>
      <c r="Z1480" s="135">
        <v>1</v>
      </c>
      <c r="AA1480" s="135" t="s">
        <v>35</v>
      </c>
      <c r="AB1480" s="135" t="s">
        <v>35</v>
      </c>
      <c r="AC1480" s="135">
        <v>1</v>
      </c>
      <c r="AD1480" s="135">
        <v>0.92</v>
      </c>
      <c r="AE1480" s="133">
        <v>1</v>
      </c>
      <c r="AF1480" s="133">
        <v>1</v>
      </c>
      <c r="AG1480" s="133">
        <v>0</v>
      </c>
      <c r="AH1480" s="133">
        <v>0.391304347826087</v>
      </c>
      <c r="AI1480" s="135">
        <v>0.92</v>
      </c>
      <c r="AJ1480" s="133">
        <v>0.830828516377649</v>
      </c>
      <c r="AK1480" s="133">
        <v>0.88290879211175</v>
      </c>
      <c r="AL1480" s="133">
        <v>0.859569648924122</v>
      </c>
      <c r="AM1480" s="133">
        <v>0.827155496443648</v>
      </c>
      <c r="AN1480" s="132">
        <v>0.99</v>
      </c>
      <c r="AO1480" s="137">
        <v>1</v>
      </c>
      <c r="AP1480" s="137">
        <v>1</v>
      </c>
      <c r="AQ1480" s="137">
        <v>1</v>
      </c>
      <c r="AR1480" s="137">
        <v>1</v>
      </c>
      <c r="AS1480" s="158">
        <v>0.110069253262963</v>
      </c>
      <c r="AT1480" s="141">
        <v>0.369565217391304</v>
      </c>
      <c r="AU1480" s="141">
        <v>0.115384615384615</v>
      </c>
      <c r="AV1480" s="141">
        <v>0.774193548387097</v>
      </c>
      <c r="AW1480" s="141">
        <v>0.26264800861141</v>
      </c>
      <c r="AX1480" s="95"/>
      <c r="AY1480" s="93"/>
    </row>
    <row r="1481" ht="15" spans="1:51">
      <c r="A1481" s="91"/>
      <c r="B1481" s="95"/>
      <c r="C1481" s="152" t="s">
        <v>1455</v>
      </c>
      <c r="D1481" s="153" t="s">
        <v>25</v>
      </c>
      <c r="E1481" s="130" t="s">
        <v>1456</v>
      </c>
      <c r="F1481" s="171" t="s">
        <v>1513</v>
      </c>
      <c r="G1481" s="171" t="s">
        <v>1513</v>
      </c>
      <c r="H1481" s="171" t="s">
        <v>1513</v>
      </c>
      <c r="I1481" s="171" t="s">
        <v>1513</v>
      </c>
      <c r="J1481" s="132">
        <v>0.9</v>
      </c>
      <c r="K1481" s="133">
        <v>0.590909090909091</v>
      </c>
      <c r="L1481" s="133">
        <v>0.566666666666667</v>
      </c>
      <c r="M1481" s="134">
        <v>0.666666666666667</v>
      </c>
      <c r="N1481" s="133">
        <v>0.54320987654321</v>
      </c>
      <c r="O1481" s="135">
        <v>0.9</v>
      </c>
      <c r="P1481" s="133">
        <v>0.685258964143426</v>
      </c>
      <c r="Q1481" s="133">
        <v>0.845125786163522</v>
      </c>
      <c r="R1481" s="133">
        <v>0.695168972556135</v>
      </c>
      <c r="S1481" s="133">
        <v>0.69135415032167</v>
      </c>
      <c r="T1481" s="135">
        <v>0.9</v>
      </c>
      <c r="U1481" s="133">
        <v>0.468525896414343</v>
      </c>
      <c r="V1481" s="133">
        <v>0.632861635220126</v>
      </c>
      <c r="W1481" s="133">
        <v>0.54706282603765</v>
      </c>
      <c r="X1481" s="133">
        <v>0.550693775077896</v>
      </c>
      <c r="Y1481" s="135">
        <v>0.92</v>
      </c>
      <c r="Z1481" s="135" t="s">
        <v>35</v>
      </c>
      <c r="AA1481" s="135" t="s">
        <v>35</v>
      </c>
      <c r="AB1481" s="135" t="s">
        <v>35</v>
      </c>
      <c r="AC1481" s="135">
        <v>0</v>
      </c>
      <c r="AD1481" s="135">
        <v>0.92</v>
      </c>
      <c r="AE1481" s="133">
        <v>1</v>
      </c>
      <c r="AF1481" s="133">
        <v>1</v>
      </c>
      <c r="AG1481" s="133">
        <v>0.9</v>
      </c>
      <c r="AH1481" s="133">
        <v>0.91747572815534</v>
      </c>
      <c r="AI1481" s="135">
        <v>0.92</v>
      </c>
      <c r="AJ1481" s="133">
        <v>0.543426294820717</v>
      </c>
      <c r="AK1481" s="133">
        <v>0.737421383647799</v>
      </c>
      <c r="AL1481" s="133">
        <v>0.728283057382626</v>
      </c>
      <c r="AM1481" s="133">
        <v>0.713581243135409</v>
      </c>
      <c r="AN1481" s="132">
        <v>0.99</v>
      </c>
      <c r="AO1481" s="137">
        <v>1</v>
      </c>
      <c r="AP1481" s="137" t="s">
        <v>35</v>
      </c>
      <c r="AQ1481" s="137">
        <v>1</v>
      </c>
      <c r="AR1481" s="137">
        <v>1</v>
      </c>
      <c r="AS1481" s="158">
        <v>0.110069253262963</v>
      </c>
      <c r="AT1481" s="141">
        <v>0.615384615384615</v>
      </c>
      <c r="AU1481" s="141">
        <v>0.461538461538462</v>
      </c>
      <c r="AV1481" s="141">
        <v>0.0769230769230769</v>
      </c>
      <c r="AW1481" s="141">
        <v>0.184713375796178</v>
      </c>
      <c r="AX1481" s="95"/>
      <c r="AY1481" s="93"/>
    </row>
    <row r="1482" ht="15" spans="1:51">
      <c r="A1482" s="91"/>
      <c r="B1482" s="95"/>
      <c r="C1482" s="152" t="s">
        <v>1455</v>
      </c>
      <c r="D1482" s="153" t="s">
        <v>25</v>
      </c>
      <c r="E1482" s="130" t="s">
        <v>1456</v>
      </c>
      <c r="F1482" s="171" t="s">
        <v>1514</v>
      </c>
      <c r="G1482" s="171" t="s">
        <v>1514</v>
      </c>
      <c r="H1482" s="171" t="s">
        <v>1514</v>
      </c>
      <c r="I1482" s="171" t="s">
        <v>1514</v>
      </c>
      <c r="J1482" s="132">
        <v>0.9</v>
      </c>
      <c r="K1482" s="133">
        <v>0.8</v>
      </c>
      <c r="L1482" s="133">
        <v>0.740740740740741</v>
      </c>
      <c r="M1482" s="134">
        <v>0.857142857142857</v>
      </c>
      <c r="N1482" s="133">
        <v>0.775051124744376</v>
      </c>
      <c r="O1482" s="135">
        <v>0.9</v>
      </c>
      <c r="P1482" s="133">
        <v>0.892857142857143</v>
      </c>
      <c r="Q1482" s="133">
        <v>0.925426136363636</v>
      </c>
      <c r="R1482" s="133">
        <v>0.745592501673734</v>
      </c>
      <c r="S1482" s="133">
        <v>0.837808762419052</v>
      </c>
      <c r="T1482" s="135">
        <v>0.9</v>
      </c>
      <c r="U1482" s="133">
        <v>0.629737609329446</v>
      </c>
      <c r="V1482" s="133">
        <v>0.736505681818182</v>
      </c>
      <c r="W1482" s="133">
        <v>0.584914081678197</v>
      </c>
      <c r="X1482" s="133">
        <v>0.678022233003565</v>
      </c>
      <c r="Y1482" s="135">
        <v>0.92</v>
      </c>
      <c r="Z1482" s="135" t="s">
        <v>35</v>
      </c>
      <c r="AA1482" s="135" t="s">
        <v>35</v>
      </c>
      <c r="AB1482" s="135" t="s">
        <v>35</v>
      </c>
      <c r="AC1482" s="135" t="s">
        <v>35</v>
      </c>
      <c r="AD1482" s="135">
        <v>0.92</v>
      </c>
      <c r="AE1482" s="133">
        <v>0.8</v>
      </c>
      <c r="AF1482" s="133">
        <v>0.727272727272727</v>
      </c>
      <c r="AG1482" s="133">
        <v>0.333333333333333</v>
      </c>
      <c r="AH1482" s="133">
        <v>0.808873720136519</v>
      </c>
      <c r="AI1482" s="135">
        <v>0.92</v>
      </c>
      <c r="AJ1482" s="133">
        <v>0.733236151603499</v>
      </c>
      <c r="AK1482" s="133">
        <v>0.865056818181818</v>
      </c>
      <c r="AL1482" s="133">
        <v>0.769247935728632</v>
      </c>
      <c r="AM1482" s="133">
        <v>0.841289261079587</v>
      </c>
      <c r="AN1482" s="132">
        <v>0.99</v>
      </c>
      <c r="AO1482" s="137">
        <v>1</v>
      </c>
      <c r="AP1482" s="137">
        <v>1</v>
      </c>
      <c r="AQ1482" s="137">
        <v>1</v>
      </c>
      <c r="AR1482" s="137">
        <v>1</v>
      </c>
      <c r="AS1482" s="158">
        <v>0.110069253262963</v>
      </c>
      <c r="AT1482" s="141">
        <v>0.0666666666666667</v>
      </c>
      <c r="AU1482" s="141">
        <v>0</v>
      </c>
      <c r="AV1482" s="141">
        <v>0.0434782608695652</v>
      </c>
      <c r="AW1482" s="141">
        <v>0.0936708860759494</v>
      </c>
      <c r="AX1482" s="95"/>
      <c r="AY1482" s="93"/>
    </row>
    <row r="1483" ht="15" spans="1:51">
      <c r="A1483" s="91"/>
      <c r="B1483" s="95"/>
      <c r="C1483" s="152" t="s">
        <v>1455</v>
      </c>
      <c r="D1483" s="153" t="s">
        <v>125</v>
      </c>
      <c r="E1483" s="130" t="s">
        <v>1456</v>
      </c>
      <c r="F1483" s="171" t="s">
        <v>1515</v>
      </c>
      <c r="G1483" s="171" t="s">
        <v>1515</v>
      </c>
      <c r="H1483" s="171" t="s">
        <v>1515</v>
      </c>
      <c r="I1483" s="171" t="s">
        <v>1515</v>
      </c>
      <c r="J1483" s="132">
        <v>0.9</v>
      </c>
      <c r="K1483" s="133" t="s">
        <v>35</v>
      </c>
      <c r="L1483" s="133" t="s">
        <v>35</v>
      </c>
      <c r="M1483" s="134" t="s">
        <v>35</v>
      </c>
      <c r="N1483" s="133" t="s">
        <v>35</v>
      </c>
      <c r="O1483" s="135">
        <v>0.9</v>
      </c>
      <c r="P1483" s="133" t="s">
        <v>35</v>
      </c>
      <c r="Q1483" s="133">
        <v>0</v>
      </c>
      <c r="R1483" s="133">
        <v>0</v>
      </c>
      <c r="S1483" s="133">
        <v>0</v>
      </c>
      <c r="T1483" s="135">
        <v>0.9</v>
      </c>
      <c r="U1483" s="133" t="s">
        <v>35</v>
      </c>
      <c r="V1483" s="133">
        <v>1</v>
      </c>
      <c r="W1483" s="133">
        <v>1</v>
      </c>
      <c r="X1483" s="133">
        <v>1</v>
      </c>
      <c r="Y1483" s="135">
        <v>0.92</v>
      </c>
      <c r="Z1483" s="135" t="s">
        <v>35</v>
      </c>
      <c r="AA1483" s="135" t="s">
        <v>35</v>
      </c>
      <c r="AB1483" s="135" t="s">
        <v>35</v>
      </c>
      <c r="AC1483" s="135" t="s">
        <v>35</v>
      </c>
      <c r="AD1483" s="135">
        <v>0.92</v>
      </c>
      <c r="AE1483" s="133">
        <v>0.9394261424017</v>
      </c>
      <c r="AF1483" s="133">
        <v>0.466898954703833</v>
      </c>
      <c r="AG1483" s="133">
        <v>0.666666666666667</v>
      </c>
      <c r="AH1483" s="133">
        <v>0.809577407142126</v>
      </c>
      <c r="AI1483" s="135">
        <v>0.92</v>
      </c>
      <c r="AJ1483" s="133" t="s">
        <v>35</v>
      </c>
      <c r="AK1483" s="133">
        <v>1</v>
      </c>
      <c r="AL1483" s="133">
        <v>1</v>
      </c>
      <c r="AM1483" s="133">
        <v>1</v>
      </c>
      <c r="AN1483" s="132">
        <v>0.99</v>
      </c>
      <c r="AO1483" s="137">
        <v>1</v>
      </c>
      <c r="AP1483" s="137">
        <v>1</v>
      </c>
      <c r="AQ1483" s="137">
        <v>1</v>
      </c>
      <c r="AR1483" s="137">
        <v>1</v>
      </c>
      <c r="AS1483" s="158">
        <v>0.110069253262963</v>
      </c>
      <c r="AT1483" s="141" t="s">
        <v>35</v>
      </c>
      <c r="AU1483" s="141" t="s">
        <v>35</v>
      </c>
      <c r="AV1483" s="141" t="s">
        <v>35</v>
      </c>
      <c r="AW1483" s="141" t="s">
        <v>35</v>
      </c>
      <c r="AX1483" s="95"/>
      <c r="AY1483" s="93"/>
    </row>
    <row r="1484" ht="15" spans="1:51">
      <c r="A1484" s="91"/>
      <c r="B1484" s="95"/>
      <c r="C1484" s="152" t="s">
        <v>1455</v>
      </c>
      <c r="D1484" s="153" t="s">
        <v>25</v>
      </c>
      <c r="E1484" s="130" t="s">
        <v>1456</v>
      </c>
      <c r="F1484" s="171" t="s">
        <v>1516</v>
      </c>
      <c r="G1484" s="171" t="s">
        <v>1516</v>
      </c>
      <c r="H1484" s="171" t="s">
        <v>1516</v>
      </c>
      <c r="I1484" s="171" t="s">
        <v>1516</v>
      </c>
      <c r="J1484" s="132">
        <v>0.9</v>
      </c>
      <c r="K1484" s="133">
        <v>1</v>
      </c>
      <c r="L1484" s="133">
        <v>1</v>
      </c>
      <c r="M1484" s="134">
        <v>1</v>
      </c>
      <c r="N1484" s="133">
        <v>0.995535714285714</v>
      </c>
      <c r="O1484" s="135">
        <v>0.9</v>
      </c>
      <c r="P1484" s="133">
        <v>0.972067039106145</v>
      </c>
      <c r="Q1484" s="133">
        <v>0.947647951441578</v>
      </c>
      <c r="R1484" s="133">
        <v>0.970212765957447</v>
      </c>
      <c r="S1484" s="133">
        <v>0.961304521808723</v>
      </c>
      <c r="T1484" s="135">
        <v>0.9</v>
      </c>
      <c r="U1484" s="133">
        <v>0.826017557861133</v>
      </c>
      <c r="V1484" s="133">
        <v>0.80804248861912</v>
      </c>
      <c r="W1484" s="133">
        <v>0.816312056737589</v>
      </c>
      <c r="X1484" s="133">
        <v>0.808643457382953</v>
      </c>
      <c r="Y1484" s="135">
        <v>0.92</v>
      </c>
      <c r="Z1484" s="135">
        <v>0.728888888888889</v>
      </c>
      <c r="AA1484" s="135">
        <v>0.811217510259918</v>
      </c>
      <c r="AB1484" s="135">
        <v>0.854262144821265</v>
      </c>
      <c r="AC1484" s="135">
        <v>0.85107078633317</v>
      </c>
      <c r="AD1484" s="135">
        <v>0.92</v>
      </c>
      <c r="AE1484" s="133">
        <v>0.982142857142857</v>
      </c>
      <c r="AF1484" s="133">
        <v>1</v>
      </c>
      <c r="AG1484" s="133">
        <v>0.404761904761905</v>
      </c>
      <c r="AH1484" s="133">
        <v>0.856164383561644</v>
      </c>
      <c r="AI1484" s="135">
        <v>0.92</v>
      </c>
      <c r="AJ1484" s="133">
        <v>0.876943881000676</v>
      </c>
      <c r="AK1484" s="133">
        <v>0.885797950219619</v>
      </c>
      <c r="AL1484" s="133">
        <v>0.896083133493205</v>
      </c>
      <c r="AM1484" s="133">
        <v>0.897358403506748</v>
      </c>
      <c r="AN1484" s="132">
        <v>0.99</v>
      </c>
      <c r="AO1484" s="137">
        <v>1</v>
      </c>
      <c r="AP1484" s="137">
        <v>1</v>
      </c>
      <c r="AQ1484" s="137">
        <v>1</v>
      </c>
      <c r="AR1484" s="137">
        <v>1</v>
      </c>
      <c r="AS1484" s="158">
        <v>0.110069253262963</v>
      </c>
      <c r="AT1484" s="141">
        <v>0.363636363636364</v>
      </c>
      <c r="AU1484" s="141">
        <v>0</v>
      </c>
      <c r="AV1484" s="141">
        <v>0.166666666666667</v>
      </c>
      <c r="AW1484" s="141">
        <v>0.121739130434783</v>
      </c>
      <c r="AX1484" s="95"/>
      <c r="AY1484" s="93"/>
    </row>
    <row r="1485" ht="15" spans="1:51">
      <c r="A1485" s="91"/>
      <c r="B1485" s="95"/>
      <c r="C1485" s="152" t="s">
        <v>1455</v>
      </c>
      <c r="D1485" s="153" t="s">
        <v>25</v>
      </c>
      <c r="E1485" s="130" t="s">
        <v>1456</v>
      </c>
      <c r="F1485" s="171" t="s">
        <v>1517</v>
      </c>
      <c r="G1485" s="171" t="s">
        <v>1517</v>
      </c>
      <c r="H1485" s="171" t="s">
        <v>1517</v>
      </c>
      <c r="I1485" s="171" t="s">
        <v>1517</v>
      </c>
      <c r="J1485" s="132">
        <v>0.9</v>
      </c>
      <c r="K1485" s="133">
        <v>1</v>
      </c>
      <c r="L1485" s="133">
        <v>1</v>
      </c>
      <c r="M1485" s="134">
        <v>1</v>
      </c>
      <c r="N1485" s="133">
        <v>0.993318485523385</v>
      </c>
      <c r="O1485" s="135">
        <v>0.9</v>
      </c>
      <c r="P1485" s="133">
        <v>0.9784</v>
      </c>
      <c r="Q1485" s="133">
        <v>0.980299448384555</v>
      </c>
      <c r="R1485" s="133">
        <v>0.981197771587744</v>
      </c>
      <c r="S1485" s="133">
        <v>0.971794974231952</v>
      </c>
      <c r="T1485" s="135">
        <v>0.9</v>
      </c>
      <c r="U1485" s="133">
        <v>0.8816</v>
      </c>
      <c r="V1485" s="133">
        <v>0.887312844759653</v>
      </c>
      <c r="W1485" s="133">
        <v>0.883008356545961</v>
      </c>
      <c r="X1485" s="133">
        <v>0.820622428189046</v>
      </c>
      <c r="Y1485" s="135">
        <v>0.92</v>
      </c>
      <c r="Z1485" s="135">
        <v>0.928838951310861</v>
      </c>
      <c r="AA1485" s="135">
        <v>0.935119887165021</v>
      </c>
      <c r="AB1485" s="135">
        <v>0.942234848484849</v>
      </c>
      <c r="AC1485" s="135">
        <v>0.924009101973858</v>
      </c>
      <c r="AD1485" s="135">
        <v>0.92</v>
      </c>
      <c r="AE1485" s="133">
        <v>0.962962962962963</v>
      </c>
      <c r="AF1485" s="133">
        <v>1</v>
      </c>
      <c r="AG1485" s="133">
        <v>1</v>
      </c>
      <c r="AH1485" s="133">
        <v>0.943949044585987</v>
      </c>
      <c r="AI1485" s="135">
        <v>0.92</v>
      </c>
      <c r="AJ1485" s="133">
        <v>0.950560316413975</v>
      </c>
      <c r="AK1485" s="133">
        <v>0.962588473205258</v>
      </c>
      <c r="AL1485" s="133">
        <v>0.960674157303371</v>
      </c>
      <c r="AM1485" s="133">
        <v>0.94960278618743</v>
      </c>
      <c r="AN1485" s="132">
        <v>0.99</v>
      </c>
      <c r="AO1485" s="137">
        <v>1</v>
      </c>
      <c r="AP1485" s="137">
        <v>1</v>
      </c>
      <c r="AQ1485" s="137">
        <v>1</v>
      </c>
      <c r="AR1485" s="137">
        <v>1</v>
      </c>
      <c r="AS1485" s="158">
        <v>0.110069253262963</v>
      </c>
      <c r="AT1485" s="141">
        <v>0.333333333333333</v>
      </c>
      <c r="AU1485" s="141">
        <v>0.2</v>
      </c>
      <c r="AV1485" s="141">
        <v>0</v>
      </c>
      <c r="AW1485" s="141">
        <v>0.107142857142857</v>
      </c>
      <c r="AX1485" s="95"/>
      <c r="AY1485" s="93"/>
    </row>
    <row r="1486" ht="15" spans="1:51">
      <c r="A1486" s="91"/>
      <c r="B1486" s="95"/>
      <c r="C1486" s="152" t="s">
        <v>1455</v>
      </c>
      <c r="D1486" s="153" t="s">
        <v>25</v>
      </c>
      <c r="E1486" s="130" t="s">
        <v>1456</v>
      </c>
      <c r="F1486" s="171" t="s">
        <v>1518</v>
      </c>
      <c r="G1486" s="171" t="s">
        <v>1518</v>
      </c>
      <c r="H1486" s="171" t="s">
        <v>1518</v>
      </c>
      <c r="I1486" s="171" t="s">
        <v>1518</v>
      </c>
      <c r="J1486" s="132">
        <v>0.9</v>
      </c>
      <c r="K1486" s="133">
        <v>0</v>
      </c>
      <c r="L1486" s="133">
        <v>0.111111111111111</v>
      </c>
      <c r="M1486" s="134">
        <v>0.333333333333333</v>
      </c>
      <c r="N1486" s="133">
        <v>0.18</v>
      </c>
      <c r="O1486" s="135">
        <v>0.9</v>
      </c>
      <c r="P1486" s="133">
        <v>1</v>
      </c>
      <c r="Q1486" s="133">
        <v>0.152173913043478</v>
      </c>
      <c r="R1486" s="133">
        <v>0.538461538461538</v>
      </c>
      <c r="S1486" s="133">
        <v>0.0820121951219512</v>
      </c>
      <c r="T1486" s="135">
        <v>0.9</v>
      </c>
      <c r="U1486" s="133">
        <v>0.555555555555556</v>
      </c>
      <c r="V1486" s="133">
        <v>0.0652173913043478</v>
      </c>
      <c r="W1486" s="133">
        <v>0.538461538461538</v>
      </c>
      <c r="X1486" s="133">
        <v>0.0350609756097561</v>
      </c>
      <c r="Y1486" s="135">
        <v>0.92</v>
      </c>
      <c r="Z1486" s="135" t="s">
        <v>35</v>
      </c>
      <c r="AA1486" s="135" t="s">
        <v>35</v>
      </c>
      <c r="AB1486" s="135" t="s">
        <v>35</v>
      </c>
      <c r="AC1486" s="135" t="s">
        <v>35</v>
      </c>
      <c r="AD1486" s="135">
        <v>0.92</v>
      </c>
      <c r="AE1486" s="133">
        <v>0</v>
      </c>
      <c r="AF1486" s="133">
        <v>0</v>
      </c>
      <c r="AG1486" s="133">
        <v>1</v>
      </c>
      <c r="AH1486" s="133">
        <v>0.758620689655172</v>
      </c>
      <c r="AI1486" s="135">
        <v>0.92</v>
      </c>
      <c r="AJ1486" s="133">
        <v>0.555555555555556</v>
      </c>
      <c r="AK1486" s="133">
        <v>0.152173913043478</v>
      </c>
      <c r="AL1486" s="133">
        <v>0.538461538461538</v>
      </c>
      <c r="AM1486" s="133">
        <v>0.0432926829268293</v>
      </c>
      <c r="AN1486" s="132">
        <v>0.99</v>
      </c>
      <c r="AO1486" s="137" t="s">
        <v>35</v>
      </c>
      <c r="AP1486" s="137" t="s">
        <v>35</v>
      </c>
      <c r="AQ1486" s="137" t="s">
        <v>35</v>
      </c>
      <c r="AR1486" s="137" t="s">
        <v>35</v>
      </c>
      <c r="AS1486" s="158">
        <v>0.110069253262963</v>
      </c>
      <c r="AT1486" s="141">
        <v>0.32</v>
      </c>
      <c r="AU1486" s="141">
        <v>0.6</v>
      </c>
      <c r="AV1486" s="141">
        <v>1.5</v>
      </c>
      <c r="AW1486" s="141">
        <v>0.122676579925651</v>
      </c>
      <c r="AX1486" s="95"/>
      <c r="AY1486" s="93"/>
    </row>
    <row r="1487" ht="15" spans="1:51">
      <c r="A1487" s="91"/>
      <c r="B1487" s="95"/>
      <c r="C1487" s="152" t="s">
        <v>1455</v>
      </c>
      <c r="D1487" s="153" t="s">
        <v>125</v>
      </c>
      <c r="E1487" s="130" t="s">
        <v>1456</v>
      </c>
      <c r="F1487" s="171" t="s">
        <v>1519</v>
      </c>
      <c r="G1487" s="171" t="s">
        <v>1519</v>
      </c>
      <c r="H1487" s="171" t="s">
        <v>1519</v>
      </c>
      <c r="I1487" s="171" t="s">
        <v>1519</v>
      </c>
      <c r="J1487" s="132">
        <v>0.9</v>
      </c>
      <c r="K1487" s="133" t="s">
        <v>35</v>
      </c>
      <c r="L1487" s="133" t="s">
        <v>35</v>
      </c>
      <c r="M1487" s="134" t="s">
        <v>35</v>
      </c>
      <c r="N1487" s="133" t="s">
        <v>35</v>
      </c>
      <c r="O1487" s="135">
        <v>0.9</v>
      </c>
      <c r="P1487" s="133" t="s">
        <v>35</v>
      </c>
      <c r="Q1487" s="133" t="s">
        <v>35</v>
      </c>
      <c r="R1487" s="133" t="s">
        <v>35</v>
      </c>
      <c r="S1487" s="133" t="s">
        <v>35</v>
      </c>
      <c r="T1487" s="135">
        <v>0.9</v>
      </c>
      <c r="U1487" s="133" t="s">
        <v>35</v>
      </c>
      <c r="V1487" s="133" t="s">
        <v>35</v>
      </c>
      <c r="W1487" s="133" t="s">
        <v>35</v>
      </c>
      <c r="X1487" s="133" t="s">
        <v>35</v>
      </c>
      <c r="Y1487" s="135">
        <v>0.92</v>
      </c>
      <c r="Z1487" s="135" t="s">
        <v>35</v>
      </c>
      <c r="AA1487" s="135" t="s">
        <v>35</v>
      </c>
      <c r="AB1487" s="135" t="s">
        <v>35</v>
      </c>
      <c r="AC1487" s="135" t="s">
        <v>35</v>
      </c>
      <c r="AD1487" s="135">
        <v>0.92</v>
      </c>
      <c r="AE1487" s="133">
        <v>0.938144329896907</v>
      </c>
      <c r="AF1487" s="133">
        <v>0.917355371900826</v>
      </c>
      <c r="AG1487" s="133">
        <v>0.785714285714286</v>
      </c>
      <c r="AH1487" s="133">
        <v>0.944305381727159</v>
      </c>
      <c r="AI1487" s="135">
        <v>0.92</v>
      </c>
      <c r="AJ1487" s="133" t="s">
        <v>35</v>
      </c>
      <c r="AK1487" s="133" t="s">
        <v>35</v>
      </c>
      <c r="AL1487" s="133" t="s">
        <v>35</v>
      </c>
      <c r="AM1487" s="133" t="s">
        <v>35</v>
      </c>
      <c r="AN1487" s="132">
        <v>0.99</v>
      </c>
      <c r="AO1487" s="137">
        <v>1</v>
      </c>
      <c r="AP1487" s="137">
        <v>1</v>
      </c>
      <c r="AQ1487" s="137">
        <v>1</v>
      </c>
      <c r="AR1487" s="137">
        <v>1</v>
      </c>
      <c r="AS1487" s="158">
        <v>0.110069253262963</v>
      </c>
      <c r="AT1487" s="141" t="s">
        <v>35</v>
      </c>
      <c r="AU1487" s="141" t="s">
        <v>35</v>
      </c>
      <c r="AV1487" s="141" t="s">
        <v>35</v>
      </c>
      <c r="AW1487" s="141" t="s">
        <v>35</v>
      </c>
      <c r="AX1487" s="95"/>
      <c r="AY1487" s="93"/>
    </row>
    <row r="1488" ht="15" spans="1:51">
      <c r="A1488" s="91"/>
      <c r="B1488" s="95"/>
      <c r="C1488" s="152" t="s">
        <v>1455</v>
      </c>
      <c r="D1488" s="153" t="s">
        <v>25</v>
      </c>
      <c r="E1488" s="130" t="s">
        <v>1456</v>
      </c>
      <c r="F1488" s="171" t="s">
        <v>1520</v>
      </c>
      <c r="G1488" s="171" t="s">
        <v>1520</v>
      </c>
      <c r="H1488" s="171" t="s">
        <v>1520</v>
      </c>
      <c r="I1488" s="171" t="s">
        <v>1520</v>
      </c>
      <c r="J1488" s="132">
        <v>0.9</v>
      </c>
      <c r="K1488" s="133">
        <v>0.647058823529412</v>
      </c>
      <c r="L1488" s="133">
        <v>0.642857142857143</v>
      </c>
      <c r="M1488" s="134">
        <v>0.7</v>
      </c>
      <c r="N1488" s="133">
        <v>0.697718631178707</v>
      </c>
      <c r="O1488" s="135">
        <v>0.9</v>
      </c>
      <c r="P1488" s="133">
        <v>0.834731543624161</v>
      </c>
      <c r="Q1488" s="133">
        <v>0.851648351648352</v>
      </c>
      <c r="R1488" s="133">
        <v>0.783507923717432</v>
      </c>
      <c r="S1488" s="133">
        <v>0.859725685785536</v>
      </c>
      <c r="T1488" s="135">
        <v>0.9</v>
      </c>
      <c r="U1488" s="133">
        <v>0.592281879194631</v>
      </c>
      <c r="V1488" s="133">
        <v>0.67817896389325</v>
      </c>
      <c r="W1488" s="133">
        <v>0.633628793983347</v>
      </c>
      <c r="X1488" s="133">
        <v>0.713124595917613</v>
      </c>
      <c r="Y1488" s="135">
        <v>0.92</v>
      </c>
      <c r="Z1488" s="135" t="s">
        <v>35</v>
      </c>
      <c r="AA1488" s="135" t="s">
        <v>35</v>
      </c>
      <c r="AB1488" s="135" t="s">
        <v>35</v>
      </c>
      <c r="AC1488" s="135" t="s">
        <v>35</v>
      </c>
      <c r="AD1488" s="135">
        <v>0.92</v>
      </c>
      <c r="AE1488" s="133">
        <v>1</v>
      </c>
      <c r="AF1488" s="133">
        <v>0.88</v>
      </c>
      <c r="AG1488" s="133">
        <v>0.928571428571429</v>
      </c>
      <c r="AH1488" s="133">
        <v>0.842767295597484</v>
      </c>
      <c r="AI1488" s="135">
        <v>0.92</v>
      </c>
      <c r="AJ1488" s="133">
        <v>0.720637583892617</v>
      </c>
      <c r="AK1488" s="133">
        <v>0.817111459968603</v>
      </c>
      <c r="AL1488" s="133">
        <v>0.76530612244898</v>
      </c>
      <c r="AM1488" s="133">
        <v>0.855483722004156</v>
      </c>
      <c r="AN1488" s="132">
        <v>0.99</v>
      </c>
      <c r="AO1488" s="137">
        <v>1</v>
      </c>
      <c r="AP1488" s="137">
        <v>1</v>
      </c>
      <c r="AQ1488" s="137">
        <v>1</v>
      </c>
      <c r="AR1488" s="137">
        <v>1</v>
      </c>
      <c r="AS1488" s="158">
        <v>0.110069253262963</v>
      </c>
      <c r="AT1488" s="141">
        <v>0.0526315789473684</v>
      </c>
      <c r="AU1488" s="141">
        <v>0.0588235294117647</v>
      </c>
      <c r="AV1488" s="141">
        <v>0.0526315789473684</v>
      </c>
      <c r="AW1488" s="141">
        <v>0.0887290167865707</v>
      </c>
      <c r="AX1488" s="95"/>
      <c r="AY1488" s="93"/>
    </row>
    <row r="1489" ht="15" spans="1:51">
      <c r="A1489" s="91"/>
      <c r="B1489" s="95"/>
      <c r="C1489" s="152" t="s">
        <v>1455</v>
      </c>
      <c r="D1489" s="153" t="s">
        <v>25</v>
      </c>
      <c r="E1489" s="130" t="s">
        <v>1456</v>
      </c>
      <c r="F1489" s="171" t="s">
        <v>1521</v>
      </c>
      <c r="G1489" s="171" t="s">
        <v>1521</v>
      </c>
      <c r="H1489" s="171" t="s">
        <v>1521</v>
      </c>
      <c r="I1489" s="171" t="s">
        <v>1521</v>
      </c>
      <c r="J1489" s="132">
        <v>0.9</v>
      </c>
      <c r="K1489" s="133">
        <v>0.961538461538462</v>
      </c>
      <c r="L1489" s="133">
        <v>0.958333333333333</v>
      </c>
      <c r="M1489" s="134">
        <v>0.958333333333333</v>
      </c>
      <c r="N1489" s="133">
        <v>0.987525987525988</v>
      </c>
      <c r="O1489" s="135">
        <v>0.9</v>
      </c>
      <c r="P1489" s="133">
        <v>0.970755483346872</v>
      </c>
      <c r="Q1489" s="133">
        <v>0.959501557632399</v>
      </c>
      <c r="R1489" s="133">
        <v>0.950305810397553</v>
      </c>
      <c r="S1489" s="133">
        <v>0.960649345482036</v>
      </c>
      <c r="T1489" s="135">
        <v>0.9</v>
      </c>
      <c r="U1489" s="133">
        <v>0.852152721364744</v>
      </c>
      <c r="V1489" s="133">
        <v>0.820872274143302</v>
      </c>
      <c r="W1489" s="133">
        <v>0.780581039755352</v>
      </c>
      <c r="X1489" s="133">
        <v>0.765049934349262</v>
      </c>
      <c r="Y1489" s="135">
        <v>0.92</v>
      </c>
      <c r="Z1489" s="135">
        <v>0.784722222222222</v>
      </c>
      <c r="AA1489" s="135">
        <v>0.776081424936387</v>
      </c>
      <c r="AB1489" s="135">
        <v>0.771787960467206</v>
      </c>
      <c r="AC1489" s="135">
        <v>0.857857218853069</v>
      </c>
      <c r="AD1489" s="135">
        <v>0.92</v>
      </c>
      <c r="AE1489" s="133">
        <v>0.939759036144578</v>
      </c>
      <c r="AF1489" s="133">
        <v>0.224299065420561</v>
      </c>
      <c r="AG1489" s="133">
        <v>0.135135135135135</v>
      </c>
      <c r="AH1489" s="133">
        <v>0.282751643904906</v>
      </c>
      <c r="AI1489" s="135">
        <v>0.92</v>
      </c>
      <c r="AJ1489" s="133">
        <v>0.902567478604345</v>
      </c>
      <c r="AK1489" s="133">
        <v>0.884057971014493</v>
      </c>
      <c r="AL1489" s="133">
        <v>0.840561751342421</v>
      </c>
      <c r="AM1489" s="133">
        <v>0.900553114970523</v>
      </c>
      <c r="AN1489" s="132">
        <v>0.99</v>
      </c>
      <c r="AO1489" s="137">
        <v>1</v>
      </c>
      <c r="AP1489" s="137">
        <v>1</v>
      </c>
      <c r="AQ1489" s="137">
        <v>1</v>
      </c>
      <c r="AR1489" s="137">
        <v>1</v>
      </c>
      <c r="AS1489" s="158">
        <v>0.110069253262963</v>
      </c>
      <c r="AT1489" s="141">
        <v>0</v>
      </c>
      <c r="AU1489" s="141">
        <v>0.1</v>
      </c>
      <c r="AV1489" s="141">
        <v>0</v>
      </c>
      <c r="AW1489" s="141">
        <v>0.0858585858585859</v>
      </c>
      <c r="AX1489" s="95"/>
      <c r="AY1489" s="93"/>
    </row>
    <row r="1490" ht="15" spans="1:51">
      <c r="A1490" s="91"/>
      <c r="B1490" s="95"/>
      <c r="C1490" s="152" t="s">
        <v>1455</v>
      </c>
      <c r="D1490" s="153" t="s">
        <v>25</v>
      </c>
      <c r="E1490" s="130" t="s">
        <v>1456</v>
      </c>
      <c r="F1490" s="171" t="s">
        <v>1522</v>
      </c>
      <c r="G1490" s="171" t="s">
        <v>1522</v>
      </c>
      <c r="H1490" s="171" t="s">
        <v>1522</v>
      </c>
      <c r="I1490" s="171" t="s">
        <v>1522</v>
      </c>
      <c r="J1490" s="132">
        <v>0.9</v>
      </c>
      <c r="K1490" s="133">
        <v>0.9</v>
      </c>
      <c r="L1490" s="133">
        <v>1</v>
      </c>
      <c r="M1490" s="134">
        <v>1</v>
      </c>
      <c r="N1490" s="133">
        <v>0.925714285714286</v>
      </c>
      <c r="O1490" s="135">
        <v>0.9</v>
      </c>
      <c r="P1490" s="133" t="s">
        <v>35</v>
      </c>
      <c r="Q1490" s="133">
        <v>0</v>
      </c>
      <c r="R1490" s="133">
        <v>0</v>
      </c>
      <c r="S1490" s="133">
        <v>0.163934426229508</v>
      </c>
      <c r="T1490" s="135">
        <v>0.9</v>
      </c>
      <c r="U1490" s="133" t="s">
        <v>35</v>
      </c>
      <c r="V1490" s="133">
        <v>0</v>
      </c>
      <c r="W1490" s="133">
        <v>1</v>
      </c>
      <c r="X1490" s="133">
        <v>0.114754098360656</v>
      </c>
      <c r="Y1490" s="135">
        <v>0.92</v>
      </c>
      <c r="Z1490" s="135" t="s">
        <v>35</v>
      </c>
      <c r="AA1490" s="135" t="s">
        <v>35</v>
      </c>
      <c r="AB1490" s="135" t="s">
        <v>35</v>
      </c>
      <c r="AC1490" s="135">
        <v>0</v>
      </c>
      <c r="AD1490" s="135">
        <v>0.92</v>
      </c>
      <c r="AE1490" s="133">
        <v>0.92</v>
      </c>
      <c r="AF1490" s="133" t="s">
        <v>35</v>
      </c>
      <c r="AG1490" s="133" t="s">
        <v>35</v>
      </c>
      <c r="AH1490" s="133">
        <v>0.967741935483871</v>
      </c>
      <c r="AI1490" s="135">
        <v>0.92</v>
      </c>
      <c r="AJ1490" s="133">
        <v>1</v>
      </c>
      <c r="AK1490" s="133">
        <v>0.691031390134529</v>
      </c>
      <c r="AL1490" s="133">
        <v>0.0212765957446809</v>
      </c>
      <c r="AM1490" s="133">
        <v>0.751392459297344</v>
      </c>
      <c r="AN1490" s="132">
        <v>0.99</v>
      </c>
      <c r="AO1490" s="137">
        <v>1</v>
      </c>
      <c r="AP1490" s="137" t="s">
        <v>35</v>
      </c>
      <c r="AQ1490" s="137" t="s">
        <v>35</v>
      </c>
      <c r="AR1490" s="137">
        <v>1</v>
      </c>
      <c r="AS1490" s="158">
        <v>0.110069253262963</v>
      </c>
      <c r="AT1490" s="141">
        <v>0</v>
      </c>
      <c r="AU1490" s="141">
        <v>0.2</v>
      </c>
      <c r="AV1490" s="141">
        <v>0.0833333333333333</v>
      </c>
      <c r="AW1490" s="141">
        <v>0.0800376647834275</v>
      </c>
      <c r="AX1490" s="95"/>
      <c r="AY1490" s="93"/>
    </row>
    <row r="1491" ht="15" spans="1:51">
      <c r="A1491" s="91"/>
      <c r="B1491" s="95"/>
      <c r="C1491" s="152" t="s">
        <v>1455</v>
      </c>
      <c r="D1491" s="153" t="s">
        <v>25</v>
      </c>
      <c r="E1491" s="130" t="s">
        <v>1456</v>
      </c>
      <c r="F1491" s="171" t="s">
        <v>1523</v>
      </c>
      <c r="G1491" s="171" t="s">
        <v>1523</v>
      </c>
      <c r="H1491" s="171" t="s">
        <v>1523</v>
      </c>
      <c r="I1491" s="171" t="s">
        <v>1523</v>
      </c>
      <c r="J1491" s="132">
        <v>0.9</v>
      </c>
      <c r="K1491" s="133">
        <v>1</v>
      </c>
      <c r="L1491" s="133">
        <v>1</v>
      </c>
      <c r="M1491" s="134">
        <v>0.777777777777778</v>
      </c>
      <c r="N1491" s="133">
        <v>0.923357664233577</v>
      </c>
      <c r="O1491" s="135">
        <v>0.9</v>
      </c>
      <c r="P1491" s="133" t="s">
        <v>35</v>
      </c>
      <c r="Q1491" s="133">
        <v>0</v>
      </c>
      <c r="R1491" s="133">
        <v>0</v>
      </c>
      <c r="S1491" s="133">
        <v>0</v>
      </c>
      <c r="T1491" s="135">
        <v>0.9</v>
      </c>
      <c r="U1491" s="133" t="s">
        <v>35</v>
      </c>
      <c r="V1491" s="133">
        <v>0</v>
      </c>
      <c r="W1491" s="133">
        <v>0</v>
      </c>
      <c r="X1491" s="133">
        <v>0</v>
      </c>
      <c r="Y1491" s="135">
        <v>0.92</v>
      </c>
      <c r="Z1491" s="135" t="s">
        <v>35</v>
      </c>
      <c r="AA1491" s="135" t="s">
        <v>35</v>
      </c>
      <c r="AB1491" s="135" t="s">
        <v>35</v>
      </c>
      <c r="AC1491" s="135" t="s">
        <v>35</v>
      </c>
      <c r="AD1491" s="135">
        <v>0.92</v>
      </c>
      <c r="AE1491" s="133">
        <v>1</v>
      </c>
      <c r="AF1491" s="133">
        <v>0</v>
      </c>
      <c r="AG1491" s="133">
        <v>0</v>
      </c>
      <c r="AH1491" s="133">
        <v>0.777777777777778</v>
      </c>
      <c r="AI1491" s="135">
        <v>0.92</v>
      </c>
      <c r="AJ1491" s="133">
        <v>0.674554394591272</v>
      </c>
      <c r="AK1491" s="133">
        <v>0.769985974754558</v>
      </c>
      <c r="AL1491" s="133">
        <v>0.600505689001264</v>
      </c>
      <c r="AM1491" s="133">
        <v>0.823526937797031</v>
      </c>
      <c r="AN1491" s="132">
        <v>0.99</v>
      </c>
      <c r="AO1491" s="137">
        <v>1</v>
      </c>
      <c r="AP1491" s="137">
        <v>1</v>
      </c>
      <c r="AQ1491" s="137">
        <v>1</v>
      </c>
      <c r="AR1491" s="137">
        <v>1</v>
      </c>
      <c r="AS1491" s="158">
        <v>0.110069253262963</v>
      </c>
      <c r="AT1491" s="141">
        <v>0.491228070175439</v>
      </c>
      <c r="AU1491" s="141">
        <v>0.11377245508982</v>
      </c>
      <c r="AV1491" s="141">
        <v>0.0351758793969849</v>
      </c>
      <c r="AW1491" s="141">
        <v>0.0942698706099815</v>
      </c>
      <c r="AX1491" s="95"/>
      <c r="AY1491" s="93"/>
    </row>
    <row r="1492" ht="15" spans="1:51">
      <c r="A1492" s="91"/>
      <c r="B1492" s="95"/>
      <c r="C1492" s="152" t="s">
        <v>1455</v>
      </c>
      <c r="D1492" s="153" t="s">
        <v>25</v>
      </c>
      <c r="E1492" s="130" t="s">
        <v>1456</v>
      </c>
      <c r="F1492" s="171" t="s">
        <v>1524</v>
      </c>
      <c r="G1492" s="171" t="s">
        <v>1524</v>
      </c>
      <c r="H1492" s="171" t="s">
        <v>1524</v>
      </c>
      <c r="I1492" s="171" t="s">
        <v>1524</v>
      </c>
      <c r="J1492" s="132">
        <v>0.9</v>
      </c>
      <c r="K1492" s="133">
        <v>0.916666666666667</v>
      </c>
      <c r="L1492" s="133">
        <v>0.916666666666667</v>
      </c>
      <c r="M1492" s="134">
        <v>0.846153846153846</v>
      </c>
      <c r="N1492" s="133">
        <v>0.841880341880342</v>
      </c>
      <c r="O1492" s="135">
        <v>0.9</v>
      </c>
      <c r="P1492" s="133">
        <v>1</v>
      </c>
      <c r="Q1492" s="133">
        <v>1</v>
      </c>
      <c r="R1492" s="133">
        <v>0.99375</v>
      </c>
      <c r="S1492" s="133">
        <v>0.52267035718993</v>
      </c>
      <c r="T1492" s="135">
        <v>0.9</v>
      </c>
      <c r="U1492" s="133">
        <v>1</v>
      </c>
      <c r="V1492" s="133">
        <v>1</v>
      </c>
      <c r="W1492" s="133">
        <v>0.995833333333333</v>
      </c>
      <c r="X1492" s="133">
        <v>0.448991696322657</v>
      </c>
      <c r="Y1492" s="135">
        <v>0.92</v>
      </c>
      <c r="Z1492" s="135" t="s">
        <v>35</v>
      </c>
      <c r="AA1492" s="135" t="s">
        <v>35</v>
      </c>
      <c r="AB1492" s="135" t="s">
        <v>35</v>
      </c>
      <c r="AC1492" s="135" t="s">
        <v>35</v>
      </c>
      <c r="AD1492" s="135">
        <v>0.92</v>
      </c>
      <c r="AE1492" s="133">
        <v>1</v>
      </c>
      <c r="AF1492" s="133">
        <v>0.25</v>
      </c>
      <c r="AG1492" s="133">
        <v>0</v>
      </c>
      <c r="AH1492" s="133">
        <v>0.356060606060606</v>
      </c>
      <c r="AI1492" s="135">
        <v>0.92</v>
      </c>
      <c r="AJ1492" s="133">
        <v>0.566289825282631</v>
      </c>
      <c r="AK1492" s="133">
        <v>0.680114358322745</v>
      </c>
      <c r="AL1492" s="133">
        <v>0.837966640190627</v>
      </c>
      <c r="AM1492" s="133">
        <v>0.614483026942904</v>
      </c>
      <c r="AN1492" s="132">
        <v>0.99</v>
      </c>
      <c r="AO1492" s="137">
        <v>1</v>
      </c>
      <c r="AP1492" s="137">
        <v>1</v>
      </c>
      <c r="AQ1492" s="137" t="s">
        <v>35</v>
      </c>
      <c r="AR1492" s="137">
        <v>1</v>
      </c>
      <c r="AS1492" s="158">
        <v>0.110069253262963</v>
      </c>
      <c r="AT1492" s="141">
        <v>0.253731343283582</v>
      </c>
      <c r="AU1492" s="141">
        <v>0.0864197530864197</v>
      </c>
      <c r="AV1492" s="141">
        <v>0.170731707317073</v>
      </c>
      <c r="AW1492" s="141">
        <v>0.134245187436677</v>
      </c>
      <c r="AX1492" s="95"/>
      <c r="AY1492" s="93"/>
    </row>
    <row r="1493" ht="15" spans="1:51">
      <c r="A1493" s="91"/>
      <c r="B1493" s="95"/>
      <c r="C1493" s="152" t="s">
        <v>1455</v>
      </c>
      <c r="D1493" s="153" t="s">
        <v>25</v>
      </c>
      <c r="E1493" s="130" t="s">
        <v>1456</v>
      </c>
      <c r="F1493" s="171" t="s">
        <v>1525</v>
      </c>
      <c r="G1493" s="171" t="s">
        <v>1525</v>
      </c>
      <c r="H1493" s="171" t="s">
        <v>1525</v>
      </c>
      <c r="I1493" s="171" t="s">
        <v>1525</v>
      </c>
      <c r="J1493" s="132">
        <v>0.9</v>
      </c>
      <c r="K1493" s="133" t="s">
        <v>35</v>
      </c>
      <c r="L1493" s="133" t="s">
        <v>35</v>
      </c>
      <c r="M1493" s="134" t="s">
        <v>35</v>
      </c>
      <c r="N1493" s="133" t="s">
        <v>35</v>
      </c>
      <c r="O1493" s="135">
        <v>0.9</v>
      </c>
      <c r="P1493" s="133" t="s">
        <v>35</v>
      </c>
      <c r="Q1493" s="133" t="s">
        <v>35</v>
      </c>
      <c r="R1493" s="133" t="s">
        <v>35</v>
      </c>
      <c r="S1493" s="133" t="s">
        <v>35</v>
      </c>
      <c r="T1493" s="135">
        <v>0.9</v>
      </c>
      <c r="U1493" s="133" t="s">
        <v>35</v>
      </c>
      <c r="V1493" s="133" t="s">
        <v>35</v>
      </c>
      <c r="W1493" s="133" t="s">
        <v>35</v>
      </c>
      <c r="X1493" s="133" t="s">
        <v>35</v>
      </c>
      <c r="Y1493" s="135">
        <v>0.92</v>
      </c>
      <c r="Z1493" s="135" t="s">
        <v>35</v>
      </c>
      <c r="AA1493" s="135" t="s">
        <v>35</v>
      </c>
      <c r="AB1493" s="135" t="s">
        <v>35</v>
      </c>
      <c r="AC1493" s="135" t="s">
        <v>35</v>
      </c>
      <c r="AD1493" s="135">
        <v>0.92</v>
      </c>
      <c r="AE1493" s="133">
        <v>0.828735632183908</v>
      </c>
      <c r="AF1493" s="133">
        <v>0.10958904109589</v>
      </c>
      <c r="AG1493" s="133">
        <v>0.0172413793103448</v>
      </c>
      <c r="AH1493" s="133">
        <v>0.732145082886701</v>
      </c>
      <c r="AI1493" s="135">
        <v>0.92</v>
      </c>
      <c r="AJ1493" s="133" t="s">
        <v>35</v>
      </c>
      <c r="AK1493" s="133" t="s">
        <v>35</v>
      </c>
      <c r="AL1493" s="133">
        <v>1</v>
      </c>
      <c r="AM1493" s="133">
        <v>1</v>
      </c>
      <c r="AN1493" s="132">
        <v>0.99</v>
      </c>
      <c r="AO1493" s="137">
        <v>1</v>
      </c>
      <c r="AP1493" s="137">
        <v>1</v>
      </c>
      <c r="AQ1493" s="137">
        <v>1</v>
      </c>
      <c r="AR1493" s="137">
        <v>1</v>
      </c>
      <c r="AS1493" s="158">
        <v>0.110069253262963</v>
      </c>
      <c r="AT1493" s="141" t="s">
        <v>35</v>
      </c>
      <c r="AU1493" s="141" t="s">
        <v>35</v>
      </c>
      <c r="AV1493" s="141" t="s">
        <v>35</v>
      </c>
      <c r="AW1493" s="141" t="s">
        <v>35</v>
      </c>
      <c r="AX1493" s="95"/>
      <c r="AY1493" s="93"/>
    </row>
    <row r="1494" ht="15" spans="1:51">
      <c r="A1494" s="91"/>
      <c r="B1494" s="95"/>
      <c r="C1494" s="152" t="s">
        <v>1455</v>
      </c>
      <c r="D1494" s="153" t="s">
        <v>25</v>
      </c>
      <c r="E1494" s="130" t="s">
        <v>1456</v>
      </c>
      <c r="F1494" s="171" t="s">
        <v>1526</v>
      </c>
      <c r="G1494" s="171" t="s">
        <v>1526</v>
      </c>
      <c r="H1494" s="171" t="s">
        <v>1526</v>
      </c>
      <c r="I1494" s="171" t="s">
        <v>1526</v>
      </c>
      <c r="J1494" s="132">
        <v>0.9</v>
      </c>
      <c r="K1494" s="133">
        <v>0.368421052631579</v>
      </c>
      <c r="L1494" s="133">
        <v>0.470588235294118</v>
      </c>
      <c r="M1494" s="134">
        <v>0.59375</v>
      </c>
      <c r="N1494" s="133">
        <v>0.469500924214418</v>
      </c>
      <c r="O1494" s="135">
        <v>0.9</v>
      </c>
      <c r="P1494" s="133">
        <v>0.997368421052632</v>
      </c>
      <c r="Q1494" s="133">
        <v>0.987127916331456</v>
      </c>
      <c r="R1494" s="133">
        <v>0.993005306319344</v>
      </c>
      <c r="S1494" s="133">
        <v>0.928599752746612</v>
      </c>
      <c r="T1494" s="135">
        <v>0.9</v>
      </c>
      <c r="U1494" s="133">
        <v>0.620175438596491</v>
      </c>
      <c r="V1494" s="133">
        <v>0.627514078841512</v>
      </c>
      <c r="W1494" s="133">
        <v>0.569464544138929</v>
      </c>
      <c r="X1494" s="133">
        <v>0.60122227146556</v>
      </c>
      <c r="Y1494" s="135">
        <v>0.92</v>
      </c>
      <c r="Z1494" s="135" t="s">
        <v>35</v>
      </c>
      <c r="AA1494" s="135">
        <v>0</v>
      </c>
      <c r="AB1494" s="135" t="s">
        <v>35</v>
      </c>
      <c r="AC1494" s="135">
        <v>0.5</v>
      </c>
      <c r="AD1494" s="135">
        <v>0.92</v>
      </c>
      <c r="AE1494" s="133">
        <v>0.766666666666667</v>
      </c>
      <c r="AF1494" s="133">
        <v>0.882352941176471</v>
      </c>
      <c r="AG1494" s="133">
        <v>1</v>
      </c>
      <c r="AH1494" s="133">
        <v>0.870036101083033</v>
      </c>
      <c r="AI1494" s="135">
        <v>0.92</v>
      </c>
      <c r="AJ1494" s="133">
        <v>0.689473684210526</v>
      </c>
      <c r="AK1494" s="133">
        <v>0.795819935691318</v>
      </c>
      <c r="AL1494" s="133">
        <v>0.775928605885191</v>
      </c>
      <c r="AM1494" s="133">
        <v>0.804967930029155</v>
      </c>
      <c r="AN1494" s="132">
        <v>0.99</v>
      </c>
      <c r="AO1494" s="137">
        <v>1</v>
      </c>
      <c r="AP1494" s="137">
        <v>1</v>
      </c>
      <c r="AQ1494" s="137">
        <v>1</v>
      </c>
      <c r="AR1494" s="137">
        <v>1</v>
      </c>
      <c r="AS1494" s="158">
        <v>0.110069253262963</v>
      </c>
      <c r="AT1494" s="141">
        <v>0.0909090909090909</v>
      </c>
      <c r="AU1494" s="141">
        <v>0.107142857142857</v>
      </c>
      <c r="AV1494" s="141">
        <v>0.0833333333333333</v>
      </c>
      <c r="AW1494" s="141">
        <v>0.137226277372263</v>
      </c>
      <c r="AX1494" s="95"/>
      <c r="AY1494" s="93"/>
    </row>
    <row r="1495" ht="15" spans="1:51">
      <c r="A1495" s="91"/>
      <c r="B1495" s="95"/>
      <c r="C1495" s="152" t="s">
        <v>1455</v>
      </c>
      <c r="D1495" s="153" t="s">
        <v>25</v>
      </c>
      <c r="E1495" s="130" t="s">
        <v>1456</v>
      </c>
      <c r="F1495" s="171" t="s">
        <v>1527</v>
      </c>
      <c r="G1495" s="171" t="s">
        <v>1527</v>
      </c>
      <c r="H1495" s="171" t="s">
        <v>1527</v>
      </c>
      <c r="I1495" s="171" t="s">
        <v>1527</v>
      </c>
      <c r="J1495" s="132">
        <v>0.9</v>
      </c>
      <c r="K1495" s="133">
        <v>0.827586206896552</v>
      </c>
      <c r="L1495" s="133">
        <v>0.846153846153846</v>
      </c>
      <c r="M1495" s="134">
        <v>0.807692307692308</v>
      </c>
      <c r="N1495" s="133">
        <v>0.842829076620825</v>
      </c>
      <c r="O1495" s="135">
        <v>0.9</v>
      </c>
      <c r="P1495" s="133" t="s">
        <v>35</v>
      </c>
      <c r="Q1495" s="133" t="s">
        <v>35</v>
      </c>
      <c r="R1495" s="133" t="s">
        <v>35</v>
      </c>
      <c r="S1495" s="133">
        <v>0.5</v>
      </c>
      <c r="T1495" s="135">
        <v>0.9</v>
      </c>
      <c r="U1495" s="133" t="s">
        <v>35</v>
      </c>
      <c r="V1495" s="133" t="s">
        <v>35</v>
      </c>
      <c r="W1495" s="133" t="s">
        <v>35</v>
      </c>
      <c r="X1495" s="133">
        <v>0.25</v>
      </c>
      <c r="Y1495" s="135">
        <v>0.92</v>
      </c>
      <c r="Z1495" s="135" t="s">
        <v>35</v>
      </c>
      <c r="AA1495" s="135" t="s">
        <v>35</v>
      </c>
      <c r="AB1495" s="135" t="s">
        <v>35</v>
      </c>
      <c r="AC1495" s="135" t="s">
        <v>35</v>
      </c>
      <c r="AD1495" s="135">
        <v>0.92</v>
      </c>
      <c r="AE1495" s="133">
        <v>0</v>
      </c>
      <c r="AF1495" s="133" t="s">
        <v>35</v>
      </c>
      <c r="AG1495" s="133" t="s">
        <v>35</v>
      </c>
      <c r="AH1495" s="133">
        <v>0.181818181818182</v>
      </c>
      <c r="AI1495" s="135">
        <v>0.92</v>
      </c>
      <c r="AJ1495" s="133">
        <v>0.72463768115942</v>
      </c>
      <c r="AK1495" s="133">
        <v>0.693244065733414</v>
      </c>
      <c r="AL1495" s="133">
        <v>0.916890080428954</v>
      </c>
      <c r="AM1495" s="133">
        <v>0.789457899077754</v>
      </c>
      <c r="AN1495" s="132">
        <v>0.99</v>
      </c>
      <c r="AO1495" s="137" t="s">
        <v>35</v>
      </c>
      <c r="AP1495" s="137" t="s">
        <v>35</v>
      </c>
      <c r="AQ1495" s="137" t="s">
        <v>35</v>
      </c>
      <c r="AR1495" s="137" t="s">
        <v>35</v>
      </c>
      <c r="AS1495" s="158">
        <v>0.110069253262963</v>
      </c>
      <c r="AT1495" s="141">
        <v>0.227272727272727</v>
      </c>
      <c r="AU1495" s="141">
        <v>0.194444444444444</v>
      </c>
      <c r="AV1495" s="141">
        <v>0.148148148148148</v>
      </c>
      <c r="AW1495" s="141">
        <v>0.198589894242068</v>
      </c>
      <c r="AX1495" s="95"/>
      <c r="AY1495" s="93"/>
    </row>
    <row r="1496" ht="15" spans="1:51">
      <c r="A1496" s="91"/>
      <c r="B1496" s="95"/>
      <c r="C1496" s="152" t="s">
        <v>1455</v>
      </c>
      <c r="D1496" s="153" t="s">
        <v>25</v>
      </c>
      <c r="E1496" s="130" t="s">
        <v>1456</v>
      </c>
      <c r="F1496" s="171" t="s">
        <v>1528</v>
      </c>
      <c r="G1496" s="171" t="s">
        <v>1528</v>
      </c>
      <c r="H1496" s="171" t="s">
        <v>1528</v>
      </c>
      <c r="I1496" s="171" t="s">
        <v>1528</v>
      </c>
      <c r="J1496" s="132">
        <v>0.9</v>
      </c>
      <c r="K1496" s="133">
        <v>1</v>
      </c>
      <c r="L1496" s="133">
        <v>0.928571428571429</v>
      </c>
      <c r="M1496" s="134">
        <v>1</v>
      </c>
      <c r="N1496" s="133">
        <v>0.964285714285714</v>
      </c>
      <c r="O1496" s="135">
        <v>0.9</v>
      </c>
      <c r="P1496" s="133">
        <v>0.99662325132658</v>
      </c>
      <c r="Q1496" s="133">
        <v>0</v>
      </c>
      <c r="R1496" s="133">
        <v>0.714285714285714</v>
      </c>
      <c r="S1496" s="133">
        <v>0.991602971256325</v>
      </c>
      <c r="T1496" s="135">
        <v>0.9</v>
      </c>
      <c r="U1496" s="133">
        <v>0.710082006753497</v>
      </c>
      <c r="V1496" s="133">
        <v>0.75</v>
      </c>
      <c r="W1496" s="133">
        <v>0.380952380952381</v>
      </c>
      <c r="X1496" s="133">
        <v>0.786414038109592</v>
      </c>
      <c r="Y1496" s="135">
        <v>0.92</v>
      </c>
      <c r="Z1496" s="135">
        <v>0</v>
      </c>
      <c r="AA1496" s="135" t="s">
        <v>35</v>
      </c>
      <c r="AB1496" s="135" t="s">
        <v>35</v>
      </c>
      <c r="AC1496" s="135">
        <v>0</v>
      </c>
      <c r="AD1496" s="135">
        <v>0.92</v>
      </c>
      <c r="AE1496" s="133">
        <v>0.727272727272727</v>
      </c>
      <c r="AF1496" s="133">
        <v>0.923076923076923</v>
      </c>
      <c r="AG1496" s="133">
        <v>1</v>
      </c>
      <c r="AH1496" s="133">
        <v>0.905263157894737</v>
      </c>
      <c r="AI1496" s="135">
        <v>0.92</v>
      </c>
      <c r="AJ1496" s="133">
        <v>0.739937334297421</v>
      </c>
      <c r="AK1496" s="133">
        <v>0.176470588235294</v>
      </c>
      <c r="AL1496" s="133">
        <v>0.428571428571429</v>
      </c>
      <c r="AM1496" s="133">
        <v>0.818030943840677</v>
      </c>
      <c r="AN1496" s="132">
        <v>0.99</v>
      </c>
      <c r="AO1496" s="137">
        <v>1</v>
      </c>
      <c r="AP1496" s="137">
        <v>1</v>
      </c>
      <c r="AQ1496" s="137">
        <v>1</v>
      </c>
      <c r="AR1496" s="137">
        <v>1</v>
      </c>
      <c r="AS1496" s="158">
        <v>0.110069253262963</v>
      </c>
      <c r="AT1496" s="141">
        <v>0.222222222222222</v>
      </c>
      <c r="AU1496" s="141">
        <v>0.0265486725663717</v>
      </c>
      <c r="AV1496" s="141">
        <v>0.00793650793650794</v>
      </c>
      <c r="AW1496" s="141">
        <v>0.0936374549819928</v>
      </c>
      <c r="AX1496" s="95"/>
      <c r="AY1496" s="93"/>
    </row>
    <row r="1497" ht="15" spans="1:51">
      <c r="A1497" s="91"/>
      <c r="B1497" s="95"/>
      <c r="C1497" s="152" t="s">
        <v>1455</v>
      </c>
      <c r="D1497" s="153" t="s">
        <v>25</v>
      </c>
      <c r="E1497" s="130" t="s">
        <v>1456</v>
      </c>
      <c r="F1497" s="171" t="s">
        <v>1529</v>
      </c>
      <c r="G1497" s="171" t="s">
        <v>1529</v>
      </c>
      <c r="H1497" s="171" t="s">
        <v>1529</v>
      </c>
      <c r="I1497" s="171" t="s">
        <v>1529</v>
      </c>
      <c r="J1497" s="132">
        <v>0.9</v>
      </c>
      <c r="K1497" s="133">
        <v>0.421052631578947</v>
      </c>
      <c r="L1497" s="133">
        <v>0.653846153846154</v>
      </c>
      <c r="M1497" s="134">
        <v>0.5</v>
      </c>
      <c r="N1497" s="133">
        <v>0.591002044989775</v>
      </c>
      <c r="O1497" s="135">
        <v>0.9</v>
      </c>
      <c r="P1497" s="133">
        <v>0.897265336289726</v>
      </c>
      <c r="Q1497" s="133">
        <v>0.738518518518518</v>
      </c>
      <c r="R1497" s="133">
        <v>0.83638928067701</v>
      </c>
      <c r="S1497" s="133">
        <v>0.835598816517302</v>
      </c>
      <c r="T1497" s="135">
        <v>0.9</v>
      </c>
      <c r="U1497" s="133">
        <v>0.598669623059867</v>
      </c>
      <c r="V1497" s="133">
        <v>0.519259259259259</v>
      </c>
      <c r="W1497" s="133">
        <v>0.587447108603667</v>
      </c>
      <c r="X1497" s="133">
        <v>0.644719351657305</v>
      </c>
      <c r="Y1497" s="135">
        <v>0.92</v>
      </c>
      <c r="Z1497" s="135" t="s">
        <v>35</v>
      </c>
      <c r="AA1497" s="135" t="s">
        <v>35</v>
      </c>
      <c r="AB1497" s="135" t="s">
        <v>35</v>
      </c>
      <c r="AC1497" s="135" t="s">
        <v>35</v>
      </c>
      <c r="AD1497" s="135">
        <v>0.92</v>
      </c>
      <c r="AE1497" s="133">
        <v>1</v>
      </c>
      <c r="AF1497" s="133">
        <v>0.882352941176471</v>
      </c>
      <c r="AG1497" s="133">
        <v>0.964285714285714</v>
      </c>
      <c r="AH1497" s="133">
        <v>0.940803382663848</v>
      </c>
      <c r="AI1497" s="135">
        <v>0.92</v>
      </c>
      <c r="AJ1497" s="133">
        <v>0.715447154471545</v>
      </c>
      <c r="AK1497" s="133">
        <v>0.745185185185185</v>
      </c>
      <c r="AL1497" s="133">
        <v>0.759520451339915</v>
      </c>
      <c r="AM1497" s="133">
        <v>0.832425710732816</v>
      </c>
      <c r="AN1497" s="132">
        <v>0.99</v>
      </c>
      <c r="AO1497" s="137">
        <v>1</v>
      </c>
      <c r="AP1497" s="137">
        <v>1</v>
      </c>
      <c r="AQ1497" s="137">
        <v>1</v>
      </c>
      <c r="AR1497" s="137">
        <v>1</v>
      </c>
      <c r="AS1497" s="158">
        <v>0.110069253262963</v>
      </c>
      <c r="AT1497" s="141">
        <v>0.05</v>
      </c>
      <c r="AU1497" s="141">
        <v>0.0869565217391304</v>
      </c>
      <c r="AV1497" s="141">
        <v>0.0606060606060606</v>
      </c>
      <c r="AW1497" s="141">
        <v>0.0907335907335907</v>
      </c>
      <c r="AX1497" s="95"/>
      <c r="AY1497" s="93"/>
    </row>
    <row r="1498" ht="15" spans="1:51">
      <c r="A1498" s="91"/>
      <c r="B1498" s="95"/>
      <c r="C1498" s="152" t="s">
        <v>1455</v>
      </c>
      <c r="D1498" s="153" t="s">
        <v>25</v>
      </c>
      <c r="E1498" s="130" t="s">
        <v>1456</v>
      </c>
      <c r="F1498" s="171" t="s">
        <v>1530</v>
      </c>
      <c r="G1498" s="171" t="s">
        <v>1530</v>
      </c>
      <c r="H1498" s="171" t="s">
        <v>1530</v>
      </c>
      <c r="I1498" s="171" t="s">
        <v>1530</v>
      </c>
      <c r="J1498" s="132">
        <v>0.9</v>
      </c>
      <c r="K1498" s="133" t="s">
        <v>35</v>
      </c>
      <c r="L1498" s="133">
        <v>1</v>
      </c>
      <c r="M1498" s="134">
        <v>1</v>
      </c>
      <c r="N1498" s="133">
        <v>0.819767441860465</v>
      </c>
      <c r="O1498" s="135">
        <v>0.9</v>
      </c>
      <c r="P1498" s="133" t="s">
        <v>35</v>
      </c>
      <c r="Q1498" s="133" t="s">
        <v>35</v>
      </c>
      <c r="R1498" s="133" t="s">
        <v>35</v>
      </c>
      <c r="S1498" s="133">
        <v>0.111111111111111</v>
      </c>
      <c r="T1498" s="135">
        <v>0.9</v>
      </c>
      <c r="U1498" s="133" t="s">
        <v>35</v>
      </c>
      <c r="V1498" s="133" t="s">
        <v>35</v>
      </c>
      <c r="W1498" s="133" t="s">
        <v>35</v>
      </c>
      <c r="X1498" s="133">
        <v>0.037037037037037</v>
      </c>
      <c r="Y1498" s="135">
        <v>0.92</v>
      </c>
      <c r="Z1498" s="135" t="s">
        <v>35</v>
      </c>
      <c r="AA1498" s="135" t="s">
        <v>35</v>
      </c>
      <c r="AB1498" s="135" t="s">
        <v>35</v>
      </c>
      <c r="AC1498" s="135" t="s">
        <v>35</v>
      </c>
      <c r="AD1498" s="135">
        <v>0.92</v>
      </c>
      <c r="AE1498" s="133">
        <v>0</v>
      </c>
      <c r="AF1498" s="133">
        <v>1</v>
      </c>
      <c r="AG1498" s="133" t="s">
        <v>35</v>
      </c>
      <c r="AH1498" s="133">
        <v>0.577777777777778</v>
      </c>
      <c r="AI1498" s="135">
        <v>0.92</v>
      </c>
      <c r="AJ1498" s="133">
        <v>1</v>
      </c>
      <c r="AK1498" s="133">
        <v>0.724890829694323</v>
      </c>
      <c r="AL1498" s="133">
        <v>0.624349635796046</v>
      </c>
      <c r="AM1498" s="133">
        <v>0.36312557167124</v>
      </c>
      <c r="AN1498" s="132">
        <v>0.99</v>
      </c>
      <c r="AO1498" s="137">
        <v>1</v>
      </c>
      <c r="AP1498" s="137">
        <v>1</v>
      </c>
      <c r="AQ1498" s="137" t="s">
        <v>35</v>
      </c>
      <c r="AR1498" s="137">
        <v>1</v>
      </c>
      <c r="AS1498" s="158">
        <v>0.110069253262963</v>
      </c>
      <c r="AT1498" s="141">
        <v>5</v>
      </c>
      <c r="AU1498" s="141">
        <v>1.16666666666667</v>
      </c>
      <c r="AV1498" s="141">
        <v>0.0860215053763441</v>
      </c>
      <c r="AW1498" s="141">
        <v>0.132540356839422</v>
      </c>
      <c r="AX1498" s="95"/>
      <c r="AY1498" s="93"/>
    </row>
    <row r="1499" ht="15" spans="1:51">
      <c r="A1499" s="91"/>
      <c r="B1499" s="95"/>
      <c r="C1499" s="152" t="s">
        <v>1455</v>
      </c>
      <c r="D1499" s="153" t="s">
        <v>25</v>
      </c>
      <c r="E1499" s="130" t="s">
        <v>1456</v>
      </c>
      <c r="F1499" s="171" t="s">
        <v>1531</v>
      </c>
      <c r="G1499" s="171" t="s">
        <v>1531</v>
      </c>
      <c r="H1499" s="171" t="s">
        <v>1531</v>
      </c>
      <c r="I1499" s="171" t="s">
        <v>1531</v>
      </c>
      <c r="J1499" s="132">
        <v>0.9</v>
      </c>
      <c r="K1499" s="133">
        <v>1</v>
      </c>
      <c r="L1499" s="133">
        <v>0.75</v>
      </c>
      <c r="M1499" s="134" t="s">
        <v>35</v>
      </c>
      <c r="N1499" s="133">
        <v>0.967391304347826</v>
      </c>
      <c r="O1499" s="135">
        <v>0.9</v>
      </c>
      <c r="P1499" s="133" t="s">
        <v>35</v>
      </c>
      <c r="Q1499" s="133" t="s">
        <v>35</v>
      </c>
      <c r="R1499" s="133">
        <v>1</v>
      </c>
      <c r="S1499" s="133">
        <v>0.904761904761905</v>
      </c>
      <c r="T1499" s="135">
        <v>0.9</v>
      </c>
      <c r="U1499" s="133" t="s">
        <v>35</v>
      </c>
      <c r="V1499" s="133" t="s">
        <v>35</v>
      </c>
      <c r="W1499" s="133">
        <v>0.875</v>
      </c>
      <c r="X1499" s="133">
        <v>0.666666666666667</v>
      </c>
      <c r="Y1499" s="135">
        <v>0.92</v>
      </c>
      <c r="Z1499" s="135" t="s">
        <v>35</v>
      </c>
      <c r="AA1499" s="135" t="s">
        <v>35</v>
      </c>
      <c r="AB1499" s="135" t="s">
        <v>35</v>
      </c>
      <c r="AC1499" s="135" t="s">
        <v>35</v>
      </c>
      <c r="AD1499" s="135">
        <v>0.92</v>
      </c>
      <c r="AE1499" s="133">
        <v>0</v>
      </c>
      <c r="AF1499" s="133" t="s">
        <v>35</v>
      </c>
      <c r="AG1499" s="133" t="s">
        <v>35</v>
      </c>
      <c r="AH1499" s="133">
        <v>0.96</v>
      </c>
      <c r="AI1499" s="135">
        <v>0.92</v>
      </c>
      <c r="AJ1499" s="133">
        <v>1</v>
      </c>
      <c r="AK1499" s="133">
        <v>0.848281642917016</v>
      </c>
      <c r="AL1499" s="133">
        <v>0.397260273972603</v>
      </c>
      <c r="AM1499" s="133">
        <v>0.826238660153524</v>
      </c>
      <c r="AN1499" s="132">
        <v>0.99</v>
      </c>
      <c r="AO1499" s="137">
        <v>1</v>
      </c>
      <c r="AP1499" s="137" t="s">
        <v>35</v>
      </c>
      <c r="AQ1499" s="137" t="s">
        <v>35</v>
      </c>
      <c r="AR1499" s="137">
        <v>1</v>
      </c>
      <c r="AS1499" s="158">
        <v>0.110069253262963</v>
      </c>
      <c r="AT1499" s="141">
        <v>6</v>
      </c>
      <c r="AU1499" s="141">
        <v>0.666666666666667</v>
      </c>
      <c r="AV1499" s="141">
        <v>0.212121212121212</v>
      </c>
      <c r="AW1499" s="141">
        <v>0.135103926096998</v>
      </c>
      <c r="AX1499" s="95"/>
      <c r="AY1499" s="93"/>
    </row>
    <row r="1500" ht="15" spans="1:51">
      <c r="A1500" s="91"/>
      <c r="B1500" s="95"/>
      <c r="C1500" s="152" t="s">
        <v>1455</v>
      </c>
      <c r="D1500" s="153" t="s">
        <v>25</v>
      </c>
      <c r="E1500" s="130" t="s">
        <v>1456</v>
      </c>
      <c r="F1500" s="171" t="s">
        <v>1532</v>
      </c>
      <c r="G1500" s="171" t="s">
        <v>1532</v>
      </c>
      <c r="H1500" s="171" t="s">
        <v>1532</v>
      </c>
      <c r="I1500" s="171" t="s">
        <v>1532</v>
      </c>
      <c r="J1500" s="132">
        <v>0.9</v>
      </c>
      <c r="K1500" s="133">
        <v>0.583333333333333</v>
      </c>
      <c r="L1500" s="133">
        <v>0.583333333333333</v>
      </c>
      <c r="M1500" s="134">
        <v>0.714285714285714</v>
      </c>
      <c r="N1500" s="133">
        <v>0.669767441860465</v>
      </c>
      <c r="O1500" s="135">
        <v>0.9</v>
      </c>
      <c r="P1500" s="133">
        <v>1</v>
      </c>
      <c r="Q1500" s="133">
        <v>1</v>
      </c>
      <c r="R1500" s="133">
        <v>0.934934497816594</v>
      </c>
      <c r="S1500" s="133">
        <v>0.872555410691004</v>
      </c>
      <c r="T1500" s="135">
        <v>0.9</v>
      </c>
      <c r="U1500" s="133">
        <v>0.833333333333333</v>
      </c>
      <c r="V1500" s="133">
        <v>0.96551724137931</v>
      </c>
      <c r="W1500" s="133">
        <v>0.836681222707424</v>
      </c>
      <c r="X1500" s="133">
        <v>0.681986093003042</v>
      </c>
      <c r="Y1500" s="135">
        <v>0.92</v>
      </c>
      <c r="Z1500" s="135" t="s">
        <v>35</v>
      </c>
      <c r="AA1500" s="135" t="s">
        <v>35</v>
      </c>
      <c r="AB1500" s="135" t="s">
        <v>35</v>
      </c>
      <c r="AC1500" s="135" t="s">
        <v>35</v>
      </c>
      <c r="AD1500" s="135">
        <v>0.92</v>
      </c>
      <c r="AE1500" s="133" t="s">
        <v>35</v>
      </c>
      <c r="AF1500" s="133" t="s">
        <v>35</v>
      </c>
      <c r="AG1500" s="133" t="s">
        <v>35</v>
      </c>
      <c r="AH1500" s="133">
        <v>1</v>
      </c>
      <c r="AI1500" s="135">
        <v>0.92</v>
      </c>
      <c r="AJ1500" s="133">
        <v>0.833333333333333</v>
      </c>
      <c r="AK1500" s="133">
        <v>0.972413793103448</v>
      </c>
      <c r="AL1500" s="133">
        <v>0.881222707423581</v>
      </c>
      <c r="AM1500" s="133">
        <v>0.772297664312873</v>
      </c>
      <c r="AN1500" s="132">
        <v>0.99</v>
      </c>
      <c r="AO1500" s="137" t="s">
        <v>35</v>
      </c>
      <c r="AP1500" s="137" t="s">
        <v>35</v>
      </c>
      <c r="AQ1500" s="137" t="s">
        <v>35</v>
      </c>
      <c r="AR1500" s="137">
        <v>1</v>
      </c>
      <c r="AS1500" s="158">
        <v>0.110069253262963</v>
      </c>
      <c r="AT1500" s="141">
        <v>0.291666666666667</v>
      </c>
      <c r="AU1500" s="141">
        <v>2.63157894736842</v>
      </c>
      <c r="AV1500" s="141">
        <v>0.0465116279069767</v>
      </c>
      <c r="AW1500" s="141">
        <v>0.16283185840708</v>
      </c>
      <c r="AX1500" s="95"/>
      <c r="AY1500" s="93"/>
    </row>
    <row r="1501" ht="15" spans="1:51">
      <c r="A1501" s="91"/>
      <c r="B1501" s="95"/>
      <c r="C1501" s="152" t="s">
        <v>1455</v>
      </c>
      <c r="D1501" s="153" t="s">
        <v>25</v>
      </c>
      <c r="E1501" s="130" t="s">
        <v>1456</v>
      </c>
      <c r="F1501" s="171" t="s">
        <v>1533</v>
      </c>
      <c r="G1501" s="171" t="s">
        <v>1533</v>
      </c>
      <c r="H1501" s="171" t="s">
        <v>1533</v>
      </c>
      <c r="I1501" s="171" t="s">
        <v>1533</v>
      </c>
      <c r="J1501" s="132">
        <v>0.9</v>
      </c>
      <c r="K1501" s="133">
        <v>1</v>
      </c>
      <c r="L1501" s="133">
        <v>0.9</v>
      </c>
      <c r="M1501" s="134">
        <v>1</v>
      </c>
      <c r="N1501" s="133">
        <v>0.968253968253968</v>
      </c>
      <c r="O1501" s="135">
        <v>0.9</v>
      </c>
      <c r="P1501" s="133">
        <v>0.96551724137931</v>
      </c>
      <c r="Q1501" s="133">
        <v>0.977777777777778</v>
      </c>
      <c r="R1501" s="133">
        <v>0.869565217391304</v>
      </c>
      <c r="S1501" s="133">
        <v>0.987746563060371</v>
      </c>
      <c r="T1501" s="135">
        <v>0.9</v>
      </c>
      <c r="U1501" s="133">
        <v>0.96551724137931</v>
      </c>
      <c r="V1501" s="133">
        <v>1</v>
      </c>
      <c r="W1501" s="133">
        <v>0.956521739130435</v>
      </c>
      <c r="X1501" s="133">
        <v>0.396891811117753</v>
      </c>
      <c r="Y1501" s="135">
        <v>0.92</v>
      </c>
      <c r="Z1501" s="135" t="s">
        <v>35</v>
      </c>
      <c r="AA1501" s="135" t="s">
        <v>35</v>
      </c>
      <c r="AB1501" s="135" t="s">
        <v>35</v>
      </c>
      <c r="AC1501" s="135" t="s">
        <v>35</v>
      </c>
      <c r="AD1501" s="135">
        <v>0.92</v>
      </c>
      <c r="AE1501" s="133">
        <v>0</v>
      </c>
      <c r="AF1501" s="133">
        <v>1</v>
      </c>
      <c r="AG1501" s="133">
        <v>1</v>
      </c>
      <c r="AH1501" s="133">
        <v>0.96969696969697</v>
      </c>
      <c r="AI1501" s="135">
        <v>0.92</v>
      </c>
      <c r="AJ1501" s="133">
        <v>0.261904761904762</v>
      </c>
      <c r="AK1501" s="133">
        <v>0.96078431372549</v>
      </c>
      <c r="AL1501" s="133">
        <v>0.254980079681275</v>
      </c>
      <c r="AM1501" s="133">
        <v>0.384170330941912</v>
      </c>
      <c r="AN1501" s="132">
        <v>0.99</v>
      </c>
      <c r="AO1501" s="137" t="s">
        <v>35</v>
      </c>
      <c r="AP1501" s="137" t="s">
        <v>35</v>
      </c>
      <c r="AQ1501" s="137">
        <v>1</v>
      </c>
      <c r="AR1501" s="137">
        <v>1</v>
      </c>
      <c r="AS1501" s="158">
        <v>0.110069253262963</v>
      </c>
      <c r="AT1501" s="141">
        <v>0.0487804878048781</v>
      </c>
      <c r="AU1501" s="141">
        <v>0.0892857142857143</v>
      </c>
      <c r="AV1501" s="141">
        <v>0.107692307692308</v>
      </c>
      <c r="AW1501" s="141">
        <v>0.0824011931394482</v>
      </c>
      <c r="AX1501" s="95"/>
      <c r="AY1501" s="93"/>
    </row>
    <row r="1502" ht="15" spans="1:51">
      <c r="A1502" s="91"/>
      <c r="B1502" s="95"/>
      <c r="C1502" s="152" t="s">
        <v>1455</v>
      </c>
      <c r="D1502" s="153" t="s">
        <v>25</v>
      </c>
      <c r="E1502" s="130" t="s">
        <v>1456</v>
      </c>
      <c r="F1502" s="171" t="s">
        <v>1534</v>
      </c>
      <c r="G1502" s="171" t="s">
        <v>1534</v>
      </c>
      <c r="H1502" s="171" t="s">
        <v>1534</v>
      </c>
      <c r="I1502" s="171" t="s">
        <v>1534</v>
      </c>
      <c r="J1502" s="132">
        <v>0.9</v>
      </c>
      <c r="K1502" s="133">
        <v>0.666666666666667</v>
      </c>
      <c r="L1502" s="133">
        <v>0.9</v>
      </c>
      <c r="M1502" s="134">
        <v>0.8</v>
      </c>
      <c r="N1502" s="133">
        <v>0.714285714285714</v>
      </c>
      <c r="O1502" s="135">
        <v>0.9</v>
      </c>
      <c r="P1502" s="133" t="s">
        <v>35</v>
      </c>
      <c r="Q1502" s="133" t="s">
        <v>35</v>
      </c>
      <c r="R1502" s="133" t="s">
        <v>35</v>
      </c>
      <c r="S1502" s="133">
        <v>0</v>
      </c>
      <c r="T1502" s="135">
        <v>0.9</v>
      </c>
      <c r="U1502" s="133" t="s">
        <v>35</v>
      </c>
      <c r="V1502" s="133" t="s">
        <v>35</v>
      </c>
      <c r="W1502" s="133" t="s">
        <v>35</v>
      </c>
      <c r="X1502" s="133">
        <v>0</v>
      </c>
      <c r="Y1502" s="135">
        <v>0.92</v>
      </c>
      <c r="Z1502" s="135" t="s">
        <v>35</v>
      </c>
      <c r="AA1502" s="135" t="s">
        <v>35</v>
      </c>
      <c r="AB1502" s="135" t="s">
        <v>35</v>
      </c>
      <c r="AC1502" s="135" t="s">
        <v>35</v>
      </c>
      <c r="AD1502" s="135">
        <v>0.92</v>
      </c>
      <c r="AE1502" s="133">
        <v>0</v>
      </c>
      <c r="AF1502" s="133">
        <v>1</v>
      </c>
      <c r="AG1502" s="133" t="s">
        <v>35</v>
      </c>
      <c r="AH1502" s="133">
        <v>0.693877551020408</v>
      </c>
      <c r="AI1502" s="135">
        <v>0.92</v>
      </c>
      <c r="AJ1502" s="133">
        <v>0.511848341232227</v>
      </c>
      <c r="AK1502" s="133">
        <v>0.628070175438596</v>
      </c>
      <c r="AL1502" s="133">
        <v>0.705159705159705</v>
      </c>
      <c r="AM1502" s="133">
        <v>0.681953727506427</v>
      </c>
      <c r="AN1502" s="132">
        <v>0.99</v>
      </c>
      <c r="AO1502" s="137" t="s">
        <v>35</v>
      </c>
      <c r="AP1502" s="137" t="s">
        <v>35</v>
      </c>
      <c r="AQ1502" s="137" t="s">
        <v>35</v>
      </c>
      <c r="AR1502" s="137">
        <v>1</v>
      </c>
      <c r="AS1502" s="158">
        <v>0.110069253262963</v>
      </c>
      <c r="AT1502" s="141">
        <v>0.012987012987013</v>
      </c>
      <c r="AU1502" s="141">
        <v>0.307692307692308</v>
      </c>
      <c r="AV1502" s="141">
        <v>0.148148148148148</v>
      </c>
      <c r="AW1502" s="141">
        <v>0.101471727343145</v>
      </c>
      <c r="AX1502" s="95"/>
      <c r="AY1502" s="93"/>
    </row>
    <row r="1503" ht="15" spans="1:51">
      <c r="A1503" s="91"/>
      <c r="B1503" s="95"/>
      <c r="C1503" s="152" t="s">
        <v>1455</v>
      </c>
      <c r="D1503" s="153" t="s">
        <v>25</v>
      </c>
      <c r="E1503" s="130" t="s">
        <v>1456</v>
      </c>
      <c r="F1503" s="171" t="s">
        <v>1535</v>
      </c>
      <c r="G1503" s="171" t="s">
        <v>1535</v>
      </c>
      <c r="H1503" s="171" t="s">
        <v>1535</v>
      </c>
      <c r="I1503" s="171" t="s">
        <v>1535</v>
      </c>
      <c r="J1503" s="132">
        <v>0.9</v>
      </c>
      <c r="K1503" s="133">
        <v>0.923076923076923</v>
      </c>
      <c r="L1503" s="133">
        <v>0.823529411764706</v>
      </c>
      <c r="M1503" s="134">
        <v>0.923076923076923</v>
      </c>
      <c r="N1503" s="133">
        <v>0.844202898550725</v>
      </c>
      <c r="O1503" s="135">
        <v>0.9</v>
      </c>
      <c r="P1503" s="133" t="s">
        <v>35</v>
      </c>
      <c r="Q1503" s="133" t="s">
        <v>35</v>
      </c>
      <c r="R1503" s="133" t="s">
        <v>35</v>
      </c>
      <c r="S1503" s="133">
        <v>0.0344827586206897</v>
      </c>
      <c r="T1503" s="135">
        <v>0.9</v>
      </c>
      <c r="U1503" s="133" t="s">
        <v>35</v>
      </c>
      <c r="V1503" s="133" t="s">
        <v>35</v>
      </c>
      <c r="W1503" s="133" t="s">
        <v>35</v>
      </c>
      <c r="X1503" s="133">
        <v>0</v>
      </c>
      <c r="Y1503" s="135">
        <v>0.92</v>
      </c>
      <c r="Z1503" s="135" t="s">
        <v>35</v>
      </c>
      <c r="AA1503" s="135" t="s">
        <v>35</v>
      </c>
      <c r="AB1503" s="135" t="s">
        <v>35</v>
      </c>
      <c r="AC1503" s="135" t="s">
        <v>35</v>
      </c>
      <c r="AD1503" s="135">
        <v>0.92</v>
      </c>
      <c r="AE1503" s="133">
        <v>0.7</v>
      </c>
      <c r="AF1503" s="133">
        <v>1</v>
      </c>
      <c r="AG1503" s="133">
        <v>1</v>
      </c>
      <c r="AH1503" s="133">
        <v>0.789473684210526</v>
      </c>
      <c r="AI1503" s="135">
        <v>0.92</v>
      </c>
      <c r="AJ1503" s="133">
        <v>0.52673950546291</v>
      </c>
      <c r="AK1503" s="133">
        <v>1</v>
      </c>
      <c r="AL1503" s="133">
        <v>0.955497382198953</v>
      </c>
      <c r="AM1503" s="133">
        <v>0.838237011091652</v>
      </c>
      <c r="AN1503" s="132">
        <v>0.99</v>
      </c>
      <c r="AO1503" s="137">
        <v>1</v>
      </c>
      <c r="AP1503" s="137">
        <v>1</v>
      </c>
      <c r="AQ1503" s="137">
        <v>1</v>
      </c>
      <c r="AR1503" s="137">
        <v>1</v>
      </c>
      <c r="AS1503" s="158">
        <v>0.110069253262963</v>
      </c>
      <c r="AT1503" s="141">
        <v>0.866666666666667</v>
      </c>
      <c r="AU1503" s="141">
        <v>0.477272727272727</v>
      </c>
      <c r="AV1503" s="141">
        <v>0.0394736842105263</v>
      </c>
      <c r="AW1503" s="141">
        <v>0.122623574144487</v>
      </c>
      <c r="AX1503" s="95"/>
      <c r="AY1503" s="93"/>
    </row>
    <row r="1504" ht="15" spans="1:51">
      <c r="A1504" s="91"/>
      <c r="B1504" s="95"/>
      <c r="C1504" s="152" t="s">
        <v>1455</v>
      </c>
      <c r="D1504" s="153" t="s">
        <v>25</v>
      </c>
      <c r="E1504" s="130" t="s">
        <v>1456</v>
      </c>
      <c r="F1504" s="171" t="s">
        <v>1536</v>
      </c>
      <c r="G1504" s="171" t="s">
        <v>1536</v>
      </c>
      <c r="H1504" s="171" t="s">
        <v>1536</v>
      </c>
      <c r="I1504" s="171" t="s">
        <v>1536</v>
      </c>
      <c r="J1504" s="132">
        <v>0.9</v>
      </c>
      <c r="K1504" s="133">
        <v>1</v>
      </c>
      <c r="L1504" s="133">
        <v>1</v>
      </c>
      <c r="M1504" s="134" t="s">
        <v>35</v>
      </c>
      <c r="N1504" s="133">
        <v>0.974358974358974</v>
      </c>
      <c r="O1504" s="135">
        <v>0.9</v>
      </c>
      <c r="P1504" s="133">
        <v>0.909090909090909</v>
      </c>
      <c r="Q1504" s="133">
        <v>0.92</v>
      </c>
      <c r="R1504" s="133">
        <v>0.444444444444444</v>
      </c>
      <c r="S1504" s="133">
        <v>0.58494271685761</v>
      </c>
      <c r="T1504" s="135">
        <v>0.9</v>
      </c>
      <c r="U1504" s="133">
        <v>0.909090909090909</v>
      </c>
      <c r="V1504" s="133">
        <v>0.92</v>
      </c>
      <c r="W1504" s="133">
        <v>0.388888888888889</v>
      </c>
      <c r="X1504" s="133">
        <v>0.594762684124386</v>
      </c>
      <c r="Y1504" s="135">
        <v>0.92</v>
      </c>
      <c r="Z1504" s="135" t="s">
        <v>35</v>
      </c>
      <c r="AA1504" s="135" t="s">
        <v>35</v>
      </c>
      <c r="AB1504" s="135" t="s">
        <v>35</v>
      </c>
      <c r="AC1504" s="135" t="s">
        <v>35</v>
      </c>
      <c r="AD1504" s="135">
        <v>0.92</v>
      </c>
      <c r="AE1504" s="133">
        <v>1</v>
      </c>
      <c r="AF1504" s="133">
        <v>0.9</v>
      </c>
      <c r="AG1504" s="133" t="s">
        <v>35</v>
      </c>
      <c r="AH1504" s="133">
        <v>0.98936170212766</v>
      </c>
      <c r="AI1504" s="135">
        <v>0.92</v>
      </c>
      <c r="AJ1504" s="133">
        <v>0.909090909090909</v>
      </c>
      <c r="AK1504" s="133">
        <v>0.92</v>
      </c>
      <c r="AL1504" s="133">
        <v>0.388888888888889</v>
      </c>
      <c r="AM1504" s="133">
        <v>0.614729950900164</v>
      </c>
      <c r="AN1504" s="132">
        <v>0.99</v>
      </c>
      <c r="AO1504" s="137" t="s">
        <v>35</v>
      </c>
      <c r="AP1504" s="137" t="s">
        <v>35</v>
      </c>
      <c r="AQ1504" s="137">
        <v>1</v>
      </c>
      <c r="AR1504" s="137">
        <v>1</v>
      </c>
      <c r="AS1504" s="158">
        <v>0.110069253262963</v>
      </c>
      <c r="AT1504" s="141">
        <v>0</v>
      </c>
      <c r="AU1504" s="141">
        <v>0.05</v>
      </c>
      <c r="AV1504" s="141">
        <v>0</v>
      </c>
      <c r="AW1504" s="141">
        <v>0.0365853658536585</v>
      </c>
      <c r="AX1504" s="95"/>
      <c r="AY1504" s="93"/>
    </row>
    <row r="1505" ht="15" spans="1:51">
      <c r="A1505" s="91"/>
      <c r="B1505" s="95"/>
      <c r="C1505" s="152" t="s">
        <v>1455</v>
      </c>
      <c r="D1505" s="153" t="s">
        <v>25</v>
      </c>
      <c r="E1505" s="130" t="s">
        <v>1456</v>
      </c>
      <c r="F1505" s="171" t="s">
        <v>1537</v>
      </c>
      <c r="G1505" s="171" t="s">
        <v>1537</v>
      </c>
      <c r="H1505" s="171" t="s">
        <v>1537</v>
      </c>
      <c r="I1505" s="171" t="s">
        <v>1537</v>
      </c>
      <c r="J1505" s="132">
        <v>0.9</v>
      </c>
      <c r="K1505" s="133">
        <v>0.625</v>
      </c>
      <c r="L1505" s="133">
        <v>0.611111111111111</v>
      </c>
      <c r="M1505" s="134">
        <v>0.6</v>
      </c>
      <c r="N1505" s="133">
        <v>0.550335570469799</v>
      </c>
      <c r="O1505" s="135">
        <v>0.9</v>
      </c>
      <c r="P1505" s="133" t="s">
        <v>35</v>
      </c>
      <c r="Q1505" s="133" t="s">
        <v>35</v>
      </c>
      <c r="R1505" s="133" t="s">
        <v>35</v>
      </c>
      <c r="S1505" s="133">
        <v>0.2</v>
      </c>
      <c r="T1505" s="135">
        <v>0.9</v>
      </c>
      <c r="U1505" s="133" t="s">
        <v>35</v>
      </c>
      <c r="V1505" s="133" t="s">
        <v>35</v>
      </c>
      <c r="W1505" s="133" t="s">
        <v>35</v>
      </c>
      <c r="X1505" s="133">
        <v>0.0666666666666667</v>
      </c>
      <c r="Y1505" s="135">
        <v>0.92</v>
      </c>
      <c r="Z1505" s="135" t="s">
        <v>35</v>
      </c>
      <c r="AA1505" s="135" t="s">
        <v>35</v>
      </c>
      <c r="AB1505" s="135" t="s">
        <v>35</v>
      </c>
      <c r="AC1505" s="135" t="s">
        <v>35</v>
      </c>
      <c r="AD1505" s="135">
        <v>0.92</v>
      </c>
      <c r="AE1505" s="133">
        <v>0</v>
      </c>
      <c r="AF1505" s="133">
        <v>0</v>
      </c>
      <c r="AG1505" s="133">
        <v>0</v>
      </c>
      <c r="AH1505" s="133">
        <v>0.146596858638743</v>
      </c>
      <c r="AI1505" s="135">
        <v>0.92</v>
      </c>
      <c r="AJ1505" s="133">
        <v>0.758687258687259</v>
      </c>
      <c r="AK1505" s="133">
        <v>0.749601275917065</v>
      </c>
      <c r="AL1505" s="133">
        <v>0.783645655877342</v>
      </c>
      <c r="AM1505" s="133">
        <v>0.756352390504848</v>
      </c>
      <c r="AN1505" s="132">
        <v>0.99</v>
      </c>
      <c r="AO1505" s="137" t="s">
        <v>35</v>
      </c>
      <c r="AP1505" s="137">
        <v>1</v>
      </c>
      <c r="AQ1505" s="137" t="s">
        <v>35</v>
      </c>
      <c r="AR1505" s="137">
        <v>1</v>
      </c>
      <c r="AS1505" s="158">
        <v>0.110069253262963</v>
      </c>
      <c r="AT1505" s="141">
        <v>0.333333333333333</v>
      </c>
      <c r="AU1505" s="141">
        <v>0</v>
      </c>
      <c r="AV1505" s="141">
        <v>0</v>
      </c>
      <c r="AW1505" s="141">
        <v>0.11587982832618</v>
      </c>
      <c r="AX1505" s="95"/>
      <c r="AY1505" s="93"/>
    </row>
    <row r="1506" ht="15" spans="1:51">
      <c r="A1506" s="91"/>
      <c r="B1506" s="95"/>
      <c r="C1506" s="152" t="s">
        <v>1455</v>
      </c>
      <c r="D1506" s="153" t="s">
        <v>25</v>
      </c>
      <c r="E1506" s="130" t="s">
        <v>1456</v>
      </c>
      <c r="F1506" s="171" t="s">
        <v>1538</v>
      </c>
      <c r="G1506" s="171" t="s">
        <v>1538</v>
      </c>
      <c r="H1506" s="171" t="s">
        <v>1538</v>
      </c>
      <c r="I1506" s="171" t="s">
        <v>1538</v>
      </c>
      <c r="J1506" s="132">
        <v>0.9</v>
      </c>
      <c r="K1506" s="133">
        <v>1</v>
      </c>
      <c r="L1506" s="133">
        <v>0.9</v>
      </c>
      <c r="M1506" s="134">
        <v>0.95</v>
      </c>
      <c r="N1506" s="133">
        <v>0.95049504950495</v>
      </c>
      <c r="O1506" s="135">
        <v>0.9</v>
      </c>
      <c r="P1506" s="133">
        <v>0.995412844036697</v>
      </c>
      <c r="Q1506" s="133">
        <v>0.997991967871486</v>
      </c>
      <c r="R1506" s="133">
        <v>0.99896265560166</v>
      </c>
      <c r="S1506" s="133">
        <v>0.57660626029654</v>
      </c>
      <c r="T1506" s="135">
        <v>0.9</v>
      </c>
      <c r="U1506" s="133">
        <v>0.944954128440367</v>
      </c>
      <c r="V1506" s="133">
        <v>0.79718875502008</v>
      </c>
      <c r="W1506" s="133">
        <v>0.633817427385892</v>
      </c>
      <c r="X1506" s="133">
        <v>0.503164831353507</v>
      </c>
      <c r="Y1506" s="135">
        <v>0.92</v>
      </c>
      <c r="Z1506" s="135" t="s">
        <v>35</v>
      </c>
      <c r="AA1506" s="135" t="s">
        <v>35</v>
      </c>
      <c r="AB1506" s="135" t="s">
        <v>35</v>
      </c>
      <c r="AC1506" s="135" t="s">
        <v>35</v>
      </c>
      <c r="AD1506" s="135">
        <v>0.92</v>
      </c>
      <c r="AE1506" s="133">
        <v>0.911111111111111</v>
      </c>
      <c r="AF1506" s="133">
        <v>1</v>
      </c>
      <c r="AG1506" s="133">
        <v>1</v>
      </c>
      <c r="AH1506" s="133">
        <v>0.978540772532189</v>
      </c>
      <c r="AI1506" s="135">
        <v>0.92</v>
      </c>
      <c r="AJ1506" s="133">
        <v>0.990825688073395</v>
      </c>
      <c r="AK1506" s="133">
        <v>0.885542168674699</v>
      </c>
      <c r="AL1506" s="133">
        <v>0.685684647302905</v>
      </c>
      <c r="AM1506" s="133">
        <v>0.546214121823456</v>
      </c>
      <c r="AN1506" s="132">
        <v>0.99</v>
      </c>
      <c r="AO1506" s="137">
        <v>1</v>
      </c>
      <c r="AP1506" s="137">
        <v>1</v>
      </c>
      <c r="AQ1506" s="137" t="s">
        <v>35</v>
      </c>
      <c r="AR1506" s="137">
        <v>1</v>
      </c>
      <c r="AS1506" s="158">
        <v>0.110069253262963</v>
      </c>
      <c r="AT1506" s="141">
        <v>1</v>
      </c>
      <c r="AU1506" s="141">
        <v>0.117647058823529</v>
      </c>
      <c r="AV1506" s="141">
        <v>0.152777777777778</v>
      </c>
      <c r="AW1506" s="141">
        <v>0.150499286733238</v>
      </c>
      <c r="AX1506" s="95"/>
      <c r="AY1506" s="93"/>
    </row>
    <row r="1507" ht="15" spans="1:51">
      <c r="A1507" s="91"/>
      <c r="B1507" s="95"/>
      <c r="C1507" s="152" t="s">
        <v>1455</v>
      </c>
      <c r="D1507" s="153" t="s">
        <v>25</v>
      </c>
      <c r="E1507" s="130" t="s">
        <v>1456</v>
      </c>
      <c r="F1507" s="171" t="s">
        <v>1539</v>
      </c>
      <c r="G1507" s="171" t="s">
        <v>1539</v>
      </c>
      <c r="H1507" s="171" t="s">
        <v>1539</v>
      </c>
      <c r="I1507" s="171" t="s">
        <v>1539</v>
      </c>
      <c r="J1507" s="132">
        <v>0.9</v>
      </c>
      <c r="K1507" s="133">
        <v>0.583333333333333</v>
      </c>
      <c r="L1507" s="133">
        <v>0.6</v>
      </c>
      <c r="M1507" s="134">
        <v>0.75</v>
      </c>
      <c r="N1507" s="133">
        <v>0.701570680628272</v>
      </c>
      <c r="O1507" s="135">
        <v>0.9</v>
      </c>
      <c r="P1507" s="133">
        <v>0.5</v>
      </c>
      <c r="Q1507" s="133" t="s">
        <v>35</v>
      </c>
      <c r="R1507" s="133" t="s">
        <v>35</v>
      </c>
      <c r="S1507" s="133">
        <v>0.125</v>
      </c>
      <c r="T1507" s="135">
        <v>0.9</v>
      </c>
      <c r="U1507" s="133">
        <v>0.5</v>
      </c>
      <c r="V1507" s="133" t="s">
        <v>35</v>
      </c>
      <c r="W1507" s="133" t="s">
        <v>35</v>
      </c>
      <c r="X1507" s="133">
        <v>0.125</v>
      </c>
      <c r="Y1507" s="135">
        <v>0.92</v>
      </c>
      <c r="Z1507" s="135" t="s">
        <v>35</v>
      </c>
      <c r="AA1507" s="135" t="s">
        <v>35</v>
      </c>
      <c r="AB1507" s="135" t="s">
        <v>35</v>
      </c>
      <c r="AC1507" s="135">
        <v>0</v>
      </c>
      <c r="AD1507" s="135">
        <v>0.92</v>
      </c>
      <c r="AE1507" s="133">
        <v>0</v>
      </c>
      <c r="AF1507" s="133">
        <v>0</v>
      </c>
      <c r="AG1507" s="133">
        <v>0.5</v>
      </c>
      <c r="AH1507" s="133">
        <v>0.194029850746269</v>
      </c>
      <c r="AI1507" s="135">
        <v>0.92</v>
      </c>
      <c r="AJ1507" s="133">
        <v>0.846153846153846</v>
      </c>
      <c r="AK1507" s="133">
        <v>0.25</v>
      </c>
      <c r="AL1507" s="133">
        <v>0.459558823529412</v>
      </c>
      <c r="AM1507" s="133">
        <v>0.264105642256903</v>
      </c>
      <c r="AN1507" s="132">
        <v>0.99</v>
      </c>
      <c r="AO1507" s="137" t="s">
        <v>35</v>
      </c>
      <c r="AP1507" s="137" t="s">
        <v>35</v>
      </c>
      <c r="AQ1507" s="137" t="s">
        <v>35</v>
      </c>
      <c r="AR1507" s="137">
        <v>1</v>
      </c>
      <c r="AS1507" s="158">
        <v>0.110069253262963</v>
      </c>
      <c r="AT1507" s="141">
        <v>0.0862068965517241</v>
      </c>
      <c r="AU1507" s="141">
        <v>0.555555555555556</v>
      </c>
      <c r="AV1507" s="141">
        <v>0.285714285714286</v>
      </c>
      <c r="AW1507" s="141">
        <v>0.0715287517531557</v>
      </c>
      <c r="AX1507" s="95"/>
      <c r="AY1507" s="93"/>
    </row>
    <row r="1508" ht="15" spans="1:51">
      <c r="A1508" s="91"/>
      <c r="B1508" s="95"/>
      <c r="C1508" s="152" t="s">
        <v>1455</v>
      </c>
      <c r="D1508" s="153" t="s">
        <v>25</v>
      </c>
      <c r="E1508" s="130" t="s">
        <v>1456</v>
      </c>
      <c r="F1508" s="171" t="s">
        <v>1540</v>
      </c>
      <c r="G1508" s="171" t="s">
        <v>1540</v>
      </c>
      <c r="H1508" s="171" t="s">
        <v>1540</v>
      </c>
      <c r="I1508" s="171" t="s">
        <v>1540</v>
      </c>
      <c r="J1508" s="132">
        <v>0.9</v>
      </c>
      <c r="K1508" s="133">
        <v>0.962962962962963</v>
      </c>
      <c r="L1508" s="133">
        <v>1</v>
      </c>
      <c r="M1508" s="134">
        <v>1</v>
      </c>
      <c r="N1508" s="133">
        <v>0.992141453831041</v>
      </c>
      <c r="O1508" s="135">
        <v>0.9</v>
      </c>
      <c r="P1508" s="133">
        <v>0.963636363636364</v>
      </c>
      <c r="Q1508" s="133">
        <v>0.978971962616822</v>
      </c>
      <c r="R1508" s="133">
        <v>0.956183745583039</v>
      </c>
      <c r="S1508" s="133">
        <v>0.966865721157834</v>
      </c>
      <c r="T1508" s="135">
        <v>0.9</v>
      </c>
      <c r="U1508" s="133">
        <v>0.766115702479339</v>
      </c>
      <c r="V1508" s="133">
        <v>0.7398753894081</v>
      </c>
      <c r="W1508" s="133">
        <v>0.700353356890459</v>
      </c>
      <c r="X1508" s="133">
        <v>0.714481214232396</v>
      </c>
      <c r="Y1508" s="135">
        <v>0.92</v>
      </c>
      <c r="Z1508" s="135">
        <v>0.533073929961089</v>
      </c>
      <c r="AA1508" s="135">
        <v>0.691867124856816</v>
      </c>
      <c r="AB1508" s="135">
        <v>0.794941282746161</v>
      </c>
      <c r="AC1508" s="135">
        <v>0.785735887096774</v>
      </c>
      <c r="AD1508" s="135">
        <v>0.92</v>
      </c>
      <c r="AE1508" s="133">
        <v>0.979166666666667</v>
      </c>
      <c r="AF1508" s="133">
        <v>0.973684210526316</v>
      </c>
      <c r="AG1508" s="133">
        <v>1</v>
      </c>
      <c r="AH1508" s="133">
        <v>0.919496855345912</v>
      </c>
      <c r="AI1508" s="135">
        <v>0.92</v>
      </c>
      <c r="AJ1508" s="133">
        <v>0.815950920245399</v>
      </c>
      <c r="AK1508" s="133">
        <v>0.817802503477051</v>
      </c>
      <c r="AL1508" s="133">
        <v>0.848196591359493</v>
      </c>
      <c r="AM1508" s="133">
        <v>0.852652169957238</v>
      </c>
      <c r="AN1508" s="132">
        <v>0.99</v>
      </c>
      <c r="AO1508" s="137">
        <v>1</v>
      </c>
      <c r="AP1508" s="137">
        <v>1</v>
      </c>
      <c r="AQ1508" s="137">
        <v>1</v>
      </c>
      <c r="AR1508" s="137">
        <v>1</v>
      </c>
      <c r="AS1508" s="158">
        <v>0.110069253262963</v>
      </c>
      <c r="AT1508" s="141">
        <v>0.142857142857143</v>
      </c>
      <c r="AU1508" s="141">
        <v>0</v>
      </c>
      <c r="AV1508" s="141">
        <v>0.0666666666666667</v>
      </c>
      <c r="AW1508" s="141">
        <v>0.115577889447236</v>
      </c>
      <c r="AX1508" s="95"/>
      <c r="AY1508" s="93"/>
    </row>
    <row r="1509" ht="15" spans="1:51">
      <c r="A1509" s="91"/>
      <c r="B1509" s="95"/>
      <c r="C1509" s="152" t="s">
        <v>1455</v>
      </c>
      <c r="D1509" s="153" t="s">
        <v>25</v>
      </c>
      <c r="E1509" s="130" t="s">
        <v>1456</v>
      </c>
      <c r="F1509" s="171" t="s">
        <v>1541</v>
      </c>
      <c r="G1509" s="171" t="s">
        <v>1541</v>
      </c>
      <c r="H1509" s="171" t="s">
        <v>1541</v>
      </c>
      <c r="I1509" s="171" t="s">
        <v>1541</v>
      </c>
      <c r="J1509" s="132">
        <v>0.9</v>
      </c>
      <c r="K1509" s="133">
        <v>0.958333333333333</v>
      </c>
      <c r="L1509" s="133">
        <v>1</v>
      </c>
      <c r="M1509" s="134">
        <v>0.954545454545455</v>
      </c>
      <c r="N1509" s="133">
        <v>0.985943775100402</v>
      </c>
      <c r="O1509" s="135">
        <v>0.9</v>
      </c>
      <c r="P1509" s="133">
        <v>0.977316416762784</v>
      </c>
      <c r="Q1509" s="133">
        <v>0.963123644251627</v>
      </c>
      <c r="R1509" s="133">
        <v>0.991755005889282</v>
      </c>
      <c r="S1509" s="133">
        <v>0.968744123067665</v>
      </c>
      <c r="T1509" s="135">
        <v>0.9</v>
      </c>
      <c r="U1509" s="133">
        <v>0.696270665128797</v>
      </c>
      <c r="V1509" s="133">
        <v>0.678958785249458</v>
      </c>
      <c r="W1509" s="133">
        <v>0.756183745583039</v>
      </c>
      <c r="X1509" s="133">
        <v>0.821792605408658</v>
      </c>
      <c r="Y1509" s="135">
        <v>0.92</v>
      </c>
      <c r="Z1509" s="135" t="s">
        <v>35</v>
      </c>
      <c r="AA1509" s="135" t="s">
        <v>35</v>
      </c>
      <c r="AB1509" s="135" t="s">
        <v>35</v>
      </c>
      <c r="AC1509" s="135" t="s">
        <v>35</v>
      </c>
      <c r="AD1509" s="135">
        <v>0.92</v>
      </c>
      <c r="AE1509" s="133">
        <v>1</v>
      </c>
      <c r="AF1509" s="133">
        <v>1</v>
      </c>
      <c r="AG1509" s="133">
        <v>0.984615384615385</v>
      </c>
      <c r="AH1509" s="133">
        <v>0.988909426987061</v>
      </c>
      <c r="AI1509" s="135">
        <v>0.92</v>
      </c>
      <c r="AJ1509" s="133">
        <v>0.87120338331411</v>
      </c>
      <c r="AK1509" s="133">
        <v>0.921908893709328</v>
      </c>
      <c r="AL1509" s="133">
        <v>0.88339222614841</v>
      </c>
      <c r="AM1509" s="133">
        <v>0.937864369804792</v>
      </c>
      <c r="AN1509" s="132">
        <v>0.99</v>
      </c>
      <c r="AO1509" s="137">
        <v>1</v>
      </c>
      <c r="AP1509" s="137">
        <v>1</v>
      </c>
      <c r="AQ1509" s="137">
        <v>1</v>
      </c>
      <c r="AR1509" s="137">
        <v>1</v>
      </c>
      <c r="AS1509" s="158">
        <v>0.110069253262963</v>
      </c>
      <c r="AT1509" s="141">
        <v>0</v>
      </c>
      <c r="AU1509" s="141">
        <v>0.0555555555555556</v>
      </c>
      <c r="AV1509" s="141">
        <v>0</v>
      </c>
      <c r="AW1509" s="141">
        <v>0.056657223796034</v>
      </c>
      <c r="AX1509" s="95"/>
      <c r="AY1509" s="93"/>
    </row>
    <row r="1510" ht="15" spans="1:51">
      <c r="A1510" s="91"/>
      <c r="B1510" s="95"/>
      <c r="C1510" s="152" t="s">
        <v>1455</v>
      </c>
      <c r="D1510" s="153" t="s">
        <v>25</v>
      </c>
      <c r="E1510" s="130" t="s">
        <v>1456</v>
      </c>
      <c r="F1510" s="171" t="s">
        <v>1542</v>
      </c>
      <c r="G1510" s="171" t="s">
        <v>1542</v>
      </c>
      <c r="H1510" s="171" t="s">
        <v>1542</v>
      </c>
      <c r="I1510" s="171" t="s">
        <v>1542</v>
      </c>
      <c r="J1510" s="132">
        <v>0.9</v>
      </c>
      <c r="K1510" s="133">
        <v>1</v>
      </c>
      <c r="L1510" s="133">
        <v>0.961538461538462</v>
      </c>
      <c r="M1510" s="134">
        <v>0.928571428571429</v>
      </c>
      <c r="N1510" s="133">
        <v>0.979674796747967</v>
      </c>
      <c r="O1510" s="135">
        <v>0.9</v>
      </c>
      <c r="P1510" s="133">
        <v>0.98426435877262</v>
      </c>
      <c r="Q1510" s="133">
        <v>0.858744394618834</v>
      </c>
      <c r="R1510" s="133">
        <v>0.936428571428571</v>
      </c>
      <c r="S1510" s="133">
        <v>0.954707477721813</v>
      </c>
      <c r="T1510" s="135">
        <v>0.9</v>
      </c>
      <c r="U1510" s="133">
        <v>0.725413060582219</v>
      </c>
      <c r="V1510" s="133">
        <v>0.701793721973094</v>
      </c>
      <c r="W1510" s="133">
        <v>0.672142857142857</v>
      </c>
      <c r="X1510" s="133">
        <v>0.696203022084463</v>
      </c>
      <c r="Y1510" s="135">
        <v>0.92</v>
      </c>
      <c r="Z1510" s="135">
        <v>0.757246376811594</v>
      </c>
      <c r="AA1510" s="135">
        <v>0.754248366013072</v>
      </c>
      <c r="AB1510" s="135">
        <v>0.730297723292469</v>
      </c>
      <c r="AC1510" s="135">
        <v>0.83581541688516</v>
      </c>
      <c r="AD1510" s="135">
        <v>0.92</v>
      </c>
      <c r="AE1510" s="133">
        <v>1</v>
      </c>
      <c r="AF1510" s="133">
        <v>1</v>
      </c>
      <c r="AG1510" s="133">
        <v>1</v>
      </c>
      <c r="AH1510" s="133">
        <v>0.996543778801843</v>
      </c>
      <c r="AI1510" s="135">
        <v>0.92</v>
      </c>
      <c r="AJ1510" s="133">
        <v>0.875888817065288</v>
      </c>
      <c r="AK1510" s="133">
        <v>0.88112220637185</v>
      </c>
      <c r="AL1510" s="133">
        <v>0.801337529504327</v>
      </c>
      <c r="AM1510" s="133">
        <v>0.889933603671851</v>
      </c>
      <c r="AN1510" s="132">
        <v>0.99</v>
      </c>
      <c r="AO1510" s="137">
        <v>1</v>
      </c>
      <c r="AP1510" s="137">
        <v>1</v>
      </c>
      <c r="AQ1510" s="137">
        <v>1</v>
      </c>
      <c r="AR1510" s="137">
        <v>1</v>
      </c>
      <c r="AS1510" s="158">
        <v>0.110069253262963</v>
      </c>
      <c r="AT1510" s="141">
        <v>0</v>
      </c>
      <c r="AU1510" s="141">
        <v>0</v>
      </c>
      <c r="AV1510" s="141">
        <v>0</v>
      </c>
      <c r="AW1510" s="141">
        <v>0.0394736842105263</v>
      </c>
      <c r="AX1510" s="95"/>
      <c r="AY1510" s="93"/>
    </row>
    <row r="1511" ht="15" spans="1:51">
      <c r="A1511" s="91"/>
      <c r="B1511" s="95"/>
      <c r="C1511" s="152" t="s">
        <v>1455</v>
      </c>
      <c r="D1511" s="153" t="s">
        <v>25</v>
      </c>
      <c r="E1511" s="130" t="s">
        <v>1456</v>
      </c>
      <c r="F1511" s="171" t="s">
        <v>1543</v>
      </c>
      <c r="G1511" s="171" t="s">
        <v>1543</v>
      </c>
      <c r="H1511" s="171" t="s">
        <v>1543</v>
      </c>
      <c r="I1511" s="171" t="s">
        <v>1543</v>
      </c>
      <c r="J1511" s="132">
        <v>0.9</v>
      </c>
      <c r="K1511" s="133">
        <v>0.952380952380952</v>
      </c>
      <c r="L1511" s="133">
        <v>0.95</v>
      </c>
      <c r="M1511" s="134">
        <v>1</v>
      </c>
      <c r="N1511" s="133">
        <v>0.975247524752475</v>
      </c>
      <c r="O1511" s="135">
        <v>0.9</v>
      </c>
      <c r="P1511" s="133">
        <v>0.982410423452769</v>
      </c>
      <c r="Q1511" s="133">
        <v>0.964441671865253</v>
      </c>
      <c r="R1511" s="133">
        <v>0.899256254225828</v>
      </c>
      <c r="S1511" s="133">
        <v>0.932540983606557</v>
      </c>
      <c r="T1511" s="135">
        <v>0.9</v>
      </c>
      <c r="U1511" s="133">
        <v>0.89771986970684</v>
      </c>
      <c r="V1511" s="133">
        <v>0.861509669369931</v>
      </c>
      <c r="W1511" s="133">
        <v>0.828262339418526</v>
      </c>
      <c r="X1511" s="133">
        <v>0.869453551912568</v>
      </c>
      <c r="Y1511" s="135">
        <v>0.92</v>
      </c>
      <c r="Z1511" s="135" t="s">
        <v>35</v>
      </c>
      <c r="AA1511" s="135" t="s">
        <v>35</v>
      </c>
      <c r="AB1511" s="135" t="s">
        <v>35</v>
      </c>
      <c r="AC1511" s="135" t="s">
        <v>35</v>
      </c>
      <c r="AD1511" s="135">
        <v>0.92</v>
      </c>
      <c r="AE1511" s="133">
        <v>1</v>
      </c>
      <c r="AF1511" s="133">
        <v>1</v>
      </c>
      <c r="AG1511" s="133">
        <v>1</v>
      </c>
      <c r="AH1511" s="133">
        <v>0.881104033970276</v>
      </c>
      <c r="AI1511" s="135">
        <v>0.92</v>
      </c>
      <c r="AJ1511" s="133">
        <v>0.925732899022801</v>
      </c>
      <c r="AK1511" s="133">
        <v>0.918278228321896</v>
      </c>
      <c r="AL1511" s="133">
        <v>0.904665314401623</v>
      </c>
      <c r="AM1511" s="133">
        <v>0.939890710382514</v>
      </c>
      <c r="AN1511" s="132">
        <v>0.99</v>
      </c>
      <c r="AO1511" s="137">
        <v>1</v>
      </c>
      <c r="AP1511" s="137" t="s">
        <v>35</v>
      </c>
      <c r="AQ1511" s="137" t="s">
        <v>35</v>
      </c>
      <c r="AR1511" s="137">
        <v>1</v>
      </c>
      <c r="AS1511" s="158">
        <v>0.110069253262963</v>
      </c>
      <c r="AT1511" s="141">
        <v>0.25</v>
      </c>
      <c r="AU1511" s="141">
        <v>0.0909090909090909</v>
      </c>
      <c r="AV1511" s="141">
        <v>0</v>
      </c>
      <c r="AW1511" s="141">
        <v>0.0829875518672199</v>
      </c>
      <c r="AX1511" s="95"/>
      <c r="AY1511" s="93"/>
    </row>
    <row r="1512" ht="15" spans="1:51">
      <c r="A1512" s="91"/>
      <c r="B1512" s="95"/>
      <c r="C1512" s="152" t="s">
        <v>1455</v>
      </c>
      <c r="D1512" s="153" t="s">
        <v>25</v>
      </c>
      <c r="E1512" s="130" t="s">
        <v>1456</v>
      </c>
      <c r="F1512" s="171" t="s">
        <v>1544</v>
      </c>
      <c r="G1512" s="171" t="s">
        <v>1544</v>
      </c>
      <c r="H1512" s="171" t="s">
        <v>1544</v>
      </c>
      <c r="I1512" s="171" t="s">
        <v>1544</v>
      </c>
      <c r="J1512" s="132">
        <v>0.9</v>
      </c>
      <c r="K1512" s="133">
        <v>1</v>
      </c>
      <c r="L1512" s="133">
        <v>1</v>
      </c>
      <c r="M1512" s="134">
        <v>1</v>
      </c>
      <c r="N1512" s="133">
        <v>0.996904024767802</v>
      </c>
      <c r="O1512" s="135">
        <v>0.9</v>
      </c>
      <c r="P1512" s="133">
        <v>0.621510673234811</v>
      </c>
      <c r="Q1512" s="133">
        <v>0.886591060707138</v>
      </c>
      <c r="R1512" s="133">
        <v>0.627411842980705</v>
      </c>
      <c r="S1512" s="133">
        <v>0.859368255836767</v>
      </c>
      <c r="T1512" s="135">
        <v>0.9</v>
      </c>
      <c r="U1512" s="133">
        <v>0.827586206896552</v>
      </c>
      <c r="V1512" s="133">
        <v>0.71180787191461</v>
      </c>
      <c r="W1512" s="133">
        <v>0.830339321357285</v>
      </c>
      <c r="X1512" s="133">
        <v>0.733215617029625</v>
      </c>
      <c r="Y1512" s="135">
        <v>0.92</v>
      </c>
      <c r="Z1512" s="135" t="s">
        <v>35</v>
      </c>
      <c r="AA1512" s="135" t="s">
        <v>35</v>
      </c>
      <c r="AB1512" s="135" t="s">
        <v>35</v>
      </c>
      <c r="AC1512" s="135" t="s">
        <v>35</v>
      </c>
      <c r="AD1512" s="135">
        <v>0.92</v>
      </c>
      <c r="AE1512" s="133">
        <v>1</v>
      </c>
      <c r="AF1512" s="133">
        <v>1</v>
      </c>
      <c r="AG1512" s="133">
        <v>1</v>
      </c>
      <c r="AH1512" s="133">
        <v>1</v>
      </c>
      <c r="AI1512" s="135">
        <v>0.92</v>
      </c>
      <c r="AJ1512" s="133">
        <v>0.914614121510673</v>
      </c>
      <c r="AK1512" s="133">
        <v>0.896597731821214</v>
      </c>
      <c r="AL1512" s="133">
        <v>0.951430472388556</v>
      </c>
      <c r="AM1512" s="133">
        <v>0.928114577202276</v>
      </c>
      <c r="AN1512" s="132">
        <v>0.99</v>
      </c>
      <c r="AO1512" s="137">
        <v>1</v>
      </c>
      <c r="AP1512" s="137">
        <v>1</v>
      </c>
      <c r="AQ1512" s="137">
        <v>1</v>
      </c>
      <c r="AR1512" s="137">
        <v>1</v>
      </c>
      <c r="AS1512" s="158">
        <v>0.110069253262963</v>
      </c>
      <c r="AT1512" s="141">
        <v>0</v>
      </c>
      <c r="AU1512" s="141">
        <v>0</v>
      </c>
      <c r="AV1512" s="141">
        <v>0.1</v>
      </c>
      <c r="AW1512" s="141">
        <v>0.0472103004291846</v>
      </c>
      <c r="AX1512" s="95"/>
      <c r="AY1512" s="93"/>
    </row>
    <row r="1513" ht="15" spans="1:51">
      <c r="A1513" s="91"/>
      <c r="B1513" s="95"/>
      <c r="C1513" s="152" t="s">
        <v>1455</v>
      </c>
      <c r="D1513" s="153" t="s">
        <v>25</v>
      </c>
      <c r="E1513" s="130" t="s">
        <v>1456</v>
      </c>
      <c r="F1513" s="171" t="s">
        <v>1545</v>
      </c>
      <c r="G1513" s="171" t="s">
        <v>1545</v>
      </c>
      <c r="H1513" s="171" t="s">
        <v>1545</v>
      </c>
      <c r="I1513" s="171" t="s">
        <v>1545</v>
      </c>
      <c r="J1513" s="132">
        <v>0.9</v>
      </c>
      <c r="K1513" s="133">
        <v>1</v>
      </c>
      <c r="L1513" s="133">
        <v>1</v>
      </c>
      <c r="M1513" s="134">
        <v>1</v>
      </c>
      <c r="N1513" s="133">
        <v>0.984513274336283</v>
      </c>
      <c r="O1513" s="135">
        <v>0.9</v>
      </c>
      <c r="P1513" s="133">
        <v>0.972071373157486</v>
      </c>
      <c r="Q1513" s="133">
        <v>0.977215189873418</v>
      </c>
      <c r="R1513" s="133">
        <v>0.983402489626556</v>
      </c>
      <c r="S1513" s="133">
        <v>0.969154774972558</v>
      </c>
      <c r="T1513" s="135">
        <v>0.9</v>
      </c>
      <c r="U1513" s="133">
        <v>0.734678044996121</v>
      </c>
      <c r="V1513" s="133">
        <v>0.764556962025316</v>
      </c>
      <c r="W1513" s="133">
        <v>0.652045050385299</v>
      </c>
      <c r="X1513" s="133">
        <v>0.718294914013904</v>
      </c>
      <c r="Y1513" s="135">
        <v>0.92</v>
      </c>
      <c r="Z1513" s="135" t="s">
        <v>35</v>
      </c>
      <c r="AA1513" s="135" t="s">
        <v>35</v>
      </c>
      <c r="AB1513" s="135" t="s">
        <v>35</v>
      </c>
      <c r="AC1513" s="135" t="s">
        <v>35</v>
      </c>
      <c r="AD1513" s="135">
        <v>0.92</v>
      </c>
      <c r="AE1513" s="133">
        <v>1</v>
      </c>
      <c r="AF1513" s="133">
        <v>1</v>
      </c>
      <c r="AG1513" s="133">
        <v>1</v>
      </c>
      <c r="AH1513" s="133">
        <v>0.992673992673993</v>
      </c>
      <c r="AI1513" s="135">
        <v>0.92</v>
      </c>
      <c r="AJ1513" s="133">
        <v>0.906128782001552</v>
      </c>
      <c r="AK1513" s="133">
        <v>0.960126582278481</v>
      </c>
      <c r="AL1513" s="133">
        <v>0.978067575577949</v>
      </c>
      <c r="AM1513" s="133">
        <v>0.953787047200878</v>
      </c>
      <c r="AN1513" s="132">
        <v>0.99</v>
      </c>
      <c r="AO1513" s="137">
        <v>1</v>
      </c>
      <c r="AP1513" s="137">
        <v>1</v>
      </c>
      <c r="AQ1513" s="137">
        <v>1</v>
      </c>
      <c r="AR1513" s="137">
        <v>1</v>
      </c>
      <c r="AS1513" s="158">
        <v>0.110069253262963</v>
      </c>
      <c r="AT1513" s="141">
        <v>0</v>
      </c>
      <c r="AU1513" s="141">
        <v>0</v>
      </c>
      <c r="AV1513" s="141">
        <v>0.130434782608696</v>
      </c>
      <c r="AW1513" s="141">
        <v>0.0804020100502513</v>
      </c>
      <c r="AX1513" s="95"/>
      <c r="AY1513" s="93"/>
    </row>
    <row r="1514" ht="15" spans="1:51">
      <c r="A1514" s="91"/>
      <c r="B1514" s="95"/>
      <c r="C1514" s="152" t="s">
        <v>1455</v>
      </c>
      <c r="D1514" s="153" t="s">
        <v>25</v>
      </c>
      <c r="E1514" s="130" t="s">
        <v>1456</v>
      </c>
      <c r="F1514" s="171" t="s">
        <v>1546</v>
      </c>
      <c r="G1514" s="171" t="s">
        <v>1546</v>
      </c>
      <c r="H1514" s="171" t="s">
        <v>1546</v>
      </c>
      <c r="I1514" s="171" t="s">
        <v>1546</v>
      </c>
      <c r="J1514" s="132">
        <v>0.9</v>
      </c>
      <c r="K1514" s="133">
        <v>0.944444444444444</v>
      </c>
      <c r="L1514" s="133">
        <v>0.952380952380952</v>
      </c>
      <c r="M1514" s="134">
        <v>0.939393939393939</v>
      </c>
      <c r="N1514" s="133">
        <v>0.929347826086957</v>
      </c>
      <c r="O1514" s="135">
        <v>0.9</v>
      </c>
      <c r="P1514" s="133">
        <v>0.833720930232558</v>
      </c>
      <c r="Q1514" s="133">
        <v>0.658483754512635</v>
      </c>
      <c r="R1514" s="133">
        <v>0.806876175127585</v>
      </c>
      <c r="S1514" s="133">
        <v>0.733958901890413</v>
      </c>
      <c r="T1514" s="135">
        <v>0.9</v>
      </c>
      <c r="U1514" s="133">
        <v>0.811046511627907</v>
      </c>
      <c r="V1514" s="133">
        <v>0.701564380264741</v>
      </c>
      <c r="W1514" s="133">
        <v>0.777061509535321</v>
      </c>
      <c r="X1514" s="133">
        <v>0.772253168342742</v>
      </c>
      <c r="Y1514" s="135">
        <v>0.92</v>
      </c>
      <c r="Z1514" s="135" t="s">
        <v>35</v>
      </c>
      <c r="AA1514" s="135" t="s">
        <v>35</v>
      </c>
      <c r="AB1514" s="135" t="s">
        <v>35</v>
      </c>
      <c r="AC1514" s="135">
        <v>0</v>
      </c>
      <c r="AD1514" s="135">
        <v>0.92</v>
      </c>
      <c r="AE1514" s="133">
        <v>0.526610644257703</v>
      </c>
      <c r="AF1514" s="133">
        <v>0.791304347826087</v>
      </c>
      <c r="AG1514" s="133">
        <v>0.769470404984424</v>
      </c>
      <c r="AH1514" s="133">
        <v>0.793000119860961</v>
      </c>
      <c r="AI1514" s="135">
        <v>0.92</v>
      </c>
      <c r="AJ1514" s="133">
        <v>0.849418604651163</v>
      </c>
      <c r="AK1514" s="133">
        <v>0.921058965102286</v>
      </c>
      <c r="AL1514" s="133">
        <v>0.884501745903841</v>
      </c>
      <c r="AM1514" s="133">
        <v>0.921493370551291</v>
      </c>
      <c r="AN1514" s="132">
        <v>0.99</v>
      </c>
      <c r="AO1514" s="137">
        <v>1</v>
      </c>
      <c r="AP1514" s="137">
        <v>1</v>
      </c>
      <c r="AQ1514" s="137">
        <v>1</v>
      </c>
      <c r="AR1514" s="137">
        <v>1</v>
      </c>
      <c r="AS1514" s="158">
        <v>0.110069253262963</v>
      </c>
      <c r="AT1514" s="141">
        <v>0.15625</v>
      </c>
      <c r="AU1514" s="141">
        <v>0.0625</v>
      </c>
      <c r="AV1514" s="141">
        <v>0</v>
      </c>
      <c r="AW1514" s="141">
        <v>0.0746003552397868</v>
      </c>
      <c r="AX1514" s="95"/>
      <c r="AY1514" s="93"/>
    </row>
    <row r="1515" ht="15" spans="1:51">
      <c r="A1515" s="91"/>
      <c r="B1515" s="95"/>
      <c r="C1515" s="152" t="s">
        <v>1455</v>
      </c>
      <c r="D1515" s="153" t="s">
        <v>25</v>
      </c>
      <c r="E1515" s="130" t="s">
        <v>1456</v>
      </c>
      <c r="F1515" s="171" t="s">
        <v>1547</v>
      </c>
      <c r="G1515" s="171" t="s">
        <v>1547</v>
      </c>
      <c r="H1515" s="171" t="s">
        <v>1547</v>
      </c>
      <c r="I1515" s="171" t="s">
        <v>1547</v>
      </c>
      <c r="J1515" s="132">
        <v>0.9</v>
      </c>
      <c r="K1515" s="133">
        <v>1</v>
      </c>
      <c r="L1515" s="133">
        <v>1</v>
      </c>
      <c r="M1515" s="134">
        <v>1</v>
      </c>
      <c r="N1515" s="133">
        <v>0.985882352941176</v>
      </c>
      <c r="O1515" s="135">
        <v>0.9</v>
      </c>
      <c r="P1515" s="133">
        <v>1</v>
      </c>
      <c r="Q1515" s="133" t="s">
        <v>35</v>
      </c>
      <c r="R1515" s="133" t="s">
        <v>35</v>
      </c>
      <c r="S1515" s="133">
        <v>0.285714285714286</v>
      </c>
      <c r="T1515" s="135">
        <v>0.9</v>
      </c>
      <c r="U1515" s="133">
        <v>1</v>
      </c>
      <c r="V1515" s="133" t="s">
        <v>35</v>
      </c>
      <c r="W1515" s="133" t="s">
        <v>35</v>
      </c>
      <c r="X1515" s="133">
        <v>0.285714285714286</v>
      </c>
      <c r="Y1515" s="135">
        <v>0.92</v>
      </c>
      <c r="Z1515" s="135" t="s">
        <v>35</v>
      </c>
      <c r="AA1515" s="135" t="s">
        <v>35</v>
      </c>
      <c r="AB1515" s="135" t="s">
        <v>35</v>
      </c>
      <c r="AC1515" s="135" t="s">
        <v>35</v>
      </c>
      <c r="AD1515" s="135">
        <v>0.92</v>
      </c>
      <c r="AE1515" s="133">
        <v>0.214285714285714</v>
      </c>
      <c r="AF1515" s="133">
        <v>0</v>
      </c>
      <c r="AG1515" s="133">
        <v>1</v>
      </c>
      <c r="AH1515" s="133">
        <v>0.535433070866142</v>
      </c>
      <c r="AI1515" s="135">
        <v>0.92</v>
      </c>
      <c r="AJ1515" s="133">
        <v>0.878928987194412</v>
      </c>
      <c r="AK1515" s="133">
        <v>0.920055134390076</v>
      </c>
      <c r="AL1515" s="133">
        <v>0.909490886235072</v>
      </c>
      <c r="AM1515" s="133">
        <v>0.810551112764243</v>
      </c>
      <c r="AN1515" s="132">
        <v>0.99</v>
      </c>
      <c r="AO1515" s="137">
        <v>1</v>
      </c>
      <c r="AP1515" s="137">
        <v>1</v>
      </c>
      <c r="AQ1515" s="137" t="s">
        <v>35</v>
      </c>
      <c r="AR1515" s="137">
        <v>1</v>
      </c>
      <c r="AS1515" s="158">
        <v>0.110069253262963</v>
      </c>
      <c r="AT1515" s="141">
        <v>0.125</v>
      </c>
      <c r="AU1515" s="141">
        <v>0.0909090909090909</v>
      </c>
      <c r="AV1515" s="141">
        <v>0.0714285714285714</v>
      </c>
      <c r="AW1515" s="141">
        <v>0.0407239819004525</v>
      </c>
      <c r="AX1515" s="95"/>
      <c r="AY1515" s="93"/>
    </row>
    <row r="1516" ht="15" spans="1:51">
      <c r="A1516" s="91"/>
      <c r="B1516" s="95"/>
      <c r="C1516" s="152" t="s">
        <v>1455</v>
      </c>
      <c r="D1516" s="153" t="s">
        <v>25</v>
      </c>
      <c r="E1516" s="130" t="s">
        <v>1456</v>
      </c>
      <c r="F1516" s="171" t="s">
        <v>1548</v>
      </c>
      <c r="G1516" s="171" t="s">
        <v>1548</v>
      </c>
      <c r="H1516" s="171" t="s">
        <v>1548</v>
      </c>
      <c r="I1516" s="171" t="s">
        <v>1548</v>
      </c>
      <c r="J1516" s="132">
        <v>0.9</v>
      </c>
      <c r="K1516" s="133">
        <v>1</v>
      </c>
      <c r="L1516" s="133">
        <v>1</v>
      </c>
      <c r="M1516" s="134">
        <v>1</v>
      </c>
      <c r="N1516" s="133">
        <v>0.980392156862745</v>
      </c>
      <c r="O1516" s="135">
        <v>0.9</v>
      </c>
      <c r="P1516" s="133">
        <v>0.998652291105121</v>
      </c>
      <c r="Q1516" s="133">
        <v>0.999340804218853</v>
      </c>
      <c r="R1516" s="133">
        <v>0.99922660479505</v>
      </c>
      <c r="S1516" s="133">
        <v>0.985875800986346</v>
      </c>
      <c r="T1516" s="135">
        <v>0.9</v>
      </c>
      <c r="U1516" s="133">
        <v>0.956873315363881</v>
      </c>
      <c r="V1516" s="133">
        <v>0.958470665787739</v>
      </c>
      <c r="W1516" s="133">
        <v>0.962103634957463</v>
      </c>
      <c r="X1516" s="133">
        <v>0.955144764652598</v>
      </c>
      <c r="Y1516" s="135">
        <v>0.92</v>
      </c>
      <c r="Z1516" s="135" t="s">
        <v>35</v>
      </c>
      <c r="AA1516" s="135" t="s">
        <v>35</v>
      </c>
      <c r="AB1516" s="135" t="s">
        <v>35</v>
      </c>
      <c r="AC1516" s="135" t="s">
        <v>35</v>
      </c>
      <c r="AD1516" s="135">
        <v>0.92</v>
      </c>
      <c r="AE1516" s="133">
        <v>1</v>
      </c>
      <c r="AF1516" s="133">
        <v>1</v>
      </c>
      <c r="AG1516" s="133">
        <v>0.976744186046512</v>
      </c>
      <c r="AH1516" s="133">
        <v>0.940972222222222</v>
      </c>
      <c r="AI1516" s="135">
        <v>0.92</v>
      </c>
      <c r="AJ1516" s="133">
        <v>0.981132075471698</v>
      </c>
      <c r="AK1516" s="133">
        <v>0.990112063282795</v>
      </c>
      <c r="AL1516" s="133">
        <v>0.982985305491106</v>
      </c>
      <c r="AM1516" s="133">
        <v>0.987016472640655</v>
      </c>
      <c r="AN1516" s="132">
        <v>0.99</v>
      </c>
      <c r="AO1516" s="137">
        <v>1</v>
      </c>
      <c r="AP1516" s="137">
        <v>1</v>
      </c>
      <c r="AQ1516" s="137">
        <v>1</v>
      </c>
      <c r="AR1516" s="137">
        <v>1</v>
      </c>
      <c r="AS1516" s="158">
        <v>0.110069253262963</v>
      </c>
      <c r="AT1516" s="141">
        <v>0</v>
      </c>
      <c r="AU1516" s="141">
        <v>0</v>
      </c>
      <c r="AV1516" s="141">
        <v>0.285714285714286</v>
      </c>
      <c r="AW1516" s="141">
        <v>0.089622641509434</v>
      </c>
      <c r="AX1516" s="95"/>
      <c r="AY1516" s="93"/>
    </row>
    <row r="1517" ht="15" spans="1:51">
      <c r="A1517" s="91"/>
      <c r="B1517" s="95"/>
      <c r="C1517" s="152" t="s">
        <v>1455</v>
      </c>
      <c r="D1517" s="153" t="s">
        <v>25</v>
      </c>
      <c r="E1517" s="130" t="s">
        <v>1456</v>
      </c>
      <c r="F1517" s="171" t="s">
        <v>1549</v>
      </c>
      <c r="G1517" s="171" t="s">
        <v>1549</v>
      </c>
      <c r="H1517" s="171" t="s">
        <v>1549</v>
      </c>
      <c r="I1517" s="171" t="s">
        <v>1549</v>
      </c>
      <c r="J1517" s="132">
        <v>0.9</v>
      </c>
      <c r="K1517" s="133">
        <v>1</v>
      </c>
      <c r="L1517" s="133">
        <v>1</v>
      </c>
      <c r="M1517" s="134">
        <v>1</v>
      </c>
      <c r="N1517" s="133">
        <v>0.993265993265993</v>
      </c>
      <c r="O1517" s="135">
        <v>0.9</v>
      </c>
      <c r="P1517" s="133">
        <v>0.983981693363844</v>
      </c>
      <c r="Q1517" s="133">
        <v>0.995212038303694</v>
      </c>
      <c r="R1517" s="133">
        <v>0.937111264685556</v>
      </c>
      <c r="S1517" s="133">
        <v>0.975844750418532</v>
      </c>
      <c r="T1517" s="135">
        <v>0.9</v>
      </c>
      <c r="U1517" s="133">
        <v>0.92372234935164</v>
      </c>
      <c r="V1517" s="133">
        <v>0.880300957592339</v>
      </c>
      <c r="W1517" s="133">
        <v>0.897028334485142</v>
      </c>
      <c r="X1517" s="133">
        <v>0.882264511940961</v>
      </c>
      <c r="Y1517" s="135">
        <v>0.92</v>
      </c>
      <c r="Z1517" s="135" t="s">
        <v>35</v>
      </c>
      <c r="AA1517" s="135" t="s">
        <v>35</v>
      </c>
      <c r="AB1517" s="135" t="s">
        <v>35</v>
      </c>
      <c r="AC1517" s="135" t="s">
        <v>35</v>
      </c>
      <c r="AD1517" s="135">
        <v>0.92</v>
      </c>
      <c r="AE1517" s="133">
        <v>1</v>
      </c>
      <c r="AF1517" s="133">
        <v>1</v>
      </c>
      <c r="AG1517" s="133">
        <v>1</v>
      </c>
      <c r="AH1517" s="133">
        <v>0.98757016840417</v>
      </c>
      <c r="AI1517" s="135">
        <v>0.92</v>
      </c>
      <c r="AJ1517" s="133">
        <v>0.954233409610984</v>
      </c>
      <c r="AK1517" s="133">
        <v>0.961696306429549</v>
      </c>
      <c r="AL1517" s="133">
        <v>0.962681409813407</v>
      </c>
      <c r="AM1517" s="133">
        <v>0.94740796393689</v>
      </c>
      <c r="AN1517" s="132">
        <v>0.99</v>
      </c>
      <c r="AO1517" s="137">
        <v>1</v>
      </c>
      <c r="AP1517" s="137">
        <v>1</v>
      </c>
      <c r="AQ1517" s="137">
        <v>1</v>
      </c>
      <c r="AR1517" s="137">
        <v>1</v>
      </c>
      <c r="AS1517" s="158">
        <v>0.110069253262963</v>
      </c>
      <c r="AT1517" s="141">
        <v>0.2</v>
      </c>
      <c r="AU1517" s="141">
        <v>0</v>
      </c>
      <c r="AV1517" s="141">
        <v>0</v>
      </c>
      <c r="AW1517" s="141">
        <v>0.050761421319797</v>
      </c>
      <c r="AX1517" s="95"/>
      <c r="AY1517" s="93"/>
    </row>
    <row r="1518" ht="15" spans="1:51">
      <c r="A1518" s="91"/>
      <c r="B1518" s="95"/>
      <c r="C1518" s="152" t="s">
        <v>1455</v>
      </c>
      <c r="D1518" s="153" t="s">
        <v>25</v>
      </c>
      <c r="E1518" s="130" t="s">
        <v>1456</v>
      </c>
      <c r="F1518" s="171" t="s">
        <v>1550</v>
      </c>
      <c r="G1518" s="171" t="s">
        <v>1550</v>
      </c>
      <c r="H1518" s="171" t="s">
        <v>1550</v>
      </c>
      <c r="I1518" s="171" t="s">
        <v>1550</v>
      </c>
      <c r="J1518" s="132">
        <v>0.9</v>
      </c>
      <c r="K1518" s="133">
        <v>1</v>
      </c>
      <c r="L1518" s="133">
        <v>1</v>
      </c>
      <c r="M1518" s="134">
        <v>1</v>
      </c>
      <c r="N1518" s="133">
        <v>1</v>
      </c>
      <c r="O1518" s="135">
        <v>0.9</v>
      </c>
      <c r="P1518" s="133">
        <v>1</v>
      </c>
      <c r="Q1518" s="133">
        <v>0.998093422306959</v>
      </c>
      <c r="R1518" s="133">
        <v>0.998628884826325</v>
      </c>
      <c r="S1518" s="133">
        <v>0.993265257035401</v>
      </c>
      <c r="T1518" s="135">
        <v>0.9</v>
      </c>
      <c r="U1518" s="133">
        <v>0.986780383795309</v>
      </c>
      <c r="V1518" s="133">
        <v>0.975691134413727</v>
      </c>
      <c r="W1518" s="133">
        <v>0.991316270566728</v>
      </c>
      <c r="X1518" s="133">
        <v>0.984387641309339</v>
      </c>
      <c r="Y1518" s="135">
        <v>0.92</v>
      </c>
      <c r="Z1518" s="135" t="s">
        <v>35</v>
      </c>
      <c r="AA1518" s="135" t="s">
        <v>35</v>
      </c>
      <c r="AB1518" s="135" t="s">
        <v>35</v>
      </c>
      <c r="AC1518" s="135" t="s">
        <v>35</v>
      </c>
      <c r="AD1518" s="135">
        <v>0.92</v>
      </c>
      <c r="AE1518" s="133">
        <v>0.925925925925926</v>
      </c>
      <c r="AF1518" s="133">
        <v>0.967741935483871</v>
      </c>
      <c r="AG1518" s="133">
        <v>0.941176470588235</v>
      </c>
      <c r="AH1518" s="133">
        <v>0.946004319654428</v>
      </c>
      <c r="AI1518" s="135">
        <v>0.92</v>
      </c>
      <c r="AJ1518" s="133">
        <v>0.990191897654584</v>
      </c>
      <c r="AK1518" s="133">
        <v>0.992853739876131</v>
      </c>
      <c r="AL1518" s="133">
        <v>0.995429616087751</v>
      </c>
      <c r="AM1518" s="133">
        <v>0.993986968119998</v>
      </c>
      <c r="AN1518" s="132">
        <v>0.99</v>
      </c>
      <c r="AO1518" s="137">
        <v>1</v>
      </c>
      <c r="AP1518" s="137">
        <v>1</v>
      </c>
      <c r="AQ1518" s="137">
        <v>1</v>
      </c>
      <c r="AR1518" s="137">
        <v>1</v>
      </c>
      <c r="AS1518" s="158">
        <v>0.110069253262963</v>
      </c>
      <c r="AT1518" s="141">
        <v>0.0769230769230769</v>
      </c>
      <c r="AU1518" s="141">
        <v>0</v>
      </c>
      <c r="AV1518" s="141">
        <v>0</v>
      </c>
      <c r="AW1518" s="141">
        <v>0.0590551181102362</v>
      </c>
      <c r="AX1518" s="95"/>
      <c r="AY1518" s="93"/>
    </row>
    <row r="1519" ht="15" spans="1:51">
      <c r="A1519" s="91"/>
      <c r="B1519" s="95"/>
      <c r="C1519" s="152" t="s">
        <v>1455</v>
      </c>
      <c r="D1519" s="153" t="s">
        <v>25</v>
      </c>
      <c r="E1519" s="130" t="s">
        <v>1456</v>
      </c>
      <c r="F1519" s="171" t="s">
        <v>1551</v>
      </c>
      <c r="G1519" s="171" t="s">
        <v>1551</v>
      </c>
      <c r="H1519" s="171" t="s">
        <v>1551</v>
      </c>
      <c r="I1519" s="171" t="s">
        <v>1551</v>
      </c>
      <c r="J1519" s="132">
        <v>0.9</v>
      </c>
      <c r="K1519" s="133">
        <v>1</v>
      </c>
      <c r="L1519" s="133">
        <v>1</v>
      </c>
      <c r="M1519" s="134">
        <v>1</v>
      </c>
      <c r="N1519" s="133">
        <v>0.989643268124281</v>
      </c>
      <c r="O1519" s="135">
        <v>0.9</v>
      </c>
      <c r="P1519" s="133">
        <v>0.969558599695586</v>
      </c>
      <c r="Q1519" s="133">
        <v>0.977510861231791</v>
      </c>
      <c r="R1519" s="133">
        <v>0.980436631698327</v>
      </c>
      <c r="S1519" s="133">
        <v>0.964466002641291</v>
      </c>
      <c r="T1519" s="135">
        <v>0.9</v>
      </c>
      <c r="U1519" s="133">
        <v>0.953323186199899</v>
      </c>
      <c r="V1519" s="133">
        <v>0.961410682340915</v>
      </c>
      <c r="W1519" s="133">
        <v>0.948965126169549</v>
      </c>
      <c r="X1519" s="133">
        <v>0.948136902778292</v>
      </c>
      <c r="Y1519" s="135">
        <v>0.92</v>
      </c>
      <c r="Z1519" s="135" t="s">
        <v>35</v>
      </c>
      <c r="AA1519" s="135" t="s">
        <v>35</v>
      </c>
      <c r="AB1519" s="135" t="s">
        <v>35</v>
      </c>
      <c r="AC1519" s="135">
        <v>0</v>
      </c>
      <c r="AD1519" s="135">
        <v>0.92</v>
      </c>
      <c r="AE1519" s="133">
        <v>0.896907216494845</v>
      </c>
      <c r="AF1519" s="133">
        <v>0.9198606271777</v>
      </c>
      <c r="AG1519" s="133">
        <v>0.99468085106383</v>
      </c>
      <c r="AH1519" s="133">
        <v>0.87426376440461</v>
      </c>
      <c r="AI1519" s="135">
        <v>0.92</v>
      </c>
      <c r="AJ1519" s="133">
        <v>0.972856418061897</v>
      </c>
      <c r="AK1519" s="133">
        <v>0.979810886787631</v>
      </c>
      <c r="AL1519" s="133">
        <v>0.977034306776297</v>
      </c>
      <c r="AM1519" s="133">
        <v>0.98496704598751</v>
      </c>
      <c r="AN1519" s="132">
        <v>0.99</v>
      </c>
      <c r="AO1519" s="137">
        <v>1</v>
      </c>
      <c r="AP1519" s="137">
        <v>1</v>
      </c>
      <c r="AQ1519" s="137">
        <v>1</v>
      </c>
      <c r="AR1519" s="137">
        <v>1</v>
      </c>
      <c r="AS1519" s="158">
        <v>0.110069253262963</v>
      </c>
      <c r="AT1519" s="141">
        <v>0.04</v>
      </c>
      <c r="AU1519" s="141">
        <v>0.111111111111111</v>
      </c>
      <c r="AV1519" s="141">
        <v>0.0333333333333333</v>
      </c>
      <c r="AW1519" s="141">
        <v>0.0645879732739421</v>
      </c>
      <c r="AX1519" s="95"/>
      <c r="AY1519" s="93"/>
    </row>
    <row r="1520" ht="15" spans="1:51">
      <c r="A1520" s="91"/>
      <c r="B1520" s="95"/>
      <c r="C1520" s="152" t="s">
        <v>1455</v>
      </c>
      <c r="D1520" s="153" t="s">
        <v>25</v>
      </c>
      <c r="E1520" s="130" t="s">
        <v>1456</v>
      </c>
      <c r="F1520" s="171" t="s">
        <v>1552</v>
      </c>
      <c r="G1520" s="171" t="s">
        <v>1552</v>
      </c>
      <c r="H1520" s="171" t="s">
        <v>1552</v>
      </c>
      <c r="I1520" s="171" t="s">
        <v>1552</v>
      </c>
      <c r="J1520" s="132">
        <v>0.9</v>
      </c>
      <c r="K1520" s="133">
        <v>1</v>
      </c>
      <c r="L1520" s="133">
        <v>1</v>
      </c>
      <c r="M1520" s="134">
        <v>1</v>
      </c>
      <c r="N1520" s="133">
        <v>0.994350282485876</v>
      </c>
      <c r="O1520" s="135">
        <v>0.9</v>
      </c>
      <c r="P1520" s="133">
        <v>0.992749870533402</v>
      </c>
      <c r="Q1520" s="133">
        <v>0.957372116349047</v>
      </c>
      <c r="R1520" s="133">
        <v>0.970691676436108</v>
      </c>
      <c r="S1520" s="133">
        <v>0.968007840969063</v>
      </c>
      <c r="T1520" s="135">
        <v>0.9</v>
      </c>
      <c r="U1520" s="133">
        <v>0.946141895390989</v>
      </c>
      <c r="V1520" s="133">
        <v>0.912738214643932</v>
      </c>
      <c r="W1520" s="133">
        <v>0.936107854630715</v>
      </c>
      <c r="X1520" s="133">
        <v>0.935337136538413</v>
      </c>
      <c r="Y1520" s="135">
        <v>0.92</v>
      </c>
      <c r="Z1520" s="135" t="s">
        <v>35</v>
      </c>
      <c r="AA1520" s="135" t="s">
        <v>35</v>
      </c>
      <c r="AB1520" s="135" t="s">
        <v>35</v>
      </c>
      <c r="AC1520" s="135" t="s">
        <v>35</v>
      </c>
      <c r="AD1520" s="135">
        <v>0.92</v>
      </c>
      <c r="AE1520" s="133">
        <v>0.988505747126437</v>
      </c>
      <c r="AF1520" s="133">
        <v>0.96875</v>
      </c>
      <c r="AG1520" s="133">
        <v>0.972972972972973</v>
      </c>
      <c r="AH1520" s="133">
        <v>0.938271604938272</v>
      </c>
      <c r="AI1520" s="135">
        <v>0.92</v>
      </c>
      <c r="AJ1520" s="133">
        <v>0.966338684619368</v>
      </c>
      <c r="AK1520" s="133">
        <v>0.974423269809428</v>
      </c>
      <c r="AL1520" s="133">
        <v>0.974208675263775</v>
      </c>
      <c r="AM1520" s="133">
        <v>0.977180769520746</v>
      </c>
      <c r="AN1520" s="132">
        <v>0.99</v>
      </c>
      <c r="AO1520" s="137">
        <v>1</v>
      </c>
      <c r="AP1520" s="137">
        <v>1</v>
      </c>
      <c r="AQ1520" s="137">
        <v>1</v>
      </c>
      <c r="AR1520" s="137">
        <v>1</v>
      </c>
      <c r="AS1520" s="158">
        <v>0.110069253262963</v>
      </c>
      <c r="AT1520" s="141">
        <v>0</v>
      </c>
      <c r="AU1520" s="141">
        <v>0.0769230769230769</v>
      </c>
      <c r="AV1520" s="141">
        <v>0</v>
      </c>
      <c r="AW1520" s="141">
        <v>0.0551470588235294</v>
      </c>
      <c r="AX1520" s="95"/>
      <c r="AY1520" s="93"/>
    </row>
    <row r="1521" ht="15" spans="1:51">
      <c r="A1521" s="91"/>
      <c r="B1521" s="95"/>
      <c r="C1521" s="152" t="s">
        <v>1455</v>
      </c>
      <c r="D1521" s="153" t="s">
        <v>25</v>
      </c>
      <c r="E1521" s="130" t="s">
        <v>1456</v>
      </c>
      <c r="F1521" s="171" t="s">
        <v>1553</v>
      </c>
      <c r="G1521" s="171" t="s">
        <v>1553</v>
      </c>
      <c r="H1521" s="171" t="s">
        <v>1553</v>
      </c>
      <c r="I1521" s="171" t="s">
        <v>1553</v>
      </c>
      <c r="J1521" s="132">
        <v>0.9</v>
      </c>
      <c r="K1521" s="133">
        <v>1</v>
      </c>
      <c r="L1521" s="133">
        <v>1</v>
      </c>
      <c r="M1521" s="134">
        <v>0.952380952380952</v>
      </c>
      <c r="N1521" s="133">
        <v>0.960880195599022</v>
      </c>
      <c r="O1521" s="135">
        <v>0.9</v>
      </c>
      <c r="P1521" s="133">
        <v>0.967613636363636</v>
      </c>
      <c r="Q1521" s="133">
        <v>0.956448911222781</v>
      </c>
      <c r="R1521" s="133">
        <v>0.934907834101382</v>
      </c>
      <c r="S1521" s="133">
        <v>0.938042403603208</v>
      </c>
      <c r="T1521" s="135">
        <v>0.9</v>
      </c>
      <c r="U1521" s="133">
        <v>0.688068181818182</v>
      </c>
      <c r="V1521" s="133">
        <v>0.577889447236181</v>
      </c>
      <c r="W1521" s="133">
        <v>0.691820276497696</v>
      </c>
      <c r="X1521" s="133">
        <v>0.7181972975942</v>
      </c>
      <c r="Y1521" s="135">
        <v>0.92</v>
      </c>
      <c r="Z1521" s="135" t="s">
        <v>35</v>
      </c>
      <c r="AA1521" s="135" t="s">
        <v>35</v>
      </c>
      <c r="AB1521" s="135" t="s">
        <v>35</v>
      </c>
      <c r="AC1521" s="135" t="s">
        <v>35</v>
      </c>
      <c r="AD1521" s="135">
        <v>0.92</v>
      </c>
      <c r="AE1521" s="133">
        <v>1</v>
      </c>
      <c r="AF1521" s="133">
        <v>0.8</v>
      </c>
      <c r="AG1521" s="133">
        <v>0.75</v>
      </c>
      <c r="AH1521" s="133">
        <v>0.97737556561086</v>
      </c>
      <c r="AI1521" s="135">
        <v>0.92</v>
      </c>
      <c r="AJ1521" s="133">
        <v>0.942646223736513</v>
      </c>
      <c r="AK1521" s="133">
        <v>0.944723618090452</v>
      </c>
      <c r="AL1521" s="133">
        <v>0.907258064516129</v>
      </c>
      <c r="AM1521" s="133">
        <v>0.959739653420482</v>
      </c>
      <c r="AN1521" s="132">
        <v>0.99</v>
      </c>
      <c r="AO1521" s="137">
        <v>1</v>
      </c>
      <c r="AP1521" s="137">
        <v>1</v>
      </c>
      <c r="AQ1521" s="137" t="s">
        <v>35</v>
      </c>
      <c r="AR1521" s="137">
        <v>1</v>
      </c>
      <c r="AS1521" s="158">
        <v>0.110069253262963</v>
      </c>
      <c r="AT1521" s="141">
        <v>0.0588235294117647</v>
      </c>
      <c r="AU1521" s="141">
        <v>0</v>
      </c>
      <c r="AV1521" s="141">
        <v>0.0555555555555556</v>
      </c>
      <c r="AW1521" s="141">
        <v>0.075</v>
      </c>
      <c r="AX1521" s="95"/>
      <c r="AY1521" s="93"/>
    </row>
    <row r="1522" ht="15" spans="1:51">
      <c r="A1522" s="91"/>
      <c r="B1522" s="95"/>
      <c r="C1522" s="152" t="s">
        <v>1455</v>
      </c>
      <c r="D1522" s="153" t="s">
        <v>25</v>
      </c>
      <c r="E1522" s="130" t="s">
        <v>1456</v>
      </c>
      <c r="F1522" s="171" t="s">
        <v>1554</v>
      </c>
      <c r="G1522" s="171" t="s">
        <v>1554</v>
      </c>
      <c r="H1522" s="171" t="s">
        <v>1554</v>
      </c>
      <c r="I1522" s="171" t="s">
        <v>1554</v>
      </c>
      <c r="J1522" s="132">
        <v>0.9</v>
      </c>
      <c r="K1522" s="133">
        <v>1</v>
      </c>
      <c r="L1522" s="133">
        <v>0.952380952380952</v>
      </c>
      <c r="M1522" s="134">
        <v>1</v>
      </c>
      <c r="N1522" s="133">
        <v>0.989556135770235</v>
      </c>
      <c r="O1522" s="135">
        <v>0.9</v>
      </c>
      <c r="P1522" s="133">
        <v>0.995053003533569</v>
      </c>
      <c r="Q1522" s="133">
        <v>0.916937053861129</v>
      </c>
      <c r="R1522" s="133">
        <v>0.988095238095238</v>
      </c>
      <c r="S1522" s="133">
        <v>0.96908147145114</v>
      </c>
      <c r="T1522" s="135">
        <v>0.9</v>
      </c>
      <c r="U1522" s="133">
        <v>0.94416961130742</v>
      </c>
      <c r="V1522" s="133">
        <v>0.827384815055159</v>
      </c>
      <c r="W1522" s="133">
        <v>0.920634920634921</v>
      </c>
      <c r="X1522" s="133">
        <v>0.889770126059903</v>
      </c>
      <c r="Y1522" s="135">
        <v>0.92</v>
      </c>
      <c r="Z1522" s="135" t="s">
        <v>35</v>
      </c>
      <c r="AA1522" s="135" t="s">
        <v>35</v>
      </c>
      <c r="AB1522" s="135" t="s">
        <v>35</v>
      </c>
      <c r="AC1522" s="135" t="s">
        <v>35</v>
      </c>
      <c r="AD1522" s="135">
        <v>0.92</v>
      </c>
      <c r="AE1522" s="133">
        <v>0.75</v>
      </c>
      <c r="AF1522" s="133">
        <v>0.909090909090909</v>
      </c>
      <c r="AG1522" s="133">
        <v>0.5</v>
      </c>
      <c r="AH1522" s="133">
        <v>0.825</v>
      </c>
      <c r="AI1522" s="135">
        <v>0.92</v>
      </c>
      <c r="AJ1522" s="133">
        <v>0.976678445229682</v>
      </c>
      <c r="AK1522" s="133">
        <v>0.985074626865672</v>
      </c>
      <c r="AL1522" s="133">
        <v>0.988888888888889</v>
      </c>
      <c r="AM1522" s="133">
        <v>0.979630644277565</v>
      </c>
      <c r="AN1522" s="132">
        <v>0.99</v>
      </c>
      <c r="AO1522" s="137">
        <v>1</v>
      </c>
      <c r="AP1522" s="137">
        <v>1</v>
      </c>
      <c r="AQ1522" s="137">
        <v>1</v>
      </c>
      <c r="AR1522" s="137">
        <v>1</v>
      </c>
      <c r="AS1522" s="158">
        <v>0.110069253262963</v>
      </c>
      <c r="AT1522" s="141">
        <v>0</v>
      </c>
      <c r="AU1522" s="141">
        <v>0.0666666666666667</v>
      </c>
      <c r="AV1522" s="141">
        <v>0.0526315789473684</v>
      </c>
      <c r="AW1522" s="141">
        <v>0.052434456928839</v>
      </c>
      <c r="AX1522" s="95"/>
      <c r="AY1522" s="93"/>
    </row>
    <row r="1523" ht="15" spans="1:51">
      <c r="A1523" s="91"/>
      <c r="B1523" s="95"/>
      <c r="C1523" s="152" t="s">
        <v>1455</v>
      </c>
      <c r="D1523" s="153" t="s">
        <v>125</v>
      </c>
      <c r="E1523" s="130" t="s">
        <v>1456</v>
      </c>
      <c r="F1523" s="171" t="s">
        <v>1555</v>
      </c>
      <c r="G1523" s="171" t="s">
        <v>1555</v>
      </c>
      <c r="H1523" s="171" t="s">
        <v>1555</v>
      </c>
      <c r="I1523" s="171" t="s">
        <v>1555</v>
      </c>
      <c r="J1523" s="132">
        <v>0.9</v>
      </c>
      <c r="K1523" s="133" t="s">
        <v>35</v>
      </c>
      <c r="L1523" s="133" t="s">
        <v>35</v>
      </c>
      <c r="M1523" s="134" t="s">
        <v>35</v>
      </c>
      <c r="N1523" s="133" t="s">
        <v>35</v>
      </c>
      <c r="O1523" s="135">
        <v>0.9</v>
      </c>
      <c r="P1523" s="133" t="s">
        <v>35</v>
      </c>
      <c r="Q1523" s="133" t="s">
        <v>35</v>
      </c>
      <c r="R1523" s="133" t="s">
        <v>35</v>
      </c>
      <c r="S1523" s="133" t="s">
        <v>35</v>
      </c>
      <c r="T1523" s="135">
        <v>0.9</v>
      </c>
      <c r="U1523" s="133" t="s">
        <v>35</v>
      </c>
      <c r="V1523" s="133" t="s">
        <v>35</v>
      </c>
      <c r="W1523" s="133" t="s">
        <v>35</v>
      </c>
      <c r="X1523" s="133" t="s">
        <v>35</v>
      </c>
      <c r="Y1523" s="135">
        <v>0.92</v>
      </c>
      <c r="Z1523" s="135" t="s">
        <v>35</v>
      </c>
      <c r="AA1523" s="135" t="s">
        <v>35</v>
      </c>
      <c r="AB1523" s="135" t="s">
        <v>35</v>
      </c>
      <c r="AC1523" s="135" t="s">
        <v>35</v>
      </c>
      <c r="AD1523" s="135">
        <v>0.92</v>
      </c>
      <c r="AE1523" s="133">
        <v>1</v>
      </c>
      <c r="AF1523" s="133">
        <v>1</v>
      </c>
      <c r="AG1523" s="133">
        <v>1</v>
      </c>
      <c r="AH1523" s="133">
        <v>0.997424008243174</v>
      </c>
      <c r="AI1523" s="135">
        <v>0.92</v>
      </c>
      <c r="AJ1523" s="133" t="s">
        <v>35</v>
      </c>
      <c r="AK1523" s="133" t="s">
        <v>35</v>
      </c>
      <c r="AL1523" s="133" t="s">
        <v>35</v>
      </c>
      <c r="AM1523" s="133" t="s">
        <v>35</v>
      </c>
      <c r="AN1523" s="132">
        <v>0.99</v>
      </c>
      <c r="AO1523" s="137" t="s">
        <v>35</v>
      </c>
      <c r="AP1523" s="137" t="s">
        <v>35</v>
      </c>
      <c r="AQ1523" s="137" t="s">
        <v>35</v>
      </c>
      <c r="AR1523" s="137">
        <v>1</v>
      </c>
      <c r="AS1523" s="158">
        <v>0.110069253262963</v>
      </c>
      <c r="AT1523" s="141" t="s">
        <v>35</v>
      </c>
      <c r="AU1523" s="141" t="s">
        <v>35</v>
      </c>
      <c r="AV1523" s="141" t="s">
        <v>35</v>
      </c>
      <c r="AW1523" s="141" t="s">
        <v>35</v>
      </c>
      <c r="AX1523" s="95"/>
      <c r="AY1523" s="93"/>
    </row>
    <row r="1524" ht="15" spans="1:51">
      <c r="A1524" s="91"/>
      <c r="B1524" s="95"/>
      <c r="C1524" s="152" t="s">
        <v>1455</v>
      </c>
      <c r="D1524" s="153" t="s">
        <v>25</v>
      </c>
      <c r="E1524" s="130" t="s">
        <v>1456</v>
      </c>
      <c r="F1524" s="171" t="s">
        <v>1556</v>
      </c>
      <c r="G1524" s="171" t="s">
        <v>1556</v>
      </c>
      <c r="H1524" s="171" t="s">
        <v>1556</v>
      </c>
      <c r="I1524" s="171" t="s">
        <v>1556</v>
      </c>
      <c r="J1524" s="132">
        <v>0.9</v>
      </c>
      <c r="K1524" s="133">
        <v>1</v>
      </c>
      <c r="L1524" s="133">
        <v>1</v>
      </c>
      <c r="M1524" s="134">
        <v>1</v>
      </c>
      <c r="N1524" s="133">
        <v>0.995277449822904</v>
      </c>
      <c r="O1524" s="135">
        <v>0.9</v>
      </c>
      <c r="P1524" s="133">
        <v>0.997013553870894</v>
      </c>
      <c r="Q1524" s="133">
        <v>0.99670474516696</v>
      </c>
      <c r="R1524" s="133">
        <v>0.994417150513622</v>
      </c>
      <c r="S1524" s="133">
        <v>0.994154610550928</v>
      </c>
      <c r="T1524" s="135">
        <v>0.9</v>
      </c>
      <c r="U1524" s="133">
        <v>0.954054674936825</v>
      </c>
      <c r="V1524" s="133">
        <v>0.937609841827768</v>
      </c>
      <c r="W1524" s="133">
        <v>0.938365341670389</v>
      </c>
      <c r="X1524" s="133">
        <v>0.945147282937726</v>
      </c>
      <c r="Y1524" s="135">
        <v>0.92</v>
      </c>
      <c r="Z1524" s="135" t="s">
        <v>35</v>
      </c>
      <c r="AA1524" s="135" t="s">
        <v>35</v>
      </c>
      <c r="AB1524" s="135" t="s">
        <v>35</v>
      </c>
      <c r="AC1524" s="135" t="s">
        <v>35</v>
      </c>
      <c r="AD1524" s="135">
        <v>0.92</v>
      </c>
      <c r="AE1524" s="133">
        <v>0.976470588235294</v>
      </c>
      <c r="AF1524" s="133">
        <v>0.986666666666667</v>
      </c>
      <c r="AG1524" s="133">
        <v>1</v>
      </c>
      <c r="AH1524" s="133">
        <v>0.981077981651376</v>
      </c>
      <c r="AI1524" s="135">
        <v>0.92</v>
      </c>
      <c r="AJ1524" s="133">
        <v>0.96990581208362</v>
      </c>
      <c r="AK1524" s="133">
        <v>0.977372583479789</v>
      </c>
      <c r="AL1524" s="133">
        <v>0.964939705225547</v>
      </c>
      <c r="AM1524" s="133">
        <v>0.981389280308961</v>
      </c>
      <c r="AN1524" s="132">
        <v>0.99</v>
      </c>
      <c r="AO1524" s="137">
        <v>1</v>
      </c>
      <c r="AP1524" s="137">
        <v>1</v>
      </c>
      <c r="AQ1524" s="137">
        <v>1</v>
      </c>
      <c r="AR1524" s="137">
        <v>1</v>
      </c>
      <c r="AS1524" s="158">
        <v>0.110069253262963</v>
      </c>
      <c r="AT1524" s="141">
        <v>0.0277777777777778</v>
      </c>
      <c r="AU1524" s="141">
        <v>0.0857142857142857</v>
      </c>
      <c r="AV1524" s="141">
        <v>0.0857142857142857</v>
      </c>
      <c r="AW1524" s="141">
        <v>0.0920716112531969</v>
      </c>
      <c r="AX1524" s="95"/>
      <c r="AY1524" s="93"/>
    </row>
    <row r="1525" ht="15" spans="1:51">
      <c r="A1525" s="91"/>
      <c r="B1525" s="95"/>
      <c r="C1525" s="152" t="s">
        <v>1455</v>
      </c>
      <c r="D1525" s="153" t="s">
        <v>25</v>
      </c>
      <c r="E1525" s="130" t="s">
        <v>1456</v>
      </c>
      <c r="F1525" s="171" t="s">
        <v>1557</v>
      </c>
      <c r="G1525" s="171" t="s">
        <v>1557</v>
      </c>
      <c r="H1525" s="171" t="s">
        <v>1557</v>
      </c>
      <c r="I1525" s="171" t="s">
        <v>1557</v>
      </c>
      <c r="J1525" s="132">
        <v>0.9</v>
      </c>
      <c r="K1525" s="133">
        <v>1</v>
      </c>
      <c r="L1525" s="133">
        <v>1</v>
      </c>
      <c r="M1525" s="134">
        <v>0.95</v>
      </c>
      <c r="N1525" s="133">
        <v>0.958997722095672</v>
      </c>
      <c r="O1525" s="135">
        <v>0.9</v>
      </c>
      <c r="P1525" s="133">
        <v>0.975633062589584</v>
      </c>
      <c r="Q1525" s="133">
        <v>0.949547834364588</v>
      </c>
      <c r="R1525" s="133">
        <v>0.926181625066383</v>
      </c>
      <c r="S1525" s="133">
        <v>0.912795376399151</v>
      </c>
      <c r="T1525" s="135">
        <v>0.9</v>
      </c>
      <c r="U1525" s="133">
        <v>0.842809364548495</v>
      </c>
      <c r="V1525" s="133">
        <v>0.760590195145169</v>
      </c>
      <c r="W1525" s="133">
        <v>0.880509824747743</v>
      </c>
      <c r="X1525" s="133">
        <v>0.818128612188163</v>
      </c>
      <c r="Y1525" s="135">
        <v>0.92</v>
      </c>
      <c r="Z1525" s="135" t="s">
        <v>35</v>
      </c>
      <c r="AA1525" s="135" t="s">
        <v>35</v>
      </c>
      <c r="AB1525" s="135" t="s">
        <v>35</v>
      </c>
      <c r="AC1525" s="135" t="s">
        <v>35</v>
      </c>
      <c r="AD1525" s="135">
        <v>0.92</v>
      </c>
      <c r="AE1525" s="133">
        <v>1</v>
      </c>
      <c r="AF1525" s="133">
        <v>0.994444444444444</v>
      </c>
      <c r="AG1525" s="133">
        <v>0.991416309012876</v>
      </c>
      <c r="AH1525" s="133">
        <v>0.992724097788126</v>
      </c>
      <c r="AI1525" s="135">
        <v>0.92</v>
      </c>
      <c r="AJ1525" s="133">
        <v>0.912087912087912</v>
      </c>
      <c r="AK1525" s="133">
        <v>0.918610185625892</v>
      </c>
      <c r="AL1525" s="133">
        <v>0.939458311205523</v>
      </c>
      <c r="AM1525" s="133">
        <v>0.910137293632794</v>
      </c>
      <c r="AN1525" s="132">
        <v>0.99</v>
      </c>
      <c r="AO1525" s="137">
        <v>1</v>
      </c>
      <c r="AP1525" s="137">
        <v>1</v>
      </c>
      <c r="AQ1525" s="137">
        <v>1</v>
      </c>
      <c r="AR1525" s="137">
        <v>1</v>
      </c>
      <c r="AS1525" s="158">
        <v>0.110069253262963</v>
      </c>
      <c r="AT1525" s="141">
        <v>0</v>
      </c>
      <c r="AU1525" s="141">
        <v>0.0476190476190476</v>
      </c>
      <c r="AV1525" s="141">
        <v>0.0769230769230769</v>
      </c>
      <c r="AW1525" s="141">
        <v>0.0535714285714286</v>
      </c>
      <c r="AX1525" s="95"/>
      <c r="AY1525" s="93"/>
    </row>
    <row r="1526" ht="15" spans="1:51">
      <c r="A1526" s="91"/>
      <c r="B1526" s="95"/>
      <c r="C1526" s="152" t="s">
        <v>1455</v>
      </c>
      <c r="D1526" s="153" t="s">
        <v>25</v>
      </c>
      <c r="E1526" s="130" t="s">
        <v>1456</v>
      </c>
      <c r="F1526" s="171" t="s">
        <v>1558</v>
      </c>
      <c r="G1526" s="171" t="s">
        <v>1558</v>
      </c>
      <c r="H1526" s="171" t="s">
        <v>1558</v>
      </c>
      <c r="I1526" s="171" t="s">
        <v>1558</v>
      </c>
      <c r="J1526" s="132">
        <v>0.9</v>
      </c>
      <c r="K1526" s="133">
        <v>1</v>
      </c>
      <c r="L1526" s="133">
        <v>1</v>
      </c>
      <c r="M1526" s="134">
        <v>1</v>
      </c>
      <c r="N1526" s="133">
        <v>0.992021276595745</v>
      </c>
      <c r="O1526" s="135">
        <v>0.9</v>
      </c>
      <c r="P1526" s="133">
        <v>0.998303647158609</v>
      </c>
      <c r="Q1526" s="133">
        <v>0.998522458628842</v>
      </c>
      <c r="R1526" s="133">
        <v>0.989945417983338</v>
      </c>
      <c r="S1526" s="133">
        <v>0.985759384606901</v>
      </c>
      <c r="T1526" s="135">
        <v>0.9</v>
      </c>
      <c r="U1526" s="133">
        <v>0.960135708227311</v>
      </c>
      <c r="V1526" s="133">
        <v>0.967494089834515</v>
      </c>
      <c r="W1526" s="133">
        <v>0.95403619649526</v>
      </c>
      <c r="X1526" s="133">
        <v>0.959428721101752</v>
      </c>
      <c r="Y1526" s="135">
        <v>0.92</v>
      </c>
      <c r="Z1526" s="135">
        <v>1</v>
      </c>
      <c r="AA1526" s="135" t="s">
        <v>35</v>
      </c>
      <c r="AB1526" s="135" t="s">
        <v>35</v>
      </c>
      <c r="AC1526" s="135">
        <v>1</v>
      </c>
      <c r="AD1526" s="135">
        <v>0.92</v>
      </c>
      <c r="AE1526" s="133">
        <v>0.980769230769231</v>
      </c>
      <c r="AF1526" s="133">
        <v>0.987012987012987</v>
      </c>
      <c r="AG1526" s="133">
        <v>1</v>
      </c>
      <c r="AH1526" s="133">
        <v>0.979098238280084</v>
      </c>
      <c r="AI1526" s="135">
        <v>0.92</v>
      </c>
      <c r="AJ1526" s="133">
        <v>0.969474279253816</v>
      </c>
      <c r="AK1526" s="133">
        <v>0.984633569739953</v>
      </c>
      <c r="AL1526" s="133">
        <v>0.978167193335248</v>
      </c>
      <c r="AM1526" s="133">
        <v>0.986421846353197</v>
      </c>
      <c r="AN1526" s="132">
        <v>0.99</v>
      </c>
      <c r="AO1526" s="137">
        <v>1</v>
      </c>
      <c r="AP1526" s="137">
        <v>1</v>
      </c>
      <c r="AQ1526" s="137">
        <v>1</v>
      </c>
      <c r="AR1526" s="137">
        <v>1</v>
      </c>
      <c r="AS1526" s="158">
        <v>0.110069253262963</v>
      </c>
      <c r="AT1526" s="141">
        <v>0.117647058823529</v>
      </c>
      <c r="AU1526" s="141">
        <v>0.111111111111111</v>
      </c>
      <c r="AV1526" s="141">
        <v>0.0909090909090909</v>
      </c>
      <c r="AW1526" s="141">
        <v>0.0862944162436548</v>
      </c>
      <c r="AX1526" s="95"/>
      <c r="AY1526" s="93"/>
    </row>
    <row r="1527" ht="15" spans="1:51">
      <c r="A1527" s="91"/>
      <c r="B1527" s="95"/>
      <c r="C1527" s="152" t="s">
        <v>1455</v>
      </c>
      <c r="D1527" s="153" t="s">
        <v>25</v>
      </c>
      <c r="E1527" s="130" t="s">
        <v>1456</v>
      </c>
      <c r="F1527" s="171" t="s">
        <v>1559</v>
      </c>
      <c r="G1527" s="171" t="s">
        <v>1559</v>
      </c>
      <c r="H1527" s="171" t="s">
        <v>1559</v>
      </c>
      <c r="I1527" s="171" t="s">
        <v>1559</v>
      </c>
      <c r="J1527" s="132">
        <v>0.9</v>
      </c>
      <c r="K1527" s="133">
        <v>0.974358974358974</v>
      </c>
      <c r="L1527" s="133">
        <v>0.951219512195122</v>
      </c>
      <c r="M1527" s="134">
        <v>0.972222222222222</v>
      </c>
      <c r="N1527" s="133">
        <v>0.958005249343832</v>
      </c>
      <c r="O1527" s="135">
        <v>0.9</v>
      </c>
      <c r="P1527" s="133">
        <v>0.949192908176766</v>
      </c>
      <c r="Q1527" s="133">
        <v>0.91077694235589</v>
      </c>
      <c r="R1527" s="133">
        <v>0.89324437030859</v>
      </c>
      <c r="S1527" s="133">
        <v>0.93331160584844</v>
      </c>
      <c r="T1527" s="135">
        <v>0.9</v>
      </c>
      <c r="U1527" s="133">
        <v>0.913733792008468</v>
      </c>
      <c r="V1527" s="133">
        <v>0.859649122807018</v>
      </c>
      <c r="W1527" s="133">
        <v>0.838198498748957</v>
      </c>
      <c r="X1527" s="133">
        <v>0.885188972926805</v>
      </c>
      <c r="Y1527" s="135">
        <v>0.92</v>
      </c>
      <c r="Z1527" s="135" t="s">
        <v>35</v>
      </c>
      <c r="AA1527" s="135" t="s">
        <v>35</v>
      </c>
      <c r="AB1527" s="135" t="s">
        <v>35</v>
      </c>
      <c r="AC1527" s="135" t="s">
        <v>35</v>
      </c>
      <c r="AD1527" s="135">
        <v>0.92</v>
      </c>
      <c r="AE1527" s="133">
        <v>0.996389891696751</v>
      </c>
      <c r="AF1527" s="133">
        <v>0.990825688073395</v>
      </c>
      <c r="AG1527" s="133">
        <v>1</v>
      </c>
      <c r="AH1527" s="133">
        <v>0.966937569264869</v>
      </c>
      <c r="AI1527" s="135">
        <v>0.92</v>
      </c>
      <c r="AJ1527" s="133">
        <v>0.948663667636941</v>
      </c>
      <c r="AK1527" s="133">
        <v>0.921804511278196</v>
      </c>
      <c r="AL1527" s="133">
        <v>0.917153183208229</v>
      </c>
      <c r="AM1527" s="133">
        <v>0.960295340630689</v>
      </c>
      <c r="AN1527" s="132">
        <v>0.99</v>
      </c>
      <c r="AO1527" s="137">
        <v>1</v>
      </c>
      <c r="AP1527" s="137">
        <v>1</v>
      </c>
      <c r="AQ1527" s="137">
        <v>1</v>
      </c>
      <c r="AR1527" s="137">
        <v>1</v>
      </c>
      <c r="AS1527" s="158">
        <v>0.110069253262963</v>
      </c>
      <c r="AT1527" s="141">
        <v>0.133333333333333</v>
      </c>
      <c r="AU1527" s="141">
        <v>0</v>
      </c>
      <c r="AV1527" s="141">
        <v>0</v>
      </c>
      <c r="AW1527" s="141">
        <v>0.0843373493975904</v>
      </c>
      <c r="AX1527" s="95"/>
      <c r="AY1527" s="93"/>
    </row>
    <row r="1528" ht="15" spans="1:51">
      <c r="A1528" s="91"/>
      <c r="B1528" s="95"/>
      <c r="C1528" s="152" t="s">
        <v>1455</v>
      </c>
      <c r="D1528" s="153" t="s">
        <v>25</v>
      </c>
      <c r="E1528" s="130" t="s">
        <v>1456</v>
      </c>
      <c r="F1528" s="171" t="s">
        <v>1560</v>
      </c>
      <c r="G1528" s="171" t="s">
        <v>1560</v>
      </c>
      <c r="H1528" s="171" t="s">
        <v>1560</v>
      </c>
      <c r="I1528" s="171" t="s">
        <v>1560</v>
      </c>
      <c r="J1528" s="132">
        <v>0.9</v>
      </c>
      <c r="K1528" s="133">
        <v>0.944444444444444</v>
      </c>
      <c r="L1528" s="133">
        <v>0.944444444444444</v>
      </c>
      <c r="M1528" s="134">
        <v>0.95</v>
      </c>
      <c r="N1528" s="133">
        <v>0.955056179775281</v>
      </c>
      <c r="O1528" s="135">
        <v>0.9</v>
      </c>
      <c r="P1528" s="133">
        <v>0.995053956834532</v>
      </c>
      <c r="Q1528" s="133">
        <v>0.996671421778412</v>
      </c>
      <c r="R1528" s="133">
        <v>0.996410256410256</v>
      </c>
      <c r="S1528" s="133">
        <v>0.990399082897471</v>
      </c>
      <c r="T1528" s="135">
        <v>0.9</v>
      </c>
      <c r="U1528" s="133">
        <v>0.956834532374101</v>
      </c>
      <c r="V1528" s="133">
        <v>0.94151212553495</v>
      </c>
      <c r="W1528" s="133">
        <v>0.962051282051282</v>
      </c>
      <c r="X1528" s="133">
        <v>0.940961524682955</v>
      </c>
      <c r="Y1528" s="135">
        <v>0.92</v>
      </c>
      <c r="Z1528" s="135" t="s">
        <v>35</v>
      </c>
      <c r="AA1528" s="135" t="s">
        <v>35</v>
      </c>
      <c r="AB1528" s="135" t="s">
        <v>35</v>
      </c>
      <c r="AC1528" s="135" t="s">
        <v>35</v>
      </c>
      <c r="AD1528" s="135">
        <v>0.92</v>
      </c>
      <c r="AE1528" s="133">
        <v>1</v>
      </c>
      <c r="AF1528" s="133">
        <v>0.990476190476191</v>
      </c>
      <c r="AG1528" s="133">
        <v>1</v>
      </c>
      <c r="AH1528" s="133">
        <v>0.99438202247191</v>
      </c>
      <c r="AI1528" s="135">
        <v>0.92</v>
      </c>
      <c r="AJ1528" s="133">
        <v>0.967625899280576</v>
      </c>
      <c r="AK1528" s="133">
        <v>0.986210175939135</v>
      </c>
      <c r="AL1528" s="133">
        <v>0.987692307692308</v>
      </c>
      <c r="AM1528" s="133">
        <v>0.982374435766999</v>
      </c>
      <c r="AN1528" s="132">
        <v>0.99</v>
      </c>
      <c r="AO1528" s="137">
        <v>1</v>
      </c>
      <c r="AP1528" s="137">
        <v>1</v>
      </c>
      <c r="AQ1528" s="137">
        <v>1</v>
      </c>
      <c r="AR1528" s="137">
        <v>1</v>
      </c>
      <c r="AS1528" s="158">
        <v>0.110069253262963</v>
      </c>
      <c r="AT1528" s="141">
        <v>0.0909090909090909</v>
      </c>
      <c r="AU1528" s="141">
        <v>0.05</v>
      </c>
      <c r="AV1528" s="141">
        <v>0.227272727272727</v>
      </c>
      <c r="AW1528" s="141">
        <v>0.120786516853933</v>
      </c>
      <c r="AX1528" s="95"/>
      <c r="AY1528" s="93"/>
    </row>
    <row r="1529" ht="15" spans="1:51">
      <c r="A1529" s="91"/>
      <c r="B1529" s="95"/>
      <c r="C1529" s="152" t="s">
        <v>1455</v>
      </c>
      <c r="D1529" s="153" t="s">
        <v>25</v>
      </c>
      <c r="E1529" s="130" t="s">
        <v>1456</v>
      </c>
      <c r="F1529" s="171" t="s">
        <v>1561</v>
      </c>
      <c r="G1529" s="171" t="s">
        <v>1561</v>
      </c>
      <c r="H1529" s="171" t="s">
        <v>1561</v>
      </c>
      <c r="I1529" s="171" t="s">
        <v>1561</v>
      </c>
      <c r="J1529" s="132">
        <v>0.9</v>
      </c>
      <c r="K1529" s="133">
        <v>0.947368421052632</v>
      </c>
      <c r="L1529" s="133">
        <v>0.875</v>
      </c>
      <c r="M1529" s="134">
        <v>0.9</v>
      </c>
      <c r="N1529" s="133">
        <v>0.901442307692308</v>
      </c>
      <c r="O1529" s="135">
        <v>0.9</v>
      </c>
      <c r="P1529" s="133">
        <v>0.945370902817711</v>
      </c>
      <c r="Q1529" s="133">
        <v>0.935214881334189</v>
      </c>
      <c r="R1529" s="133">
        <v>0.950552646887725</v>
      </c>
      <c r="S1529" s="133">
        <v>0.93587664495547</v>
      </c>
      <c r="T1529" s="135">
        <v>0.9</v>
      </c>
      <c r="U1529" s="133">
        <v>0.905692926969523</v>
      </c>
      <c r="V1529" s="133">
        <v>0.895445798588839</v>
      </c>
      <c r="W1529" s="133">
        <v>0.904013961605585</v>
      </c>
      <c r="X1529" s="133">
        <v>0.918436793832248</v>
      </c>
      <c r="Y1529" s="135">
        <v>0.92</v>
      </c>
      <c r="Z1529" s="135" t="s">
        <v>35</v>
      </c>
      <c r="AA1529" s="135" t="s">
        <v>35</v>
      </c>
      <c r="AB1529" s="135" t="s">
        <v>35</v>
      </c>
      <c r="AC1529" s="135" t="s">
        <v>35</v>
      </c>
      <c r="AD1529" s="135">
        <v>0.92</v>
      </c>
      <c r="AE1529" s="133">
        <v>0.93730407523511</v>
      </c>
      <c r="AF1529" s="133">
        <v>0.975945017182131</v>
      </c>
      <c r="AG1529" s="133">
        <v>0.984293193717278</v>
      </c>
      <c r="AH1529" s="133">
        <v>0.980459115917283</v>
      </c>
      <c r="AI1529" s="135">
        <v>0.92</v>
      </c>
      <c r="AJ1529" s="133">
        <v>0.925819436457734</v>
      </c>
      <c r="AK1529" s="133">
        <v>0.953175112251443</v>
      </c>
      <c r="AL1529" s="133">
        <v>0.948225712623618</v>
      </c>
      <c r="AM1529" s="133">
        <v>0.962249102751562</v>
      </c>
      <c r="AN1529" s="132">
        <v>0.99</v>
      </c>
      <c r="AO1529" s="137">
        <v>1</v>
      </c>
      <c r="AP1529" s="137">
        <v>1</v>
      </c>
      <c r="AQ1529" s="137">
        <v>1</v>
      </c>
      <c r="AR1529" s="137">
        <v>1</v>
      </c>
      <c r="AS1529" s="158">
        <v>0.110069253262963</v>
      </c>
      <c r="AT1529" s="141">
        <v>0.125</v>
      </c>
      <c r="AU1529" s="141">
        <v>0.0625</v>
      </c>
      <c r="AV1529" s="141">
        <v>0</v>
      </c>
      <c r="AW1529" s="141">
        <v>0.129139072847682</v>
      </c>
      <c r="AX1529" s="95"/>
      <c r="AY1529" s="93"/>
    </row>
    <row r="1530" ht="15" spans="1:51">
      <c r="A1530" s="91"/>
      <c r="B1530" s="95"/>
      <c r="C1530" s="152" t="s">
        <v>1455</v>
      </c>
      <c r="D1530" s="153" t="s">
        <v>25</v>
      </c>
      <c r="E1530" s="130" t="s">
        <v>1456</v>
      </c>
      <c r="F1530" s="171" t="s">
        <v>1562</v>
      </c>
      <c r="G1530" s="171" t="s">
        <v>1562</v>
      </c>
      <c r="H1530" s="171" t="s">
        <v>1562</v>
      </c>
      <c r="I1530" s="171" t="s">
        <v>1562</v>
      </c>
      <c r="J1530" s="132">
        <v>0.9</v>
      </c>
      <c r="K1530" s="133">
        <v>0.954545454545455</v>
      </c>
      <c r="L1530" s="133">
        <v>0.909090909090909</v>
      </c>
      <c r="M1530" s="134">
        <v>1</v>
      </c>
      <c r="N1530" s="133">
        <v>0.957081545064378</v>
      </c>
      <c r="O1530" s="135">
        <v>0.9</v>
      </c>
      <c r="P1530" s="133">
        <v>0.991187143597719</v>
      </c>
      <c r="Q1530" s="133">
        <v>0.996344647519582</v>
      </c>
      <c r="R1530" s="133">
        <v>0.996843766438716</v>
      </c>
      <c r="S1530" s="133">
        <v>0.98386245381193</v>
      </c>
      <c r="T1530" s="135">
        <v>0.9</v>
      </c>
      <c r="U1530" s="133">
        <v>0.914463452566096</v>
      </c>
      <c r="V1530" s="133">
        <v>0.908616187989556</v>
      </c>
      <c r="W1530" s="133">
        <v>0.916359810625986</v>
      </c>
      <c r="X1530" s="133">
        <v>0.920669632757711</v>
      </c>
      <c r="Y1530" s="135">
        <v>0.92</v>
      </c>
      <c r="Z1530" s="135" t="s">
        <v>35</v>
      </c>
      <c r="AA1530" s="135" t="s">
        <v>35</v>
      </c>
      <c r="AB1530" s="135" t="s">
        <v>35</v>
      </c>
      <c r="AC1530" s="135" t="s">
        <v>35</v>
      </c>
      <c r="AD1530" s="135">
        <v>0.92</v>
      </c>
      <c r="AE1530" s="133">
        <v>0.886363636363636</v>
      </c>
      <c r="AF1530" s="133">
        <v>0.857142857142857</v>
      </c>
      <c r="AG1530" s="133">
        <v>1</v>
      </c>
      <c r="AH1530" s="133">
        <v>0.842182890855457</v>
      </c>
      <c r="AI1530" s="135">
        <v>0.92</v>
      </c>
      <c r="AJ1530" s="133">
        <v>0.955417314670814</v>
      </c>
      <c r="AK1530" s="133">
        <v>0.96710182767624</v>
      </c>
      <c r="AL1530" s="133">
        <v>0.967911625460284</v>
      </c>
      <c r="AM1530" s="133">
        <v>0.973757635170802</v>
      </c>
      <c r="AN1530" s="132">
        <v>0.99</v>
      </c>
      <c r="AO1530" s="137">
        <v>1</v>
      </c>
      <c r="AP1530" s="137">
        <v>1</v>
      </c>
      <c r="AQ1530" s="137">
        <v>1</v>
      </c>
      <c r="AR1530" s="137">
        <v>1</v>
      </c>
      <c r="AS1530" s="158">
        <v>0.110069253262963</v>
      </c>
      <c r="AT1530" s="141">
        <v>0.111111111111111</v>
      </c>
      <c r="AU1530" s="141">
        <v>0.0909090909090909</v>
      </c>
      <c r="AV1530" s="141">
        <v>0.0625</v>
      </c>
      <c r="AW1530" s="141">
        <v>0.0775193798449612</v>
      </c>
      <c r="AX1530" s="95"/>
      <c r="AY1530" s="93"/>
    </row>
    <row r="1531" ht="15" spans="1:51">
      <c r="A1531" s="91"/>
      <c r="B1531" s="95"/>
      <c r="C1531" s="152" t="s">
        <v>1455</v>
      </c>
      <c r="D1531" s="153" t="s">
        <v>25</v>
      </c>
      <c r="E1531" s="130" t="s">
        <v>1456</v>
      </c>
      <c r="F1531" s="171" t="s">
        <v>1563</v>
      </c>
      <c r="G1531" s="171" t="s">
        <v>1563</v>
      </c>
      <c r="H1531" s="171" t="s">
        <v>1563</v>
      </c>
      <c r="I1531" s="171" t="s">
        <v>1563</v>
      </c>
      <c r="J1531" s="132">
        <v>0.9</v>
      </c>
      <c r="K1531" s="133">
        <v>0.967741935483871</v>
      </c>
      <c r="L1531" s="133">
        <v>1</v>
      </c>
      <c r="M1531" s="134">
        <v>0.966666666666667</v>
      </c>
      <c r="N1531" s="133">
        <v>0.98538961038961</v>
      </c>
      <c r="O1531" s="135">
        <v>0.9</v>
      </c>
      <c r="P1531" s="133">
        <v>0.987109568666336</v>
      </c>
      <c r="Q1531" s="133">
        <v>0.9923273657289</v>
      </c>
      <c r="R1531" s="133">
        <v>0.987733333333333</v>
      </c>
      <c r="S1531" s="133">
        <v>0.981676658286598</v>
      </c>
      <c r="T1531" s="135">
        <v>0.9</v>
      </c>
      <c r="U1531" s="133">
        <v>0.935052057511155</v>
      </c>
      <c r="V1531" s="133">
        <v>0.914578005115089</v>
      </c>
      <c r="W1531" s="133">
        <v>0.909866666666667</v>
      </c>
      <c r="X1531" s="133">
        <v>0.924603558305937</v>
      </c>
      <c r="Y1531" s="135">
        <v>0.92</v>
      </c>
      <c r="Z1531" s="135" t="s">
        <v>35</v>
      </c>
      <c r="AA1531" s="135" t="s">
        <v>35</v>
      </c>
      <c r="AB1531" s="135" t="s">
        <v>35</v>
      </c>
      <c r="AC1531" s="135" t="s">
        <v>35</v>
      </c>
      <c r="AD1531" s="135">
        <v>0.92</v>
      </c>
      <c r="AE1531" s="133">
        <v>0.960093896713615</v>
      </c>
      <c r="AF1531" s="133">
        <v>0.89247311827957</v>
      </c>
      <c r="AG1531" s="133">
        <v>0.807692307692308</v>
      </c>
      <c r="AH1531" s="133">
        <v>0.944012146517366</v>
      </c>
      <c r="AI1531" s="135">
        <v>0.92</v>
      </c>
      <c r="AJ1531" s="133">
        <v>0.944967773921666</v>
      </c>
      <c r="AK1531" s="133">
        <v>0.952429667519182</v>
      </c>
      <c r="AL1531" s="133">
        <v>0.945066666666667</v>
      </c>
      <c r="AM1531" s="133">
        <v>0.959920711661187</v>
      </c>
      <c r="AN1531" s="132">
        <v>0.99</v>
      </c>
      <c r="AO1531" s="137">
        <v>1</v>
      </c>
      <c r="AP1531" s="137">
        <v>1</v>
      </c>
      <c r="AQ1531" s="137">
        <v>1</v>
      </c>
      <c r="AR1531" s="137">
        <v>1</v>
      </c>
      <c r="AS1531" s="158">
        <v>0.110069253262963</v>
      </c>
      <c r="AT1531" s="141">
        <v>0.0555555555555556</v>
      </c>
      <c r="AU1531" s="141">
        <v>0</v>
      </c>
      <c r="AV1531" s="141">
        <v>0.0909090909090909</v>
      </c>
      <c r="AW1531" s="141">
        <v>0.0513698630136986</v>
      </c>
      <c r="AX1531" s="95"/>
      <c r="AY1531" s="93"/>
    </row>
    <row r="1532" ht="15" spans="1:51">
      <c r="A1532" s="91"/>
      <c r="B1532" s="95"/>
      <c r="C1532" s="152" t="s">
        <v>1455</v>
      </c>
      <c r="D1532" s="153" t="s">
        <v>125</v>
      </c>
      <c r="E1532" s="130" t="s">
        <v>1456</v>
      </c>
      <c r="F1532" s="171" t="s">
        <v>1564</v>
      </c>
      <c r="G1532" s="171" t="s">
        <v>1564</v>
      </c>
      <c r="H1532" s="171" t="s">
        <v>1564</v>
      </c>
      <c r="I1532" s="171" t="s">
        <v>1564</v>
      </c>
      <c r="J1532" s="132">
        <v>0.9</v>
      </c>
      <c r="K1532" s="133" t="s">
        <v>35</v>
      </c>
      <c r="L1532" s="133" t="s">
        <v>35</v>
      </c>
      <c r="M1532" s="134" t="s">
        <v>35</v>
      </c>
      <c r="N1532" s="133" t="s">
        <v>35</v>
      </c>
      <c r="O1532" s="135">
        <v>0.9</v>
      </c>
      <c r="P1532" s="133" t="s">
        <v>35</v>
      </c>
      <c r="Q1532" s="133" t="s">
        <v>35</v>
      </c>
      <c r="R1532" s="133" t="s">
        <v>35</v>
      </c>
      <c r="S1532" s="133" t="s">
        <v>35</v>
      </c>
      <c r="T1532" s="135">
        <v>0.9</v>
      </c>
      <c r="U1532" s="133" t="s">
        <v>35</v>
      </c>
      <c r="V1532" s="133" t="s">
        <v>35</v>
      </c>
      <c r="W1532" s="133" t="s">
        <v>35</v>
      </c>
      <c r="X1532" s="133" t="s">
        <v>35</v>
      </c>
      <c r="Y1532" s="135">
        <v>0.92</v>
      </c>
      <c r="Z1532" s="135" t="s">
        <v>35</v>
      </c>
      <c r="AA1532" s="135" t="s">
        <v>35</v>
      </c>
      <c r="AB1532" s="135" t="s">
        <v>35</v>
      </c>
      <c r="AC1532" s="135" t="s">
        <v>35</v>
      </c>
      <c r="AD1532" s="135">
        <v>0.92</v>
      </c>
      <c r="AE1532" s="133">
        <v>1</v>
      </c>
      <c r="AF1532" s="133">
        <v>0.980519480519481</v>
      </c>
      <c r="AG1532" s="133">
        <v>1</v>
      </c>
      <c r="AH1532" s="133">
        <v>0.992248062015504</v>
      </c>
      <c r="AI1532" s="135">
        <v>0.92</v>
      </c>
      <c r="AJ1532" s="133" t="s">
        <v>35</v>
      </c>
      <c r="AK1532" s="133" t="s">
        <v>35</v>
      </c>
      <c r="AL1532" s="133" t="s">
        <v>35</v>
      </c>
      <c r="AM1532" s="133" t="s">
        <v>35</v>
      </c>
      <c r="AN1532" s="132">
        <v>0.99</v>
      </c>
      <c r="AO1532" s="137" t="s">
        <v>35</v>
      </c>
      <c r="AP1532" s="137" t="s">
        <v>35</v>
      </c>
      <c r="AQ1532" s="137" t="s">
        <v>35</v>
      </c>
      <c r="AR1532" s="137">
        <v>1</v>
      </c>
      <c r="AS1532" s="158">
        <v>0.110069253262963</v>
      </c>
      <c r="AT1532" s="141" t="s">
        <v>35</v>
      </c>
      <c r="AU1532" s="141" t="s">
        <v>35</v>
      </c>
      <c r="AV1532" s="141" t="s">
        <v>35</v>
      </c>
      <c r="AW1532" s="141" t="s">
        <v>35</v>
      </c>
      <c r="AX1532" s="95"/>
      <c r="AY1532" s="93"/>
    </row>
    <row r="1533" ht="15" spans="1:51">
      <c r="A1533" s="91"/>
      <c r="B1533" s="95"/>
      <c r="C1533" s="152" t="s">
        <v>1455</v>
      </c>
      <c r="D1533" s="153" t="s">
        <v>25</v>
      </c>
      <c r="E1533" s="130" t="s">
        <v>1456</v>
      </c>
      <c r="F1533" s="171" t="s">
        <v>1565</v>
      </c>
      <c r="G1533" s="171" t="s">
        <v>1565</v>
      </c>
      <c r="H1533" s="171" t="s">
        <v>1565</v>
      </c>
      <c r="I1533" s="171" t="s">
        <v>1565</v>
      </c>
      <c r="J1533" s="132">
        <v>0.9</v>
      </c>
      <c r="K1533" s="133">
        <v>1</v>
      </c>
      <c r="L1533" s="133">
        <v>0.970588235294118</v>
      </c>
      <c r="M1533" s="134">
        <v>0.971428571428571</v>
      </c>
      <c r="N1533" s="133">
        <v>0.964028776978417</v>
      </c>
      <c r="O1533" s="135">
        <v>0.9</v>
      </c>
      <c r="P1533" s="133">
        <v>0.983569146508444</v>
      </c>
      <c r="Q1533" s="133">
        <v>0.932979529946929</v>
      </c>
      <c r="R1533" s="133">
        <v>0.932789885210447</v>
      </c>
      <c r="S1533" s="133">
        <v>0.961590941643862</v>
      </c>
      <c r="T1533" s="135">
        <v>0.9</v>
      </c>
      <c r="U1533" s="133">
        <v>0.904609767229576</v>
      </c>
      <c r="V1533" s="133">
        <v>0.861865049279757</v>
      </c>
      <c r="W1533" s="133">
        <v>0.86341706870737</v>
      </c>
      <c r="X1533" s="133">
        <v>0.903943430505612</v>
      </c>
      <c r="Y1533" s="135">
        <v>0.92</v>
      </c>
      <c r="Z1533" s="135" t="s">
        <v>35</v>
      </c>
      <c r="AA1533" s="135" t="s">
        <v>35</v>
      </c>
      <c r="AB1533" s="135" t="s">
        <v>35</v>
      </c>
      <c r="AC1533" s="135">
        <v>1</v>
      </c>
      <c r="AD1533" s="135">
        <v>0.92</v>
      </c>
      <c r="AE1533" s="133">
        <v>0.993827160493827</v>
      </c>
      <c r="AF1533" s="133">
        <v>0.950354609929078</v>
      </c>
      <c r="AG1533" s="133">
        <v>0.981884057971015</v>
      </c>
      <c r="AH1533" s="133">
        <v>0.979349415204678</v>
      </c>
      <c r="AI1533" s="135">
        <v>0.92</v>
      </c>
      <c r="AJ1533" s="133">
        <v>0.953598052639586</v>
      </c>
      <c r="AK1533" s="133">
        <v>0.95890826383624</v>
      </c>
      <c r="AL1533" s="133">
        <v>0.92314090833472</v>
      </c>
      <c r="AM1533" s="133">
        <v>0.966740793788398</v>
      </c>
      <c r="AN1533" s="132">
        <v>0.99</v>
      </c>
      <c r="AO1533" s="137">
        <v>1</v>
      </c>
      <c r="AP1533" s="137">
        <v>1</v>
      </c>
      <c r="AQ1533" s="137">
        <v>1</v>
      </c>
      <c r="AR1533" s="137">
        <v>1</v>
      </c>
      <c r="AS1533" s="158">
        <v>0.110069253262963</v>
      </c>
      <c r="AT1533" s="141">
        <v>0.0571428571428571</v>
      </c>
      <c r="AU1533" s="141">
        <v>0.0563380281690141</v>
      </c>
      <c r="AV1533" s="141">
        <v>0.0491803278688525</v>
      </c>
      <c r="AW1533" s="141">
        <v>0.0757201646090535</v>
      </c>
      <c r="AX1533" s="95"/>
      <c r="AY1533" s="93"/>
    </row>
    <row r="1534" ht="15" spans="1:51">
      <c r="A1534" s="91"/>
      <c r="B1534" s="95"/>
      <c r="C1534" s="152" t="s">
        <v>1455</v>
      </c>
      <c r="D1534" s="153" t="s">
        <v>25</v>
      </c>
      <c r="E1534" s="130" t="s">
        <v>1456</v>
      </c>
      <c r="F1534" s="171" t="s">
        <v>1566</v>
      </c>
      <c r="G1534" s="171" t="s">
        <v>1566</v>
      </c>
      <c r="H1534" s="171" t="s">
        <v>1566</v>
      </c>
      <c r="I1534" s="171" t="s">
        <v>1566</v>
      </c>
      <c r="J1534" s="132">
        <v>0.9</v>
      </c>
      <c r="K1534" s="133">
        <v>0.857142857142857</v>
      </c>
      <c r="L1534" s="133">
        <v>0.866666666666667</v>
      </c>
      <c r="M1534" s="134">
        <v>1</v>
      </c>
      <c r="N1534" s="133">
        <v>0.962199312714777</v>
      </c>
      <c r="O1534" s="135">
        <v>0.9</v>
      </c>
      <c r="P1534" s="133">
        <v>0.997081712062257</v>
      </c>
      <c r="Q1534" s="133">
        <v>0.997455470737914</v>
      </c>
      <c r="R1534" s="133">
        <v>0.996978851963746</v>
      </c>
      <c r="S1534" s="133">
        <v>0.99562860639972</v>
      </c>
      <c r="T1534" s="135">
        <v>0.9</v>
      </c>
      <c r="U1534" s="133">
        <v>0.964980544747082</v>
      </c>
      <c r="V1534" s="133">
        <v>0.959287531806616</v>
      </c>
      <c r="W1534" s="133">
        <v>0.95166163141994</v>
      </c>
      <c r="X1534" s="133">
        <v>0.953051232732995</v>
      </c>
      <c r="Y1534" s="135">
        <v>0.92</v>
      </c>
      <c r="Z1534" s="135" t="s">
        <v>35</v>
      </c>
      <c r="AA1534" s="135" t="s">
        <v>35</v>
      </c>
      <c r="AB1534" s="135" t="s">
        <v>35</v>
      </c>
      <c r="AC1534" s="135" t="s">
        <v>35</v>
      </c>
      <c r="AD1534" s="135">
        <v>0.92</v>
      </c>
      <c r="AE1534" s="133">
        <v>1</v>
      </c>
      <c r="AF1534" s="133">
        <v>0.956521739130435</v>
      </c>
      <c r="AG1534" s="133">
        <v>1</v>
      </c>
      <c r="AH1534" s="133">
        <v>0.990895295902883</v>
      </c>
      <c r="AI1534" s="135">
        <v>0.92</v>
      </c>
      <c r="AJ1534" s="133">
        <v>0.976653696498054</v>
      </c>
      <c r="AK1534" s="133">
        <v>0.988125530110263</v>
      </c>
      <c r="AL1534" s="133">
        <v>0.971802618328298</v>
      </c>
      <c r="AM1534" s="133">
        <v>0.985137261759049</v>
      </c>
      <c r="AN1534" s="132">
        <v>0.99</v>
      </c>
      <c r="AO1534" s="137" t="s">
        <v>35</v>
      </c>
      <c r="AP1534" s="137">
        <v>1</v>
      </c>
      <c r="AQ1534" s="137" t="s">
        <v>35</v>
      </c>
      <c r="AR1534" s="137">
        <v>1</v>
      </c>
      <c r="AS1534" s="158">
        <v>0.110069253262963</v>
      </c>
      <c r="AT1534" s="141">
        <v>0.0510204081632653</v>
      </c>
      <c r="AU1534" s="141">
        <v>0</v>
      </c>
      <c r="AV1534" s="141">
        <v>0.0144927536231884</v>
      </c>
      <c r="AW1534" s="141">
        <v>0.037147102526003</v>
      </c>
      <c r="AX1534" s="95"/>
      <c r="AY1534" s="93"/>
    </row>
    <row r="1535" ht="15" spans="1:51">
      <c r="A1535" s="91"/>
      <c r="B1535" s="95"/>
      <c r="C1535" s="152" t="s">
        <v>1455</v>
      </c>
      <c r="D1535" s="153" t="s">
        <v>25</v>
      </c>
      <c r="E1535" s="130" t="s">
        <v>1456</v>
      </c>
      <c r="F1535" s="171" t="s">
        <v>1567</v>
      </c>
      <c r="G1535" s="171" t="s">
        <v>1567</v>
      </c>
      <c r="H1535" s="171" t="s">
        <v>1567</v>
      </c>
      <c r="I1535" s="171" t="s">
        <v>1567</v>
      </c>
      <c r="J1535" s="132">
        <v>0.9</v>
      </c>
      <c r="K1535" s="133">
        <v>1</v>
      </c>
      <c r="L1535" s="133">
        <v>1</v>
      </c>
      <c r="M1535" s="134">
        <v>0.846153846153846</v>
      </c>
      <c r="N1535" s="133">
        <v>0.943589743589744</v>
      </c>
      <c r="O1535" s="135">
        <v>0.9</v>
      </c>
      <c r="P1535" s="133">
        <v>0.997148966500356</v>
      </c>
      <c r="Q1535" s="133">
        <v>0.996243425995492</v>
      </c>
      <c r="R1535" s="133">
        <v>0.994072819644369</v>
      </c>
      <c r="S1535" s="133">
        <v>0.983210073955627</v>
      </c>
      <c r="T1535" s="135">
        <v>0.9</v>
      </c>
      <c r="U1535" s="133">
        <v>0.819672131147541</v>
      </c>
      <c r="V1535" s="133">
        <v>0.791885800150263</v>
      </c>
      <c r="W1535" s="133">
        <v>0.837425910245555</v>
      </c>
      <c r="X1535" s="133">
        <v>0.735458724765141</v>
      </c>
      <c r="Y1535" s="135">
        <v>0.92</v>
      </c>
      <c r="Z1535" s="135" t="s">
        <v>35</v>
      </c>
      <c r="AA1535" s="135" t="s">
        <v>35</v>
      </c>
      <c r="AB1535" s="135" t="s">
        <v>35</v>
      </c>
      <c r="AC1535" s="135" t="s">
        <v>35</v>
      </c>
      <c r="AD1535" s="135">
        <v>0.92</v>
      </c>
      <c r="AE1535" s="133">
        <v>0.946666666666667</v>
      </c>
      <c r="AF1535" s="133">
        <v>0.982456140350877</v>
      </c>
      <c r="AG1535" s="133">
        <v>1</v>
      </c>
      <c r="AH1535" s="133">
        <v>0.994845360824742</v>
      </c>
      <c r="AI1535" s="135">
        <v>0.92</v>
      </c>
      <c r="AJ1535" s="133">
        <v>0.869565217391304</v>
      </c>
      <c r="AK1535" s="133">
        <v>0.879789631855748</v>
      </c>
      <c r="AL1535" s="133">
        <v>0.874682472480948</v>
      </c>
      <c r="AM1535" s="133">
        <v>0.865947098407622</v>
      </c>
      <c r="AN1535" s="132">
        <v>0.99</v>
      </c>
      <c r="AO1535" s="137">
        <v>1</v>
      </c>
      <c r="AP1535" s="137">
        <v>1</v>
      </c>
      <c r="AQ1535" s="137">
        <v>1</v>
      </c>
      <c r="AR1535" s="137">
        <v>1</v>
      </c>
      <c r="AS1535" s="158">
        <v>0.110069253262963</v>
      </c>
      <c r="AT1535" s="141">
        <v>0.05</v>
      </c>
      <c r="AU1535" s="141">
        <v>0.04</v>
      </c>
      <c r="AV1535" s="141">
        <v>0.111111111111111</v>
      </c>
      <c r="AW1535" s="141">
        <v>0.0677655677655678</v>
      </c>
      <c r="AX1535" s="95"/>
      <c r="AY1535" s="93"/>
    </row>
    <row r="1536" ht="15" spans="1:51">
      <c r="A1536" s="91"/>
      <c r="B1536" s="95"/>
      <c r="C1536" s="152" t="s">
        <v>1455</v>
      </c>
      <c r="D1536" s="153" t="s">
        <v>25</v>
      </c>
      <c r="E1536" s="130" t="s">
        <v>1456</v>
      </c>
      <c r="F1536" s="171" t="s">
        <v>1568</v>
      </c>
      <c r="G1536" s="171" t="s">
        <v>1568</v>
      </c>
      <c r="H1536" s="171" t="s">
        <v>1568</v>
      </c>
      <c r="I1536" s="171" t="s">
        <v>1568</v>
      </c>
      <c r="J1536" s="132">
        <v>0.9</v>
      </c>
      <c r="K1536" s="133">
        <v>1</v>
      </c>
      <c r="L1536" s="133">
        <v>1</v>
      </c>
      <c r="M1536" s="134">
        <v>1</v>
      </c>
      <c r="N1536" s="133">
        <v>0.998338870431894</v>
      </c>
      <c r="O1536" s="135">
        <v>0.9</v>
      </c>
      <c r="P1536" s="133">
        <v>0.995607613469985</v>
      </c>
      <c r="Q1536" s="133">
        <v>0.985796715490457</v>
      </c>
      <c r="R1536" s="133">
        <v>0.99025141097999</v>
      </c>
      <c r="S1536" s="133">
        <v>0.979135653144771</v>
      </c>
      <c r="T1536" s="135">
        <v>0.9</v>
      </c>
      <c r="U1536" s="133">
        <v>0.936066373840898</v>
      </c>
      <c r="V1536" s="133">
        <v>0.934753661784288</v>
      </c>
      <c r="W1536" s="133">
        <v>0.88609543355567</v>
      </c>
      <c r="X1536" s="133">
        <v>0.920845738742092</v>
      </c>
      <c r="Y1536" s="135">
        <v>0.92</v>
      </c>
      <c r="Z1536" s="135" t="s">
        <v>35</v>
      </c>
      <c r="AA1536" s="135" t="s">
        <v>35</v>
      </c>
      <c r="AB1536" s="135" t="s">
        <v>35</v>
      </c>
      <c r="AC1536" s="135" t="s">
        <v>35</v>
      </c>
      <c r="AD1536" s="135">
        <v>0.92</v>
      </c>
      <c r="AE1536" s="133">
        <v>1</v>
      </c>
      <c r="AF1536" s="133">
        <v>0.990909090909091</v>
      </c>
      <c r="AG1536" s="133">
        <v>1</v>
      </c>
      <c r="AH1536" s="133">
        <v>0.996621621621622</v>
      </c>
      <c r="AI1536" s="135">
        <v>0.92</v>
      </c>
      <c r="AJ1536" s="133">
        <v>0.961932650073206</v>
      </c>
      <c r="AK1536" s="133">
        <v>0.959165557035064</v>
      </c>
      <c r="AL1536" s="133">
        <v>0.972293483837866</v>
      </c>
      <c r="AM1536" s="133">
        <v>0.969925336682716</v>
      </c>
      <c r="AN1536" s="132">
        <v>0.99</v>
      </c>
      <c r="AO1536" s="137">
        <v>1</v>
      </c>
      <c r="AP1536" s="137">
        <v>1</v>
      </c>
      <c r="AQ1536" s="137">
        <v>1</v>
      </c>
      <c r="AR1536" s="137">
        <v>1</v>
      </c>
      <c r="AS1536" s="158">
        <v>0.110069253262963</v>
      </c>
      <c r="AT1536" s="141">
        <v>0.0454545454545455</v>
      </c>
      <c r="AU1536" s="141">
        <v>0.08</v>
      </c>
      <c r="AV1536" s="141">
        <v>0</v>
      </c>
      <c r="AW1536" s="141">
        <v>0.0495495495495496</v>
      </c>
      <c r="AX1536" s="95"/>
      <c r="AY1536" s="93"/>
    </row>
    <row r="1537" ht="15" spans="1:51">
      <c r="A1537" s="91"/>
      <c r="B1537" s="95"/>
      <c r="C1537" s="152" t="s">
        <v>1455</v>
      </c>
      <c r="D1537" s="153" t="s">
        <v>25</v>
      </c>
      <c r="E1537" s="130" t="s">
        <v>1456</v>
      </c>
      <c r="F1537" s="171" t="s">
        <v>1569</v>
      </c>
      <c r="G1537" s="171" t="s">
        <v>1569</v>
      </c>
      <c r="H1537" s="171" t="s">
        <v>1569</v>
      </c>
      <c r="I1537" s="171" t="s">
        <v>1569</v>
      </c>
      <c r="J1537" s="132">
        <v>0.9</v>
      </c>
      <c r="K1537" s="133">
        <v>0.971428571428571</v>
      </c>
      <c r="L1537" s="133">
        <v>0.914285714285714</v>
      </c>
      <c r="M1537" s="134">
        <v>1</v>
      </c>
      <c r="N1537" s="133">
        <v>0.952243125904486</v>
      </c>
      <c r="O1537" s="135">
        <v>0.9</v>
      </c>
      <c r="P1537" s="133">
        <v>0.997776130467013</v>
      </c>
      <c r="Q1537" s="133">
        <v>0.995493107104984</v>
      </c>
      <c r="R1537" s="133">
        <v>0.995053586150041</v>
      </c>
      <c r="S1537" s="133">
        <v>0.991938021079125</v>
      </c>
      <c r="T1537" s="135">
        <v>0.9</v>
      </c>
      <c r="U1537" s="133">
        <v>0.954040029651594</v>
      </c>
      <c r="V1537" s="133">
        <v>0.945917285259809</v>
      </c>
      <c r="W1537" s="133">
        <v>0.944765045342127</v>
      </c>
      <c r="X1537" s="133">
        <v>0.952270463006659</v>
      </c>
      <c r="Y1537" s="135">
        <v>0.92</v>
      </c>
      <c r="Z1537" s="135" t="s">
        <v>35</v>
      </c>
      <c r="AA1537" s="135" t="s">
        <v>35</v>
      </c>
      <c r="AB1537" s="135" t="s">
        <v>35</v>
      </c>
      <c r="AC1537" s="135" t="s">
        <v>35</v>
      </c>
      <c r="AD1537" s="135">
        <v>0.92</v>
      </c>
      <c r="AE1537" s="133">
        <v>0.987654320987654</v>
      </c>
      <c r="AF1537" s="133">
        <v>0.981132075471698</v>
      </c>
      <c r="AG1537" s="133">
        <v>0.975265017667845</v>
      </c>
      <c r="AH1537" s="133">
        <v>0.976052432568692</v>
      </c>
      <c r="AI1537" s="135">
        <v>0.92</v>
      </c>
      <c r="AJ1537" s="133">
        <v>0.972572275759822</v>
      </c>
      <c r="AK1537" s="133">
        <v>0.984358430540827</v>
      </c>
      <c r="AL1537" s="133">
        <v>0.987908766144545</v>
      </c>
      <c r="AM1537" s="133">
        <v>0.987992554335002</v>
      </c>
      <c r="AN1537" s="132">
        <v>0.99</v>
      </c>
      <c r="AO1537" s="137">
        <v>1</v>
      </c>
      <c r="AP1537" s="137">
        <v>1</v>
      </c>
      <c r="AQ1537" s="137">
        <v>1</v>
      </c>
      <c r="AR1537" s="137">
        <v>1</v>
      </c>
      <c r="AS1537" s="158">
        <v>0.110069253262963</v>
      </c>
      <c r="AT1537" s="141">
        <v>0.0769230769230769</v>
      </c>
      <c r="AU1537" s="141">
        <v>0.128205128205128</v>
      </c>
      <c r="AV1537" s="141">
        <v>0.0888888888888889</v>
      </c>
      <c r="AW1537" s="141">
        <v>0.0784593437945792</v>
      </c>
      <c r="AX1537" s="95"/>
      <c r="AY1537" s="93"/>
    </row>
    <row r="1538" ht="15" spans="1:51">
      <c r="A1538" s="91"/>
      <c r="B1538" s="95"/>
      <c r="C1538" s="152" t="s">
        <v>1455</v>
      </c>
      <c r="D1538" s="153" t="s">
        <v>25</v>
      </c>
      <c r="E1538" s="130" t="s">
        <v>1456</v>
      </c>
      <c r="F1538" s="171" t="s">
        <v>1570</v>
      </c>
      <c r="G1538" s="171" t="s">
        <v>1570</v>
      </c>
      <c r="H1538" s="171" t="s">
        <v>1570</v>
      </c>
      <c r="I1538" s="171" t="s">
        <v>1570</v>
      </c>
      <c r="J1538" s="132">
        <v>0.9</v>
      </c>
      <c r="K1538" s="133">
        <v>0.942857142857143</v>
      </c>
      <c r="L1538" s="133">
        <v>0.9375</v>
      </c>
      <c r="M1538" s="134">
        <v>0.972222222222222</v>
      </c>
      <c r="N1538" s="133">
        <v>0.933130699088146</v>
      </c>
      <c r="O1538" s="135">
        <v>0.9</v>
      </c>
      <c r="P1538" s="133">
        <v>0.306199460916442</v>
      </c>
      <c r="Q1538" s="133">
        <v>0.0152896206997942</v>
      </c>
      <c r="R1538" s="133">
        <v>0.91351028929317</v>
      </c>
      <c r="S1538" s="133">
        <v>0.832044579407069</v>
      </c>
      <c r="T1538" s="135">
        <v>0.9</v>
      </c>
      <c r="U1538" s="133">
        <v>0.671698113207547</v>
      </c>
      <c r="V1538" s="133">
        <v>0.271978829755954</v>
      </c>
      <c r="W1538" s="133">
        <v>0.391291380852967</v>
      </c>
      <c r="X1538" s="133">
        <v>0.346351313276774</v>
      </c>
      <c r="Y1538" s="135">
        <v>0.92</v>
      </c>
      <c r="Z1538" s="135" t="s">
        <v>35</v>
      </c>
      <c r="AA1538" s="135" t="s">
        <v>35</v>
      </c>
      <c r="AB1538" s="135" t="s">
        <v>35</v>
      </c>
      <c r="AC1538" s="135" t="s">
        <v>35</v>
      </c>
      <c r="AD1538" s="135">
        <v>0.92</v>
      </c>
      <c r="AE1538" s="133">
        <v>0.893401015228426</v>
      </c>
      <c r="AF1538" s="133">
        <v>0.845070422535211</v>
      </c>
      <c r="AG1538" s="133">
        <v>1</v>
      </c>
      <c r="AH1538" s="133">
        <v>0.974090909090909</v>
      </c>
      <c r="AI1538" s="135">
        <v>0.92</v>
      </c>
      <c r="AJ1538" s="133">
        <v>0.823180592991914</v>
      </c>
      <c r="AK1538" s="133">
        <v>0.847691855336666</v>
      </c>
      <c r="AL1538" s="133">
        <v>0.864300626304802</v>
      </c>
      <c r="AM1538" s="133">
        <v>0.867654885264377</v>
      </c>
      <c r="AN1538" s="132">
        <v>0.99</v>
      </c>
      <c r="AO1538" s="137">
        <v>1</v>
      </c>
      <c r="AP1538" s="137">
        <v>1</v>
      </c>
      <c r="AQ1538" s="137">
        <v>1</v>
      </c>
      <c r="AR1538" s="137">
        <v>1</v>
      </c>
      <c r="AS1538" s="158">
        <v>0.110069253262963</v>
      </c>
      <c r="AT1538" s="141">
        <v>0.0833333333333333</v>
      </c>
      <c r="AU1538" s="141">
        <v>0.0666666666666667</v>
      </c>
      <c r="AV1538" s="141">
        <v>0.0476190476190476</v>
      </c>
      <c r="AW1538" s="141">
        <v>0.104166666666667</v>
      </c>
      <c r="AX1538" s="95"/>
      <c r="AY1538" s="93"/>
    </row>
    <row r="1539" ht="15" spans="1:51">
      <c r="A1539" s="91"/>
      <c r="B1539" s="95"/>
      <c r="C1539" s="152" t="s">
        <v>1455</v>
      </c>
      <c r="D1539" s="153" t="s">
        <v>25</v>
      </c>
      <c r="E1539" s="130" t="s">
        <v>1456</v>
      </c>
      <c r="F1539" s="171" t="s">
        <v>1571</v>
      </c>
      <c r="G1539" s="171" t="s">
        <v>1571</v>
      </c>
      <c r="H1539" s="171" t="s">
        <v>1571</v>
      </c>
      <c r="I1539" s="171" t="s">
        <v>1571</v>
      </c>
      <c r="J1539" s="132">
        <v>0.9</v>
      </c>
      <c r="K1539" s="133">
        <v>1</v>
      </c>
      <c r="L1539" s="133">
        <v>1</v>
      </c>
      <c r="M1539" s="134">
        <v>0.944444444444444</v>
      </c>
      <c r="N1539" s="133">
        <v>0.986149584487535</v>
      </c>
      <c r="O1539" s="135">
        <v>0.9</v>
      </c>
      <c r="P1539" s="133">
        <v>0.984530386740331</v>
      </c>
      <c r="Q1539" s="133">
        <v>0.960291734197731</v>
      </c>
      <c r="R1539" s="133">
        <v>0.973544973544973</v>
      </c>
      <c r="S1539" s="133">
        <v>0.950143678160919</v>
      </c>
      <c r="T1539" s="135">
        <v>0.9</v>
      </c>
      <c r="U1539" s="133">
        <v>0.811049723756906</v>
      </c>
      <c r="V1539" s="133">
        <v>0.861426256077796</v>
      </c>
      <c r="W1539" s="133">
        <v>0.691137566137566</v>
      </c>
      <c r="X1539" s="133">
        <v>0.726975574712644</v>
      </c>
      <c r="Y1539" s="135">
        <v>0.92</v>
      </c>
      <c r="Z1539" s="135" t="s">
        <v>35</v>
      </c>
      <c r="AA1539" s="135" t="s">
        <v>35</v>
      </c>
      <c r="AB1539" s="135" t="s">
        <v>35</v>
      </c>
      <c r="AC1539" s="135" t="s">
        <v>35</v>
      </c>
      <c r="AD1539" s="135">
        <v>0.92</v>
      </c>
      <c r="AE1539" s="133">
        <v>0.941176470588235</v>
      </c>
      <c r="AF1539" s="133">
        <v>0.958904109589041</v>
      </c>
      <c r="AG1539" s="133">
        <v>1</v>
      </c>
      <c r="AH1539" s="133">
        <v>0.969135802469136</v>
      </c>
      <c r="AI1539" s="135">
        <v>0.92</v>
      </c>
      <c r="AJ1539" s="133">
        <v>0.903867403314917</v>
      </c>
      <c r="AK1539" s="133">
        <v>0.919838056680162</v>
      </c>
      <c r="AL1539" s="133">
        <v>0.943783068783069</v>
      </c>
      <c r="AM1539" s="133">
        <v>0.938472037642326</v>
      </c>
      <c r="AN1539" s="132">
        <v>0.99</v>
      </c>
      <c r="AO1539" s="137">
        <v>1</v>
      </c>
      <c r="AP1539" s="137">
        <v>1</v>
      </c>
      <c r="AQ1539" s="137">
        <v>1</v>
      </c>
      <c r="AR1539" s="137">
        <v>1</v>
      </c>
      <c r="AS1539" s="158">
        <v>0.110069253262963</v>
      </c>
      <c r="AT1539" s="141">
        <v>0.111111111111111</v>
      </c>
      <c r="AU1539" s="141">
        <v>0</v>
      </c>
      <c r="AV1539" s="141">
        <v>0.125</v>
      </c>
      <c r="AW1539" s="141">
        <v>0.0806451612903226</v>
      </c>
      <c r="AX1539" s="95"/>
      <c r="AY1539" s="93"/>
    </row>
    <row r="1540" ht="15" spans="1:51">
      <c r="A1540" s="91"/>
      <c r="B1540" s="95"/>
      <c r="C1540" s="152" t="s">
        <v>1455</v>
      </c>
      <c r="D1540" s="153" t="s">
        <v>25</v>
      </c>
      <c r="E1540" s="130" t="s">
        <v>1456</v>
      </c>
      <c r="F1540" s="171" t="s">
        <v>1572</v>
      </c>
      <c r="G1540" s="171" t="s">
        <v>1572</v>
      </c>
      <c r="H1540" s="171" t="s">
        <v>1572</v>
      </c>
      <c r="I1540" s="171" t="s">
        <v>1572</v>
      </c>
      <c r="J1540" s="132">
        <v>0.9</v>
      </c>
      <c r="K1540" s="133">
        <v>0.8</v>
      </c>
      <c r="L1540" s="133">
        <v>0.793103448275862</v>
      </c>
      <c r="M1540" s="134">
        <v>0.794117647058823</v>
      </c>
      <c r="N1540" s="133">
        <v>0.825</v>
      </c>
      <c r="O1540" s="135">
        <v>0.9</v>
      </c>
      <c r="P1540" s="133">
        <v>0.804067602406187</v>
      </c>
      <c r="Q1540" s="133">
        <v>0.82870497662909</v>
      </c>
      <c r="R1540" s="133">
        <v>0.881793881793882</v>
      </c>
      <c r="S1540" s="133">
        <v>0.848808299597777</v>
      </c>
      <c r="T1540" s="135">
        <v>0.9</v>
      </c>
      <c r="U1540" s="133">
        <v>0.724147808650816</v>
      </c>
      <c r="V1540" s="133">
        <v>0.736046191916415</v>
      </c>
      <c r="W1540" s="133">
        <v>0.786159786159786</v>
      </c>
      <c r="X1540" s="133">
        <v>0.762766359033102</v>
      </c>
      <c r="Y1540" s="135">
        <v>0.92</v>
      </c>
      <c r="Z1540" s="135">
        <v>0.714285714285714</v>
      </c>
      <c r="AA1540" s="135">
        <v>0.111111111111111</v>
      </c>
      <c r="AB1540" s="135">
        <v>0</v>
      </c>
      <c r="AC1540" s="135">
        <v>0.125</v>
      </c>
      <c r="AD1540" s="135">
        <v>0.92</v>
      </c>
      <c r="AE1540" s="133">
        <v>0.519230769230769</v>
      </c>
      <c r="AF1540" s="133">
        <v>0.764705882352941</v>
      </c>
      <c r="AG1540" s="133">
        <v>0.782608695652174</v>
      </c>
      <c r="AH1540" s="133">
        <v>0.684426229508197</v>
      </c>
      <c r="AI1540" s="135">
        <v>0.92</v>
      </c>
      <c r="AJ1540" s="133">
        <v>0.854774156660949</v>
      </c>
      <c r="AK1540" s="133">
        <v>0.827207899067471</v>
      </c>
      <c r="AL1540" s="133">
        <v>0.859472279869552</v>
      </c>
      <c r="AM1540" s="133">
        <v>0.874465179790624</v>
      </c>
      <c r="AN1540" s="132">
        <v>0.99</v>
      </c>
      <c r="AO1540" s="137">
        <v>1</v>
      </c>
      <c r="AP1540" s="137">
        <v>1</v>
      </c>
      <c r="AQ1540" s="137" t="s">
        <v>35</v>
      </c>
      <c r="AR1540" s="137">
        <v>1</v>
      </c>
      <c r="AS1540" s="158">
        <v>0.110069253262963</v>
      </c>
      <c r="AT1540" s="141">
        <v>0.0952380952380952</v>
      </c>
      <c r="AU1540" s="141">
        <v>0.0526315789473684</v>
      </c>
      <c r="AV1540" s="141">
        <v>0</v>
      </c>
      <c r="AW1540" s="141">
        <v>0.111627906976744</v>
      </c>
      <c r="AX1540" s="95"/>
      <c r="AY1540" s="93"/>
    </row>
    <row r="1541" ht="15" spans="1:51">
      <c r="A1541" s="91"/>
      <c r="B1541" s="95"/>
      <c r="C1541" s="152" t="s">
        <v>1455</v>
      </c>
      <c r="D1541" s="153" t="s">
        <v>125</v>
      </c>
      <c r="E1541" s="130" t="s">
        <v>1456</v>
      </c>
      <c r="F1541" s="171" t="s">
        <v>1573</v>
      </c>
      <c r="G1541" s="171" t="s">
        <v>1573</v>
      </c>
      <c r="H1541" s="171" t="s">
        <v>1573</v>
      </c>
      <c r="I1541" s="171" t="s">
        <v>1573</v>
      </c>
      <c r="J1541" s="132">
        <v>0.9</v>
      </c>
      <c r="K1541" s="133" t="s">
        <v>35</v>
      </c>
      <c r="L1541" s="133" t="s">
        <v>35</v>
      </c>
      <c r="M1541" s="134" t="s">
        <v>35</v>
      </c>
      <c r="N1541" s="133" t="s">
        <v>35</v>
      </c>
      <c r="O1541" s="135">
        <v>0.9</v>
      </c>
      <c r="P1541" s="133">
        <v>0</v>
      </c>
      <c r="Q1541" s="133" t="s">
        <v>35</v>
      </c>
      <c r="R1541" s="133">
        <v>0</v>
      </c>
      <c r="S1541" s="133">
        <v>0</v>
      </c>
      <c r="T1541" s="135">
        <v>0.9</v>
      </c>
      <c r="U1541" s="133">
        <v>1</v>
      </c>
      <c r="V1541" s="133" t="s">
        <v>35</v>
      </c>
      <c r="W1541" s="133">
        <v>1</v>
      </c>
      <c r="X1541" s="133">
        <v>0.866666666666667</v>
      </c>
      <c r="Y1541" s="135">
        <v>0.92</v>
      </c>
      <c r="Z1541" s="135" t="s">
        <v>35</v>
      </c>
      <c r="AA1541" s="135" t="s">
        <v>35</v>
      </c>
      <c r="AB1541" s="135" t="s">
        <v>35</v>
      </c>
      <c r="AC1541" s="135">
        <v>0.5</v>
      </c>
      <c r="AD1541" s="135">
        <v>0.92</v>
      </c>
      <c r="AE1541" s="133">
        <v>0.994623655913978</v>
      </c>
      <c r="AF1541" s="133">
        <v>0.747663551401869</v>
      </c>
      <c r="AG1541" s="133">
        <v>0.776357827476038</v>
      </c>
      <c r="AH1541" s="133">
        <v>0.918829947328819</v>
      </c>
      <c r="AI1541" s="135">
        <v>0.92</v>
      </c>
      <c r="AJ1541" s="133">
        <v>1</v>
      </c>
      <c r="AK1541" s="133" t="s">
        <v>35</v>
      </c>
      <c r="AL1541" s="133">
        <v>1</v>
      </c>
      <c r="AM1541" s="133">
        <v>0.884615384615385</v>
      </c>
      <c r="AN1541" s="132">
        <v>0.99</v>
      </c>
      <c r="AO1541" s="137">
        <v>1</v>
      </c>
      <c r="AP1541" s="137">
        <v>1</v>
      </c>
      <c r="AQ1541" s="137">
        <v>1</v>
      </c>
      <c r="AR1541" s="137">
        <v>1</v>
      </c>
      <c r="AS1541" s="158">
        <v>0.110069253262963</v>
      </c>
      <c r="AT1541" s="141" t="s">
        <v>35</v>
      </c>
      <c r="AU1541" s="141" t="s">
        <v>35</v>
      </c>
      <c r="AV1541" s="141" t="s">
        <v>35</v>
      </c>
      <c r="AW1541" s="141" t="s">
        <v>35</v>
      </c>
      <c r="AX1541" s="95"/>
      <c r="AY1541" s="93"/>
    </row>
    <row r="1542" ht="15" spans="1:51">
      <c r="A1542" s="91"/>
      <c r="B1542" s="95"/>
      <c r="C1542" s="152" t="s">
        <v>1455</v>
      </c>
      <c r="D1542" s="153" t="s">
        <v>125</v>
      </c>
      <c r="E1542" s="130" t="s">
        <v>1456</v>
      </c>
      <c r="F1542" s="171" t="s">
        <v>1574</v>
      </c>
      <c r="G1542" s="171" t="s">
        <v>1574</v>
      </c>
      <c r="H1542" s="171" t="s">
        <v>1574</v>
      </c>
      <c r="I1542" s="171" t="s">
        <v>1574</v>
      </c>
      <c r="J1542" s="132">
        <v>0.9</v>
      </c>
      <c r="K1542" s="133" t="s">
        <v>35</v>
      </c>
      <c r="L1542" s="133" t="s">
        <v>35</v>
      </c>
      <c r="M1542" s="134" t="s">
        <v>35</v>
      </c>
      <c r="N1542" s="133" t="s">
        <v>35</v>
      </c>
      <c r="O1542" s="135">
        <v>0.9</v>
      </c>
      <c r="P1542" s="133" t="s">
        <v>35</v>
      </c>
      <c r="Q1542" s="133">
        <v>0</v>
      </c>
      <c r="R1542" s="133">
        <v>0</v>
      </c>
      <c r="S1542" s="133">
        <v>0</v>
      </c>
      <c r="T1542" s="135">
        <v>0.9</v>
      </c>
      <c r="U1542" s="133" t="s">
        <v>35</v>
      </c>
      <c r="V1542" s="133">
        <v>1</v>
      </c>
      <c r="W1542" s="133">
        <v>0</v>
      </c>
      <c r="X1542" s="133">
        <v>0.5</v>
      </c>
      <c r="Y1542" s="135">
        <v>0.92</v>
      </c>
      <c r="Z1542" s="135" t="s">
        <v>35</v>
      </c>
      <c r="AA1542" s="135" t="s">
        <v>35</v>
      </c>
      <c r="AB1542" s="135" t="s">
        <v>35</v>
      </c>
      <c r="AC1542" s="135" t="s">
        <v>35</v>
      </c>
      <c r="AD1542" s="135">
        <v>0.92</v>
      </c>
      <c r="AE1542" s="133">
        <v>0.986371379897785</v>
      </c>
      <c r="AF1542" s="133">
        <v>0.953150242326333</v>
      </c>
      <c r="AG1542" s="133">
        <v>0.958823529411765</v>
      </c>
      <c r="AH1542" s="133">
        <v>0.981290055819723</v>
      </c>
      <c r="AI1542" s="135">
        <v>0.92</v>
      </c>
      <c r="AJ1542" s="133">
        <v>0</v>
      </c>
      <c r="AK1542" s="133">
        <v>1</v>
      </c>
      <c r="AL1542" s="133">
        <v>0</v>
      </c>
      <c r="AM1542" s="133">
        <v>0.5</v>
      </c>
      <c r="AN1542" s="132">
        <v>0.99</v>
      </c>
      <c r="AO1542" s="137">
        <v>1</v>
      </c>
      <c r="AP1542" s="137">
        <v>1</v>
      </c>
      <c r="AQ1542" s="137">
        <v>1</v>
      </c>
      <c r="AR1542" s="137">
        <v>1</v>
      </c>
      <c r="AS1542" s="158">
        <v>0.110069253262963</v>
      </c>
      <c r="AT1542" s="141" t="s">
        <v>35</v>
      </c>
      <c r="AU1542" s="141" t="s">
        <v>35</v>
      </c>
      <c r="AV1542" s="141" t="s">
        <v>35</v>
      </c>
      <c r="AW1542" s="141" t="s">
        <v>35</v>
      </c>
      <c r="AX1542" s="95"/>
      <c r="AY1542" s="93"/>
    </row>
    <row r="1543" ht="15" spans="1:51">
      <c r="A1543" s="91"/>
      <c r="B1543" s="95"/>
      <c r="C1543" s="152" t="s">
        <v>1455</v>
      </c>
      <c r="D1543" s="153" t="s">
        <v>125</v>
      </c>
      <c r="E1543" s="130" t="s">
        <v>1456</v>
      </c>
      <c r="F1543" s="171" t="s">
        <v>1575</v>
      </c>
      <c r="G1543" s="171" t="s">
        <v>1575</v>
      </c>
      <c r="H1543" s="171" t="s">
        <v>1575</v>
      </c>
      <c r="I1543" s="171" t="s">
        <v>1575</v>
      </c>
      <c r="J1543" s="132">
        <v>0.9</v>
      </c>
      <c r="K1543" s="133" t="s">
        <v>35</v>
      </c>
      <c r="L1543" s="133" t="s">
        <v>35</v>
      </c>
      <c r="M1543" s="134" t="s">
        <v>35</v>
      </c>
      <c r="N1543" s="133" t="s">
        <v>35</v>
      </c>
      <c r="O1543" s="135">
        <v>0.9</v>
      </c>
      <c r="P1543" s="133" t="s">
        <v>35</v>
      </c>
      <c r="Q1543" s="133" t="s">
        <v>35</v>
      </c>
      <c r="R1543" s="133" t="s">
        <v>35</v>
      </c>
      <c r="S1543" s="133">
        <v>0</v>
      </c>
      <c r="T1543" s="135">
        <v>0.9</v>
      </c>
      <c r="U1543" s="133" t="s">
        <v>35</v>
      </c>
      <c r="V1543" s="133" t="s">
        <v>35</v>
      </c>
      <c r="W1543" s="133" t="s">
        <v>35</v>
      </c>
      <c r="X1543" s="133">
        <v>0</v>
      </c>
      <c r="Y1543" s="135">
        <v>0.92</v>
      </c>
      <c r="Z1543" s="135" t="s">
        <v>35</v>
      </c>
      <c r="AA1543" s="135" t="s">
        <v>35</v>
      </c>
      <c r="AB1543" s="135" t="s">
        <v>35</v>
      </c>
      <c r="AC1543" s="135" t="s">
        <v>35</v>
      </c>
      <c r="AD1543" s="135">
        <v>0.92</v>
      </c>
      <c r="AE1543" s="133">
        <v>1</v>
      </c>
      <c r="AF1543" s="133">
        <v>0.964285714285714</v>
      </c>
      <c r="AG1543" s="133">
        <v>1</v>
      </c>
      <c r="AH1543" s="133">
        <v>0.950626118067979</v>
      </c>
      <c r="AI1543" s="135">
        <v>0.92</v>
      </c>
      <c r="AJ1543" s="133" t="s">
        <v>35</v>
      </c>
      <c r="AK1543" s="133" t="s">
        <v>35</v>
      </c>
      <c r="AL1543" s="133" t="s">
        <v>35</v>
      </c>
      <c r="AM1543" s="133">
        <v>0</v>
      </c>
      <c r="AN1543" s="132">
        <v>0.99</v>
      </c>
      <c r="AO1543" s="137">
        <v>1</v>
      </c>
      <c r="AP1543" s="137">
        <v>1</v>
      </c>
      <c r="AQ1543" s="137" t="s">
        <v>35</v>
      </c>
      <c r="AR1543" s="137">
        <v>1</v>
      </c>
      <c r="AS1543" s="158">
        <v>0.110069253262963</v>
      </c>
      <c r="AT1543" s="141" t="s">
        <v>35</v>
      </c>
      <c r="AU1543" s="141" t="s">
        <v>35</v>
      </c>
      <c r="AV1543" s="141" t="s">
        <v>35</v>
      </c>
      <c r="AW1543" s="141" t="s">
        <v>35</v>
      </c>
      <c r="AX1543" s="95"/>
      <c r="AY1543" s="93"/>
    </row>
    <row r="1544" ht="15" spans="1:51">
      <c r="A1544" s="91"/>
      <c r="B1544" s="95"/>
      <c r="C1544" s="152" t="s">
        <v>1455</v>
      </c>
      <c r="D1544" s="153" t="s">
        <v>25</v>
      </c>
      <c r="E1544" s="130" t="s">
        <v>1456</v>
      </c>
      <c r="F1544" s="171" t="s">
        <v>1576</v>
      </c>
      <c r="G1544" s="171" t="s">
        <v>1576</v>
      </c>
      <c r="H1544" s="171" t="s">
        <v>1576</v>
      </c>
      <c r="I1544" s="171" t="s">
        <v>1576</v>
      </c>
      <c r="J1544" s="132">
        <v>0.9</v>
      </c>
      <c r="K1544" s="133">
        <v>0.870967741935484</v>
      </c>
      <c r="L1544" s="133">
        <v>0.794117647058823</v>
      </c>
      <c r="M1544" s="134">
        <v>0.903225806451613</v>
      </c>
      <c r="N1544" s="133">
        <v>0.897893030794165</v>
      </c>
      <c r="O1544" s="135">
        <v>0.9</v>
      </c>
      <c r="P1544" s="133">
        <v>0.95638245441104</v>
      </c>
      <c r="Q1544" s="133">
        <v>0.886779812416257</v>
      </c>
      <c r="R1544" s="133">
        <v>0.950358521787093</v>
      </c>
      <c r="S1544" s="133">
        <v>0.954021759787153</v>
      </c>
      <c r="T1544" s="135">
        <v>0.9</v>
      </c>
      <c r="U1544" s="133">
        <v>0.82799408575653</v>
      </c>
      <c r="V1544" s="133">
        <v>0.767530147387226</v>
      </c>
      <c r="W1544" s="133">
        <v>0.785162713734142</v>
      </c>
      <c r="X1544" s="133">
        <v>0.863051121246674</v>
      </c>
      <c r="Y1544" s="135">
        <v>0.92</v>
      </c>
      <c r="Z1544" s="135" t="s">
        <v>35</v>
      </c>
      <c r="AA1544" s="135">
        <v>0</v>
      </c>
      <c r="AB1544" s="135">
        <v>0</v>
      </c>
      <c r="AC1544" s="135">
        <v>0.2</v>
      </c>
      <c r="AD1544" s="135">
        <v>0.92</v>
      </c>
      <c r="AE1544" s="133">
        <v>0.987341772151899</v>
      </c>
      <c r="AF1544" s="133">
        <v>0.981132075471698</v>
      </c>
      <c r="AG1544" s="133">
        <v>1</v>
      </c>
      <c r="AH1544" s="133">
        <v>0.892816419612315</v>
      </c>
      <c r="AI1544" s="135">
        <v>0.92</v>
      </c>
      <c r="AJ1544" s="133">
        <v>0.904139970428783</v>
      </c>
      <c r="AK1544" s="133">
        <v>0.895112698058469</v>
      </c>
      <c r="AL1544" s="133">
        <v>0.872070581748001</v>
      </c>
      <c r="AM1544" s="133">
        <v>0.928573125252381</v>
      </c>
      <c r="AN1544" s="132">
        <v>0.99</v>
      </c>
      <c r="AO1544" s="137" t="s">
        <v>35</v>
      </c>
      <c r="AP1544" s="137">
        <v>1</v>
      </c>
      <c r="AQ1544" s="137">
        <v>1</v>
      </c>
      <c r="AR1544" s="137">
        <v>1</v>
      </c>
      <c r="AS1544" s="158">
        <v>0.110069253262963</v>
      </c>
      <c r="AT1544" s="141">
        <v>0.0869565217391304</v>
      </c>
      <c r="AU1544" s="141">
        <v>0.208333333333333</v>
      </c>
      <c r="AV1544" s="141">
        <v>0.0294117647058824</v>
      </c>
      <c r="AW1544" s="141">
        <v>0.0760719225449516</v>
      </c>
      <c r="AX1544" s="95"/>
      <c r="AY1544" s="93"/>
    </row>
    <row r="1545" ht="15" spans="1:51">
      <c r="A1545" s="91"/>
      <c r="B1545" s="95"/>
      <c r="C1545" s="152" t="s">
        <v>1455</v>
      </c>
      <c r="D1545" s="153" t="s">
        <v>25</v>
      </c>
      <c r="E1545" s="130" t="s">
        <v>1456</v>
      </c>
      <c r="F1545" s="171" t="s">
        <v>1577</v>
      </c>
      <c r="G1545" s="171" t="s">
        <v>1577</v>
      </c>
      <c r="H1545" s="171" t="s">
        <v>1577</v>
      </c>
      <c r="I1545" s="171" t="s">
        <v>1577</v>
      </c>
      <c r="J1545" s="132">
        <v>0.9</v>
      </c>
      <c r="K1545" s="133">
        <v>0.827586206896552</v>
      </c>
      <c r="L1545" s="133">
        <v>0.7</v>
      </c>
      <c r="M1545" s="134">
        <v>0.909090909090909</v>
      </c>
      <c r="N1545" s="133">
        <v>0.839222614840989</v>
      </c>
      <c r="O1545" s="135">
        <v>0.9</v>
      </c>
      <c r="P1545" s="133">
        <v>0.961900684931507</v>
      </c>
      <c r="Q1545" s="133">
        <v>0.901103391908459</v>
      </c>
      <c r="R1545" s="133">
        <v>0.82212086659065</v>
      </c>
      <c r="S1545" s="133">
        <v>0.906008300320694</v>
      </c>
      <c r="T1545" s="135">
        <v>0.9</v>
      </c>
      <c r="U1545" s="133">
        <v>0.905393835616438</v>
      </c>
      <c r="V1545" s="133">
        <v>0.878218226399673</v>
      </c>
      <c r="W1545" s="133">
        <v>0.85290763968073</v>
      </c>
      <c r="X1545" s="133">
        <v>0.901197887191096</v>
      </c>
      <c r="Y1545" s="135">
        <v>0.92</v>
      </c>
      <c r="Z1545" s="135">
        <v>0.898864809081527</v>
      </c>
      <c r="AA1545" s="135">
        <v>0.93436754176611</v>
      </c>
      <c r="AB1545" s="135">
        <v>0.953636363636364</v>
      </c>
      <c r="AC1545" s="135">
        <v>0.919269884387319</v>
      </c>
      <c r="AD1545" s="135">
        <v>0.92</v>
      </c>
      <c r="AE1545" s="133">
        <v>0.889655172413793</v>
      </c>
      <c r="AF1545" s="133">
        <v>0.923076923076923</v>
      </c>
      <c r="AG1545" s="133">
        <v>0.931623931623932</v>
      </c>
      <c r="AH1545" s="133">
        <v>0.905611417450535</v>
      </c>
      <c r="AI1545" s="135">
        <v>0.92</v>
      </c>
      <c r="AJ1545" s="133">
        <v>0.939788199697428</v>
      </c>
      <c r="AK1545" s="133">
        <v>0.955264759586123</v>
      </c>
      <c r="AL1545" s="133">
        <v>0.967063770147162</v>
      </c>
      <c r="AM1545" s="133">
        <v>0.95254886296332</v>
      </c>
      <c r="AN1545" s="132">
        <v>0.99</v>
      </c>
      <c r="AO1545" s="137">
        <v>1</v>
      </c>
      <c r="AP1545" s="137">
        <v>1</v>
      </c>
      <c r="AQ1545" s="137">
        <v>1</v>
      </c>
      <c r="AR1545" s="137">
        <v>1</v>
      </c>
      <c r="AS1545" s="158">
        <v>0.110069253262963</v>
      </c>
      <c r="AT1545" s="141">
        <v>0.142857142857143</v>
      </c>
      <c r="AU1545" s="141">
        <v>0</v>
      </c>
      <c r="AV1545" s="141">
        <v>0.105263157894737</v>
      </c>
      <c r="AW1545" s="141">
        <v>0.0730337078651685</v>
      </c>
      <c r="AX1545" s="95"/>
      <c r="AY1545" s="93"/>
    </row>
    <row r="1546" ht="15" spans="1:51">
      <c r="A1546" s="91"/>
      <c r="B1546" s="95"/>
      <c r="C1546" s="152" t="s">
        <v>1455</v>
      </c>
      <c r="D1546" s="153" t="s">
        <v>25</v>
      </c>
      <c r="E1546" s="130" t="s">
        <v>1456</v>
      </c>
      <c r="F1546" s="171" t="s">
        <v>1578</v>
      </c>
      <c r="G1546" s="171" t="s">
        <v>1578</v>
      </c>
      <c r="H1546" s="171" t="s">
        <v>1578</v>
      </c>
      <c r="I1546" s="171" t="s">
        <v>1578</v>
      </c>
      <c r="J1546" s="132">
        <v>0.9</v>
      </c>
      <c r="K1546" s="133">
        <v>1</v>
      </c>
      <c r="L1546" s="133">
        <v>1</v>
      </c>
      <c r="M1546" s="134">
        <v>1</v>
      </c>
      <c r="N1546" s="133">
        <v>1</v>
      </c>
      <c r="O1546" s="135">
        <v>0.9</v>
      </c>
      <c r="P1546" s="133">
        <v>0.99616368286445</v>
      </c>
      <c r="Q1546" s="133">
        <v>0.998581560283688</v>
      </c>
      <c r="R1546" s="133">
        <v>0.994724501758499</v>
      </c>
      <c r="S1546" s="133">
        <v>0.992445582586428</v>
      </c>
      <c r="T1546" s="135">
        <v>0.9</v>
      </c>
      <c r="U1546" s="133">
        <v>0.965473145780051</v>
      </c>
      <c r="V1546" s="133">
        <v>0.942553191489362</v>
      </c>
      <c r="W1546" s="133">
        <v>0.929073856975381</v>
      </c>
      <c r="X1546" s="133">
        <v>0.96219590268886</v>
      </c>
      <c r="Y1546" s="135">
        <v>0.92</v>
      </c>
      <c r="Z1546" s="135" t="s">
        <v>35</v>
      </c>
      <c r="AA1546" s="135" t="s">
        <v>35</v>
      </c>
      <c r="AB1546" s="135" t="s">
        <v>35</v>
      </c>
      <c r="AC1546" s="135" t="s">
        <v>35</v>
      </c>
      <c r="AD1546" s="135">
        <v>0.92</v>
      </c>
      <c r="AE1546" s="133">
        <v>1</v>
      </c>
      <c r="AF1546" s="133">
        <v>1</v>
      </c>
      <c r="AG1546" s="133">
        <v>1</v>
      </c>
      <c r="AH1546" s="133">
        <v>0.995894160583942</v>
      </c>
      <c r="AI1546" s="135">
        <v>0.92</v>
      </c>
      <c r="AJ1546" s="133">
        <v>0.972506393861893</v>
      </c>
      <c r="AK1546" s="133">
        <v>0.968794326241135</v>
      </c>
      <c r="AL1546" s="133">
        <v>0.953106682297773</v>
      </c>
      <c r="AM1546" s="133">
        <v>0.980377720870679</v>
      </c>
      <c r="AN1546" s="132">
        <v>0.99</v>
      </c>
      <c r="AO1546" s="137">
        <v>1</v>
      </c>
      <c r="AP1546" s="137">
        <v>1</v>
      </c>
      <c r="AQ1546" s="137">
        <v>1</v>
      </c>
      <c r="AR1546" s="137">
        <v>1</v>
      </c>
      <c r="AS1546" s="158">
        <v>0.110069253262963</v>
      </c>
      <c r="AT1546" s="141">
        <v>0</v>
      </c>
      <c r="AU1546" s="141">
        <v>0.1</v>
      </c>
      <c r="AV1546" s="141">
        <v>0.181818181818182</v>
      </c>
      <c r="AW1546" s="141">
        <v>0.0923913043478261</v>
      </c>
      <c r="AX1546" s="95"/>
      <c r="AY1546" s="93"/>
    </row>
    <row r="1547" ht="15" spans="1:51">
      <c r="A1547" s="91"/>
      <c r="B1547" s="95"/>
      <c r="C1547" s="152" t="s">
        <v>1455</v>
      </c>
      <c r="D1547" s="153" t="s">
        <v>25</v>
      </c>
      <c r="E1547" s="130" t="s">
        <v>1456</v>
      </c>
      <c r="F1547" s="171" t="s">
        <v>1579</v>
      </c>
      <c r="G1547" s="171" t="s">
        <v>1579</v>
      </c>
      <c r="H1547" s="171" t="s">
        <v>1579</v>
      </c>
      <c r="I1547" s="171" t="s">
        <v>1579</v>
      </c>
      <c r="J1547" s="132">
        <v>0.9</v>
      </c>
      <c r="K1547" s="133">
        <v>0.956521739130435</v>
      </c>
      <c r="L1547" s="133">
        <v>1</v>
      </c>
      <c r="M1547" s="134">
        <v>0.826086956521739</v>
      </c>
      <c r="N1547" s="133">
        <v>0.927472527472528</v>
      </c>
      <c r="O1547" s="135">
        <v>0.9</v>
      </c>
      <c r="P1547" s="133">
        <v>0.929492039423806</v>
      </c>
      <c r="Q1547" s="133">
        <v>0.981147212194144</v>
      </c>
      <c r="R1547" s="133">
        <v>0.993294590970049</v>
      </c>
      <c r="S1547" s="133">
        <v>0.989598776871757</v>
      </c>
      <c r="T1547" s="135">
        <v>0.9</v>
      </c>
      <c r="U1547" s="133">
        <v>0.733889310083397</v>
      </c>
      <c r="V1547" s="133">
        <v>0.796630565583634</v>
      </c>
      <c r="W1547" s="133">
        <v>0.784532856504247</v>
      </c>
      <c r="X1547" s="133">
        <v>0.836452928094885</v>
      </c>
      <c r="Y1547" s="135">
        <v>0.92</v>
      </c>
      <c r="Z1547" s="135" t="s">
        <v>35</v>
      </c>
      <c r="AA1547" s="135" t="s">
        <v>35</v>
      </c>
      <c r="AB1547" s="135" t="s">
        <v>35</v>
      </c>
      <c r="AC1547" s="135" t="s">
        <v>35</v>
      </c>
      <c r="AD1547" s="135">
        <v>0.92</v>
      </c>
      <c r="AE1547" s="133">
        <v>1</v>
      </c>
      <c r="AF1547" s="133">
        <v>0.857142857142857</v>
      </c>
      <c r="AG1547" s="133">
        <v>1</v>
      </c>
      <c r="AH1547" s="133">
        <v>0.951327433628319</v>
      </c>
      <c r="AI1547" s="135">
        <v>0.92</v>
      </c>
      <c r="AJ1547" s="133">
        <v>0.872251705837756</v>
      </c>
      <c r="AK1547" s="133">
        <v>0.908945046129162</v>
      </c>
      <c r="AL1547" s="133">
        <v>0.914617791685293</v>
      </c>
      <c r="AM1547" s="133">
        <v>0.942387879911045</v>
      </c>
      <c r="AN1547" s="132">
        <v>0.99</v>
      </c>
      <c r="AO1547" s="137">
        <v>1</v>
      </c>
      <c r="AP1547" s="137">
        <v>1</v>
      </c>
      <c r="AQ1547" s="137">
        <v>1</v>
      </c>
      <c r="AR1547" s="137">
        <v>1</v>
      </c>
      <c r="AS1547" s="158">
        <v>0.110069253262963</v>
      </c>
      <c r="AT1547" s="141">
        <v>0.1</v>
      </c>
      <c r="AU1547" s="141">
        <v>0.227272727272727</v>
      </c>
      <c r="AV1547" s="141">
        <v>0.148148148148148</v>
      </c>
      <c r="AW1547" s="141">
        <v>0.102040816326531</v>
      </c>
      <c r="AX1547" s="95"/>
      <c r="AY1547" s="93"/>
    </row>
    <row r="1548" ht="15" spans="1:51">
      <c r="A1548" s="91"/>
      <c r="B1548" s="95"/>
      <c r="C1548" s="152" t="s">
        <v>1455</v>
      </c>
      <c r="D1548" s="153" t="s">
        <v>25</v>
      </c>
      <c r="E1548" s="130" t="s">
        <v>1456</v>
      </c>
      <c r="F1548" s="171" t="s">
        <v>1580</v>
      </c>
      <c r="G1548" s="171" t="s">
        <v>1580</v>
      </c>
      <c r="H1548" s="171" t="s">
        <v>1580</v>
      </c>
      <c r="I1548" s="171" t="s">
        <v>1580</v>
      </c>
      <c r="J1548" s="132">
        <v>0.9</v>
      </c>
      <c r="K1548" s="133">
        <v>0.954545454545455</v>
      </c>
      <c r="L1548" s="133">
        <v>0.96</v>
      </c>
      <c r="M1548" s="134">
        <v>1</v>
      </c>
      <c r="N1548" s="133">
        <v>0.978846153846154</v>
      </c>
      <c r="O1548" s="135">
        <v>0.9</v>
      </c>
      <c r="P1548" s="133">
        <v>0.948600275355668</v>
      </c>
      <c r="Q1548" s="133">
        <v>0.979874776386404</v>
      </c>
      <c r="R1548" s="133">
        <v>0.982830385015609</v>
      </c>
      <c r="S1548" s="133">
        <v>0.958566477131142</v>
      </c>
      <c r="T1548" s="135">
        <v>0.9</v>
      </c>
      <c r="U1548" s="133">
        <v>0.905002294630564</v>
      </c>
      <c r="V1548" s="133">
        <v>0.91994633273703</v>
      </c>
      <c r="W1548" s="133">
        <v>0.939646201873049</v>
      </c>
      <c r="X1548" s="133">
        <v>0.938903110345921</v>
      </c>
      <c r="Y1548" s="135">
        <v>0.92</v>
      </c>
      <c r="Z1548" s="135" t="s">
        <v>35</v>
      </c>
      <c r="AA1548" s="135" t="s">
        <v>35</v>
      </c>
      <c r="AB1548" s="135" t="s">
        <v>35</v>
      </c>
      <c r="AC1548" s="135" t="s">
        <v>35</v>
      </c>
      <c r="AD1548" s="135">
        <v>0.92</v>
      </c>
      <c r="AE1548" s="133">
        <v>1</v>
      </c>
      <c r="AF1548" s="133">
        <v>0.970588235294118</v>
      </c>
      <c r="AG1548" s="133">
        <v>0.988235294117647</v>
      </c>
      <c r="AH1548" s="133">
        <v>0.987155963302752</v>
      </c>
      <c r="AI1548" s="135">
        <v>0.92</v>
      </c>
      <c r="AJ1548" s="133">
        <v>0.946764570904084</v>
      </c>
      <c r="AK1548" s="133">
        <v>0.967352415026834</v>
      </c>
      <c r="AL1548" s="133">
        <v>0.969823100936524</v>
      </c>
      <c r="AM1548" s="133">
        <v>0.97727839068482</v>
      </c>
      <c r="AN1548" s="132">
        <v>0.99</v>
      </c>
      <c r="AO1548" s="137">
        <v>1</v>
      </c>
      <c r="AP1548" s="137">
        <v>1</v>
      </c>
      <c r="AQ1548" s="137">
        <v>1</v>
      </c>
      <c r="AR1548" s="137">
        <v>1</v>
      </c>
      <c r="AS1548" s="158">
        <v>0.110069253262963</v>
      </c>
      <c r="AT1548" s="141">
        <v>0</v>
      </c>
      <c r="AU1548" s="141">
        <v>0.111111111111111</v>
      </c>
      <c r="AV1548" s="141">
        <v>0.125</v>
      </c>
      <c r="AW1548" s="141">
        <v>0.0617760617760618</v>
      </c>
      <c r="AX1548" s="95"/>
      <c r="AY1548" s="93"/>
    </row>
    <row r="1549" ht="15" spans="1:51">
      <c r="A1549" s="91"/>
      <c r="B1549" s="95"/>
      <c r="C1549" s="152" t="s">
        <v>1455</v>
      </c>
      <c r="D1549" s="153" t="s">
        <v>25</v>
      </c>
      <c r="E1549" s="130" t="s">
        <v>1456</v>
      </c>
      <c r="F1549" s="171" t="s">
        <v>1581</v>
      </c>
      <c r="G1549" s="171" t="s">
        <v>1581</v>
      </c>
      <c r="H1549" s="171" t="s">
        <v>1581</v>
      </c>
      <c r="I1549" s="171" t="s">
        <v>1581</v>
      </c>
      <c r="J1549" s="132">
        <v>0.9</v>
      </c>
      <c r="K1549" s="133">
        <v>1</v>
      </c>
      <c r="L1549" s="133">
        <v>1</v>
      </c>
      <c r="M1549" s="134">
        <v>1</v>
      </c>
      <c r="N1549" s="133">
        <v>1</v>
      </c>
      <c r="O1549" s="135">
        <v>0.9</v>
      </c>
      <c r="P1549" s="133">
        <v>0.970380818053597</v>
      </c>
      <c r="Q1549" s="133">
        <v>0.983277591973244</v>
      </c>
      <c r="R1549" s="133">
        <v>0.975921745673439</v>
      </c>
      <c r="S1549" s="133">
        <v>0.948117574448388</v>
      </c>
      <c r="T1549" s="135">
        <v>0.9</v>
      </c>
      <c r="U1549" s="133">
        <v>0.884344146685472</v>
      </c>
      <c r="V1549" s="133">
        <v>0.820234113712375</v>
      </c>
      <c r="W1549" s="133">
        <v>0.705793829947329</v>
      </c>
      <c r="X1549" s="133">
        <v>0.718369078845857</v>
      </c>
      <c r="Y1549" s="135">
        <v>0.92</v>
      </c>
      <c r="Z1549" s="135" t="s">
        <v>35</v>
      </c>
      <c r="AA1549" s="135" t="s">
        <v>35</v>
      </c>
      <c r="AB1549" s="135" t="s">
        <v>35</v>
      </c>
      <c r="AC1549" s="135" t="s">
        <v>35</v>
      </c>
      <c r="AD1549" s="135">
        <v>0.92</v>
      </c>
      <c r="AE1549" s="133">
        <v>1</v>
      </c>
      <c r="AF1549" s="133">
        <v>1</v>
      </c>
      <c r="AG1549" s="133">
        <v>1</v>
      </c>
      <c r="AH1549" s="133">
        <v>0.957510472770796</v>
      </c>
      <c r="AI1549" s="135">
        <v>0.92</v>
      </c>
      <c r="AJ1549" s="133">
        <v>0.913963328631876</v>
      </c>
      <c r="AK1549" s="133">
        <v>0.948996655518395</v>
      </c>
      <c r="AL1549" s="133">
        <v>0.942061700526712</v>
      </c>
      <c r="AM1549" s="133">
        <v>0.939438358278044</v>
      </c>
      <c r="AN1549" s="132">
        <v>0.99</v>
      </c>
      <c r="AO1549" s="137">
        <v>1</v>
      </c>
      <c r="AP1549" s="137">
        <v>1</v>
      </c>
      <c r="AQ1549" s="137">
        <v>1</v>
      </c>
      <c r="AR1549" s="137">
        <v>1</v>
      </c>
      <c r="AS1549" s="158">
        <v>0.110069253262963</v>
      </c>
      <c r="AT1549" s="141">
        <v>0.333333333333333</v>
      </c>
      <c r="AU1549" s="141">
        <v>0</v>
      </c>
      <c r="AV1549" s="141">
        <v>0</v>
      </c>
      <c r="AW1549" s="141">
        <v>0.102362204724409</v>
      </c>
      <c r="AX1549" s="95"/>
      <c r="AY1549" s="93"/>
    </row>
    <row r="1550" ht="15" spans="1:51">
      <c r="A1550" s="91"/>
      <c r="B1550" s="95"/>
      <c r="C1550" s="152" t="s">
        <v>1455</v>
      </c>
      <c r="D1550" s="153" t="s">
        <v>25</v>
      </c>
      <c r="E1550" s="130" t="s">
        <v>1456</v>
      </c>
      <c r="F1550" s="171" t="s">
        <v>1582</v>
      </c>
      <c r="G1550" s="171" t="s">
        <v>1582</v>
      </c>
      <c r="H1550" s="171" t="s">
        <v>1582</v>
      </c>
      <c r="I1550" s="171" t="s">
        <v>1582</v>
      </c>
      <c r="J1550" s="132">
        <v>0.9</v>
      </c>
      <c r="K1550" s="133">
        <v>0.875</v>
      </c>
      <c r="L1550" s="133">
        <v>0.91304347826087</v>
      </c>
      <c r="M1550" s="134">
        <v>0.884615384615385</v>
      </c>
      <c r="N1550" s="133">
        <v>0.889558232931727</v>
      </c>
      <c r="O1550" s="135">
        <v>0.9</v>
      </c>
      <c r="P1550" s="133">
        <v>0.966101694915254</v>
      </c>
      <c r="Q1550" s="133">
        <v>0.871073031415749</v>
      </c>
      <c r="R1550" s="133">
        <v>0.802397525135344</v>
      </c>
      <c r="S1550" s="133">
        <v>0.855763161217018</v>
      </c>
      <c r="T1550" s="135">
        <v>0.9</v>
      </c>
      <c r="U1550" s="133">
        <v>0.521332554061952</v>
      </c>
      <c r="V1550" s="133">
        <v>0.547939616483068</v>
      </c>
      <c r="W1550" s="133">
        <v>0.521655065738592</v>
      </c>
      <c r="X1550" s="133">
        <v>0.537516306863612</v>
      </c>
      <c r="Y1550" s="135">
        <v>0.92</v>
      </c>
      <c r="Z1550" s="135" t="s">
        <v>35</v>
      </c>
      <c r="AA1550" s="135" t="s">
        <v>35</v>
      </c>
      <c r="AB1550" s="135" t="s">
        <v>35</v>
      </c>
      <c r="AC1550" s="135" t="s">
        <v>35</v>
      </c>
      <c r="AD1550" s="135">
        <v>0.92</v>
      </c>
      <c r="AE1550" s="133">
        <v>0.986577181208054</v>
      </c>
      <c r="AF1550" s="133">
        <v>0.0364963503649635</v>
      </c>
      <c r="AG1550" s="133">
        <v>1</v>
      </c>
      <c r="AH1550" s="133">
        <v>0.898864442867282</v>
      </c>
      <c r="AI1550" s="135">
        <v>0.92</v>
      </c>
      <c r="AJ1550" s="133">
        <v>0.83927527761543</v>
      </c>
      <c r="AK1550" s="133">
        <v>0.822113423092615</v>
      </c>
      <c r="AL1550" s="133">
        <v>0.855761794276875</v>
      </c>
      <c r="AM1550" s="133">
        <v>0.87015528342381</v>
      </c>
      <c r="AN1550" s="132">
        <v>0.99</v>
      </c>
      <c r="AO1550" s="137">
        <v>1</v>
      </c>
      <c r="AP1550" s="137">
        <v>1</v>
      </c>
      <c r="AQ1550" s="137">
        <v>1</v>
      </c>
      <c r="AR1550" s="137">
        <v>1</v>
      </c>
      <c r="AS1550" s="158">
        <v>0.110069253262963</v>
      </c>
      <c r="AT1550" s="141">
        <v>0.0072202166064982</v>
      </c>
      <c r="AU1550" s="141">
        <v>0</v>
      </c>
      <c r="AV1550" s="141">
        <v>0.0373831775700935</v>
      </c>
      <c r="AW1550" s="141">
        <v>0.0399789584429248</v>
      </c>
      <c r="AX1550" s="95"/>
      <c r="AY1550" s="93"/>
    </row>
    <row r="1551" ht="15" spans="1:51">
      <c r="A1551" s="91"/>
      <c r="B1551" s="95"/>
      <c r="C1551" s="152" t="s">
        <v>1455</v>
      </c>
      <c r="D1551" s="153" t="s">
        <v>25</v>
      </c>
      <c r="E1551" s="130" t="s">
        <v>1456</v>
      </c>
      <c r="F1551" s="171" t="s">
        <v>1583</v>
      </c>
      <c r="G1551" s="171" t="s">
        <v>1583</v>
      </c>
      <c r="H1551" s="171" t="s">
        <v>1583</v>
      </c>
      <c r="I1551" s="171" t="s">
        <v>1583</v>
      </c>
      <c r="J1551" s="132">
        <v>0.9</v>
      </c>
      <c r="K1551" s="133">
        <v>0.941176470588235</v>
      </c>
      <c r="L1551" s="133">
        <v>0.941176470588235</v>
      </c>
      <c r="M1551" s="134">
        <v>1</v>
      </c>
      <c r="N1551" s="133">
        <v>0.941690962099125</v>
      </c>
      <c r="O1551" s="135">
        <v>0.9</v>
      </c>
      <c r="P1551" s="133" t="s">
        <v>35</v>
      </c>
      <c r="Q1551" s="133" t="s">
        <v>35</v>
      </c>
      <c r="R1551" s="133" t="s">
        <v>35</v>
      </c>
      <c r="S1551" s="133">
        <v>0.5</v>
      </c>
      <c r="T1551" s="135">
        <v>0.9</v>
      </c>
      <c r="U1551" s="133" t="s">
        <v>35</v>
      </c>
      <c r="V1551" s="133" t="s">
        <v>35</v>
      </c>
      <c r="W1551" s="133" t="s">
        <v>35</v>
      </c>
      <c r="X1551" s="133">
        <v>0</v>
      </c>
      <c r="Y1551" s="135">
        <v>0.92</v>
      </c>
      <c r="Z1551" s="135" t="s">
        <v>35</v>
      </c>
      <c r="AA1551" s="135" t="s">
        <v>35</v>
      </c>
      <c r="AB1551" s="135" t="s">
        <v>35</v>
      </c>
      <c r="AC1551" s="135" t="s">
        <v>35</v>
      </c>
      <c r="AD1551" s="135">
        <v>0.92</v>
      </c>
      <c r="AE1551" s="133">
        <v>0.75</v>
      </c>
      <c r="AF1551" s="133">
        <v>0.6875</v>
      </c>
      <c r="AG1551" s="133">
        <v>0.55</v>
      </c>
      <c r="AH1551" s="133">
        <v>0.78391959798995</v>
      </c>
      <c r="AI1551" s="135">
        <v>0.92</v>
      </c>
      <c r="AJ1551" s="133">
        <v>0.947464874770922</v>
      </c>
      <c r="AK1551" s="133">
        <v>0.965176470588235</v>
      </c>
      <c r="AL1551" s="133">
        <v>0.988894253983583</v>
      </c>
      <c r="AM1551" s="133">
        <v>0.974884857121046</v>
      </c>
      <c r="AN1551" s="132">
        <v>0.99</v>
      </c>
      <c r="AO1551" s="137">
        <v>1</v>
      </c>
      <c r="AP1551" s="137">
        <v>1</v>
      </c>
      <c r="AQ1551" s="137">
        <v>1</v>
      </c>
      <c r="AR1551" s="137">
        <v>1</v>
      </c>
      <c r="AS1551" s="158">
        <v>0.110069253262963</v>
      </c>
      <c r="AT1551" s="141">
        <v>0</v>
      </c>
      <c r="AU1551" s="141">
        <v>0.0555555555555556</v>
      </c>
      <c r="AV1551" s="141">
        <v>0.235294117647059</v>
      </c>
      <c r="AW1551" s="141">
        <v>0.0855614973262032</v>
      </c>
      <c r="AX1551" s="95"/>
      <c r="AY1551" s="93"/>
    </row>
    <row r="1552" ht="15" spans="1:51">
      <c r="A1552" s="91"/>
      <c r="B1552" s="95"/>
      <c r="C1552" s="152" t="s">
        <v>1455</v>
      </c>
      <c r="D1552" s="153" t="s">
        <v>25</v>
      </c>
      <c r="E1552" s="130" t="s">
        <v>1456</v>
      </c>
      <c r="F1552" s="171" t="s">
        <v>1584</v>
      </c>
      <c r="G1552" s="171" t="s">
        <v>1584</v>
      </c>
      <c r="H1552" s="171" t="s">
        <v>1584</v>
      </c>
      <c r="I1552" s="171" t="s">
        <v>1584</v>
      </c>
      <c r="J1552" s="132">
        <v>0.9</v>
      </c>
      <c r="K1552" s="133">
        <v>0.942857142857143</v>
      </c>
      <c r="L1552" s="133">
        <v>1</v>
      </c>
      <c r="M1552" s="134">
        <v>0.971428571428571</v>
      </c>
      <c r="N1552" s="133">
        <v>0.973254086181278</v>
      </c>
      <c r="O1552" s="135">
        <v>0.9</v>
      </c>
      <c r="P1552" s="133">
        <v>0.978384527872582</v>
      </c>
      <c r="Q1552" s="133">
        <v>0.994238683127572</v>
      </c>
      <c r="R1552" s="133">
        <v>0.987425337944043</v>
      </c>
      <c r="S1552" s="133">
        <v>0.973008792806145</v>
      </c>
      <c r="T1552" s="135">
        <v>0.9</v>
      </c>
      <c r="U1552" s="133">
        <v>0.87485779294653</v>
      </c>
      <c r="V1552" s="133">
        <v>0.874897119341564</v>
      </c>
      <c r="W1552" s="133">
        <v>0.871109713926438</v>
      </c>
      <c r="X1552" s="133">
        <v>0.867267104644369</v>
      </c>
      <c r="Y1552" s="135">
        <v>0.92</v>
      </c>
      <c r="Z1552" s="135" t="s">
        <v>35</v>
      </c>
      <c r="AA1552" s="135" t="s">
        <v>35</v>
      </c>
      <c r="AB1552" s="135" t="s">
        <v>35</v>
      </c>
      <c r="AC1552" s="135" t="s">
        <v>35</v>
      </c>
      <c r="AD1552" s="135">
        <v>0.92</v>
      </c>
      <c r="AE1552" s="133">
        <v>0.864406779661017</v>
      </c>
      <c r="AF1552" s="133">
        <v>1</v>
      </c>
      <c r="AG1552" s="133">
        <v>1</v>
      </c>
      <c r="AH1552" s="133">
        <v>0.951092611862643</v>
      </c>
      <c r="AI1552" s="135">
        <v>0.92</v>
      </c>
      <c r="AJ1552" s="133">
        <v>0.939135381114903</v>
      </c>
      <c r="AK1552" s="133">
        <v>0.950617283950617</v>
      </c>
      <c r="AL1552" s="133">
        <v>0.957874882112543</v>
      </c>
      <c r="AM1552" s="133">
        <v>0.963674970073534</v>
      </c>
      <c r="AN1552" s="132">
        <v>0.99</v>
      </c>
      <c r="AO1552" s="137">
        <v>1</v>
      </c>
      <c r="AP1552" s="137">
        <v>1</v>
      </c>
      <c r="AQ1552" s="137">
        <v>1</v>
      </c>
      <c r="AR1552" s="137">
        <v>1</v>
      </c>
      <c r="AS1552" s="158">
        <v>0.110069253262963</v>
      </c>
      <c r="AT1552" s="141">
        <v>0.0441176470588235</v>
      </c>
      <c r="AU1552" s="141">
        <v>0.0416666666666667</v>
      </c>
      <c r="AV1552" s="141">
        <v>0.0916030534351145</v>
      </c>
      <c r="AW1552" s="141">
        <v>0.0463755065285907</v>
      </c>
      <c r="AX1552" s="95"/>
      <c r="AY1552" s="93"/>
    </row>
    <row r="1553" ht="15" spans="1:51">
      <c r="A1553" s="91"/>
      <c r="B1553" s="95"/>
      <c r="C1553" s="152" t="s">
        <v>1455</v>
      </c>
      <c r="D1553" s="153" t="s">
        <v>922</v>
      </c>
      <c r="E1553" s="130" t="s">
        <v>1456</v>
      </c>
      <c r="F1553" s="171" t="s">
        <v>1585</v>
      </c>
      <c r="G1553" s="171" t="s">
        <v>1585</v>
      </c>
      <c r="H1553" s="171" t="s">
        <v>1585</v>
      </c>
      <c r="I1553" s="171" t="s">
        <v>1585</v>
      </c>
      <c r="J1553" s="132">
        <v>0.9</v>
      </c>
      <c r="K1553" s="133" t="s">
        <v>35</v>
      </c>
      <c r="L1553" s="133" t="s">
        <v>35</v>
      </c>
      <c r="M1553" s="134" t="s">
        <v>35</v>
      </c>
      <c r="N1553" s="133" t="s">
        <v>35</v>
      </c>
      <c r="O1553" s="135">
        <v>0.9</v>
      </c>
      <c r="P1553" s="133" t="s">
        <v>35</v>
      </c>
      <c r="Q1553" s="133" t="s">
        <v>35</v>
      </c>
      <c r="R1553" s="133" t="s">
        <v>35</v>
      </c>
      <c r="S1553" s="133" t="s">
        <v>35</v>
      </c>
      <c r="T1553" s="135">
        <v>0.9</v>
      </c>
      <c r="U1553" s="133" t="s">
        <v>35</v>
      </c>
      <c r="V1553" s="133" t="s">
        <v>35</v>
      </c>
      <c r="W1553" s="133" t="s">
        <v>35</v>
      </c>
      <c r="X1553" s="133" t="s">
        <v>35</v>
      </c>
      <c r="Y1553" s="135">
        <v>0.92</v>
      </c>
      <c r="Z1553" s="135" t="s">
        <v>35</v>
      </c>
      <c r="AA1553" s="135" t="s">
        <v>35</v>
      </c>
      <c r="AB1553" s="135" t="s">
        <v>35</v>
      </c>
      <c r="AC1553" s="135" t="s">
        <v>35</v>
      </c>
      <c r="AD1553" s="135">
        <v>0.92</v>
      </c>
      <c r="AE1553" s="133" t="s">
        <v>35</v>
      </c>
      <c r="AF1553" s="133" t="s">
        <v>35</v>
      </c>
      <c r="AG1553" s="133" t="s">
        <v>35</v>
      </c>
      <c r="AH1553" s="133" t="s">
        <v>35</v>
      </c>
      <c r="AI1553" s="135">
        <v>0.92</v>
      </c>
      <c r="AJ1553" s="133" t="s">
        <v>35</v>
      </c>
      <c r="AK1553" s="133" t="s">
        <v>35</v>
      </c>
      <c r="AL1553" s="133" t="s">
        <v>35</v>
      </c>
      <c r="AM1553" s="133" t="s">
        <v>35</v>
      </c>
      <c r="AN1553" s="132">
        <v>0.99</v>
      </c>
      <c r="AO1553" s="137" t="s">
        <v>35</v>
      </c>
      <c r="AP1553" s="137" t="s">
        <v>35</v>
      </c>
      <c r="AQ1553" s="137" t="s">
        <v>35</v>
      </c>
      <c r="AR1553" s="137" t="s">
        <v>35</v>
      </c>
      <c r="AS1553" s="158">
        <v>0.110069253262963</v>
      </c>
      <c r="AT1553" s="141" t="s">
        <v>35</v>
      </c>
      <c r="AU1553" s="141" t="s">
        <v>35</v>
      </c>
      <c r="AV1553" s="141" t="s">
        <v>35</v>
      </c>
      <c r="AW1553" s="141" t="s">
        <v>35</v>
      </c>
      <c r="AX1553" s="95"/>
      <c r="AY1553" s="93"/>
    </row>
    <row r="1554" ht="15" spans="1:51">
      <c r="A1554" s="91"/>
      <c r="B1554" s="95"/>
      <c r="C1554" s="152" t="s">
        <v>1455</v>
      </c>
      <c r="D1554" s="153" t="s">
        <v>25</v>
      </c>
      <c r="E1554" s="130" t="s">
        <v>1456</v>
      </c>
      <c r="F1554" s="171" t="s">
        <v>1586</v>
      </c>
      <c r="G1554" s="171" t="s">
        <v>1586</v>
      </c>
      <c r="H1554" s="171" t="s">
        <v>1586</v>
      </c>
      <c r="I1554" s="171" t="s">
        <v>1586</v>
      </c>
      <c r="J1554" s="132">
        <v>0.9</v>
      </c>
      <c r="K1554" s="133">
        <v>1</v>
      </c>
      <c r="L1554" s="133">
        <v>1</v>
      </c>
      <c r="M1554" s="134">
        <v>0.952380952380952</v>
      </c>
      <c r="N1554" s="133">
        <v>0.963380281690141</v>
      </c>
      <c r="O1554" s="135">
        <v>0.9</v>
      </c>
      <c r="P1554" s="133">
        <v>0.99528936742934</v>
      </c>
      <c r="Q1554" s="133">
        <v>0.972660357518402</v>
      </c>
      <c r="R1554" s="133">
        <v>0.960037611659614</v>
      </c>
      <c r="S1554" s="133">
        <v>0.967514547963285</v>
      </c>
      <c r="T1554" s="135">
        <v>0.9</v>
      </c>
      <c r="U1554" s="133">
        <v>0.720053835800808</v>
      </c>
      <c r="V1554" s="133">
        <v>0.555730809674027</v>
      </c>
      <c r="W1554" s="133">
        <v>0.554301833568406</v>
      </c>
      <c r="X1554" s="133">
        <v>0.527986081948527</v>
      </c>
      <c r="Y1554" s="135">
        <v>0.92</v>
      </c>
      <c r="Z1554" s="135" t="s">
        <v>35</v>
      </c>
      <c r="AA1554" s="135" t="s">
        <v>35</v>
      </c>
      <c r="AB1554" s="135">
        <v>0</v>
      </c>
      <c r="AC1554" s="135">
        <v>0</v>
      </c>
      <c r="AD1554" s="135">
        <v>0.92</v>
      </c>
      <c r="AE1554" s="133">
        <v>1</v>
      </c>
      <c r="AF1554" s="133">
        <v>0.8</v>
      </c>
      <c r="AG1554" s="133">
        <v>1</v>
      </c>
      <c r="AH1554" s="133">
        <v>0.976047904191617</v>
      </c>
      <c r="AI1554" s="135">
        <v>0.92</v>
      </c>
      <c r="AJ1554" s="133">
        <v>0.892328398384926</v>
      </c>
      <c r="AK1554" s="133">
        <v>0.88801261829653</v>
      </c>
      <c r="AL1554" s="133">
        <v>0.921522556390977</v>
      </c>
      <c r="AM1554" s="133">
        <v>0.91370725854829</v>
      </c>
      <c r="AN1554" s="132">
        <v>0.99</v>
      </c>
      <c r="AO1554" s="137">
        <v>1</v>
      </c>
      <c r="AP1554" s="137">
        <v>1</v>
      </c>
      <c r="AQ1554" s="137">
        <v>1</v>
      </c>
      <c r="AR1554" s="137">
        <v>1</v>
      </c>
      <c r="AS1554" s="158">
        <v>0.110069253262963</v>
      </c>
      <c r="AT1554" s="141">
        <v>0</v>
      </c>
      <c r="AU1554" s="141">
        <v>0.1</v>
      </c>
      <c r="AV1554" s="141">
        <v>0.0909090909090909</v>
      </c>
      <c r="AW1554" s="141">
        <v>0.0882352941176471</v>
      </c>
      <c r="AX1554" s="95"/>
      <c r="AY1554" s="93"/>
    </row>
    <row r="1555" ht="15" spans="1:51">
      <c r="A1555" s="91"/>
      <c r="B1555" s="95"/>
      <c r="C1555" s="152" t="s">
        <v>1455</v>
      </c>
      <c r="D1555" s="153" t="s">
        <v>25</v>
      </c>
      <c r="E1555" s="130" t="s">
        <v>1456</v>
      </c>
      <c r="F1555" s="171" t="s">
        <v>1587</v>
      </c>
      <c r="G1555" s="171" t="s">
        <v>1587</v>
      </c>
      <c r="H1555" s="171" t="s">
        <v>1587</v>
      </c>
      <c r="I1555" s="171" t="s">
        <v>1587</v>
      </c>
      <c r="J1555" s="132">
        <v>0.9</v>
      </c>
      <c r="K1555" s="133">
        <v>0.882352941176471</v>
      </c>
      <c r="L1555" s="133">
        <v>0.947368421052632</v>
      </c>
      <c r="M1555" s="134">
        <v>1</v>
      </c>
      <c r="N1555" s="133">
        <v>0.949438202247191</v>
      </c>
      <c r="O1555" s="135">
        <v>0.9</v>
      </c>
      <c r="P1555" s="133" t="s">
        <v>35</v>
      </c>
      <c r="Q1555" s="133" t="s">
        <v>35</v>
      </c>
      <c r="R1555" s="133" t="s">
        <v>35</v>
      </c>
      <c r="S1555" s="133" t="s">
        <v>35</v>
      </c>
      <c r="T1555" s="135">
        <v>0.9</v>
      </c>
      <c r="U1555" s="133" t="s">
        <v>35</v>
      </c>
      <c r="V1555" s="133" t="s">
        <v>35</v>
      </c>
      <c r="W1555" s="133" t="s">
        <v>35</v>
      </c>
      <c r="X1555" s="133" t="s">
        <v>35</v>
      </c>
      <c r="Y1555" s="135">
        <v>0.92</v>
      </c>
      <c r="Z1555" s="135" t="s">
        <v>35</v>
      </c>
      <c r="AA1555" s="135" t="s">
        <v>35</v>
      </c>
      <c r="AB1555" s="135" t="s">
        <v>35</v>
      </c>
      <c r="AC1555" s="135" t="s">
        <v>35</v>
      </c>
      <c r="AD1555" s="135">
        <v>0.92</v>
      </c>
      <c r="AE1555" s="133">
        <v>1</v>
      </c>
      <c r="AF1555" s="133">
        <v>1</v>
      </c>
      <c r="AG1555" s="133">
        <v>0</v>
      </c>
      <c r="AH1555" s="133">
        <v>0.425</v>
      </c>
      <c r="AI1555" s="135">
        <v>0.92</v>
      </c>
      <c r="AJ1555" s="133">
        <v>0.810810810810811</v>
      </c>
      <c r="AK1555" s="133">
        <v>0.822742474916388</v>
      </c>
      <c r="AL1555" s="133">
        <v>0.838909090909091</v>
      </c>
      <c r="AM1555" s="133">
        <v>0.873723016789553</v>
      </c>
      <c r="AN1555" s="132">
        <v>0.99</v>
      </c>
      <c r="AO1555" s="137">
        <v>1</v>
      </c>
      <c r="AP1555" s="137" t="s">
        <v>35</v>
      </c>
      <c r="AQ1555" s="137">
        <v>1</v>
      </c>
      <c r="AR1555" s="137">
        <v>1</v>
      </c>
      <c r="AS1555" s="158">
        <v>0.110069253262963</v>
      </c>
      <c r="AT1555" s="141">
        <v>0.0606060606060606</v>
      </c>
      <c r="AU1555" s="141">
        <v>0.0952380952380952</v>
      </c>
      <c r="AV1555" s="141">
        <v>0.166666666666667</v>
      </c>
      <c r="AW1555" s="141">
        <v>0.172240802675585</v>
      </c>
      <c r="AX1555" s="95"/>
      <c r="AY1555" s="93"/>
    </row>
    <row r="1556" ht="15" spans="1:51">
      <c r="A1556" s="91"/>
      <c r="B1556" s="95"/>
      <c r="C1556" s="152" t="s">
        <v>1455</v>
      </c>
      <c r="D1556" s="153" t="s">
        <v>25</v>
      </c>
      <c r="E1556" s="130" t="s">
        <v>1456</v>
      </c>
      <c r="F1556" s="171" t="s">
        <v>1588</v>
      </c>
      <c r="G1556" s="171" t="s">
        <v>1588</v>
      </c>
      <c r="H1556" s="171" t="s">
        <v>1588</v>
      </c>
      <c r="I1556" s="171" t="s">
        <v>1588</v>
      </c>
      <c r="J1556" s="132">
        <v>0.9</v>
      </c>
      <c r="K1556" s="133">
        <v>0.891891891891892</v>
      </c>
      <c r="L1556" s="133">
        <v>0.945945945945946</v>
      </c>
      <c r="M1556" s="134">
        <v>0.842105263157895</v>
      </c>
      <c r="N1556" s="133">
        <v>0.912721893491124</v>
      </c>
      <c r="O1556" s="135">
        <v>0.9</v>
      </c>
      <c r="P1556" s="133">
        <v>0.989769820971867</v>
      </c>
      <c r="Q1556" s="133">
        <v>0.992287917737789</v>
      </c>
      <c r="R1556" s="133">
        <v>0.977645305514158</v>
      </c>
      <c r="S1556" s="133">
        <v>0.987147092760016</v>
      </c>
      <c r="T1556" s="135">
        <v>0.9</v>
      </c>
      <c r="U1556" s="133">
        <v>0.857289002557545</v>
      </c>
      <c r="V1556" s="133">
        <v>0.891773778920309</v>
      </c>
      <c r="W1556" s="133">
        <v>0.895976154992548</v>
      </c>
      <c r="X1556" s="133">
        <v>0.885550703258504</v>
      </c>
      <c r="Y1556" s="135">
        <v>0.92</v>
      </c>
      <c r="Z1556" s="135" t="s">
        <v>35</v>
      </c>
      <c r="AA1556" s="135" t="s">
        <v>35</v>
      </c>
      <c r="AB1556" s="135" t="s">
        <v>35</v>
      </c>
      <c r="AC1556" s="135" t="s">
        <v>35</v>
      </c>
      <c r="AD1556" s="135">
        <v>0.92</v>
      </c>
      <c r="AE1556" s="133">
        <v>0.8</v>
      </c>
      <c r="AF1556" s="133">
        <v>0.875</v>
      </c>
      <c r="AG1556" s="133">
        <v>1</v>
      </c>
      <c r="AH1556" s="133">
        <v>0.822222222222222</v>
      </c>
      <c r="AI1556" s="135">
        <v>0.92</v>
      </c>
      <c r="AJ1556" s="133">
        <v>0.933759590792839</v>
      </c>
      <c r="AK1556" s="133">
        <v>0.961192495502442</v>
      </c>
      <c r="AL1556" s="133">
        <v>0.957377049180328</v>
      </c>
      <c r="AM1556" s="133">
        <v>0.969284921423147</v>
      </c>
      <c r="AN1556" s="132">
        <v>0.99</v>
      </c>
      <c r="AO1556" s="137">
        <v>1</v>
      </c>
      <c r="AP1556" s="137">
        <v>1</v>
      </c>
      <c r="AQ1556" s="137">
        <v>1</v>
      </c>
      <c r="AR1556" s="137">
        <v>1</v>
      </c>
      <c r="AS1556" s="158">
        <v>0.110069253262963</v>
      </c>
      <c r="AT1556" s="141">
        <v>0.0666666666666667</v>
      </c>
      <c r="AU1556" s="141">
        <v>0.111111111111111</v>
      </c>
      <c r="AV1556" s="141">
        <v>0.105263157894737</v>
      </c>
      <c r="AW1556" s="141">
        <v>0.144475920679887</v>
      </c>
      <c r="AX1556" s="95"/>
      <c r="AY1556" s="93"/>
    </row>
    <row r="1557" ht="15" spans="1:51">
      <c r="A1557" s="91"/>
      <c r="B1557" s="95"/>
      <c r="C1557" s="152" t="s">
        <v>1455</v>
      </c>
      <c r="D1557" s="153" t="s">
        <v>25</v>
      </c>
      <c r="E1557" s="130" t="s">
        <v>1456</v>
      </c>
      <c r="F1557" s="171" t="s">
        <v>1589</v>
      </c>
      <c r="G1557" s="171" t="s">
        <v>1589</v>
      </c>
      <c r="H1557" s="171" t="s">
        <v>1589</v>
      </c>
      <c r="I1557" s="171" t="s">
        <v>1589</v>
      </c>
      <c r="J1557" s="132">
        <v>0.9</v>
      </c>
      <c r="K1557" s="133">
        <v>0.888888888888889</v>
      </c>
      <c r="L1557" s="133">
        <v>0.884615384615385</v>
      </c>
      <c r="M1557" s="134">
        <v>0.92</v>
      </c>
      <c r="N1557" s="133">
        <v>0.862549800796813</v>
      </c>
      <c r="O1557" s="135">
        <v>0.9</v>
      </c>
      <c r="P1557" s="133">
        <v>0.97096640398175</v>
      </c>
      <c r="Q1557" s="133">
        <v>0.899535669058675</v>
      </c>
      <c r="R1557" s="133">
        <v>0.983590253605172</v>
      </c>
      <c r="S1557" s="133">
        <v>0.950261248922031</v>
      </c>
      <c r="T1557" s="135">
        <v>0.9</v>
      </c>
      <c r="U1557" s="133">
        <v>0.895893819991705</v>
      </c>
      <c r="V1557" s="133">
        <v>0.842549598986914</v>
      </c>
      <c r="W1557" s="133">
        <v>0.916459472899055</v>
      </c>
      <c r="X1557" s="133">
        <v>0.898772383706184</v>
      </c>
      <c r="Y1557" s="135">
        <v>0.92</v>
      </c>
      <c r="Z1557" s="135" t="s">
        <v>35</v>
      </c>
      <c r="AA1557" s="135" t="s">
        <v>35</v>
      </c>
      <c r="AB1557" s="135" t="s">
        <v>35</v>
      </c>
      <c r="AC1557" s="135" t="s">
        <v>35</v>
      </c>
      <c r="AD1557" s="135">
        <v>0.92</v>
      </c>
      <c r="AE1557" s="133">
        <v>0.388888888888889</v>
      </c>
      <c r="AF1557" s="133">
        <v>0.75</v>
      </c>
      <c r="AG1557" s="133">
        <v>1</v>
      </c>
      <c r="AH1557" s="133">
        <v>0.666666666666667</v>
      </c>
      <c r="AI1557" s="135">
        <v>0.92</v>
      </c>
      <c r="AJ1557" s="133">
        <v>0.939858979676483</v>
      </c>
      <c r="AK1557" s="133">
        <v>0.945546644153651</v>
      </c>
      <c r="AL1557" s="133">
        <v>0.973644952759821</v>
      </c>
      <c r="AM1557" s="133">
        <v>0.962918811981637</v>
      </c>
      <c r="AN1557" s="132">
        <v>0.99</v>
      </c>
      <c r="AO1557" s="137">
        <v>1</v>
      </c>
      <c r="AP1557" s="137">
        <v>1</v>
      </c>
      <c r="AQ1557" s="137">
        <v>1</v>
      </c>
      <c r="AR1557" s="137">
        <v>1</v>
      </c>
      <c r="AS1557" s="158">
        <v>0.110069253262963</v>
      </c>
      <c r="AT1557" s="141">
        <v>0.222222222222222</v>
      </c>
      <c r="AU1557" s="141">
        <v>0.0625</v>
      </c>
      <c r="AV1557" s="141">
        <v>0.333333333333333</v>
      </c>
      <c r="AW1557" s="141">
        <v>0.182741116751269</v>
      </c>
      <c r="AX1557" s="95"/>
      <c r="AY1557" s="93"/>
    </row>
    <row r="1558" ht="15" spans="1:51">
      <c r="A1558" s="91"/>
      <c r="B1558" s="95"/>
      <c r="C1558" s="152" t="s">
        <v>1455</v>
      </c>
      <c r="D1558" s="153" t="s">
        <v>25</v>
      </c>
      <c r="E1558" s="130" t="s">
        <v>1456</v>
      </c>
      <c r="F1558" s="171" t="s">
        <v>1590</v>
      </c>
      <c r="G1558" s="171" t="s">
        <v>1590</v>
      </c>
      <c r="H1558" s="171" t="s">
        <v>1590</v>
      </c>
      <c r="I1558" s="171" t="s">
        <v>1590</v>
      </c>
      <c r="J1558" s="132">
        <v>0.9</v>
      </c>
      <c r="K1558" s="133">
        <v>0.928571428571429</v>
      </c>
      <c r="L1558" s="133">
        <v>1</v>
      </c>
      <c r="M1558" s="134">
        <v>1</v>
      </c>
      <c r="N1558" s="133">
        <v>0.98576512455516</v>
      </c>
      <c r="O1558" s="135">
        <v>0.9</v>
      </c>
      <c r="P1558" s="133">
        <v>0.951653944020356</v>
      </c>
      <c r="Q1558" s="133">
        <v>0.909646739130435</v>
      </c>
      <c r="R1558" s="133">
        <v>0.927685950413223</v>
      </c>
      <c r="S1558" s="133">
        <v>0.902850643871299</v>
      </c>
      <c r="T1558" s="135">
        <v>0.9</v>
      </c>
      <c r="U1558" s="133">
        <v>0.685750636132316</v>
      </c>
      <c r="V1558" s="133">
        <v>0.652173913043478</v>
      </c>
      <c r="W1558" s="133">
        <v>0.742424242424242</v>
      </c>
      <c r="X1558" s="133">
        <v>0.527093957515501</v>
      </c>
      <c r="Y1558" s="135">
        <v>0.92</v>
      </c>
      <c r="Z1558" s="135" t="s">
        <v>35</v>
      </c>
      <c r="AA1558" s="135" t="s">
        <v>35</v>
      </c>
      <c r="AB1558" s="135" t="s">
        <v>35</v>
      </c>
      <c r="AC1558" s="135" t="s">
        <v>35</v>
      </c>
      <c r="AD1558" s="135">
        <v>0.92</v>
      </c>
      <c r="AE1558" s="133">
        <v>0.985915492957746</v>
      </c>
      <c r="AF1558" s="133">
        <v>1</v>
      </c>
      <c r="AG1558" s="133">
        <v>1</v>
      </c>
      <c r="AH1558" s="133">
        <v>0.997802197802198</v>
      </c>
      <c r="AI1558" s="135">
        <v>0.92</v>
      </c>
      <c r="AJ1558" s="133">
        <v>0.818066157760814</v>
      </c>
      <c r="AK1558" s="133">
        <v>0.870923913043478</v>
      </c>
      <c r="AL1558" s="133">
        <v>0.871900826446281</v>
      </c>
      <c r="AM1558" s="133">
        <v>0.886231059911215</v>
      </c>
      <c r="AN1558" s="132">
        <v>0.99</v>
      </c>
      <c r="AO1558" s="137" t="s">
        <v>35</v>
      </c>
      <c r="AP1558" s="137">
        <v>1</v>
      </c>
      <c r="AQ1558" s="137" t="s">
        <v>35</v>
      </c>
      <c r="AR1558" s="137">
        <v>1</v>
      </c>
      <c r="AS1558" s="158">
        <v>0.110069253262963</v>
      </c>
      <c r="AT1558" s="141">
        <v>0.142857142857143</v>
      </c>
      <c r="AU1558" s="141">
        <v>0</v>
      </c>
      <c r="AV1558" s="141">
        <v>0</v>
      </c>
      <c r="AW1558" s="141">
        <v>0.0471698113207547</v>
      </c>
      <c r="AX1558" s="95"/>
      <c r="AY1558" s="93"/>
    </row>
    <row r="1559" ht="15" spans="1:51">
      <c r="A1559" s="91"/>
      <c r="B1559" s="95"/>
      <c r="C1559" s="152" t="s">
        <v>1455</v>
      </c>
      <c r="D1559" s="153" t="s">
        <v>25</v>
      </c>
      <c r="E1559" s="130" t="s">
        <v>1456</v>
      </c>
      <c r="F1559" s="171" t="s">
        <v>1591</v>
      </c>
      <c r="G1559" s="171" t="s">
        <v>1591</v>
      </c>
      <c r="H1559" s="171" t="s">
        <v>1591</v>
      </c>
      <c r="I1559" s="171" t="s">
        <v>1591</v>
      </c>
      <c r="J1559" s="132">
        <v>0.9</v>
      </c>
      <c r="K1559" s="133">
        <v>0.727272727272727</v>
      </c>
      <c r="L1559" s="133">
        <v>1</v>
      </c>
      <c r="M1559" s="134">
        <v>0.777777777777778</v>
      </c>
      <c r="N1559" s="133">
        <v>0.753623188405797</v>
      </c>
      <c r="O1559" s="135">
        <v>0.9</v>
      </c>
      <c r="P1559" s="133" t="s">
        <v>35</v>
      </c>
      <c r="Q1559" s="133">
        <v>0</v>
      </c>
      <c r="R1559" s="133" t="s">
        <v>35</v>
      </c>
      <c r="S1559" s="133">
        <v>0.222222222222222</v>
      </c>
      <c r="T1559" s="135">
        <v>0.9</v>
      </c>
      <c r="U1559" s="133" t="s">
        <v>35</v>
      </c>
      <c r="V1559" s="133">
        <v>0.5</v>
      </c>
      <c r="W1559" s="133" t="s">
        <v>35</v>
      </c>
      <c r="X1559" s="133">
        <v>0.444444444444444</v>
      </c>
      <c r="Y1559" s="135">
        <v>0.92</v>
      </c>
      <c r="Z1559" s="135" t="s">
        <v>35</v>
      </c>
      <c r="AA1559" s="135" t="s">
        <v>35</v>
      </c>
      <c r="AB1559" s="135" t="s">
        <v>35</v>
      </c>
      <c r="AC1559" s="135" t="s">
        <v>35</v>
      </c>
      <c r="AD1559" s="135">
        <v>0.92</v>
      </c>
      <c r="AE1559" s="133">
        <v>1</v>
      </c>
      <c r="AF1559" s="133">
        <v>0.333333333333333</v>
      </c>
      <c r="AG1559" s="133">
        <v>0.333333333333333</v>
      </c>
      <c r="AH1559" s="133">
        <v>0.873134328358209</v>
      </c>
      <c r="AI1559" s="135">
        <v>0.92</v>
      </c>
      <c r="AJ1559" s="133">
        <v>0.695740365111562</v>
      </c>
      <c r="AK1559" s="133">
        <v>0.593993325917686</v>
      </c>
      <c r="AL1559" s="133">
        <v>0.578657865786579</v>
      </c>
      <c r="AM1559" s="133">
        <v>0.710361116290633</v>
      </c>
      <c r="AN1559" s="132">
        <v>0.99</v>
      </c>
      <c r="AO1559" s="137">
        <v>1</v>
      </c>
      <c r="AP1559" s="137" t="s">
        <v>35</v>
      </c>
      <c r="AQ1559" s="137" t="s">
        <v>35</v>
      </c>
      <c r="AR1559" s="137">
        <v>1</v>
      </c>
      <c r="AS1559" s="158">
        <v>0.110069253262963</v>
      </c>
      <c r="AT1559" s="141">
        <v>0.153846153846154</v>
      </c>
      <c r="AU1559" s="141">
        <v>0.125</v>
      </c>
      <c r="AV1559" s="141">
        <v>0.222222222222222</v>
      </c>
      <c r="AW1559" s="141">
        <v>0.18348623853211</v>
      </c>
      <c r="AX1559" s="95"/>
      <c r="AY1559" s="93"/>
    </row>
    <row r="1560" ht="15" spans="1:51">
      <c r="A1560" s="91"/>
      <c r="B1560" s="95"/>
      <c r="C1560" s="152" t="s">
        <v>1455</v>
      </c>
      <c r="D1560" s="153" t="s">
        <v>25</v>
      </c>
      <c r="E1560" s="130" t="s">
        <v>1456</v>
      </c>
      <c r="F1560" s="171" t="s">
        <v>1592</v>
      </c>
      <c r="G1560" s="171" t="s">
        <v>1592</v>
      </c>
      <c r="H1560" s="171" t="s">
        <v>1592</v>
      </c>
      <c r="I1560" s="171" t="s">
        <v>1592</v>
      </c>
      <c r="J1560" s="132">
        <v>0.9</v>
      </c>
      <c r="K1560" s="133">
        <v>0.857142857142857</v>
      </c>
      <c r="L1560" s="133">
        <v>1</v>
      </c>
      <c r="M1560" s="134">
        <v>0.9</v>
      </c>
      <c r="N1560" s="133">
        <v>0.920110192837466</v>
      </c>
      <c r="O1560" s="135">
        <v>0.9</v>
      </c>
      <c r="P1560" s="133" t="s">
        <v>35</v>
      </c>
      <c r="Q1560" s="133" t="s">
        <v>35</v>
      </c>
      <c r="R1560" s="133">
        <v>0</v>
      </c>
      <c r="S1560" s="133">
        <v>0.333333333333333</v>
      </c>
      <c r="T1560" s="135">
        <v>0.9</v>
      </c>
      <c r="U1560" s="133" t="s">
        <v>35</v>
      </c>
      <c r="V1560" s="133" t="s">
        <v>35</v>
      </c>
      <c r="W1560" s="133">
        <v>0</v>
      </c>
      <c r="X1560" s="133">
        <v>0.333333333333333</v>
      </c>
      <c r="Y1560" s="135">
        <v>0.92</v>
      </c>
      <c r="Z1560" s="135" t="s">
        <v>35</v>
      </c>
      <c r="AA1560" s="135">
        <v>0</v>
      </c>
      <c r="AB1560" s="135" t="s">
        <v>35</v>
      </c>
      <c r="AC1560" s="135">
        <v>0</v>
      </c>
      <c r="AD1560" s="135">
        <v>0.92</v>
      </c>
      <c r="AE1560" s="133">
        <v>0</v>
      </c>
      <c r="AF1560" s="133">
        <v>0</v>
      </c>
      <c r="AG1560" s="133">
        <v>0</v>
      </c>
      <c r="AH1560" s="133">
        <v>0.135135135135135</v>
      </c>
      <c r="AI1560" s="135">
        <v>0.92</v>
      </c>
      <c r="AJ1560" s="133">
        <v>0.684690553745928</v>
      </c>
      <c r="AK1560" s="133">
        <v>0.734405144694534</v>
      </c>
      <c r="AL1560" s="133">
        <v>0.723834196891192</v>
      </c>
      <c r="AM1560" s="133">
        <v>0.757303447568934</v>
      </c>
      <c r="AN1560" s="132">
        <v>0.99</v>
      </c>
      <c r="AO1560" s="137">
        <v>1</v>
      </c>
      <c r="AP1560" s="137" t="s">
        <v>35</v>
      </c>
      <c r="AQ1560" s="137">
        <v>1</v>
      </c>
      <c r="AR1560" s="137">
        <v>1</v>
      </c>
      <c r="AS1560" s="158">
        <v>0.110069253262963</v>
      </c>
      <c r="AT1560" s="141">
        <v>0.0465116279069767</v>
      </c>
      <c r="AU1560" s="141">
        <v>0.0652173913043478</v>
      </c>
      <c r="AV1560" s="141">
        <v>0.0487804878048781</v>
      </c>
      <c r="AW1560" s="141">
        <v>0.097708082026538</v>
      </c>
      <c r="AX1560" s="95"/>
      <c r="AY1560" s="93"/>
    </row>
    <row r="1561" ht="15" spans="1:51">
      <c r="A1561" s="91"/>
      <c r="B1561" s="95"/>
      <c r="C1561" s="152" t="s">
        <v>1455</v>
      </c>
      <c r="D1561" s="153" t="s">
        <v>25</v>
      </c>
      <c r="E1561" s="130" t="s">
        <v>1456</v>
      </c>
      <c r="F1561" s="171" t="s">
        <v>1593</v>
      </c>
      <c r="G1561" s="171" t="s">
        <v>1593</v>
      </c>
      <c r="H1561" s="171" t="s">
        <v>1593</v>
      </c>
      <c r="I1561" s="171" t="s">
        <v>1593</v>
      </c>
      <c r="J1561" s="132">
        <v>0.9</v>
      </c>
      <c r="K1561" s="133">
        <v>1</v>
      </c>
      <c r="L1561" s="133">
        <v>1</v>
      </c>
      <c r="M1561" s="134">
        <v>1</v>
      </c>
      <c r="N1561" s="133">
        <v>0.990196078431373</v>
      </c>
      <c r="O1561" s="135">
        <v>0.9</v>
      </c>
      <c r="P1561" s="133">
        <v>1</v>
      </c>
      <c r="Q1561" s="133">
        <v>0.95414847161572</v>
      </c>
      <c r="R1561" s="133">
        <v>0.880254777070064</v>
      </c>
      <c r="S1561" s="133">
        <v>0.818862275449102</v>
      </c>
      <c r="T1561" s="135">
        <v>0.9</v>
      </c>
      <c r="U1561" s="133">
        <v>0.774964838255978</v>
      </c>
      <c r="V1561" s="133">
        <v>0.763100436681223</v>
      </c>
      <c r="W1561" s="133">
        <v>0.83312101910828</v>
      </c>
      <c r="X1561" s="133">
        <v>0.710578842315369</v>
      </c>
      <c r="Y1561" s="135">
        <v>0.92</v>
      </c>
      <c r="Z1561" s="135" t="s">
        <v>35</v>
      </c>
      <c r="AA1561" s="135" t="s">
        <v>35</v>
      </c>
      <c r="AB1561" s="135" t="s">
        <v>35</v>
      </c>
      <c r="AC1561" s="135" t="s">
        <v>35</v>
      </c>
      <c r="AD1561" s="135">
        <v>0.92</v>
      </c>
      <c r="AE1561" s="133">
        <v>0</v>
      </c>
      <c r="AF1561" s="133">
        <v>0.857142857142857</v>
      </c>
      <c r="AG1561" s="133">
        <v>0</v>
      </c>
      <c r="AH1561" s="133">
        <v>0.141414141414141</v>
      </c>
      <c r="AI1561" s="135">
        <v>0.92</v>
      </c>
      <c r="AJ1561" s="133">
        <v>0.860335195530726</v>
      </c>
      <c r="AK1561" s="133">
        <v>0.89587852494577</v>
      </c>
      <c r="AL1561" s="133">
        <v>0.90989847715736</v>
      </c>
      <c r="AM1561" s="133">
        <v>0.875093820365274</v>
      </c>
      <c r="AN1561" s="132">
        <v>0.99</v>
      </c>
      <c r="AO1561" s="137" t="s">
        <v>35</v>
      </c>
      <c r="AP1561" s="137" t="s">
        <v>35</v>
      </c>
      <c r="AQ1561" s="137" t="s">
        <v>35</v>
      </c>
      <c r="AR1561" s="137" t="s">
        <v>35</v>
      </c>
      <c r="AS1561" s="158">
        <v>0.110069253262963</v>
      </c>
      <c r="AT1561" s="141">
        <v>0.0833333333333333</v>
      </c>
      <c r="AU1561" s="141">
        <v>0</v>
      </c>
      <c r="AV1561" s="141">
        <v>0</v>
      </c>
      <c r="AW1561" s="141">
        <v>0.0662650602409639</v>
      </c>
      <c r="AX1561" s="95"/>
      <c r="AY1561" s="93"/>
    </row>
    <row r="1562" ht="15" spans="1:51">
      <c r="A1562" s="91"/>
      <c r="B1562" s="95"/>
      <c r="C1562" s="152" t="s">
        <v>1455</v>
      </c>
      <c r="D1562" s="153" t="s">
        <v>25</v>
      </c>
      <c r="E1562" s="130" t="s">
        <v>1456</v>
      </c>
      <c r="F1562" s="171" t="s">
        <v>1594</v>
      </c>
      <c r="G1562" s="171" t="s">
        <v>1594</v>
      </c>
      <c r="H1562" s="171" t="s">
        <v>1594</v>
      </c>
      <c r="I1562" s="171" t="s">
        <v>1594</v>
      </c>
      <c r="J1562" s="132">
        <v>0.9</v>
      </c>
      <c r="K1562" s="133">
        <v>1</v>
      </c>
      <c r="L1562" s="133">
        <v>0.923076923076923</v>
      </c>
      <c r="M1562" s="134">
        <v>0.916666666666667</v>
      </c>
      <c r="N1562" s="133">
        <v>0.852534562211982</v>
      </c>
      <c r="O1562" s="135">
        <v>0.9</v>
      </c>
      <c r="P1562" s="133">
        <v>0.989962358845671</v>
      </c>
      <c r="Q1562" s="133">
        <v>0.997073170731707</v>
      </c>
      <c r="R1562" s="133">
        <v>0.997527812113721</v>
      </c>
      <c r="S1562" s="133">
        <v>0.995542678850011</v>
      </c>
      <c r="T1562" s="135">
        <v>0.9</v>
      </c>
      <c r="U1562" s="133">
        <v>0.963613550815558</v>
      </c>
      <c r="V1562" s="133">
        <v>0.988292682926829</v>
      </c>
      <c r="W1562" s="133">
        <v>0.981458590852905</v>
      </c>
      <c r="X1562" s="133">
        <v>0.977267662135057</v>
      </c>
      <c r="Y1562" s="135">
        <v>0.92</v>
      </c>
      <c r="Z1562" s="135" t="s">
        <v>35</v>
      </c>
      <c r="AA1562" s="135" t="s">
        <v>35</v>
      </c>
      <c r="AB1562" s="135" t="s">
        <v>35</v>
      </c>
      <c r="AC1562" s="135" t="s">
        <v>35</v>
      </c>
      <c r="AD1562" s="135">
        <v>0.92</v>
      </c>
      <c r="AE1562" s="133">
        <v>0</v>
      </c>
      <c r="AF1562" s="133">
        <v>0</v>
      </c>
      <c r="AG1562" s="133">
        <v>0</v>
      </c>
      <c r="AH1562" s="133">
        <v>0.198019801980198</v>
      </c>
      <c r="AI1562" s="135">
        <v>0.92</v>
      </c>
      <c r="AJ1562" s="133">
        <v>0.977639751552795</v>
      </c>
      <c r="AK1562" s="133">
        <v>0.997084548104956</v>
      </c>
      <c r="AL1562" s="133">
        <v>0.993819530284302</v>
      </c>
      <c r="AM1562" s="133">
        <v>0.993340106106784</v>
      </c>
      <c r="AN1562" s="132">
        <v>0.99</v>
      </c>
      <c r="AO1562" s="137">
        <v>1</v>
      </c>
      <c r="AP1562" s="137">
        <v>1</v>
      </c>
      <c r="AQ1562" s="137">
        <v>1</v>
      </c>
      <c r="AR1562" s="137">
        <v>1</v>
      </c>
      <c r="AS1562" s="158">
        <v>0.110069253262963</v>
      </c>
      <c r="AT1562" s="141">
        <v>0</v>
      </c>
      <c r="AU1562" s="141">
        <v>0.0666666666666667</v>
      </c>
      <c r="AV1562" s="141">
        <v>0</v>
      </c>
      <c r="AW1562" s="141">
        <v>0.0889830508474576</v>
      </c>
      <c r="AX1562" s="95"/>
      <c r="AY1562" s="93"/>
    </row>
    <row r="1563" ht="15" spans="1:51">
      <c r="A1563" s="91"/>
      <c r="B1563" s="95"/>
      <c r="C1563" s="152" t="s">
        <v>1455</v>
      </c>
      <c r="D1563" s="153" t="s">
        <v>25</v>
      </c>
      <c r="E1563" s="130" t="s">
        <v>1456</v>
      </c>
      <c r="F1563" s="171" t="s">
        <v>1595</v>
      </c>
      <c r="G1563" s="171" t="s">
        <v>1595</v>
      </c>
      <c r="H1563" s="171" t="s">
        <v>1595</v>
      </c>
      <c r="I1563" s="171" t="s">
        <v>1595</v>
      </c>
      <c r="J1563" s="132">
        <v>0.9</v>
      </c>
      <c r="K1563" s="133">
        <v>0.8125</v>
      </c>
      <c r="L1563" s="133">
        <v>0.866666666666667</v>
      </c>
      <c r="M1563" s="134">
        <v>0.928571428571429</v>
      </c>
      <c r="N1563" s="133">
        <v>0.81294964028777</v>
      </c>
      <c r="O1563" s="135">
        <v>0.9</v>
      </c>
      <c r="P1563" s="133" t="s">
        <v>35</v>
      </c>
      <c r="Q1563" s="133" t="s">
        <v>35</v>
      </c>
      <c r="R1563" s="133" t="s">
        <v>35</v>
      </c>
      <c r="S1563" s="133">
        <v>0.5</v>
      </c>
      <c r="T1563" s="135">
        <v>0.9</v>
      </c>
      <c r="U1563" s="133" t="s">
        <v>35</v>
      </c>
      <c r="V1563" s="133" t="s">
        <v>35</v>
      </c>
      <c r="W1563" s="133" t="s">
        <v>35</v>
      </c>
      <c r="X1563" s="133">
        <v>0</v>
      </c>
      <c r="Y1563" s="135">
        <v>0.92</v>
      </c>
      <c r="Z1563" s="135" t="s">
        <v>35</v>
      </c>
      <c r="AA1563" s="135" t="s">
        <v>35</v>
      </c>
      <c r="AB1563" s="135" t="s">
        <v>35</v>
      </c>
      <c r="AC1563" s="135" t="s">
        <v>35</v>
      </c>
      <c r="AD1563" s="135">
        <v>0.92</v>
      </c>
      <c r="AE1563" s="133">
        <v>0.666666666666667</v>
      </c>
      <c r="AF1563" s="133">
        <v>0.857142857142857</v>
      </c>
      <c r="AG1563" s="133">
        <v>1</v>
      </c>
      <c r="AH1563" s="133">
        <v>0.95264116575592</v>
      </c>
      <c r="AI1563" s="135">
        <v>0.92</v>
      </c>
      <c r="AJ1563" s="133">
        <v>0.720945083014049</v>
      </c>
      <c r="AK1563" s="133">
        <v>0.691322901849218</v>
      </c>
      <c r="AL1563" s="133">
        <v>0.688405797101449</v>
      </c>
      <c r="AM1563" s="133">
        <v>0.724222553003178</v>
      </c>
      <c r="AN1563" s="132">
        <v>0.99</v>
      </c>
      <c r="AO1563" s="137">
        <v>1</v>
      </c>
      <c r="AP1563" s="137">
        <v>1</v>
      </c>
      <c r="AQ1563" s="137">
        <v>1</v>
      </c>
      <c r="AR1563" s="137">
        <v>1</v>
      </c>
      <c r="AS1563" s="158">
        <v>0.110069253262963</v>
      </c>
      <c r="AT1563" s="141">
        <v>0.142857142857143</v>
      </c>
      <c r="AU1563" s="141">
        <v>0.0555555555555556</v>
      </c>
      <c r="AV1563" s="141">
        <v>0.117647058823529</v>
      </c>
      <c r="AW1563" s="141">
        <v>0.111864406779661</v>
      </c>
      <c r="AX1563" s="95"/>
      <c r="AY1563" s="93"/>
    </row>
    <row r="1564" ht="15" spans="1:51">
      <c r="A1564" s="91"/>
      <c r="B1564" s="95"/>
      <c r="C1564" s="152" t="s">
        <v>1455</v>
      </c>
      <c r="D1564" s="153" t="s">
        <v>25</v>
      </c>
      <c r="E1564" s="130" t="s">
        <v>1456</v>
      </c>
      <c r="F1564" s="171" t="s">
        <v>1596</v>
      </c>
      <c r="G1564" s="171" t="s">
        <v>1596</v>
      </c>
      <c r="H1564" s="171" t="s">
        <v>1596</v>
      </c>
      <c r="I1564" s="171" t="s">
        <v>1596</v>
      </c>
      <c r="J1564" s="132">
        <v>0.9</v>
      </c>
      <c r="K1564" s="133">
        <v>0.909090909090909</v>
      </c>
      <c r="L1564" s="133">
        <v>0.875</v>
      </c>
      <c r="M1564" s="134">
        <v>0.961538461538462</v>
      </c>
      <c r="N1564" s="133">
        <v>0.942430703624733</v>
      </c>
      <c r="O1564" s="135">
        <v>0.9</v>
      </c>
      <c r="P1564" s="133">
        <v>0.996338672768879</v>
      </c>
      <c r="Q1564" s="133">
        <v>0.996434937611408</v>
      </c>
      <c r="R1564" s="133">
        <v>0.995963673057518</v>
      </c>
      <c r="S1564" s="133">
        <v>0.99623197085392</v>
      </c>
      <c r="T1564" s="135">
        <v>0.9</v>
      </c>
      <c r="U1564" s="133">
        <v>0.950572082379863</v>
      </c>
      <c r="V1564" s="133">
        <v>0.96078431372549</v>
      </c>
      <c r="W1564" s="133">
        <v>0.966700302724521</v>
      </c>
      <c r="X1564" s="133">
        <v>0.958127464191246</v>
      </c>
      <c r="Y1564" s="135">
        <v>0.92</v>
      </c>
      <c r="Z1564" s="135" t="s">
        <v>35</v>
      </c>
      <c r="AA1564" s="135" t="s">
        <v>35</v>
      </c>
      <c r="AB1564" s="135" t="s">
        <v>35</v>
      </c>
      <c r="AC1564" s="135">
        <v>1</v>
      </c>
      <c r="AD1564" s="135">
        <v>0.92</v>
      </c>
      <c r="AE1564" s="133">
        <v>1</v>
      </c>
      <c r="AF1564" s="133">
        <v>0.909090909090909</v>
      </c>
      <c r="AG1564" s="133">
        <v>1</v>
      </c>
      <c r="AH1564" s="133">
        <v>0.918604651162791</v>
      </c>
      <c r="AI1564" s="135">
        <v>0.92</v>
      </c>
      <c r="AJ1564" s="133">
        <v>0.97116704805492</v>
      </c>
      <c r="AK1564" s="133">
        <v>0.987522281639929</v>
      </c>
      <c r="AL1564" s="133">
        <v>0.989909182643794</v>
      </c>
      <c r="AM1564" s="133">
        <v>0.986849656893325</v>
      </c>
      <c r="AN1564" s="132">
        <v>0.99</v>
      </c>
      <c r="AO1564" s="137">
        <v>1</v>
      </c>
      <c r="AP1564" s="137">
        <v>1</v>
      </c>
      <c r="AQ1564" s="137">
        <v>1</v>
      </c>
      <c r="AR1564" s="137">
        <v>1</v>
      </c>
      <c r="AS1564" s="158">
        <v>0.110069253262963</v>
      </c>
      <c r="AT1564" s="141">
        <v>0.272727272727273</v>
      </c>
      <c r="AU1564" s="141">
        <v>0</v>
      </c>
      <c r="AV1564" s="141">
        <v>0</v>
      </c>
      <c r="AW1564" s="141">
        <v>0.0759493670886076</v>
      </c>
      <c r="AX1564" s="95"/>
      <c r="AY1564" s="93"/>
    </row>
    <row r="1565" ht="15" spans="1:51">
      <c r="A1565" s="91"/>
      <c r="B1565" s="95"/>
      <c r="C1565" s="152" t="s">
        <v>1455</v>
      </c>
      <c r="D1565" s="153" t="s">
        <v>25</v>
      </c>
      <c r="E1565" s="130" t="s">
        <v>1456</v>
      </c>
      <c r="F1565" s="171" t="s">
        <v>1597</v>
      </c>
      <c r="G1565" s="171" t="s">
        <v>1597</v>
      </c>
      <c r="H1565" s="171" t="s">
        <v>1597</v>
      </c>
      <c r="I1565" s="171" t="s">
        <v>1597</v>
      </c>
      <c r="J1565" s="132">
        <v>0.9</v>
      </c>
      <c r="K1565" s="133">
        <v>0.95</v>
      </c>
      <c r="L1565" s="133">
        <v>1</v>
      </c>
      <c r="M1565" s="134">
        <v>1</v>
      </c>
      <c r="N1565" s="133">
        <v>0.988538681948424</v>
      </c>
      <c r="O1565" s="135">
        <v>0.9</v>
      </c>
      <c r="P1565" s="133">
        <v>0.998582565556343</v>
      </c>
      <c r="Q1565" s="133">
        <v>0.997639653815893</v>
      </c>
      <c r="R1565" s="133">
        <v>0.997875354107649</v>
      </c>
      <c r="S1565" s="133">
        <v>0.994546270408339</v>
      </c>
      <c r="T1565" s="135">
        <v>0.9</v>
      </c>
      <c r="U1565" s="133">
        <v>0.974486180014174</v>
      </c>
      <c r="V1565" s="133">
        <v>0.959087332808812</v>
      </c>
      <c r="W1565" s="133">
        <v>0.973796033994334</v>
      </c>
      <c r="X1565" s="133">
        <v>0.932553242898071</v>
      </c>
      <c r="Y1565" s="135">
        <v>0.92</v>
      </c>
      <c r="Z1565" s="135" t="s">
        <v>35</v>
      </c>
      <c r="AA1565" s="135" t="s">
        <v>35</v>
      </c>
      <c r="AB1565" s="135" t="s">
        <v>35</v>
      </c>
      <c r="AC1565" s="135" t="s">
        <v>35</v>
      </c>
      <c r="AD1565" s="135">
        <v>0.92</v>
      </c>
      <c r="AE1565" s="133">
        <v>0.431372549019608</v>
      </c>
      <c r="AF1565" s="133">
        <v>1</v>
      </c>
      <c r="AG1565" s="133">
        <v>0.979166666666667</v>
      </c>
      <c r="AH1565" s="133">
        <v>0.834874504623514</v>
      </c>
      <c r="AI1565" s="135">
        <v>0.92</v>
      </c>
      <c r="AJ1565" s="133">
        <v>0.980864635010631</v>
      </c>
      <c r="AK1565" s="133">
        <v>0.979543666404406</v>
      </c>
      <c r="AL1565" s="133">
        <v>0.985835694050991</v>
      </c>
      <c r="AM1565" s="133">
        <v>0.977081319895071</v>
      </c>
      <c r="AN1565" s="132">
        <v>0.99</v>
      </c>
      <c r="AO1565" s="137">
        <v>1</v>
      </c>
      <c r="AP1565" s="137">
        <v>1</v>
      </c>
      <c r="AQ1565" s="137">
        <v>1</v>
      </c>
      <c r="AR1565" s="137">
        <v>1</v>
      </c>
      <c r="AS1565" s="158">
        <v>0.110069253262963</v>
      </c>
      <c r="AT1565" s="141">
        <v>0.25</v>
      </c>
      <c r="AU1565" s="141">
        <v>0</v>
      </c>
      <c r="AV1565" s="141">
        <v>0.25</v>
      </c>
      <c r="AW1565" s="141">
        <v>0.0544747081712062</v>
      </c>
      <c r="AX1565" s="95"/>
      <c r="AY1565" s="93"/>
    </row>
    <row r="1566" ht="15" spans="1:51">
      <c r="A1566" s="91"/>
      <c r="B1566" s="95"/>
      <c r="C1566" s="152" t="s">
        <v>1455</v>
      </c>
      <c r="D1566" s="153" t="s">
        <v>25</v>
      </c>
      <c r="E1566" s="130" t="s">
        <v>1456</v>
      </c>
      <c r="F1566" s="171" t="s">
        <v>1598</v>
      </c>
      <c r="G1566" s="171" t="s">
        <v>1598</v>
      </c>
      <c r="H1566" s="171" t="s">
        <v>1598</v>
      </c>
      <c r="I1566" s="171" t="s">
        <v>1598</v>
      </c>
      <c r="J1566" s="132">
        <v>0.9</v>
      </c>
      <c r="K1566" s="133">
        <v>0.666666666666667</v>
      </c>
      <c r="L1566" s="133">
        <v>1</v>
      </c>
      <c r="M1566" s="134">
        <v>0.888888888888889</v>
      </c>
      <c r="N1566" s="133">
        <v>0.828402366863905</v>
      </c>
      <c r="O1566" s="135">
        <v>0.9</v>
      </c>
      <c r="P1566" s="133">
        <v>0.996078431372549</v>
      </c>
      <c r="Q1566" s="133">
        <v>0.99867197875166</v>
      </c>
      <c r="R1566" s="133">
        <v>0.998067632850242</v>
      </c>
      <c r="S1566" s="133">
        <v>0.997477687233217</v>
      </c>
      <c r="T1566" s="135">
        <v>0.9</v>
      </c>
      <c r="U1566" s="133">
        <v>0.749019607843137</v>
      </c>
      <c r="V1566" s="133">
        <v>0.826029216467464</v>
      </c>
      <c r="W1566" s="133">
        <v>0.801932367149758</v>
      </c>
      <c r="X1566" s="133">
        <v>0.847885137757082</v>
      </c>
      <c r="Y1566" s="135">
        <v>0.92</v>
      </c>
      <c r="Z1566" s="135" t="s">
        <v>35</v>
      </c>
      <c r="AA1566" s="135" t="s">
        <v>35</v>
      </c>
      <c r="AB1566" s="135" t="s">
        <v>35</v>
      </c>
      <c r="AC1566" s="135" t="s">
        <v>35</v>
      </c>
      <c r="AD1566" s="135">
        <v>0.92</v>
      </c>
      <c r="AE1566" s="133">
        <v>0</v>
      </c>
      <c r="AF1566" s="133">
        <v>0</v>
      </c>
      <c r="AG1566" s="133">
        <v>0</v>
      </c>
      <c r="AH1566" s="133">
        <v>0.0833333333333333</v>
      </c>
      <c r="AI1566" s="135">
        <v>0.92</v>
      </c>
      <c r="AJ1566" s="133">
        <v>0.838254172015404</v>
      </c>
      <c r="AK1566" s="133">
        <v>0.891820580474934</v>
      </c>
      <c r="AL1566" s="133">
        <v>0.922190201729107</v>
      </c>
      <c r="AM1566" s="133">
        <v>0.953258981113042</v>
      </c>
      <c r="AN1566" s="132">
        <v>0.99</v>
      </c>
      <c r="AO1566" s="137" t="s">
        <v>35</v>
      </c>
      <c r="AP1566" s="137">
        <v>1</v>
      </c>
      <c r="AQ1566" s="137" t="s">
        <v>35</v>
      </c>
      <c r="AR1566" s="137">
        <v>1</v>
      </c>
      <c r="AS1566" s="158">
        <v>0.110069253262963</v>
      </c>
      <c r="AT1566" s="141">
        <v>0.142857142857143</v>
      </c>
      <c r="AU1566" s="141">
        <v>0</v>
      </c>
      <c r="AV1566" s="141">
        <v>0</v>
      </c>
      <c r="AW1566" s="141">
        <v>0.0802139037433155</v>
      </c>
      <c r="AX1566" s="95"/>
      <c r="AY1566" s="93"/>
    </row>
    <row r="1567" ht="15" spans="1:51">
      <c r="A1567" s="91"/>
      <c r="B1567" s="95"/>
      <c r="C1567" s="152" t="s">
        <v>1455</v>
      </c>
      <c r="D1567" s="153" t="s">
        <v>25</v>
      </c>
      <c r="E1567" s="130" t="s">
        <v>1456</v>
      </c>
      <c r="F1567" s="171" t="s">
        <v>1599</v>
      </c>
      <c r="G1567" s="171" t="s">
        <v>1599</v>
      </c>
      <c r="H1567" s="171" t="s">
        <v>1599</v>
      </c>
      <c r="I1567" s="171" t="s">
        <v>1599</v>
      </c>
      <c r="J1567" s="132">
        <v>0.9</v>
      </c>
      <c r="K1567" s="133">
        <v>1</v>
      </c>
      <c r="L1567" s="133">
        <v>0.894736842105263</v>
      </c>
      <c r="M1567" s="134">
        <v>0.947368421052632</v>
      </c>
      <c r="N1567" s="133">
        <v>0.949860724233983</v>
      </c>
      <c r="O1567" s="135">
        <v>0.9</v>
      </c>
      <c r="P1567" s="133" t="s">
        <v>35</v>
      </c>
      <c r="Q1567" s="133" t="s">
        <v>35</v>
      </c>
      <c r="R1567" s="133" t="s">
        <v>35</v>
      </c>
      <c r="S1567" s="133">
        <v>0</v>
      </c>
      <c r="T1567" s="135">
        <v>0.9</v>
      </c>
      <c r="U1567" s="133" t="s">
        <v>35</v>
      </c>
      <c r="V1567" s="133" t="s">
        <v>35</v>
      </c>
      <c r="W1567" s="133" t="s">
        <v>35</v>
      </c>
      <c r="X1567" s="133">
        <v>0</v>
      </c>
      <c r="Y1567" s="135">
        <v>0.92</v>
      </c>
      <c r="Z1567" s="135" t="s">
        <v>35</v>
      </c>
      <c r="AA1567" s="135" t="s">
        <v>35</v>
      </c>
      <c r="AB1567" s="135" t="s">
        <v>35</v>
      </c>
      <c r="AC1567" s="135" t="s">
        <v>35</v>
      </c>
      <c r="AD1567" s="135">
        <v>0.92</v>
      </c>
      <c r="AE1567" s="133">
        <v>0.75</v>
      </c>
      <c r="AF1567" s="133">
        <v>0.0555555555555556</v>
      </c>
      <c r="AG1567" s="133">
        <v>0</v>
      </c>
      <c r="AH1567" s="133">
        <v>0.296296296296296</v>
      </c>
      <c r="AI1567" s="135">
        <v>0.92</v>
      </c>
      <c r="AJ1567" s="133">
        <v>0.858119658119658</v>
      </c>
      <c r="AK1567" s="133">
        <v>0.816091954022989</v>
      </c>
      <c r="AL1567" s="133">
        <v>0.833333333333333</v>
      </c>
      <c r="AM1567" s="133">
        <v>0.896862842479927</v>
      </c>
      <c r="AN1567" s="132">
        <v>0.99</v>
      </c>
      <c r="AO1567" s="137">
        <v>1</v>
      </c>
      <c r="AP1567" s="137">
        <v>1</v>
      </c>
      <c r="AQ1567" s="137" t="s">
        <v>35</v>
      </c>
      <c r="AR1567" s="137">
        <v>1</v>
      </c>
      <c r="AS1567" s="158">
        <v>0.110069253262963</v>
      </c>
      <c r="AT1567" s="141">
        <v>0.238095238095238</v>
      </c>
      <c r="AU1567" s="141">
        <v>0.0434782608695652</v>
      </c>
      <c r="AV1567" s="141">
        <v>0</v>
      </c>
      <c r="AW1567" s="141">
        <v>0.0939086294416244</v>
      </c>
      <c r="AX1567" s="95"/>
      <c r="AY1567" s="93"/>
    </row>
    <row r="1568" ht="15" spans="1:51">
      <c r="A1568" s="91"/>
      <c r="B1568" s="95"/>
      <c r="C1568" s="152" t="s">
        <v>1455</v>
      </c>
      <c r="D1568" s="153" t="s">
        <v>25</v>
      </c>
      <c r="E1568" s="130" t="s">
        <v>1456</v>
      </c>
      <c r="F1568" s="171" t="s">
        <v>1600</v>
      </c>
      <c r="G1568" s="171" t="s">
        <v>1600</v>
      </c>
      <c r="H1568" s="171" t="s">
        <v>1600</v>
      </c>
      <c r="I1568" s="171" t="s">
        <v>1600</v>
      </c>
      <c r="J1568" s="132">
        <v>0.9</v>
      </c>
      <c r="K1568" s="133">
        <v>1</v>
      </c>
      <c r="L1568" s="133">
        <v>1</v>
      </c>
      <c r="M1568" s="134">
        <v>1</v>
      </c>
      <c r="N1568" s="133">
        <v>0.986547085201794</v>
      </c>
      <c r="O1568" s="135">
        <v>0.9</v>
      </c>
      <c r="P1568" s="133">
        <v>0.99541547277937</v>
      </c>
      <c r="Q1568" s="133">
        <v>0.992731048805815</v>
      </c>
      <c r="R1568" s="133">
        <v>0.992289156626506</v>
      </c>
      <c r="S1568" s="133">
        <v>0.9486885900679</v>
      </c>
      <c r="T1568" s="135">
        <v>0.9</v>
      </c>
      <c r="U1568" s="133">
        <v>0.934670487106017</v>
      </c>
      <c r="V1568" s="133">
        <v>0.963655244029076</v>
      </c>
      <c r="W1568" s="133">
        <v>0.974939759036145</v>
      </c>
      <c r="X1568" s="133">
        <v>0.919211822660098</v>
      </c>
      <c r="Y1568" s="135">
        <v>0.92</v>
      </c>
      <c r="Z1568" s="135" t="s">
        <v>35</v>
      </c>
      <c r="AA1568" s="135" t="s">
        <v>35</v>
      </c>
      <c r="AB1568" s="135" t="s">
        <v>35</v>
      </c>
      <c r="AC1568" s="135" t="s">
        <v>35</v>
      </c>
      <c r="AD1568" s="135">
        <v>0.92</v>
      </c>
      <c r="AE1568" s="133">
        <v>0</v>
      </c>
      <c r="AF1568" s="133">
        <v>0.583333333333333</v>
      </c>
      <c r="AG1568" s="133">
        <v>0.625</v>
      </c>
      <c r="AH1568" s="133">
        <v>0.653696498054475</v>
      </c>
      <c r="AI1568" s="135">
        <v>0.92</v>
      </c>
      <c r="AJ1568" s="133">
        <v>0.950885208452313</v>
      </c>
      <c r="AK1568" s="133">
        <v>0.977697095435685</v>
      </c>
      <c r="AL1568" s="133">
        <v>0.985597695631301</v>
      </c>
      <c r="AM1568" s="133">
        <v>0.961412653245752</v>
      </c>
      <c r="AN1568" s="132">
        <v>0.99</v>
      </c>
      <c r="AO1568" s="137">
        <v>1</v>
      </c>
      <c r="AP1568" s="137">
        <v>1</v>
      </c>
      <c r="AQ1568" s="137">
        <v>1</v>
      </c>
      <c r="AR1568" s="137">
        <v>1</v>
      </c>
      <c r="AS1568" s="158">
        <v>0.110069253262963</v>
      </c>
      <c r="AT1568" s="141">
        <v>0</v>
      </c>
      <c r="AU1568" s="141">
        <v>0.0555555555555556</v>
      </c>
      <c r="AV1568" s="141">
        <v>0</v>
      </c>
      <c r="AW1568" s="141">
        <v>0.0317460317460317</v>
      </c>
      <c r="AX1568" s="95"/>
      <c r="AY1568" s="93"/>
    </row>
    <row r="1569" ht="15" spans="1:51">
      <c r="A1569" s="91"/>
      <c r="B1569" s="95"/>
      <c r="C1569" s="152" t="s">
        <v>1455</v>
      </c>
      <c r="D1569" s="153" t="s">
        <v>25</v>
      </c>
      <c r="E1569" s="130" t="s">
        <v>1456</v>
      </c>
      <c r="F1569" s="171" t="s">
        <v>1601</v>
      </c>
      <c r="G1569" s="171" t="s">
        <v>1601</v>
      </c>
      <c r="H1569" s="171" t="s">
        <v>1601</v>
      </c>
      <c r="I1569" s="171" t="s">
        <v>1601</v>
      </c>
      <c r="J1569" s="132">
        <v>0.9</v>
      </c>
      <c r="K1569" s="133">
        <v>0.896551724137931</v>
      </c>
      <c r="L1569" s="133">
        <v>1</v>
      </c>
      <c r="M1569" s="134">
        <v>0.923076923076923</v>
      </c>
      <c r="N1569" s="133">
        <v>0.977072310405644</v>
      </c>
      <c r="O1569" s="135">
        <v>0.9</v>
      </c>
      <c r="P1569" s="133">
        <v>0.995688327687096</v>
      </c>
      <c r="Q1569" s="133">
        <v>0.995500899820036</v>
      </c>
      <c r="R1569" s="133">
        <v>0.97718760640109</v>
      </c>
      <c r="S1569" s="133">
        <v>0.994364231656916</v>
      </c>
      <c r="T1569" s="135">
        <v>0.9</v>
      </c>
      <c r="U1569" s="133">
        <v>0.937480751462889</v>
      </c>
      <c r="V1569" s="133">
        <v>0.871325734853029</v>
      </c>
      <c r="W1569" s="133">
        <v>0.893088185223017</v>
      </c>
      <c r="X1569" s="133">
        <v>0.910650707602025</v>
      </c>
      <c r="Y1569" s="135">
        <v>0.92</v>
      </c>
      <c r="Z1569" s="135" t="s">
        <v>35</v>
      </c>
      <c r="AA1569" s="135" t="s">
        <v>35</v>
      </c>
      <c r="AB1569" s="135" t="s">
        <v>35</v>
      </c>
      <c r="AC1569" s="135">
        <v>1</v>
      </c>
      <c r="AD1569" s="135">
        <v>0.92</v>
      </c>
      <c r="AE1569" s="133">
        <v>0.769230769230769</v>
      </c>
      <c r="AF1569" s="133">
        <v>0.368421052631579</v>
      </c>
      <c r="AG1569" s="133">
        <v>0.727272727272727</v>
      </c>
      <c r="AH1569" s="133">
        <v>0.59581881533101</v>
      </c>
      <c r="AI1569" s="135">
        <v>0.92</v>
      </c>
      <c r="AJ1569" s="133">
        <v>0.967046504465661</v>
      </c>
      <c r="AK1569" s="133">
        <v>0.97000599880024</v>
      </c>
      <c r="AL1569" s="133">
        <v>0.968335035750766</v>
      </c>
      <c r="AM1569" s="133">
        <v>0.977940387161413</v>
      </c>
      <c r="AN1569" s="132">
        <v>0.99</v>
      </c>
      <c r="AO1569" s="137">
        <v>1</v>
      </c>
      <c r="AP1569" s="137">
        <v>1</v>
      </c>
      <c r="AQ1569" s="137">
        <v>1</v>
      </c>
      <c r="AR1569" s="137">
        <v>1</v>
      </c>
      <c r="AS1569" s="158">
        <v>0.110069253262963</v>
      </c>
      <c r="AT1569" s="141">
        <v>0.166666666666667</v>
      </c>
      <c r="AU1569" s="141">
        <v>0</v>
      </c>
      <c r="AV1569" s="141">
        <v>0</v>
      </c>
      <c r="AW1569" s="141">
        <v>0.0909090909090909</v>
      </c>
      <c r="AX1569" s="95"/>
      <c r="AY1569" s="93"/>
    </row>
    <row r="1570" ht="15" spans="1:51">
      <c r="A1570" s="91"/>
      <c r="B1570" s="95"/>
      <c r="C1570" s="152" t="s">
        <v>1455</v>
      </c>
      <c r="D1570" s="153" t="s">
        <v>25</v>
      </c>
      <c r="E1570" s="130" t="s">
        <v>1456</v>
      </c>
      <c r="F1570" s="171" t="s">
        <v>1602</v>
      </c>
      <c r="G1570" s="171" t="s">
        <v>1602</v>
      </c>
      <c r="H1570" s="171" t="s">
        <v>1602</v>
      </c>
      <c r="I1570" s="171" t="s">
        <v>1602</v>
      </c>
      <c r="J1570" s="132">
        <v>0.9</v>
      </c>
      <c r="K1570" s="133">
        <v>0.909090909090909</v>
      </c>
      <c r="L1570" s="133">
        <v>0.954545454545455</v>
      </c>
      <c r="M1570" s="134">
        <v>1</v>
      </c>
      <c r="N1570" s="133">
        <v>0.955773955773956</v>
      </c>
      <c r="O1570" s="135">
        <v>0.9</v>
      </c>
      <c r="P1570" s="133">
        <v>0.8047229791099</v>
      </c>
      <c r="Q1570" s="133">
        <v>0.842054728756601</v>
      </c>
      <c r="R1570" s="133">
        <v>0.812824956672444</v>
      </c>
      <c r="S1570" s="133">
        <v>0.886298017433387</v>
      </c>
      <c r="T1570" s="135">
        <v>0.9</v>
      </c>
      <c r="U1570" s="133">
        <v>0.630336058128974</v>
      </c>
      <c r="V1570" s="133">
        <v>0.618819011041767</v>
      </c>
      <c r="W1570" s="133">
        <v>0.697284806470248</v>
      </c>
      <c r="X1570" s="133">
        <v>0.749993125635879</v>
      </c>
      <c r="Y1570" s="135">
        <v>0.92</v>
      </c>
      <c r="Z1570" s="135" t="s">
        <v>35</v>
      </c>
      <c r="AA1570" s="135" t="s">
        <v>35</v>
      </c>
      <c r="AB1570" s="135" t="s">
        <v>35</v>
      </c>
      <c r="AC1570" s="135" t="s">
        <v>35</v>
      </c>
      <c r="AD1570" s="135">
        <v>0.92</v>
      </c>
      <c r="AE1570" s="133">
        <v>0.99622641509434</v>
      </c>
      <c r="AF1570" s="133">
        <v>1</v>
      </c>
      <c r="AG1570" s="133">
        <v>0.996</v>
      </c>
      <c r="AH1570" s="133">
        <v>0.935506859077142</v>
      </c>
      <c r="AI1570" s="135">
        <v>0.92</v>
      </c>
      <c r="AJ1570" s="133">
        <v>0.752497729336966</v>
      </c>
      <c r="AK1570" s="133">
        <v>0.777244359097456</v>
      </c>
      <c r="AL1570" s="133">
        <v>0.826112073945696</v>
      </c>
      <c r="AM1570" s="133">
        <v>0.867434762284489</v>
      </c>
      <c r="AN1570" s="132">
        <v>0.99</v>
      </c>
      <c r="AO1570" s="137">
        <v>1</v>
      </c>
      <c r="AP1570" s="137">
        <v>1</v>
      </c>
      <c r="AQ1570" s="137" t="s">
        <v>35</v>
      </c>
      <c r="AR1570" s="137">
        <v>1</v>
      </c>
      <c r="AS1570" s="158">
        <v>0.110069253262963</v>
      </c>
      <c r="AT1570" s="141">
        <v>0.0789473684210526</v>
      </c>
      <c r="AU1570" s="141">
        <v>0.133333333333333</v>
      </c>
      <c r="AV1570" s="141">
        <v>0.142857142857143</v>
      </c>
      <c r="AW1570" s="141">
        <v>0.125423728813559</v>
      </c>
      <c r="AX1570" s="95"/>
      <c r="AY1570" s="93"/>
    </row>
    <row r="1571" ht="15" spans="1:51">
      <c r="A1571" s="91"/>
      <c r="B1571" s="95"/>
      <c r="C1571" s="152" t="s">
        <v>1455</v>
      </c>
      <c r="D1571" s="153" t="s">
        <v>25</v>
      </c>
      <c r="E1571" s="130" t="s">
        <v>1456</v>
      </c>
      <c r="F1571" s="171" t="s">
        <v>1603</v>
      </c>
      <c r="G1571" s="171" t="s">
        <v>1603</v>
      </c>
      <c r="H1571" s="171" t="s">
        <v>1603</v>
      </c>
      <c r="I1571" s="171" t="s">
        <v>1603</v>
      </c>
      <c r="J1571" s="132">
        <v>0.9</v>
      </c>
      <c r="K1571" s="133">
        <v>0.9375</v>
      </c>
      <c r="L1571" s="133">
        <v>0.823529411764706</v>
      </c>
      <c r="M1571" s="134">
        <v>0.857142857142857</v>
      </c>
      <c r="N1571" s="133">
        <v>0.872</v>
      </c>
      <c r="O1571" s="135">
        <v>0.9</v>
      </c>
      <c r="P1571" s="133">
        <v>1</v>
      </c>
      <c r="Q1571" s="133">
        <v>1</v>
      </c>
      <c r="R1571" s="133">
        <v>1</v>
      </c>
      <c r="S1571" s="133">
        <v>0.10189701897019</v>
      </c>
      <c r="T1571" s="135">
        <v>0.9</v>
      </c>
      <c r="U1571" s="133">
        <v>0.998489425981873</v>
      </c>
      <c r="V1571" s="133">
        <v>0</v>
      </c>
      <c r="W1571" s="133">
        <v>0.958579881656805</v>
      </c>
      <c r="X1571" s="133">
        <v>0.117296349434083</v>
      </c>
      <c r="Y1571" s="135">
        <v>0.92</v>
      </c>
      <c r="Z1571" s="135" t="s">
        <v>35</v>
      </c>
      <c r="AA1571" s="135">
        <v>0</v>
      </c>
      <c r="AB1571" s="135" t="s">
        <v>35</v>
      </c>
      <c r="AC1571" s="135">
        <v>0</v>
      </c>
      <c r="AD1571" s="135">
        <v>0.92</v>
      </c>
      <c r="AE1571" s="133">
        <v>0.529411764705882</v>
      </c>
      <c r="AF1571" s="133">
        <v>0.875</v>
      </c>
      <c r="AG1571" s="133">
        <v>0</v>
      </c>
      <c r="AH1571" s="133">
        <v>0.695945945945946</v>
      </c>
      <c r="AI1571" s="135">
        <v>0.92</v>
      </c>
      <c r="AJ1571" s="133">
        <v>0.743715511955855</v>
      </c>
      <c r="AK1571" s="133">
        <v>0.698759092854086</v>
      </c>
      <c r="AL1571" s="133">
        <v>0.747697974217311</v>
      </c>
      <c r="AM1571" s="133">
        <v>0.715202012910677</v>
      </c>
      <c r="AN1571" s="132">
        <v>0.99</v>
      </c>
      <c r="AO1571" s="137">
        <v>1</v>
      </c>
      <c r="AP1571" s="137" t="s">
        <v>35</v>
      </c>
      <c r="AQ1571" s="137" t="s">
        <v>35</v>
      </c>
      <c r="AR1571" s="137">
        <v>1</v>
      </c>
      <c r="AS1571" s="158">
        <v>0.110069253262963</v>
      </c>
      <c r="AT1571" s="141">
        <v>0.16</v>
      </c>
      <c r="AU1571" s="141">
        <v>0.368421052631579</v>
      </c>
      <c r="AV1571" s="141">
        <v>0.0769230769230769</v>
      </c>
      <c r="AW1571" s="141">
        <v>0.144373673036093</v>
      </c>
      <c r="AX1571" s="95"/>
      <c r="AY1571" s="93"/>
    </row>
    <row r="1572" ht="15" spans="1:51">
      <c r="A1572" s="91"/>
      <c r="B1572" s="95"/>
      <c r="C1572" s="152" t="s">
        <v>1455</v>
      </c>
      <c r="D1572" s="153" t="s">
        <v>25</v>
      </c>
      <c r="E1572" s="130" t="s">
        <v>1456</v>
      </c>
      <c r="F1572" s="171" t="s">
        <v>1604</v>
      </c>
      <c r="G1572" s="171" t="s">
        <v>1604</v>
      </c>
      <c r="H1572" s="171" t="s">
        <v>1604</v>
      </c>
      <c r="I1572" s="171" t="s">
        <v>1604</v>
      </c>
      <c r="J1572" s="132">
        <v>0.9</v>
      </c>
      <c r="K1572" s="133">
        <v>0.941176470588235</v>
      </c>
      <c r="L1572" s="133">
        <v>0.923076923076923</v>
      </c>
      <c r="M1572" s="134">
        <v>1</v>
      </c>
      <c r="N1572" s="133">
        <v>0.961832061068702</v>
      </c>
      <c r="O1572" s="135">
        <v>0.9</v>
      </c>
      <c r="P1572" s="133">
        <v>1</v>
      </c>
      <c r="Q1572" s="133">
        <v>1</v>
      </c>
      <c r="R1572" s="133">
        <v>1</v>
      </c>
      <c r="S1572" s="133">
        <v>0.999644444444444</v>
      </c>
      <c r="T1572" s="135">
        <v>0.9</v>
      </c>
      <c r="U1572" s="133">
        <v>0.992332968236583</v>
      </c>
      <c r="V1572" s="133">
        <v>0.987360594795539</v>
      </c>
      <c r="W1572" s="133">
        <v>0.985198889916744</v>
      </c>
      <c r="X1572" s="133">
        <v>0.988088888888889</v>
      </c>
      <c r="Y1572" s="135">
        <v>0.92</v>
      </c>
      <c r="Z1572" s="135" t="s">
        <v>35</v>
      </c>
      <c r="AA1572" s="135" t="s">
        <v>35</v>
      </c>
      <c r="AB1572" s="135" t="s">
        <v>35</v>
      </c>
      <c r="AC1572" s="135" t="s">
        <v>35</v>
      </c>
      <c r="AD1572" s="135">
        <v>0.92</v>
      </c>
      <c r="AE1572" s="133">
        <v>0</v>
      </c>
      <c r="AF1572" s="133">
        <v>0</v>
      </c>
      <c r="AG1572" s="133">
        <v>0</v>
      </c>
      <c r="AH1572" s="133">
        <v>0.0642201834862385</v>
      </c>
      <c r="AI1572" s="135">
        <v>0.92</v>
      </c>
      <c r="AJ1572" s="133">
        <v>0.993492407809111</v>
      </c>
      <c r="AK1572" s="133">
        <v>0.992592592592593</v>
      </c>
      <c r="AL1572" s="133">
        <v>0.990749306197965</v>
      </c>
      <c r="AM1572" s="133">
        <v>0.995132369741221</v>
      </c>
      <c r="AN1572" s="132">
        <v>0.99</v>
      </c>
      <c r="AO1572" s="137" t="s">
        <v>35</v>
      </c>
      <c r="AP1572" s="137" t="s">
        <v>35</v>
      </c>
      <c r="AQ1572" s="137" t="s">
        <v>35</v>
      </c>
      <c r="AR1572" s="137">
        <v>1</v>
      </c>
      <c r="AS1572" s="158">
        <v>0.110069253262963</v>
      </c>
      <c r="AT1572" s="141">
        <v>0.0625</v>
      </c>
      <c r="AU1572" s="141">
        <v>0.0714285714285714</v>
      </c>
      <c r="AV1572" s="141">
        <v>0.285714285714286</v>
      </c>
      <c r="AW1572" s="141">
        <v>0.11660777385159</v>
      </c>
      <c r="AX1572" s="95"/>
      <c r="AY1572" s="93"/>
    </row>
    <row r="1573" ht="15" spans="1:51">
      <c r="A1573" s="91"/>
      <c r="B1573" s="95"/>
      <c r="C1573" s="152" t="s">
        <v>1455</v>
      </c>
      <c r="D1573" s="153" t="s">
        <v>25</v>
      </c>
      <c r="E1573" s="130" t="s">
        <v>1456</v>
      </c>
      <c r="F1573" s="171" t="s">
        <v>1605</v>
      </c>
      <c r="G1573" s="171" t="s">
        <v>1605</v>
      </c>
      <c r="H1573" s="171" t="s">
        <v>1605</v>
      </c>
      <c r="I1573" s="171" t="s">
        <v>1605</v>
      </c>
      <c r="J1573" s="132">
        <v>0.9</v>
      </c>
      <c r="K1573" s="133">
        <v>0.971428571428571</v>
      </c>
      <c r="L1573" s="133">
        <v>0.972222222222222</v>
      </c>
      <c r="M1573" s="134">
        <v>1</v>
      </c>
      <c r="N1573" s="133">
        <v>0.954285714285714</v>
      </c>
      <c r="O1573" s="135">
        <v>0.9</v>
      </c>
      <c r="P1573" s="133">
        <v>0.999130686757462</v>
      </c>
      <c r="Q1573" s="133">
        <v>0.995747093847462</v>
      </c>
      <c r="R1573" s="133">
        <v>0.981642512077295</v>
      </c>
      <c r="S1573" s="133">
        <v>0.993197055882498</v>
      </c>
      <c r="T1573" s="135">
        <v>0.9</v>
      </c>
      <c r="U1573" s="133">
        <v>0.939148073022312</v>
      </c>
      <c r="V1573" s="133">
        <v>0.932520555713071</v>
      </c>
      <c r="W1573" s="133">
        <v>0.937842190016103</v>
      </c>
      <c r="X1573" s="133">
        <v>0.949592642984771</v>
      </c>
      <c r="Y1573" s="135">
        <v>0.92</v>
      </c>
      <c r="Z1573" s="135" t="s">
        <v>35</v>
      </c>
      <c r="AA1573" s="135" t="s">
        <v>35</v>
      </c>
      <c r="AB1573" s="135" t="s">
        <v>35</v>
      </c>
      <c r="AC1573" s="135">
        <v>1</v>
      </c>
      <c r="AD1573" s="135">
        <v>0.92</v>
      </c>
      <c r="AE1573" s="133">
        <v>0.935483870967742</v>
      </c>
      <c r="AF1573" s="133">
        <v>0.973684210526316</v>
      </c>
      <c r="AG1573" s="133">
        <v>1</v>
      </c>
      <c r="AH1573" s="133">
        <v>0.952522255192878</v>
      </c>
      <c r="AI1573" s="135">
        <v>0.92</v>
      </c>
      <c r="AJ1573" s="133">
        <v>0.963488843813387</v>
      </c>
      <c r="AK1573" s="133">
        <v>0.97618372554579</v>
      </c>
      <c r="AL1573" s="133">
        <v>0.978743961352657</v>
      </c>
      <c r="AM1573" s="133">
        <v>0.983443708609272</v>
      </c>
      <c r="AN1573" s="132">
        <v>0.99</v>
      </c>
      <c r="AO1573" s="137">
        <v>1</v>
      </c>
      <c r="AP1573" s="137">
        <v>1</v>
      </c>
      <c r="AQ1573" s="137">
        <v>1</v>
      </c>
      <c r="AR1573" s="137">
        <v>1</v>
      </c>
      <c r="AS1573" s="158">
        <v>0.110069253262963</v>
      </c>
      <c r="AT1573" s="141">
        <v>0.0833333333333333</v>
      </c>
      <c r="AU1573" s="141">
        <v>0.136363636363636</v>
      </c>
      <c r="AV1573" s="141">
        <v>0.0555555555555556</v>
      </c>
      <c r="AW1573" s="141">
        <v>0.0670926517571885</v>
      </c>
      <c r="AX1573" s="95"/>
      <c r="AY1573" s="93"/>
    </row>
    <row r="1574" ht="15" spans="1:51">
      <c r="A1574" s="91"/>
      <c r="B1574" s="95"/>
      <c r="C1574" s="152" t="s">
        <v>1455</v>
      </c>
      <c r="D1574" s="153" t="s">
        <v>25</v>
      </c>
      <c r="E1574" s="130" t="s">
        <v>1456</v>
      </c>
      <c r="F1574" s="171" t="s">
        <v>1606</v>
      </c>
      <c r="G1574" s="171" t="s">
        <v>1606</v>
      </c>
      <c r="H1574" s="171" t="s">
        <v>1606</v>
      </c>
      <c r="I1574" s="171" t="s">
        <v>1606</v>
      </c>
      <c r="J1574" s="132">
        <v>0.9</v>
      </c>
      <c r="K1574" s="133">
        <v>0.6</v>
      </c>
      <c r="L1574" s="133">
        <v>0.714285714285714</v>
      </c>
      <c r="M1574" s="134">
        <v>0.666666666666667</v>
      </c>
      <c r="N1574" s="133">
        <v>0.75187969924812</v>
      </c>
      <c r="O1574" s="135">
        <v>0.9</v>
      </c>
      <c r="P1574" s="133" t="s">
        <v>35</v>
      </c>
      <c r="Q1574" s="133" t="s">
        <v>35</v>
      </c>
      <c r="R1574" s="133" t="s">
        <v>35</v>
      </c>
      <c r="S1574" s="133">
        <v>0</v>
      </c>
      <c r="T1574" s="135">
        <v>0.9</v>
      </c>
      <c r="U1574" s="133" t="s">
        <v>35</v>
      </c>
      <c r="V1574" s="133" t="s">
        <v>35</v>
      </c>
      <c r="W1574" s="133" t="s">
        <v>35</v>
      </c>
      <c r="X1574" s="133">
        <v>0</v>
      </c>
      <c r="Y1574" s="135">
        <v>0.92</v>
      </c>
      <c r="Z1574" s="135" t="s">
        <v>35</v>
      </c>
      <c r="AA1574" s="135" t="s">
        <v>35</v>
      </c>
      <c r="AB1574" s="135" t="s">
        <v>35</v>
      </c>
      <c r="AC1574" s="135" t="s">
        <v>35</v>
      </c>
      <c r="AD1574" s="135">
        <v>0.92</v>
      </c>
      <c r="AE1574" s="133">
        <v>0</v>
      </c>
      <c r="AF1574" s="133">
        <v>0</v>
      </c>
      <c r="AG1574" s="133">
        <v>0</v>
      </c>
      <c r="AH1574" s="133">
        <v>0.195804195804196</v>
      </c>
      <c r="AI1574" s="135">
        <v>0.92</v>
      </c>
      <c r="AJ1574" s="133">
        <v>0.703728813559322</v>
      </c>
      <c r="AK1574" s="133">
        <v>0.633333333333333</v>
      </c>
      <c r="AL1574" s="133">
        <v>0.775748721694668</v>
      </c>
      <c r="AM1574" s="133">
        <v>0.750481309160918</v>
      </c>
      <c r="AN1574" s="132">
        <v>0.99</v>
      </c>
      <c r="AO1574" s="137" t="s">
        <v>35</v>
      </c>
      <c r="AP1574" s="137" t="s">
        <v>35</v>
      </c>
      <c r="AQ1574" s="137" t="s">
        <v>35</v>
      </c>
      <c r="AR1574" s="137">
        <v>1</v>
      </c>
      <c r="AS1574" s="158">
        <v>0.110069253262963</v>
      </c>
      <c r="AT1574" s="141">
        <v>0.25</v>
      </c>
      <c r="AU1574" s="141">
        <v>0.1</v>
      </c>
      <c r="AV1574" s="141">
        <v>0</v>
      </c>
      <c r="AW1574" s="141">
        <v>0.138036809815951</v>
      </c>
      <c r="AX1574" s="95"/>
      <c r="AY1574" s="93"/>
    </row>
    <row r="1575" ht="15" spans="1:51">
      <c r="A1575" s="91"/>
      <c r="B1575" s="95"/>
      <c r="C1575" s="152" t="s">
        <v>1455</v>
      </c>
      <c r="D1575" s="153" t="s">
        <v>25</v>
      </c>
      <c r="E1575" s="130" t="s">
        <v>1456</v>
      </c>
      <c r="F1575" s="171" t="s">
        <v>1607</v>
      </c>
      <c r="G1575" s="171" t="s">
        <v>1607</v>
      </c>
      <c r="H1575" s="171" t="s">
        <v>1607</v>
      </c>
      <c r="I1575" s="171" t="s">
        <v>1607</v>
      </c>
      <c r="J1575" s="132">
        <v>0.9</v>
      </c>
      <c r="K1575" s="133">
        <v>0.681818181818182</v>
      </c>
      <c r="L1575" s="133">
        <v>0.772727272727273</v>
      </c>
      <c r="M1575" s="134">
        <v>0.7</v>
      </c>
      <c r="N1575" s="133">
        <v>0.658854166666667</v>
      </c>
      <c r="O1575" s="135">
        <v>0.9</v>
      </c>
      <c r="P1575" s="133">
        <v>0</v>
      </c>
      <c r="Q1575" s="133" t="s">
        <v>35</v>
      </c>
      <c r="R1575" s="133" t="s">
        <v>35</v>
      </c>
      <c r="S1575" s="133">
        <v>0.333333333333333</v>
      </c>
      <c r="T1575" s="135">
        <v>0.9</v>
      </c>
      <c r="U1575" s="133">
        <v>1</v>
      </c>
      <c r="V1575" s="133" t="s">
        <v>35</v>
      </c>
      <c r="W1575" s="133" t="s">
        <v>35</v>
      </c>
      <c r="X1575" s="133">
        <v>0.666666666666667</v>
      </c>
      <c r="Y1575" s="135">
        <v>0.92</v>
      </c>
      <c r="Z1575" s="135" t="s">
        <v>35</v>
      </c>
      <c r="AA1575" s="135" t="s">
        <v>35</v>
      </c>
      <c r="AB1575" s="135" t="s">
        <v>35</v>
      </c>
      <c r="AC1575" s="135" t="s">
        <v>35</v>
      </c>
      <c r="AD1575" s="135">
        <v>0.92</v>
      </c>
      <c r="AE1575" s="133">
        <v>0</v>
      </c>
      <c r="AF1575" s="133">
        <v>0</v>
      </c>
      <c r="AG1575" s="133">
        <v>0</v>
      </c>
      <c r="AH1575" s="133">
        <v>0.14018691588785</v>
      </c>
      <c r="AI1575" s="135">
        <v>0.92</v>
      </c>
      <c r="AJ1575" s="133">
        <v>0.89287598944591</v>
      </c>
      <c r="AK1575" s="133">
        <v>0.931730023273856</v>
      </c>
      <c r="AL1575" s="133">
        <v>0.859657947686117</v>
      </c>
      <c r="AM1575" s="133">
        <v>0.839548626181017</v>
      </c>
      <c r="AN1575" s="132">
        <v>0.99</v>
      </c>
      <c r="AO1575" s="137">
        <v>1</v>
      </c>
      <c r="AP1575" s="137" t="s">
        <v>35</v>
      </c>
      <c r="AQ1575" s="137" t="s">
        <v>35</v>
      </c>
      <c r="AR1575" s="137">
        <v>1</v>
      </c>
      <c r="AS1575" s="158">
        <v>0.110069253262963</v>
      </c>
      <c r="AT1575" s="141">
        <v>0.0434782608695652</v>
      </c>
      <c r="AU1575" s="141">
        <v>0.315789473684211</v>
      </c>
      <c r="AV1575" s="141">
        <v>0.466666666666667</v>
      </c>
      <c r="AW1575" s="141">
        <v>0.129713423831071</v>
      </c>
      <c r="AX1575" s="95"/>
      <c r="AY1575" s="93"/>
    </row>
    <row r="1576" ht="15" spans="1:51">
      <c r="A1576" s="91"/>
      <c r="B1576" s="95"/>
      <c r="C1576" s="152" t="s">
        <v>1455</v>
      </c>
      <c r="D1576" s="153" t="s">
        <v>25</v>
      </c>
      <c r="E1576" s="130" t="s">
        <v>1456</v>
      </c>
      <c r="F1576" s="171" t="s">
        <v>1608</v>
      </c>
      <c r="G1576" s="171" t="s">
        <v>1608</v>
      </c>
      <c r="H1576" s="171" t="s">
        <v>1608</v>
      </c>
      <c r="I1576" s="171" t="s">
        <v>1608</v>
      </c>
      <c r="J1576" s="132">
        <v>0.9</v>
      </c>
      <c r="K1576" s="133">
        <v>0.222222222222222</v>
      </c>
      <c r="L1576" s="133">
        <v>0.222222222222222</v>
      </c>
      <c r="M1576" s="134">
        <v>0.111111111111111</v>
      </c>
      <c r="N1576" s="133">
        <v>0.340136054421769</v>
      </c>
      <c r="O1576" s="135">
        <v>0.9</v>
      </c>
      <c r="P1576" s="133" t="s">
        <v>35</v>
      </c>
      <c r="Q1576" s="133">
        <v>1</v>
      </c>
      <c r="R1576" s="133" t="s">
        <v>35</v>
      </c>
      <c r="S1576" s="133">
        <v>0.5</v>
      </c>
      <c r="T1576" s="135">
        <v>0.9</v>
      </c>
      <c r="U1576" s="133" t="s">
        <v>35</v>
      </c>
      <c r="V1576" s="133">
        <v>1</v>
      </c>
      <c r="W1576" s="133" t="s">
        <v>35</v>
      </c>
      <c r="X1576" s="133">
        <v>0.5</v>
      </c>
      <c r="Y1576" s="135">
        <v>0.92</v>
      </c>
      <c r="Z1576" s="135" t="s">
        <v>35</v>
      </c>
      <c r="AA1576" s="135" t="s">
        <v>35</v>
      </c>
      <c r="AB1576" s="135" t="s">
        <v>35</v>
      </c>
      <c r="AC1576" s="135" t="s">
        <v>35</v>
      </c>
      <c r="AD1576" s="135">
        <v>0.92</v>
      </c>
      <c r="AE1576" s="133">
        <v>0.333333333333333</v>
      </c>
      <c r="AF1576" s="133">
        <v>0</v>
      </c>
      <c r="AG1576" s="133">
        <v>0</v>
      </c>
      <c r="AH1576" s="133">
        <v>0.300970873786408</v>
      </c>
      <c r="AI1576" s="135">
        <v>0.92</v>
      </c>
      <c r="AJ1576" s="133">
        <v>0.907242693773825</v>
      </c>
      <c r="AK1576" s="133">
        <v>0.852272727272727</v>
      </c>
      <c r="AL1576" s="133">
        <v>0.894141829393628</v>
      </c>
      <c r="AM1576" s="133">
        <v>0.88181253022035</v>
      </c>
      <c r="AN1576" s="132">
        <v>0.99</v>
      </c>
      <c r="AO1576" s="137">
        <v>1</v>
      </c>
      <c r="AP1576" s="137">
        <v>1</v>
      </c>
      <c r="AQ1576" s="137">
        <v>1</v>
      </c>
      <c r="AR1576" s="137">
        <v>1</v>
      </c>
      <c r="AS1576" s="158">
        <v>0.110069253262963</v>
      </c>
      <c r="AT1576" s="141">
        <v>1.5</v>
      </c>
      <c r="AU1576" s="141">
        <v>0.363636363636364</v>
      </c>
      <c r="AV1576" s="141">
        <v>0</v>
      </c>
      <c r="AW1576" s="141">
        <v>0.163398692810458</v>
      </c>
      <c r="AX1576" s="95"/>
      <c r="AY1576" s="93"/>
    </row>
    <row r="1577" ht="15" spans="1:51">
      <c r="A1577" s="91"/>
      <c r="B1577" s="95"/>
      <c r="C1577" s="152" t="s">
        <v>1455</v>
      </c>
      <c r="D1577" s="153" t="s">
        <v>25</v>
      </c>
      <c r="E1577" s="130" t="s">
        <v>1456</v>
      </c>
      <c r="F1577" s="171" t="s">
        <v>1609</v>
      </c>
      <c r="G1577" s="171" t="s">
        <v>1609</v>
      </c>
      <c r="H1577" s="171" t="s">
        <v>1609</v>
      </c>
      <c r="I1577" s="171" t="s">
        <v>1609</v>
      </c>
      <c r="J1577" s="132">
        <v>0.9</v>
      </c>
      <c r="K1577" s="133">
        <v>0.857142857142857</v>
      </c>
      <c r="L1577" s="133">
        <v>0.866666666666667</v>
      </c>
      <c r="M1577" s="134">
        <v>0.916666666666667</v>
      </c>
      <c r="N1577" s="133">
        <v>0.891696750902527</v>
      </c>
      <c r="O1577" s="135">
        <v>0.9</v>
      </c>
      <c r="P1577" s="133" t="s">
        <v>35</v>
      </c>
      <c r="Q1577" s="133" t="s">
        <v>35</v>
      </c>
      <c r="R1577" s="133">
        <v>0.666666666666667</v>
      </c>
      <c r="S1577" s="133">
        <v>0.666666666666667</v>
      </c>
      <c r="T1577" s="135">
        <v>0.9</v>
      </c>
      <c r="U1577" s="133" t="s">
        <v>35</v>
      </c>
      <c r="V1577" s="133" t="s">
        <v>35</v>
      </c>
      <c r="W1577" s="133">
        <v>1</v>
      </c>
      <c r="X1577" s="133">
        <v>1</v>
      </c>
      <c r="Y1577" s="135">
        <v>0.92</v>
      </c>
      <c r="Z1577" s="135" t="s">
        <v>35</v>
      </c>
      <c r="AA1577" s="135" t="s">
        <v>35</v>
      </c>
      <c r="AB1577" s="135" t="s">
        <v>35</v>
      </c>
      <c r="AC1577" s="135" t="s">
        <v>35</v>
      </c>
      <c r="AD1577" s="135">
        <v>0.92</v>
      </c>
      <c r="AE1577" s="133">
        <v>1</v>
      </c>
      <c r="AF1577" s="133">
        <v>0</v>
      </c>
      <c r="AG1577" s="133">
        <v>1</v>
      </c>
      <c r="AH1577" s="133">
        <v>0.869565217391304</v>
      </c>
      <c r="AI1577" s="135">
        <v>0.92</v>
      </c>
      <c r="AJ1577" s="133">
        <v>0.86442220200182</v>
      </c>
      <c r="AK1577" s="133">
        <v>0.876221498371335</v>
      </c>
      <c r="AL1577" s="133">
        <v>0.913169319826339</v>
      </c>
      <c r="AM1577" s="133">
        <v>0.938155372646296</v>
      </c>
      <c r="AN1577" s="132">
        <v>0.99</v>
      </c>
      <c r="AO1577" s="137" t="s">
        <v>35</v>
      </c>
      <c r="AP1577" s="137" t="s">
        <v>35</v>
      </c>
      <c r="AQ1577" s="137" t="s">
        <v>35</v>
      </c>
      <c r="AR1577" s="137">
        <v>1</v>
      </c>
      <c r="AS1577" s="158">
        <v>0.110069253262963</v>
      </c>
      <c r="AT1577" s="141">
        <v>0</v>
      </c>
      <c r="AU1577" s="141">
        <v>0</v>
      </c>
      <c r="AV1577" s="141">
        <v>0.214285714285714</v>
      </c>
      <c r="AW1577" s="141">
        <v>0.107407407407407</v>
      </c>
      <c r="AX1577" s="95"/>
      <c r="AY1577" s="93"/>
    </row>
    <row r="1578" ht="15" spans="1:51">
      <c r="A1578" s="91"/>
      <c r="B1578" s="95"/>
      <c r="C1578" s="152" t="s">
        <v>1455</v>
      </c>
      <c r="D1578" s="153" t="s">
        <v>25</v>
      </c>
      <c r="E1578" s="130" t="s">
        <v>1456</v>
      </c>
      <c r="F1578" s="171" t="s">
        <v>1610</v>
      </c>
      <c r="G1578" s="171" t="s">
        <v>1610</v>
      </c>
      <c r="H1578" s="171" t="s">
        <v>1610</v>
      </c>
      <c r="I1578" s="171" t="s">
        <v>1610</v>
      </c>
      <c r="J1578" s="132">
        <v>0.9</v>
      </c>
      <c r="K1578" s="133">
        <v>0.526315789473684</v>
      </c>
      <c r="L1578" s="133">
        <v>0.631578947368421</v>
      </c>
      <c r="M1578" s="134">
        <v>0.842105263157895</v>
      </c>
      <c r="N1578" s="133">
        <v>0.629737609329446</v>
      </c>
      <c r="O1578" s="135">
        <v>0.9</v>
      </c>
      <c r="P1578" s="133" t="s">
        <v>35</v>
      </c>
      <c r="Q1578" s="133" t="s">
        <v>35</v>
      </c>
      <c r="R1578" s="133" t="s">
        <v>35</v>
      </c>
      <c r="S1578" s="133">
        <v>0</v>
      </c>
      <c r="T1578" s="135">
        <v>0.9</v>
      </c>
      <c r="U1578" s="133" t="s">
        <v>35</v>
      </c>
      <c r="V1578" s="133" t="s">
        <v>35</v>
      </c>
      <c r="W1578" s="133" t="s">
        <v>35</v>
      </c>
      <c r="X1578" s="133">
        <v>0</v>
      </c>
      <c r="Y1578" s="135">
        <v>0.92</v>
      </c>
      <c r="Z1578" s="135" t="s">
        <v>35</v>
      </c>
      <c r="AA1578" s="135" t="s">
        <v>35</v>
      </c>
      <c r="AB1578" s="135" t="s">
        <v>35</v>
      </c>
      <c r="AC1578" s="135" t="s">
        <v>35</v>
      </c>
      <c r="AD1578" s="135">
        <v>0.92</v>
      </c>
      <c r="AE1578" s="133">
        <v>0</v>
      </c>
      <c r="AF1578" s="133">
        <v>0</v>
      </c>
      <c r="AG1578" s="133">
        <v>0</v>
      </c>
      <c r="AH1578" s="133">
        <v>0.105263157894737</v>
      </c>
      <c r="AI1578" s="135">
        <v>0.92</v>
      </c>
      <c r="AJ1578" s="133">
        <v>0.946677604593929</v>
      </c>
      <c r="AK1578" s="133">
        <v>0.971376370280146</v>
      </c>
      <c r="AL1578" s="133">
        <v>0.970631424375918</v>
      </c>
      <c r="AM1578" s="133">
        <v>0.972269319166572</v>
      </c>
      <c r="AN1578" s="132">
        <v>0.99</v>
      </c>
      <c r="AO1578" s="137" t="s">
        <v>35</v>
      </c>
      <c r="AP1578" s="137" t="s">
        <v>35</v>
      </c>
      <c r="AQ1578" s="137">
        <v>1</v>
      </c>
      <c r="AR1578" s="137">
        <v>1</v>
      </c>
      <c r="AS1578" s="158">
        <v>0.110069253262963</v>
      </c>
      <c r="AT1578" s="141">
        <v>0</v>
      </c>
      <c r="AU1578" s="141">
        <v>0</v>
      </c>
      <c r="AV1578" s="141">
        <v>0.428571428571429</v>
      </c>
      <c r="AW1578" s="141">
        <v>0.0929577464788732</v>
      </c>
      <c r="AX1578" s="95"/>
      <c r="AY1578" s="93"/>
    </row>
    <row r="1579" ht="15" spans="1:51">
      <c r="A1579" s="91"/>
      <c r="B1579" s="95"/>
      <c r="C1579" s="152" t="s">
        <v>1455</v>
      </c>
      <c r="D1579" s="153" t="s">
        <v>25</v>
      </c>
      <c r="E1579" s="130" t="s">
        <v>1456</v>
      </c>
      <c r="F1579" s="171" t="s">
        <v>1611</v>
      </c>
      <c r="G1579" s="171" t="s">
        <v>1611</v>
      </c>
      <c r="H1579" s="171" t="s">
        <v>1611</v>
      </c>
      <c r="I1579" s="171" t="s">
        <v>1611</v>
      </c>
      <c r="J1579" s="132">
        <v>0.9</v>
      </c>
      <c r="K1579" s="133">
        <v>0.96551724137931</v>
      </c>
      <c r="L1579" s="133">
        <v>0.9375</v>
      </c>
      <c r="M1579" s="134">
        <v>1</v>
      </c>
      <c r="N1579" s="133">
        <v>0.951304347826087</v>
      </c>
      <c r="O1579" s="135">
        <v>0.9</v>
      </c>
      <c r="P1579" s="133">
        <v>0.984045049272642</v>
      </c>
      <c r="Q1579" s="133">
        <v>0.9765003615329</v>
      </c>
      <c r="R1579" s="133">
        <v>0.964539007092199</v>
      </c>
      <c r="S1579" s="133">
        <v>0.965914111978454</v>
      </c>
      <c r="T1579" s="135">
        <v>0.9</v>
      </c>
      <c r="U1579" s="133">
        <v>0.648052557484749</v>
      </c>
      <c r="V1579" s="133">
        <v>0.586044830079537</v>
      </c>
      <c r="W1579" s="133">
        <v>0.568439716312057</v>
      </c>
      <c r="X1579" s="133">
        <v>0.567487954215499</v>
      </c>
      <c r="Y1579" s="135">
        <v>0.92</v>
      </c>
      <c r="Z1579" s="135" t="s">
        <v>35</v>
      </c>
      <c r="AA1579" s="135" t="s">
        <v>35</v>
      </c>
      <c r="AB1579" s="135" t="s">
        <v>35</v>
      </c>
      <c r="AC1579" s="135">
        <v>0</v>
      </c>
      <c r="AD1579" s="135">
        <v>0.92</v>
      </c>
      <c r="AE1579" s="133">
        <v>1</v>
      </c>
      <c r="AF1579" s="133">
        <v>1</v>
      </c>
      <c r="AG1579" s="133">
        <v>1</v>
      </c>
      <c r="AH1579" s="133">
        <v>0.965408805031447</v>
      </c>
      <c r="AI1579" s="135">
        <v>0.92</v>
      </c>
      <c r="AJ1579" s="133">
        <v>0.808540591271703</v>
      </c>
      <c r="AK1579" s="133">
        <v>0.876355748373102</v>
      </c>
      <c r="AL1579" s="133">
        <v>0.848581560283688</v>
      </c>
      <c r="AM1579" s="133">
        <v>0.870773632939889</v>
      </c>
      <c r="AN1579" s="132">
        <v>0.99</v>
      </c>
      <c r="AO1579" s="137">
        <v>1</v>
      </c>
      <c r="AP1579" s="137">
        <v>1</v>
      </c>
      <c r="AQ1579" s="137">
        <v>1</v>
      </c>
      <c r="AR1579" s="137">
        <v>1</v>
      </c>
      <c r="AS1579" s="158">
        <v>0.110069253262963</v>
      </c>
      <c r="AT1579" s="141">
        <v>0.2</v>
      </c>
      <c r="AU1579" s="141">
        <v>0.0714285714285714</v>
      </c>
      <c r="AV1579" s="141">
        <v>0.111111111111111</v>
      </c>
      <c r="AW1579" s="141">
        <v>0.101214574898785</v>
      </c>
      <c r="AX1579" s="95"/>
      <c r="AY1579" s="93"/>
    </row>
    <row r="1580" ht="15" spans="1:51">
      <c r="A1580" s="91"/>
      <c r="B1580" s="95"/>
      <c r="C1580" s="152" t="s">
        <v>1455</v>
      </c>
      <c r="D1580" s="153" t="s">
        <v>25</v>
      </c>
      <c r="E1580" s="130" t="s">
        <v>1456</v>
      </c>
      <c r="F1580" s="171" t="s">
        <v>1612</v>
      </c>
      <c r="G1580" s="171" t="s">
        <v>1612</v>
      </c>
      <c r="H1580" s="171" t="s">
        <v>1612</v>
      </c>
      <c r="I1580" s="171" t="s">
        <v>1612</v>
      </c>
      <c r="J1580" s="132">
        <v>0.9</v>
      </c>
      <c r="K1580" s="133">
        <v>0.952380952380952</v>
      </c>
      <c r="L1580" s="133">
        <v>0.976744186046512</v>
      </c>
      <c r="M1580" s="134">
        <v>0.951219512195122</v>
      </c>
      <c r="N1580" s="133">
        <v>0.964102564102564</v>
      </c>
      <c r="O1580" s="135">
        <v>0.9</v>
      </c>
      <c r="P1580" s="133">
        <v>0.935336629897299</v>
      </c>
      <c r="Q1580" s="133">
        <v>0.936411390655239</v>
      </c>
      <c r="R1580" s="133">
        <v>0.948820017059994</v>
      </c>
      <c r="S1580" s="133">
        <v>0.901758161763542</v>
      </c>
      <c r="T1580" s="135">
        <v>0.9</v>
      </c>
      <c r="U1580" s="133">
        <v>0.368961582350704</v>
      </c>
      <c r="V1580" s="133">
        <v>0.338401990599945</v>
      </c>
      <c r="W1580" s="133">
        <v>0.288598237133921</v>
      </c>
      <c r="X1580" s="133">
        <v>0.345302337358168</v>
      </c>
      <c r="Y1580" s="135">
        <v>0.92</v>
      </c>
      <c r="Z1580" s="135" t="s">
        <v>35</v>
      </c>
      <c r="AA1580" s="135">
        <v>0</v>
      </c>
      <c r="AB1580" s="135" t="s">
        <v>35</v>
      </c>
      <c r="AC1580" s="135">
        <v>0</v>
      </c>
      <c r="AD1580" s="135">
        <v>0.92</v>
      </c>
      <c r="AE1580" s="133">
        <v>0.911764705882353</v>
      </c>
      <c r="AF1580" s="133">
        <v>0.517241379310345</v>
      </c>
      <c r="AG1580" s="133">
        <v>0.923076923076923</v>
      </c>
      <c r="AH1580" s="133">
        <v>0.914655172413793</v>
      </c>
      <c r="AI1580" s="135">
        <v>0.92</v>
      </c>
      <c r="AJ1580" s="133">
        <v>0.901863826550019</v>
      </c>
      <c r="AK1580" s="133">
        <v>0.904090657822001</v>
      </c>
      <c r="AL1580" s="133">
        <v>0.9007676997441</v>
      </c>
      <c r="AM1580" s="133">
        <v>0.89237561716673</v>
      </c>
      <c r="AN1580" s="132">
        <v>0.99</v>
      </c>
      <c r="AO1580" s="137">
        <v>1</v>
      </c>
      <c r="AP1580" s="137">
        <v>1</v>
      </c>
      <c r="AQ1580" s="137">
        <v>1</v>
      </c>
      <c r="AR1580" s="137">
        <v>1</v>
      </c>
      <c r="AS1580" s="158">
        <v>0.110069253262963</v>
      </c>
      <c r="AT1580" s="141">
        <v>0.307692307692308</v>
      </c>
      <c r="AU1580" s="141">
        <v>0.0666666666666667</v>
      </c>
      <c r="AV1580" s="141">
        <v>0.0952380952380952</v>
      </c>
      <c r="AW1580" s="141">
        <v>0.0985915492957746</v>
      </c>
      <c r="AX1580" s="95"/>
      <c r="AY1580" s="93"/>
    </row>
    <row r="1581" ht="15" spans="1:51">
      <c r="A1581" s="91"/>
      <c r="B1581" s="95"/>
      <c r="C1581" s="152" t="s">
        <v>1455</v>
      </c>
      <c r="D1581" s="153" t="s">
        <v>25</v>
      </c>
      <c r="E1581" s="130" t="s">
        <v>1456</v>
      </c>
      <c r="F1581" s="171" t="s">
        <v>1613</v>
      </c>
      <c r="G1581" s="171" t="s">
        <v>1613</v>
      </c>
      <c r="H1581" s="171" t="s">
        <v>1613</v>
      </c>
      <c r="I1581" s="171" t="s">
        <v>1613</v>
      </c>
      <c r="J1581" s="132">
        <v>0.9</v>
      </c>
      <c r="K1581" s="133">
        <v>1</v>
      </c>
      <c r="L1581" s="133">
        <v>1</v>
      </c>
      <c r="M1581" s="134">
        <v>0.957446808510638</v>
      </c>
      <c r="N1581" s="133">
        <v>0.992134831460674</v>
      </c>
      <c r="O1581" s="135">
        <v>0.9</v>
      </c>
      <c r="P1581" s="133">
        <v>0.980213089802131</v>
      </c>
      <c r="Q1581" s="133">
        <v>0.978702807357212</v>
      </c>
      <c r="R1581" s="133">
        <v>0.967307692307692</v>
      </c>
      <c r="S1581" s="133">
        <v>0.978204649674736</v>
      </c>
      <c r="T1581" s="135">
        <v>0.9</v>
      </c>
      <c r="U1581" s="133">
        <v>0.812785388127854</v>
      </c>
      <c r="V1581" s="133">
        <v>0.764762826718296</v>
      </c>
      <c r="W1581" s="133">
        <v>0.722596153846154</v>
      </c>
      <c r="X1581" s="133">
        <v>0.75289271622054</v>
      </c>
      <c r="Y1581" s="135">
        <v>0.92</v>
      </c>
      <c r="Z1581" s="135" t="s">
        <v>35</v>
      </c>
      <c r="AA1581" s="135" t="s">
        <v>35</v>
      </c>
      <c r="AB1581" s="135" t="s">
        <v>35</v>
      </c>
      <c r="AC1581" s="135">
        <v>0</v>
      </c>
      <c r="AD1581" s="135">
        <v>0.92</v>
      </c>
      <c r="AE1581" s="133">
        <v>1</v>
      </c>
      <c r="AF1581" s="133">
        <v>0.91304347826087</v>
      </c>
      <c r="AG1581" s="133">
        <v>1</v>
      </c>
      <c r="AH1581" s="133">
        <v>0.953815261044177</v>
      </c>
      <c r="AI1581" s="135">
        <v>0.92</v>
      </c>
      <c r="AJ1581" s="133">
        <v>0.921461187214612</v>
      </c>
      <c r="AK1581" s="133">
        <v>0.933204259438529</v>
      </c>
      <c r="AL1581" s="133">
        <v>0.941826923076923</v>
      </c>
      <c r="AM1581" s="133">
        <v>0.945394447480308</v>
      </c>
      <c r="AN1581" s="132">
        <v>0.99</v>
      </c>
      <c r="AO1581" s="137">
        <v>1</v>
      </c>
      <c r="AP1581" s="137">
        <v>1</v>
      </c>
      <c r="AQ1581" s="137">
        <v>1</v>
      </c>
      <c r="AR1581" s="137">
        <v>1</v>
      </c>
      <c r="AS1581" s="158">
        <v>0.110069253262963</v>
      </c>
      <c r="AT1581" s="141">
        <v>0.125</v>
      </c>
      <c r="AU1581" s="141">
        <v>0</v>
      </c>
      <c r="AV1581" s="141">
        <v>0</v>
      </c>
      <c r="AW1581" s="141">
        <v>0.0948275862068965</v>
      </c>
      <c r="AX1581" s="95"/>
      <c r="AY1581" s="93"/>
    </row>
    <row r="1582" ht="15" spans="1:51">
      <c r="A1582" s="91"/>
      <c r="B1582" s="95"/>
      <c r="C1582" s="152" t="s">
        <v>1455</v>
      </c>
      <c r="D1582" s="153" t="s">
        <v>25</v>
      </c>
      <c r="E1582" s="130" t="s">
        <v>1456</v>
      </c>
      <c r="F1582" s="171" t="s">
        <v>1614</v>
      </c>
      <c r="G1582" s="171" t="s">
        <v>1614</v>
      </c>
      <c r="H1582" s="171" t="s">
        <v>1614</v>
      </c>
      <c r="I1582" s="171" t="s">
        <v>1614</v>
      </c>
      <c r="J1582" s="132">
        <v>0.9</v>
      </c>
      <c r="K1582" s="133">
        <v>1</v>
      </c>
      <c r="L1582" s="133">
        <v>1</v>
      </c>
      <c r="M1582" s="134">
        <v>0.951219512195122</v>
      </c>
      <c r="N1582" s="133">
        <v>0.975069252077562</v>
      </c>
      <c r="O1582" s="135">
        <v>0.9</v>
      </c>
      <c r="P1582" s="133">
        <v>0.997985901309164</v>
      </c>
      <c r="Q1582" s="133">
        <v>0.998688008396746</v>
      </c>
      <c r="R1582" s="133">
        <v>0.999110847658566</v>
      </c>
      <c r="S1582" s="133">
        <v>0.998229174352542</v>
      </c>
      <c r="T1582" s="135">
        <v>0.9</v>
      </c>
      <c r="U1582" s="133">
        <v>0.946374622356495</v>
      </c>
      <c r="V1582" s="133">
        <v>0.96142744686434</v>
      </c>
      <c r="W1582" s="133">
        <v>0.938055720213397</v>
      </c>
      <c r="X1582" s="133">
        <v>0.950977643326201</v>
      </c>
      <c r="Y1582" s="135">
        <v>0.92</v>
      </c>
      <c r="Z1582" s="135" t="s">
        <v>35</v>
      </c>
      <c r="AA1582" s="135" t="s">
        <v>35</v>
      </c>
      <c r="AB1582" s="135" t="s">
        <v>35</v>
      </c>
      <c r="AC1582" s="135" t="s">
        <v>35</v>
      </c>
      <c r="AD1582" s="135">
        <v>0.92</v>
      </c>
      <c r="AE1582" s="133">
        <v>1</v>
      </c>
      <c r="AF1582" s="133">
        <v>0.933333333333333</v>
      </c>
      <c r="AG1582" s="133">
        <v>1</v>
      </c>
      <c r="AH1582" s="133">
        <v>0.990126939351199</v>
      </c>
      <c r="AI1582" s="135">
        <v>0.92</v>
      </c>
      <c r="AJ1582" s="133">
        <v>0.97809667673716</v>
      </c>
      <c r="AK1582" s="133">
        <v>0.986617685646812</v>
      </c>
      <c r="AL1582" s="133">
        <v>0.986662714878483</v>
      </c>
      <c r="AM1582" s="133">
        <v>0.987338596620674</v>
      </c>
      <c r="AN1582" s="132">
        <v>0.99</v>
      </c>
      <c r="AO1582" s="137">
        <v>1</v>
      </c>
      <c r="AP1582" s="137">
        <v>1</v>
      </c>
      <c r="AQ1582" s="137">
        <v>1</v>
      </c>
      <c r="AR1582" s="137">
        <v>1</v>
      </c>
      <c r="AS1582" s="158">
        <v>0.110069253262963</v>
      </c>
      <c r="AT1582" s="141">
        <v>0.0625</v>
      </c>
      <c r="AU1582" s="141">
        <v>0.0833333333333333</v>
      </c>
      <c r="AV1582" s="141">
        <v>0</v>
      </c>
      <c r="AW1582" s="141">
        <v>0.0833333333333333</v>
      </c>
      <c r="AX1582" s="95"/>
      <c r="AY1582" s="93"/>
    </row>
    <row r="1583" ht="15" spans="1:51">
      <c r="A1583" s="91"/>
      <c r="B1583" s="95"/>
      <c r="C1583" s="152" t="s">
        <v>1455</v>
      </c>
      <c r="D1583" s="153" t="s">
        <v>25</v>
      </c>
      <c r="E1583" s="130" t="s">
        <v>1456</v>
      </c>
      <c r="F1583" s="171" t="s">
        <v>1615</v>
      </c>
      <c r="G1583" s="171" t="s">
        <v>1615</v>
      </c>
      <c r="H1583" s="171" t="s">
        <v>1615</v>
      </c>
      <c r="I1583" s="171" t="s">
        <v>1615</v>
      </c>
      <c r="J1583" s="132">
        <v>0.9</v>
      </c>
      <c r="K1583" s="133">
        <v>0.846153846153846</v>
      </c>
      <c r="L1583" s="133">
        <v>0.826086956521739</v>
      </c>
      <c r="M1583" s="134">
        <v>0.863636363636364</v>
      </c>
      <c r="N1583" s="133">
        <v>0.883990719257541</v>
      </c>
      <c r="O1583" s="135">
        <v>0.9</v>
      </c>
      <c r="P1583" s="133">
        <v>0.981968810916179</v>
      </c>
      <c r="Q1583" s="133">
        <v>0.989842559674962</v>
      </c>
      <c r="R1583" s="133">
        <v>0.985480943738657</v>
      </c>
      <c r="S1583" s="133">
        <v>0.986067039750764</v>
      </c>
      <c r="T1583" s="135">
        <v>0.9</v>
      </c>
      <c r="U1583" s="133">
        <v>0.668615984405458</v>
      </c>
      <c r="V1583" s="133">
        <v>0.618080243778568</v>
      </c>
      <c r="W1583" s="133">
        <v>0.611010284331518</v>
      </c>
      <c r="X1583" s="133">
        <v>0.714446431662147</v>
      </c>
      <c r="Y1583" s="135">
        <v>0.92</v>
      </c>
      <c r="Z1583" s="135" t="s">
        <v>35</v>
      </c>
      <c r="AA1583" s="135" t="s">
        <v>35</v>
      </c>
      <c r="AB1583" s="135" t="s">
        <v>35</v>
      </c>
      <c r="AC1583" s="135" t="s">
        <v>35</v>
      </c>
      <c r="AD1583" s="135">
        <v>0.92</v>
      </c>
      <c r="AE1583" s="133">
        <v>0.985294117647059</v>
      </c>
      <c r="AF1583" s="133">
        <v>0.923076923076923</v>
      </c>
      <c r="AG1583" s="133">
        <v>1</v>
      </c>
      <c r="AH1583" s="133">
        <v>0.985943775100402</v>
      </c>
      <c r="AI1583" s="135">
        <v>0.92</v>
      </c>
      <c r="AJ1583" s="133">
        <v>0.763157894736842</v>
      </c>
      <c r="AK1583" s="133">
        <v>0.762315896394109</v>
      </c>
      <c r="AL1583" s="133">
        <v>0.770719903206292</v>
      </c>
      <c r="AM1583" s="133">
        <v>0.821496567241678</v>
      </c>
      <c r="AN1583" s="132">
        <v>0.99</v>
      </c>
      <c r="AO1583" s="137">
        <v>1</v>
      </c>
      <c r="AP1583" s="137">
        <v>1</v>
      </c>
      <c r="AQ1583" s="137">
        <v>1</v>
      </c>
      <c r="AR1583" s="137">
        <v>1</v>
      </c>
      <c r="AS1583" s="158">
        <v>0.110069253262963</v>
      </c>
      <c r="AT1583" s="141">
        <v>0.148148148148148</v>
      </c>
      <c r="AU1583" s="141">
        <v>0.0526315789473684</v>
      </c>
      <c r="AV1583" s="141">
        <v>0.0344827586206897</v>
      </c>
      <c r="AW1583" s="141">
        <v>0.123831775700935</v>
      </c>
      <c r="AX1583" s="95"/>
      <c r="AY1583" s="93"/>
    </row>
    <row r="1584" ht="15" spans="1:51">
      <c r="A1584" s="91"/>
      <c r="B1584" s="95"/>
      <c r="C1584" s="152" t="s">
        <v>1455</v>
      </c>
      <c r="D1584" s="153" t="s">
        <v>25</v>
      </c>
      <c r="E1584" s="130" t="s">
        <v>1456</v>
      </c>
      <c r="F1584" s="171" t="s">
        <v>1616</v>
      </c>
      <c r="G1584" s="171" t="s">
        <v>1616</v>
      </c>
      <c r="H1584" s="171" t="s">
        <v>1616</v>
      </c>
      <c r="I1584" s="171" t="s">
        <v>1616</v>
      </c>
      <c r="J1584" s="132">
        <v>0.9</v>
      </c>
      <c r="K1584" s="133">
        <v>1</v>
      </c>
      <c r="L1584" s="133">
        <v>1</v>
      </c>
      <c r="M1584" s="134">
        <v>1</v>
      </c>
      <c r="N1584" s="133">
        <v>0.99364406779661</v>
      </c>
      <c r="O1584" s="135">
        <v>0.9</v>
      </c>
      <c r="P1584" s="133">
        <v>0.952149229521492</v>
      </c>
      <c r="Q1584" s="133">
        <v>0.976353928299008</v>
      </c>
      <c r="R1584" s="133">
        <v>0.95221363316936</v>
      </c>
      <c r="S1584" s="133">
        <v>0.968204067014207</v>
      </c>
      <c r="T1584" s="135">
        <v>0.9</v>
      </c>
      <c r="U1584" s="133">
        <v>0.798864557988646</v>
      </c>
      <c r="V1584" s="133">
        <v>0.902364607170099</v>
      </c>
      <c r="W1584" s="133">
        <v>0.735066760365425</v>
      </c>
      <c r="X1584" s="133">
        <v>0.790401528114927</v>
      </c>
      <c r="Y1584" s="135">
        <v>0.92</v>
      </c>
      <c r="Z1584" s="135">
        <v>0.871698113207547</v>
      </c>
      <c r="AA1584" s="135">
        <v>0.746819338422392</v>
      </c>
      <c r="AB1584" s="135">
        <v>0.813588850174216</v>
      </c>
      <c r="AC1584" s="135">
        <v>0.848258706467662</v>
      </c>
      <c r="AD1584" s="135">
        <v>0.92</v>
      </c>
      <c r="AE1584" s="133">
        <v>0.908333333333333</v>
      </c>
      <c r="AF1584" s="133">
        <v>0.895833333333333</v>
      </c>
      <c r="AG1584" s="133">
        <v>0.967741935483871</v>
      </c>
      <c r="AH1584" s="133">
        <v>0.925</v>
      </c>
      <c r="AI1584" s="135">
        <v>0.92</v>
      </c>
      <c r="AJ1584" s="133">
        <v>0.923282188125417</v>
      </c>
      <c r="AK1584" s="133">
        <v>0.896041964711493</v>
      </c>
      <c r="AL1584" s="133">
        <v>0.860754570206145</v>
      </c>
      <c r="AM1584" s="133">
        <v>0.899871772196675</v>
      </c>
      <c r="AN1584" s="132">
        <v>0.99</v>
      </c>
      <c r="AO1584" s="137">
        <v>1</v>
      </c>
      <c r="AP1584" s="137">
        <v>1</v>
      </c>
      <c r="AQ1584" s="137">
        <v>1</v>
      </c>
      <c r="AR1584" s="137">
        <v>1</v>
      </c>
      <c r="AS1584" s="158">
        <v>0.110069253262963</v>
      </c>
      <c r="AT1584" s="141">
        <v>0</v>
      </c>
      <c r="AU1584" s="141">
        <v>0</v>
      </c>
      <c r="AV1584" s="141">
        <v>0.1</v>
      </c>
      <c r="AW1584" s="141">
        <v>0.0529411764705882</v>
      </c>
      <c r="AX1584" s="95"/>
      <c r="AY1584" s="93"/>
    </row>
    <row r="1585" ht="15" spans="1:51">
      <c r="A1585" s="91"/>
      <c r="B1585" s="95"/>
      <c r="C1585" s="152" t="s">
        <v>1455</v>
      </c>
      <c r="D1585" s="153" t="s">
        <v>25</v>
      </c>
      <c r="E1585" s="130" t="s">
        <v>1456</v>
      </c>
      <c r="F1585" s="171" t="s">
        <v>1617</v>
      </c>
      <c r="G1585" s="171" t="s">
        <v>1617</v>
      </c>
      <c r="H1585" s="171" t="s">
        <v>1617</v>
      </c>
      <c r="I1585" s="171" t="s">
        <v>1617</v>
      </c>
      <c r="J1585" s="132">
        <v>0.9</v>
      </c>
      <c r="K1585" s="133">
        <v>0.64</v>
      </c>
      <c r="L1585" s="133">
        <v>0.72</v>
      </c>
      <c r="M1585" s="134">
        <v>0.714285714285714</v>
      </c>
      <c r="N1585" s="133">
        <v>0.671487603305785</v>
      </c>
      <c r="O1585" s="135">
        <v>0.9</v>
      </c>
      <c r="P1585" s="133" t="s">
        <v>35</v>
      </c>
      <c r="Q1585" s="133" t="s">
        <v>35</v>
      </c>
      <c r="R1585" s="133">
        <v>0</v>
      </c>
      <c r="S1585" s="133">
        <v>0.166666666666667</v>
      </c>
      <c r="T1585" s="135">
        <v>0.9</v>
      </c>
      <c r="U1585" s="133" t="s">
        <v>35</v>
      </c>
      <c r="V1585" s="133" t="s">
        <v>35</v>
      </c>
      <c r="W1585" s="133">
        <v>1</v>
      </c>
      <c r="X1585" s="133">
        <v>0.5</v>
      </c>
      <c r="Y1585" s="135">
        <v>0.92</v>
      </c>
      <c r="Z1585" s="135" t="s">
        <v>35</v>
      </c>
      <c r="AA1585" s="135" t="s">
        <v>35</v>
      </c>
      <c r="AB1585" s="135" t="s">
        <v>35</v>
      </c>
      <c r="AC1585" s="135" t="s">
        <v>35</v>
      </c>
      <c r="AD1585" s="135">
        <v>0.92</v>
      </c>
      <c r="AE1585" s="133">
        <v>0.0625</v>
      </c>
      <c r="AF1585" s="133">
        <v>0</v>
      </c>
      <c r="AG1585" s="133">
        <v>0</v>
      </c>
      <c r="AH1585" s="133">
        <v>0.0576131687242798</v>
      </c>
      <c r="AI1585" s="135">
        <v>0.92</v>
      </c>
      <c r="AJ1585" s="133">
        <v>0.806057645334636</v>
      </c>
      <c r="AK1585" s="133">
        <v>0.831872946330778</v>
      </c>
      <c r="AL1585" s="133">
        <v>0.888232813159005</v>
      </c>
      <c r="AM1585" s="133">
        <v>0.913704255931361</v>
      </c>
      <c r="AN1585" s="132">
        <v>0.99</v>
      </c>
      <c r="AO1585" s="137" t="s">
        <v>35</v>
      </c>
      <c r="AP1585" s="137" t="s">
        <v>35</v>
      </c>
      <c r="AQ1585" s="137" t="s">
        <v>35</v>
      </c>
      <c r="AR1585" s="137">
        <v>1</v>
      </c>
      <c r="AS1585" s="158">
        <v>0.110069253262963</v>
      </c>
      <c r="AT1585" s="141">
        <v>0.0666666666666667</v>
      </c>
      <c r="AU1585" s="141">
        <v>0.181818181818182</v>
      </c>
      <c r="AV1585" s="141">
        <v>0.333333333333333</v>
      </c>
      <c r="AW1585" s="141">
        <v>0.171581769436997</v>
      </c>
      <c r="AX1585" s="95"/>
      <c r="AY1585" s="93"/>
    </row>
    <row r="1586" ht="15" spans="1:51">
      <c r="A1586" s="91"/>
      <c r="B1586" s="95"/>
      <c r="C1586" s="152" t="s">
        <v>1455</v>
      </c>
      <c r="D1586" s="153" t="s">
        <v>25</v>
      </c>
      <c r="E1586" s="130" t="s">
        <v>1456</v>
      </c>
      <c r="F1586" s="171" t="s">
        <v>1618</v>
      </c>
      <c r="G1586" s="171" t="s">
        <v>1618</v>
      </c>
      <c r="H1586" s="171" t="s">
        <v>1618</v>
      </c>
      <c r="I1586" s="171" t="s">
        <v>1618</v>
      </c>
      <c r="J1586" s="132">
        <v>0.9</v>
      </c>
      <c r="K1586" s="133">
        <v>1</v>
      </c>
      <c r="L1586" s="133">
        <v>1</v>
      </c>
      <c r="M1586" s="134">
        <v>1</v>
      </c>
      <c r="N1586" s="133">
        <v>0.984520123839009</v>
      </c>
      <c r="O1586" s="135">
        <v>0.9</v>
      </c>
      <c r="P1586" s="133">
        <v>0.996989765201686</v>
      </c>
      <c r="Q1586" s="133">
        <v>0.998785670916818</v>
      </c>
      <c r="R1586" s="133">
        <v>0.999373825923607</v>
      </c>
      <c r="S1586" s="133">
        <v>0.996140160424582</v>
      </c>
      <c r="T1586" s="135">
        <v>0.9</v>
      </c>
      <c r="U1586" s="133">
        <v>0.920529801324503</v>
      </c>
      <c r="V1586" s="133">
        <v>0.945962355798421</v>
      </c>
      <c r="W1586" s="133">
        <v>0.961177207263619</v>
      </c>
      <c r="X1586" s="133">
        <v>0.931035522586093</v>
      </c>
      <c r="Y1586" s="135">
        <v>0.92</v>
      </c>
      <c r="Z1586" s="135" t="s">
        <v>35</v>
      </c>
      <c r="AA1586" s="135" t="s">
        <v>35</v>
      </c>
      <c r="AB1586" s="135" t="s">
        <v>35</v>
      </c>
      <c r="AC1586" s="135" t="s">
        <v>35</v>
      </c>
      <c r="AD1586" s="135">
        <v>0.92</v>
      </c>
      <c r="AE1586" s="133">
        <v>0.319148936170213</v>
      </c>
      <c r="AF1586" s="133">
        <v>0.342857142857143</v>
      </c>
      <c r="AG1586" s="133">
        <v>0.205882352941176</v>
      </c>
      <c r="AH1586" s="133">
        <v>0.32512315270936</v>
      </c>
      <c r="AI1586" s="135">
        <v>0.92</v>
      </c>
      <c r="AJ1586" s="133">
        <v>0.973509933774834</v>
      </c>
      <c r="AK1586" s="133">
        <v>0.984820886460231</v>
      </c>
      <c r="AL1586" s="133">
        <v>0.986850344395742</v>
      </c>
      <c r="AM1586" s="133">
        <v>0.984018333685131</v>
      </c>
      <c r="AN1586" s="132">
        <v>0.99</v>
      </c>
      <c r="AO1586" s="137" t="s">
        <v>35</v>
      </c>
      <c r="AP1586" s="137" t="s">
        <v>35</v>
      </c>
      <c r="AQ1586" s="137" t="s">
        <v>35</v>
      </c>
      <c r="AR1586" s="137">
        <v>1</v>
      </c>
      <c r="AS1586" s="158">
        <v>0.110069253262963</v>
      </c>
      <c r="AT1586" s="141">
        <v>0.0666666666666667</v>
      </c>
      <c r="AU1586" s="141">
        <v>0</v>
      </c>
      <c r="AV1586" s="141">
        <v>0.0714285714285714</v>
      </c>
      <c r="AW1586" s="141">
        <v>0.0387596899224806</v>
      </c>
      <c r="AX1586" s="95"/>
      <c r="AY1586" s="93"/>
    </row>
    <row r="1587" ht="15" spans="1:51">
      <c r="A1587" s="91"/>
      <c r="B1587" s="95"/>
      <c r="C1587" s="152" t="s">
        <v>1455</v>
      </c>
      <c r="D1587" s="153" t="s">
        <v>25</v>
      </c>
      <c r="E1587" s="130" t="s">
        <v>1456</v>
      </c>
      <c r="F1587" s="171" t="s">
        <v>1619</v>
      </c>
      <c r="G1587" s="171" t="s">
        <v>1619</v>
      </c>
      <c r="H1587" s="171" t="s">
        <v>1619</v>
      </c>
      <c r="I1587" s="171" t="s">
        <v>1619</v>
      </c>
      <c r="J1587" s="132">
        <v>0.9</v>
      </c>
      <c r="K1587" s="133">
        <v>0.666666666666667</v>
      </c>
      <c r="L1587" s="133">
        <v>0.297297297297297</v>
      </c>
      <c r="M1587" s="134">
        <v>0.447368421052632</v>
      </c>
      <c r="N1587" s="133">
        <v>0.433004231311707</v>
      </c>
      <c r="O1587" s="135">
        <v>0.9</v>
      </c>
      <c r="P1587" s="133">
        <v>0.978082191780822</v>
      </c>
      <c r="Q1587" s="133">
        <v>0.985523897058823</v>
      </c>
      <c r="R1587" s="133">
        <v>0.985461274121068</v>
      </c>
      <c r="S1587" s="133">
        <v>0.978190104166667</v>
      </c>
      <c r="T1587" s="135">
        <v>0.9</v>
      </c>
      <c r="U1587" s="133">
        <v>0.881506849315069</v>
      </c>
      <c r="V1587" s="133">
        <v>0.904411764705882</v>
      </c>
      <c r="W1587" s="133">
        <v>0.885804916732752</v>
      </c>
      <c r="X1587" s="133">
        <v>0.900807291666667</v>
      </c>
      <c r="Y1587" s="135">
        <v>0.92</v>
      </c>
      <c r="Z1587" s="135">
        <v>1</v>
      </c>
      <c r="AA1587" s="135" t="s">
        <v>35</v>
      </c>
      <c r="AB1587" s="135" t="s">
        <v>35</v>
      </c>
      <c r="AC1587" s="135">
        <v>0.333333333333333</v>
      </c>
      <c r="AD1587" s="135">
        <v>0.92</v>
      </c>
      <c r="AE1587" s="133">
        <v>0.913533834586466</v>
      </c>
      <c r="AF1587" s="133">
        <v>0.466666666666667</v>
      </c>
      <c r="AG1587" s="133">
        <v>0.970588235294118</v>
      </c>
      <c r="AH1587" s="133">
        <v>0.947467166979362</v>
      </c>
      <c r="AI1587" s="135">
        <v>0.92</v>
      </c>
      <c r="AJ1587" s="133">
        <v>0.941565852545081</v>
      </c>
      <c r="AK1587" s="133">
        <v>0.951286764705882</v>
      </c>
      <c r="AL1587" s="133">
        <v>0.95664816283373</v>
      </c>
      <c r="AM1587" s="133">
        <v>0.966785151621681</v>
      </c>
      <c r="AN1587" s="132">
        <v>0.99</v>
      </c>
      <c r="AO1587" s="137">
        <v>1</v>
      </c>
      <c r="AP1587" s="137">
        <v>1</v>
      </c>
      <c r="AQ1587" s="137">
        <v>1</v>
      </c>
      <c r="AR1587" s="137">
        <v>1</v>
      </c>
      <c r="AS1587" s="158">
        <v>0.110069253262963</v>
      </c>
      <c r="AT1587" s="141">
        <v>0.208333333333333</v>
      </c>
      <c r="AU1587" s="141">
        <v>0.157894736842105</v>
      </c>
      <c r="AV1587" s="141">
        <v>0.208333333333333</v>
      </c>
      <c r="AW1587" s="141">
        <v>0.141921397379913</v>
      </c>
      <c r="AX1587" s="95"/>
      <c r="AY1587" s="93"/>
    </row>
    <row r="1588" ht="15" spans="1:51">
      <c r="A1588" s="91"/>
      <c r="B1588" s="95"/>
      <c r="C1588" s="152" t="s">
        <v>1455</v>
      </c>
      <c r="D1588" s="153" t="s">
        <v>25</v>
      </c>
      <c r="E1588" s="130" t="s">
        <v>1456</v>
      </c>
      <c r="F1588" s="171" t="s">
        <v>1620</v>
      </c>
      <c r="G1588" s="171" t="s">
        <v>1620</v>
      </c>
      <c r="H1588" s="171" t="s">
        <v>1620</v>
      </c>
      <c r="I1588" s="171" t="s">
        <v>1620</v>
      </c>
      <c r="J1588" s="132">
        <v>0.9</v>
      </c>
      <c r="K1588" s="133">
        <v>0.736842105263158</v>
      </c>
      <c r="L1588" s="133">
        <v>0.684210526315789</v>
      </c>
      <c r="M1588" s="134">
        <v>0.736842105263158</v>
      </c>
      <c r="N1588" s="133">
        <v>0.730458221024259</v>
      </c>
      <c r="O1588" s="135">
        <v>0.9</v>
      </c>
      <c r="P1588" s="133">
        <v>0.997103548153512</v>
      </c>
      <c r="Q1588" s="133">
        <v>0.930714675395526</v>
      </c>
      <c r="R1588" s="133">
        <v>0.99800796812749</v>
      </c>
      <c r="S1588" s="133">
        <v>0.980871282241145</v>
      </c>
      <c r="T1588" s="135">
        <v>0.9</v>
      </c>
      <c r="U1588" s="133">
        <v>0.937726285300507</v>
      </c>
      <c r="V1588" s="133">
        <v>0.937806873977087</v>
      </c>
      <c r="W1588" s="133">
        <v>0.943559096945551</v>
      </c>
      <c r="X1588" s="133">
        <v>0.950882389238554</v>
      </c>
      <c r="Y1588" s="135">
        <v>0.92</v>
      </c>
      <c r="Z1588" s="135" t="s">
        <v>35</v>
      </c>
      <c r="AA1588" s="135" t="s">
        <v>35</v>
      </c>
      <c r="AB1588" s="135" t="s">
        <v>35</v>
      </c>
      <c r="AC1588" s="135" t="s">
        <v>35</v>
      </c>
      <c r="AD1588" s="135">
        <v>0.92</v>
      </c>
      <c r="AE1588" s="133">
        <v>0</v>
      </c>
      <c r="AF1588" s="133">
        <v>0</v>
      </c>
      <c r="AG1588" s="133">
        <v>0</v>
      </c>
      <c r="AH1588" s="133">
        <v>0.137931034482759</v>
      </c>
      <c r="AI1588" s="135">
        <v>0.92</v>
      </c>
      <c r="AJ1588" s="133">
        <v>0.95295794725588</v>
      </c>
      <c r="AK1588" s="133">
        <v>0.971179989124524</v>
      </c>
      <c r="AL1588" s="133">
        <v>0.965608465608466</v>
      </c>
      <c r="AM1588" s="133">
        <v>0.973311335403727</v>
      </c>
      <c r="AN1588" s="132">
        <v>0.99</v>
      </c>
      <c r="AO1588" s="137">
        <v>1</v>
      </c>
      <c r="AP1588" s="137">
        <v>1</v>
      </c>
      <c r="AQ1588" s="137" t="s">
        <v>35</v>
      </c>
      <c r="AR1588" s="137">
        <v>1</v>
      </c>
      <c r="AS1588" s="158">
        <v>0.110069253262963</v>
      </c>
      <c r="AT1588" s="141">
        <v>0.0666666666666667</v>
      </c>
      <c r="AU1588" s="141">
        <v>0.05</v>
      </c>
      <c r="AV1588" s="141">
        <v>0.148148148148148</v>
      </c>
      <c r="AW1588" s="141">
        <v>0.0779569892473118</v>
      </c>
      <c r="AX1588" s="95"/>
      <c r="AY1588" s="93"/>
    </row>
    <row r="1589" ht="15" spans="1:51">
      <c r="A1589" s="91"/>
      <c r="B1589" s="95"/>
      <c r="C1589" s="152" t="s">
        <v>1455</v>
      </c>
      <c r="D1589" s="153" t="s">
        <v>25</v>
      </c>
      <c r="E1589" s="130" t="s">
        <v>1456</v>
      </c>
      <c r="F1589" s="171" t="s">
        <v>1621</v>
      </c>
      <c r="G1589" s="171" t="s">
        <v>1621</v>
      </c>
      <c r="H1589" s="171" t="s">
        <v>1621</v>
      </c>
      <c r="I1589" s="171" t="s">
        <v>1621</v>
      </c>
      <c r="J1589" s="132">
        <v>0.9</v>
      </c>
      <c r="K1589" s="133">
        <v>0.44</v>
      </c>
      <c r="L1589" s="133">
        <v>0.458333333333333</v>
      </c>
      <c r="M1589" s="134">
        <v>0.391304347826087</v>
      </c>
      <c r="N1589" s="133">
        <v>0.589242053789731</v>
      </c>
      <c r="O1589" s="135">
        <v>0.9</v>
      </c>
      <c r="P1589" s="133">
        <v>0</v>
      </c>
      <c r="Q1589" s="133" t="s">
        <v>35</v>
      </c>
      <c r="R1589" s="133">
        <v>0</v>
      </c>
      <c r="S1589" s="133">
        <v>0</v>
      </c>
      <c r="T1589" s="135">
        <v>0.9</v>
      </c>
      <c r="U1589" s="133">
        <v>0</v>
      </c>
      <c r="V1589" s="133" t="s">
        <v>35</v>
      </c>
      <c r="W1589" s="133">
        <v>0</v>
      </c>
      <c r="X1589" s="133">
        <v>0</v>
      </c>
      <c r="Y1589" s="135">
        <v>0.92</v>
      </c>
      <c r="Z1589" s="135" t="s">
        <v>35</v>
      </c>
      <c r="AA1589" s="135" t="s">
        <v>35</v>
      </c>
      <c r="AB1589" s="135" t="s">
        <v>35</v>
      </c>
      <c r="AC1589" s="135" t="s">
        <v>35</v>
      </c>
      <c r="AD1589" s="135">
        <v>0.92</v>
      </c>
      <c r="AE1589" s="133">
        <v>0.925925925925926</v>
      </c>
      <c r="AF1589" s="133">
        <v>0.0526315789473684</v>
      </c>
      <c r="AG1589" s="133">
        <v>0</v>
      </c>
      <c r="AH1589" s="133">
        <v>0.423267326732673</v>
      </c>
      <c r="AI1589" s="135">
        <v>0.92</v>
      </c>
      <c r="AJ1589" s="133">
        <v>0.792705619650168</v>
      </c>
      <c r="AK1589" s="133">
        <v>0.76913680781759</v>
      </c>
      <c r="AL1589" s="133">
        <v>0.697108765488756</v>
      </c>
      <c r="AM1589" s="133">
        <v>0.73428489361232</v>
      </c>
      <c r="AN1589" s="132">
        <v>0.99</v>
      </c>
      <c r="AO1589" s="137" t="s">
        <v>35</v>
      </c>
      <c r="AP1589" s="137">
        <v>1</v>
      </c>
      <c r="AQ1589" s="137" t="s">
        <v>35</v>
      </c>
      <c r="AR1589" s="137">
        <v>1</v>
      </c>
      <c r="AS1589" s="158">
        <v>0.110069253262963</v>
      </c>
      <c r="AT1589" s="141">
        <v>0.037037037037037</v>
      </c>
      <c r="AU1589" s="141">
        <v>0.0344827586206897</v>
      </c>
      <c r="AV1589" s="141">
        <v>0.291666666666667</v>
      </c>
      <c r="AW1589" s="141">
        <v>0.0953800298062593</v>
      </c>
      <c r="AX1589" s="95"/>
      <c r="AY1589" s="93"/>
    </row>
    <row r="1590" ht="15" spans="1:51">
      <c r="A1590" s="91"/>
      <c r="B1590" s="95"/>
      <c r="C1590" s="152" t="s">
        <v>1455</v>
      </c>
      <c r="D1590" s="153" t="s">
        <v>25</v>
      </c>
      <c r="E1590" s="130" t="s">
        <v>1456</v>
      </c>
      <c r="F1590" s="171" t="s">
        <v>1622</v>
      </c>
      <c r="G1590" s="171" t="s">
        <v>1622</v>
      </c>
      <c r="H1590" s="171" t="s">
        <v>1622</v>
      </c>
      <c r="I1590" s="171" t="s">
        <v>1622</v>
      </c>
      <c r="J1590" s="132">
        <v>0.9</v>
      </c>
      <c r="K1590" s="133">
        <v>1</v>
      </c>
      <c r="L1590" s="133">
        <v>1</v>
      </c>
      <c r="M1590" s="134">
        <v>0.967741935483871</v>
      </c>
      <c r="N1590" s="133">
        <v>0.987034035656402</v>
      </c>
      <c r="O1590" s="135">
        <v>0.9</v>
      </c>
      <c r="P1590" s="133">
        <v>0.997621474685695</v>
      </c>
      <c r="Q1590" s="133">
        <v>0.99628629304524</v>
      </c>
      <c r="R1590" s="133">
        <v>0.993649607769892</v>
      </c>
      <c r="S1590" s="133">
        <v>0.995980290456432</v>
      </c>
      <c r="T1590" s="135">
        <v>0.9</v>
      </c>
      <c r="U1590" s="133">
        <v>0.937138973836222</v>
      </c>
      <c r="V1590" s="133">
        <v>0.901755570560432</v>
      </c>
      <c r="W1590" s="133">
        <v>0.89129622711991</v>
      </c>
      <c r="X1590" s="133">
        <v>0.928050440871369</v>
      </c>
      <c r="Y1590" s="135">
        <v>0.92</v>
      </c>
      <c r="Z1590" s="135" t="s">
        <v>35</v>
      </c>
      <c r="AA1590" s="135" t="s">
        <v>35</v>
      </c>
      <c r="AB1590" s="135" t="s">
        <v>35</v>
      </c>
      <c r="AC1590" s="135" t="s">
        <v>35</v>
      </c>
      <c r="AD1590" s="135">
        <v>0.92</v>
      </c>
      <c r="AE1590" s="133">
        <v>1</v>
      </c>
      <c r="AF1590" s="133">
        <v>1</v>
      </c>
      <c r="AG1590" s="133">
        <v>0.997835497835498</v>
      </c>
      <c r="AH1590" s="133">
        <v>0.995729303547963</v>
      </c>
      <c r="AI1590" s="135">
        <v>0.92</v>
      </c>
      <c r="AJ1590" s="133">
        <v>0.959225280326198</v>
      </c>
      <c r="AK1590" s="133">
        <v>0.974004051316678</v>
      </c>
      <c r="AL1590" s="133">
        <v>0.938737392603661</v>
      </c>
      <c r="AM1590" s="133">
        <v>0.976854253112033</v>
      </c>
      <c r="AN1590" s="132">
        <v>0.99</v>
      </c>
      <c r="AO1590" s="137">
        <v>1</v>
      </c>
      <c r="AP1590" s="137">
        <v>1</v>
      </c>
      <c r="AQ1590" s="137">
        <v>1</v>
      </c>
      <c r="AR1590" s="137">
        <v>1</v>
      </c>
      <c r="AS1590" s="158">
        <v>0.110069253262963</v>
      </c>
      <c r="AT1590" s="141">
        <v>0.1</v>
      </c>
      <c r="AU1590" s="141">
        <v>0.08</v>
      </c>
      <c r="AV1590" s="141">
        <v>0.166666666666667</v>
      </c>
      <c r="AW1590" s="141">
        <v>0.0914076782449726</v>
      </c>
      <c r="AX1590" s="95"/>
      <c r="AY1590" s="93"/>
    </row>
    <row r="1591" ht="15" spans="1:51">
      <c r="A1591" s="91"/>
      <c r="B1591" s="95"/>
      <c r="C1591" s="152" t="s">
        <v>1455</v>
      </c>
      <c r="D1591" s="153" t="s">
        <v>25</v>
      </c>
      <c r="E1591" s="130" t="s">
        <v>1456</v>
      </c>
      <c r="F1591" s="171" t="s">
        <v>1623</v>
      </c>
      <c r="G1591" s="171" t="s">
        <v>1623</v>
      </c>
      <c r="H1591" s="171" t="s">
        <v>1623</v>
      </c>
      <c r="I1591" s="171" t="s">
        <v>1623</v>
      </c>
      <c r="J1591" s="132">
        <v>0.9</v>
      </c>
      <c r="K1591" s="133">
        <v>0.958333333333333</v>
      </c>
      <c r="L1591" s="133">
        <v>0.84</v>
      </c>
      <c r="M1591" s="134">
        <v>1</v>
      </c>
      <c r="N1591" s="133">
        <v>0.964365256124722</v>
      </c>
      <c r="O1591" s="135">
        <v>0.9</v>
      </c>
      <c r="P1591" s="133">
        <v>0.984075132707227</v>
      </c>
      <c r="Q1591" s="133">
        <v>0.992782678428228</v>
      </c>
      <c r="R1591" s="133">
        <v>0.993408662900188</v>
      </c>
      <c r="S1591" s="133">
        <v>0.98306540679838</v>
      </c>
      <c r="T1591" s="135">
        <v>0.9</v>
      </c>
      <c r="U1591" s="133">
        <v>0.919559003674969</v>
      </c>
      <c r="V1591" s="133">
        <v>0.899358460304731</v>
      </c>
      <c r="W1591" s="133">
        <v>0.90819209039548</v>
      </c>
      <c r="X1591" s="133">
        <v>0.906839284983843</v>
      </c>
      <c r="Y1591" s="135">
        <v>0.92</v>
      </c>
      <c r="Z1591" s="135" t="s">
        <v>35</v>
      </c>
      <c r="AA1591" s="135" t="s">
        <v>35</v>
      </c>
      <c r="AB1591" s="135">
        <v>1</v>
      </c>
      <c r="AC1591" s="135">
        <v>1</v>
      </c>
      <c r="AD1591" s="135">
        <v>0.92</v>
      </c>
      <c r="AE1591" s="133">
        <v>1</v>
      </c>
      <c r="AF1591" s="133">
        <v>0.997395833333333</v>
      </c>
      <c r="AG1591" s="133">
        <v>1</v>
      </c>
      <c r="AH1591" s="133">
        <v>0.895458321794517</v>
      </c>
      <c r="AI1591" s="135">
        <v>0.92</v>
      </c>
      <c r="AJ1591" s="133">
        <v>0.953450387913434</v>
      </c>
      <c r="AK1591" s="133">
        <v>0.965918203688853</v>
      </c>
      <c r="AL1591" s="133">
        <v>0.954823529411765</v>
      </c>
      <c r="AM1591" s="133">
        <v>0.967910829328152</v>
      </c>
      <c r="AN1591" s="132">
        <v>0.99</v>
      </c>
      <c r="AO1591" s="137">
        <v>1</v>
      </c>
      <c r="AP1591" s="137">
        <v>1</v>
      </c>
      <c r="AQ1591" s="137">
        <v>1</v>
      </c>
      <c r="AR1591" s="137">
        <v>1</v>
      </c>
      <c r="AS1591" s="158">
        <v>0.110069253262963</v>
      </c>
      <c r="AT1591" s="141">
        <v>0.04</v>
      </c>
      <c r="AU1591" s="141">
        <v>0.0357142857142857</v>
      </c>
      <c r="AV1591" s="141">
        <v>0.0454545454545455</v>
      </c>
      <c r="AW1591" s="141">
        <v>0.0543478260869565</v>
      </c>
      <c r="AX1591" s="95"/>
      <c r="AY1591" s="93"/>
    </row>
    <row r="1592" ht="15" spans="1:51">
      <c r="A1592" s="91"/>
      <c r="B1592" s="95"/>
      <c r="C1592" s="152" t="s">
        <v>1455</v>
      </c>
      <c r="D1592" s="153" t="s">
        <v>25</v>
      </c>
      <c r="E1592" s="130" t="s">
        <v>1456</v>
      </c>
      <c r="F1592" s="171" t="s">
        <v>1624</v>
      </c>
      <c r="G1592" s="171" t="s">
        <v>1624</v>
      </c>
      <c r="H1592" s="171" t="s">
        <v>1624</v>
      </c>
      <c r="I1592" s="171" t="s">
        <v>1624</v>
      </c>
      <c r="J1592" s="132">
        <v>0.9</v>
      </c>
      <c r="K1592" s="133">
        <v>0.978723404255319</v>
      </c>
      <c r="L1592" s="133">
        <v>1</v>
      </c>
      <c r="M1592" s="134">
        <v>0.978723404255319</v>
      </c>
      <c r="N1592" s="133">
        <v>0.983534577387486</v>
      </c>
      <c r="O1592" s="135">
        <v>0.9</v>
      </c>
      <c r="P1592" s="133">
        <v>0.975737215378873</v>
      </c>
      <c r="Q1592" s="133">
        <v>0.978252575352919</v>
      </c>
      <c r="R1592" s="133">
        <v>0.95618838992333</v>
      </c>
      <c r="S1592" s="133">
        <v>0.971491002040774</v>
      </c>
      <c r="T1592" s="135">
        <v>0.9</v>
      </c>
      <c r="U1592" s="133">
        <v>0.782754759238522</v>
      </c>
      <c r="V1592" s="133">
        <v>0.798168637924456</v>
      </c>
      <c r="W1592" s="133">
        <v>0.788974078130705</v>
      </c>
      <c r="X1592" s="133">
        <v>0.779534538558265</v>
      </c>
      <c r="Y1592" s="135">
        <v>0.92</v>
      </c>
      <c r="Z1592" s="135">
        <v>0.88933601609658</v>
      </c>
      <c r="AA1592" s="135">
        <v>0.900616860863605</v>
      </c>
      <c r="AB1592" s="135">
        <v>0.891332470892626</v>
      </c>
      <c r="AC1592" s="135">
        <v>0.906941117486491</v>
      </c>
      <c r="AD1592" s="135">
        <v>0.92</v>
      </c>
      <c r="AE1592" s="133">
        <v>1</v>
      </c>
      <c r="AF1592" s="133">
        <v>1</v>
      </c>
      <c r="AG1592" s="133">
        <v>0.847826086956522</v>
      </c>
      <c r="AH1592" s="133">
        <v>0.940145102781137</v>
      </c>
      <c r="AI1592" s="135">
        <v>0.92</v>
      </c>
      <c r="AJ1592" s="133">
        <v>0.925716084356311</v>
      </c>
      <c r="AK1592" s="133">
        <v>0.936780200931144</v>
      </c>
      <c r="AL1592" s="133">
        <v>0.918742586002372</v>
      </c>
      <c r="AM1592" s="133">
        <v>0.93348732527837</v>
      </c>
      <c r="AN1592" s="132">
        <v>0.99</v>
      </c>
      <c r="AO1592" s="137">
        <v>1</v>
      </c>
      <c r="AP1592" s="137">
        <v>1</v>
      </c>
      <c r="AQ1592" s="137">
        <v>1</v>
      </c>
      <c r="AR1592" s="137">
        <v>1</v>
      </c>
      <c r="AS1592" s="158">
        <v>0.110069253262963</v>
      </c>
      <c r="AT1592" s="141">
        <v>0.111111111111111</v>
      </c>
      <c r="AU1592" s="141">
        <v>0.0714285714285714</v>
      </c>
      <c r="AV1592" s="141">
        <v>0</v>
      </c>
      <c r="AW1592" s="141">
        <v>0.0887573964497041</v>
      </c>
      <c r="AX1592" s="95"/>
      <c r="AY1592" s="93"/>
    </row>
    <row r="1593" ht="15" spans="1:51">
      <c r="A1593" s="91"/>
      <c r="B1593" s="95"/>
      <c r="C1593" s="152" t="s">
        <v>1455</v>
      </c>
      <c r="D1593" s="153" t="s">
        <v>25</v>
      </c>
      <c r="E1593" s="130" t="s">
        <v>1456</v>
      </c>
      <c r="F1593" s="171" t="s">
        <v>1625</v>
      </c>
      <c r="G1593" s="171" t="s">
        <v>1625</v>
      </c>
      <c r="H1593" s="171" t="s">
        <v>1625</v>
      </c>
      <c r="I1593" s="171" t="s">
        <v>1625</v>
      </c>
      <c r="J1593" s="132">
        <v>0.9</v>
      </c>
      <c r="K1593" s="133">
        <v>1</v>
      </c>
      <c r="L1593" s="133">
        <v>0.88</v>
      </c>
      <c r="M1593" s="134">
        <v>0.96</v>
      </c>
      <c r="N1593" s="133">
        <v>0.967462039045553</v>
      </c>
      <c r="O1593" s="135">
        <v>0.9</v>
      </c>
      <c r="P1593" s="133">
        <v>0.963793103448276</v>
      </c>
      <c r="Q1593" s="133">
        <v>0.9625</v>
      </c>
      <c r="R1593" s="133">
        <v>0.98314606741573</v>
      </c>
      <c r="S1593" s="133">
        <v>0.960656279704096</v>
      </c>
      <c r="T1593" s="135">
        <v>0.9</v>
      </c>
      <c r="U1593" s="133">
        <v>0.717241379310345</v>
      </c>
      <c r="V1593" s="133">
        <v>0.759375</v>
      </c>
      <c r="W1593" s="133">
        <v>0.706260032102729</v>
      </c>
      <c r="X1593" s="133">
        <v>0.731165020457081</v>
      </c>
      <c r="Y1593" s="135">
        <v>0.92</v>
      </c>
      <c r="Z1593" s="135">
        <v>0.921810699588477</v>
      </c>
      <c r="AA1593" s="135">
        <v>0.844868735083532</v>
      </c>
      <c r="AB1593" s="135">
        <v>0.865625</v>
      </c>
      <c r="AC1593" s="135">
        <v>0.888005662329177</v>
      </c>
      <c r="AD1593" s="135">
        <v>0.92</v>
      </c>
      <c r="AE1593" s="133">
        <v>0.986754966887417</v>
      </c>
      <c r="AF1593" s="133">
        <v>1</v>
      </c>
      <c r="AG1593" s="133">
        <v>0.836363636363636</v>
      </c>
      <c r="AH1593" s="133">
        <v>0.902556681138447</v>
      </c>
      <c r="AI1593" s="135">
        <v>0.92</v>
      </c>
      <c r="AJ1593" s="133">
        <v>0.915894511760513</v>
      </c>
      <c r="AK1593" s="133">
        <v>0.902738432483475</v>
      </c>
      <c r="AL1593" s="133">
        <v>0.889152810768013</v>
      </c>
      <c r="AM1593" s="133">
        <v>0.918414808898494</v>
      </c>
      <c r="AN1593" s="132">
        <v>0.99</v>
      </c>
      <c r="AO1593" s="137">
        <v>1</v>
      </c>
      <c r="AP1593" s="137">
        <v>1</v>
      </c>
      <c r="AQ1593" s="137">
        <v>1</v>
      </c>
      <c r="AR1593" s="137">
        <v>1</v>
      </c>
      <c r="AS1593" s="158">
        <v>0.110069253262963</v>
      </c>
      <c r="AT1593" s="141">
        <v>0.111111111111111</v>
      </c>
      <c r="AU1593" s="141">
        <v>0</v>
      </c>
      <c r="AV1593" s="141">
        <v>0.166666666666667</v>
      </c>
      <c r="AW1593" s="141">
        <v>0.0847457627118644</v>
      </c>
      <c r="AX1593" s="95"/>
      <c r="AY1593" s="93"/>
    </row>
    <row r="1594" ht="15" spans="1:51">
      <c r="A1594" s="91"/>
      <c r="B1594" s="95"/>
      <c r="C1594" s="152" t="s">
        <v>1455</v>
      </c>
      <c r="D1594" s="153" t="s">
        <v>25</v>
      </c>
      <c r="E1594" s="130" t="s">
        <v>1456</v>
      </c>
      <c r="F1594" s="171" t="s">
        <v>1626</v>
      </c>
      <c r="G1594" s="171" t="s">
        <v>1626</v>
      </c>
      <c r="H1594" s="171" t="s">
        <v>1626</v>
      </c>
      <c r="I1594" s="171" t="s">
        <v>1626</v>
      </c>
      <c r="J1594" s="132">
        <v>0.9</v>
      </c>
      <c r="K1594" s="133">
        <v>1</v>
      </c>
      <c r="L1594" s="133">
        <v>0.935483870967742</v>
      </c>
      <c r="M1594" s="134">
        <v>0.9375</v>
      </c>
      <c r="N1594" s="133">
        <v>0.911413969335605</v>
      </c>
      <c r="O1594" s="135">
        <v>0.9</v>
      </c>
      <c r="P1594" s="133">
        <v>0.924395161290323</v>
      </c>
      <c r="Q1594" s="133">
        <v>0.840673575129534</v>
      </c>
      <c r="R1594" s="133">
        <v>0.85104129897635</v>
      </c>
      <c r="S1594" s="133">
        <v>0.752031572338326</v>
      </c>
      <c r="T1594" s="135">
        <v>0.9</v>
      </c>
      <c r="U1594" s="133">
        <v>0.765793010752688</v>
      </c>
      <c r="V1594" s="133">
        <v>0.692357512953368</v>
      </c>
      <c r="W1594" s="133">
        <v>0.718672785033533</v>
      </c>
      <c r="X1594" s="133">
        <v>0.70768678805274</v>
      </c>
      <c r="Y1594" s="135">
        <v>0.92</v>
      </c>
      <c r="Z1594" s="135" t="s">
        <v>35</v>
      </c>
      <c r="AA1594" s="135" t="s">
        <v>35</v>
      </c>
      <c r="AB1594" s="135" t="s">
        <v>35</v>
      </c>
      <c r="AC1594" s="135">
        <v>0</v>
      </c>
      <c r="AD1594" s="135">
        <v>0.92</v>
      </c>
      <c r="AE1594" s="133">
        <v>0.934782608695652</v>
      </c>
      <c r="AF1594" s="133">
        <v>1</v>
      </c>
      <c r="AG1594" s="133">
        <v>1</v>
      </c>
      <c r="AH1594" s="133">
        <v>0.96830985915493</v>
      </c>
      <c r="AI1594" s="135">
        <v>0.92</v>
      </c>
      <c r="AJ1594" s="133">
        <v>0.932795698924731</v>
      </c>
      <c r="AK1594" s="133">
        <v>0.941062176165803</v>
      </c>
      <c r="AL1594" s="133">
        <v>0.954465231203671</v>
      </c>
      <c r="AM1594" s="133">
        <v>0.949377533814085</v>
      </c>
      <c r="AN1594" s="132">
        <v>0.99</v>
      </c>
      <c r="AO1594" s="137">
        <v>1</v>
      </c>
      <c r="AP1594" s="137">
        <v>1</v>
      </c>
      <c r="AQ1594" s="137">
        <v>1</v>
      </c>
      <c r="AR1594" s="137">
        <v>1</v>
      </c>
      <c r="AS1594" s="158">
        <v>0.110069253262963</v>
      </c>
      <c r="AT1594" s="141">
        <v>0.2</v>
      </c>
      <c r="AU1594" s="141">
        <v>0</v>
      </c>
      <c r="AV1594" s="141">
        <v>0.25</v>
      </c>
      <c r="AW1594" s="141">
        <v>0.0787878787878788</v>
      </c>
      <c r="AX1594" s="95"/>
      <c r="AY1594" s="93"/>
    </row>
    <row r="1595" ht="15" spans="1:51">
      <c r="A1595" s="91"/>
      <c r="B1595" s="95"/>
      <c r="C1595" s="152" t="s">
        <v>1455</v>
      </c>
      <c r="D1595" s="153" t="s">
        <v>25</v>
      </c>
      <c r="E1595" s="130" t="s">
        <v>1456</v>
      </c>
      <c r="F1595" s="171" t="s">
        <v>1627</v>
      </c>
      <c r="G1595" s="171" t="s">
        <v>1627</v>
      </c>
      <c r="H1595" s="171" t="s">
        <v>1627</v>
      </c>
      <c r="I1595" s="171" t="s">
        <v>1627</v>
      </c>
      <c r="J1595" s="132">
        <v>0.9</v>
      </c>
      <c r="K1595" s="133">
        <v>1</v>
      </c>
      <c r="L1595" s="133">
        <v>1</v>
      </c>
      <c r="M1595" s="134">
        <v>1</v>
      </c>
      <c r="N1595" s="133">
        <v>1</v>
      </c>
      <c r="O1595" s="135">
        <v>0.9</v>
      </c>
      <c r="P1595" s="133">
        <v>1</v>
      </c>
      <c r="Q1595" s="133">
        <v>1</v>
      </c>
      <c r="R1595" s="133">
        <v>0.998462720983859</v>
      </c>
      <c r="S1595" s="133">
        <v>0.998801751921329</v>
      </c>
      <c r="T1595" s="135">
        <v>0.9</v>
      </c>
      <c r="U1595" s="133">
        <v>0.952602952602953</v>
      </c>
      <c r="V1595" s="133">
        <v>0.930591259640103</v>
      </c>
      <c r="W1595" s="133">
        <v>0.952344350499616</v>
      </c>
      <c r="X1595" s="133">
        <v>0.957400214858276</v>
      </c>
      <c r="Y1595" s="135">
        <v>0.92</v>
      </c>
      <c r="Z1595" s="135" t="s">
        <v>35</v>
      </c>
      <c r="AA1595" s="135" t="s">
        <v>35</v>
      </c>
      <c r="AB1595" s="135" t="s">
        <v>35</v>
      </c>
      <c r="AC1595" s="135" t="s">
        <v>35</v>
      </c>
      <c r="AD1595" s="135">
        <v>0.92</v>
      </c>
      <c r="AE1595" s="133">
        <v>1</v>
      </c>
      <c r="AF1595" s="133">
        <v>1</v>
      </c>
      <c r="AG1595" s="133">
        <v>1</v>
      </c>
      <c r="AH1595" s="133">
        <v>0.99406779661017</v>
      </c>
      <c r="AI1595" s="135">
        <v>0.92</v>
      </c>
      <c r="AJ1595" s="133">
        <v>0.966588966588967</v>
      </c>
      <c r="AK1595" s="133">
        <v>0.952870608397601</v>
      </c>
      <c r="AL1595" s="133">
        <v>0.981552651806303</v>
      </c>
      <c r="AM1595" s="133">
        <v>0.978431534583919</v>
      </c>
      <c r="AN1595" s="132">
        <v>0.99</v>
      </c>
      <c r="AO1595" s="137">
        <v>1</v>
      </c>
      <c r="AP1595" s="137">
        <v>1</v>
      </c>
      <c r="AQ1595" s="137">
        <v>1</v>
      </c>
      <c r="AR1595" s="137">
        <v>1</v>
      </c>
      <c r="AS1595" s="158">
        <v>0.110069253262963</v>
      </c>
      <c r="AT1595" s="141">
        <v>0</v>
      </c>
      <c r="AU1595" s="141">
        <v>0</v>
      </c>
      <c r="AV1595" s="141">
        <v>0.0666666666666667</v>
      </c>
      <c r="AW1595" s="141">
        <v>0.0610687022900763</v>
      </c>
      <c r="AX1595" s="95"/>
      <c r="AY1595" s="93"/>
    </row>
    <row r="1596" ht="15" spans="1:51">
      <c r="A1596" s="91"/>
      <c r="B1596" s="95"/>
      <c r="C1596" s="152" t="s">
        <v>1455</v>
      </c>
      <c r="D1596" s="153" t="s">
        <v>25</v>
      </c>
      <c r="E1596" s="130" t="s">
        <v>1456</v>
      </c>
      <c r="F1596" s="171" t="s">
        <v>1628</v>
      </c>
      <c r="G1596" s="171" t="s">
        <v>1628</v>
      </c>
      <c r="H1596" s="171" t="s">
        <v>1628</v>
      </c>
      <c r="I1596" s="171" t="s">
        <v>1628</v>
      </c>
      <c r="J1596" s="132">
        <v>0.9</v>
      </c>
      <c r="K1596" s="133">
        <v>0.933333333333333</v>
      </c>
      <c r="L1596" s="133">
        <v>0.928571428571429</v>
      </c>
      <c r="M1596" s="134">
        <v>0.933333333333333</v>
      </c>
      <c r="N1596" s="133">
        <v>0.898832684824903</v>
      </c>
      <c r="O1596" s="135">
        <v>0.9</v>
      </c>
      <c r="P1596" s="133">
        <v>0.920487521764364</v>
      </c>
      <c r="Q1596" s="133">
        <v>0.856897538637665</v>
      </c>
      <c r="R1596" s="133">
        <v>0.875</v>
      </c>
      <c r="S1596" s="133">
        <v>0.906219450530929</v>
      </c>
      <c r="T1596" s="135">
        <v>0.9</v>
      </c>
      <c r="U1596" s="133">
        <v>0.867092280905398</v>
      </c>
      <c r="V1596" s="133">
        <v>0.811104751001717</v>
      </c>
      <c r="W1596" s="133">
        <v>0.8425</v>
      </c>
      <c r="X1596" s="133">
        <v>0.879521321422552</v>
      </c>
      <c r="Y1596" s="135">
        <v>0.92</v>
      </c>
      <c r="Z1596" s="135">
        <v>0.943349753694581</v>
      </c>
      <c r="AA1596" s="135">
        <v>0.917847025495751</v>
      </c>
      <c r="AB1596" s="135">
        <v>0.906976744186046</v>
      </c>
      <c r="AC1596" s="135">
        <v>0.941534877469647</v>
      </c>
      <c r="AD1596" s="135">
        <v>0.92</v>
      </c>
      <c r="AE1596" s="133">
        <v>0.919786096256685</v>
      </c>
      <c r="AF1596" s="133">
        <v>0.540540540540541</v>
      </c>
      <c r="AG1596" s="133">
        <v>0.888888888888889</v>
      </c>
      <c r="AH1596" s="133">
        <v>0.89500193723363</v>
      </c>
      <c r="AI1596" s="135">
        <v>0.92</v>
      </c>
      <c r="AJ1596" s="133">
        <v>0.928994082840237</v>
      </c>
      <c r="AK1596" s="133">
        <v>0.925020374898125</v>
      </c>
      <c r="AL1596" s="133">
        <v>0.915574963609898</v>
      </c>
      <c r="AM1596" s="133">
        <v>0.95320343905676</v>
      </c>
      <c r="AN1596" s="132">
        <v>0.99</v>
      </c>
      <c r="AO1596" s="137">
        <v>1</v>
      </c>
      <c r="AP1596" s="137">
        <v>1</v>
      </c>
      <c r="AQ1596" s="137" t="s">
        <v>35</v>
      </c>
      <c r="AR1596" s="137">
        <v>1</v>
      </c>
      <c r="AS1596" s="158">
        <v>0.110069253262963</v>
      </c>
      <c r="AT1596" s="141">
        <v>0.1875</v>
      </c>
      <c r="AU1596" s="141">
        <v>0</v>
      </c>
      <c r="AV1596" s="141">
        <v>0</v>
      </c>
      <c r="AW1596" s="141">
        <v>0.0889679715302491</v>
      </c>
      <c r="AX1596" s="95"/>
      <c r="AY1596" s="93"/>
    </row>
    <row r="1597" ht="15" spans="1:51">
      <c r="A1597" s="91"/>
      <c r="B1597" s="95"/>
      <c r="C1597" s="152" t="s">
        <v>1455</v>
      </c>
      <c r="D1597" s="153" t="s">
        <v>25</v>
      </c>
      <c r="E1597" s="130" t="s">
        <v>1456</v>
      </c>
      <c r="F1597" s="171" t="s">
        <v>1629</v>
      </c>
      <c r="G1597" s="171" t="s">
        <v>1629</v>
      </c>
      <c r="H1597" s="171" t="s">
        <v>1629</v>
      </c>
      <c r="I1597" s="171" t="s">
        <v>1629</v>
      </c>
      <c r="J1597" s="132">
        <v>0.9</v>
      </c>
      <c r="K1597" s="133">
        <v>1</v>
      </c>
      <c r="L1597" s="133">
        <v>1</v>
      </c>
      <c r="M1597" s="134">
        <v>0.956521739130435</v>
      </c>
      <c r="N1597" s="133">
        <v>0.967567567567568</v>
      </c>
      <c r="O1597" s="135">
        <v>0.9</v>
      </c>
      <c r="P1597" s="133">
        <v>0.921572983781382</v>
      </c>
      <c r="Q1597" s="133">
        <v>0.905566824430922</v>
      </c>
      <c r="R1597" s="133">
        <v>0.951790943906285</v>
      </c>
      <c r="S1597" s="133">
        <v>0.932391481094322</v>
      </c>
      <c r="T1597" s="135">
        <v>0.9</v>
      </c>
      <c r="U1597" s="133">
        <v>0.93512552766052</v>
      </c>
      <c r="V1597" s="133">
        <v>0.925850800090151</v>
      </c>
      <c r="W1597" s="133">
        <v>0.931966659157468</v>
      </c>
      <c r="X1597" s="133">
        <v>0.946614294613914</v>
      </c>
      <c r="Y1597" s="135">
        <v>0.92</v>
      </c>
      <c r="Z1597" s="135">
        <v>0</v>
      </c>
      <c r="AA1597" s="135" t="s">
        <v>35</v>
      </c>
      <c r="AB1597" s="135">
        <v>0</v>
      </c>
      <c r="AC1597" s="135">
        <v>0.181818181818182</v>
      </c>
      <c r="AD1597" s="135">
        <v>0.92</v>
      </c>
      <c r="AE1597" s="133">
        <v>0.94238683127572</v>
      </c>
      <c r="AF1597" s="133">
        <v>0.923753196930946</v>
      </c>
      <c r="AG1597" s="133">
        <v>0.884615384615385</v>
      </c>
      <c r="AH1597" s="133">
        <v>0.859883057615516</v>
      </c>
      <c r="AI1597" s="135">
        <v>0.92</v>
      </c>
      <c r="AJ1597" s="133">
        <v>0.954242558862728</v>
      </c>
      <c r="AK1597" s="133">
        <v>0.948613928329953</v>
      </c>
      <c r="AL1597" s="133">
        <v>0.945495495495495</v>
      </c>
      <c r="AM1597" s="133">
        <v>0.972392022719834</v>
      </c>
      <c r="AN1597" s="132">
        <v>0.99</v>
      </c>
      <c r="AO1597" s="137">
        <v>1</v>
      </c>
      <c r="AP1597" s="137" t="s">
        <v>35</v>
      </c>
      <c r="AQ1597" s="137" t="s">
        <v>35</v>
      </c>
      <c r="AR1597" s="137">
        <v>1</v>
      </c>
      <c r="AS1597" s="158">
        <v>0.110069253262963</v>
      </c>
      <c r="AT1597" s="141">
        <v>0.0333333333333333</v>
      </c>
      <c r="AU1597" s="141">
        <v>0.027027027027027</v>
      </c>
      <c r="AV1597" s="141">
        <v>0</v>
      </c>
      <c r="AW1597" s="141">
        <v>0.0603715170278638</v>
      </c>
      <c r="AX1597" s="95"/>
      <c r="AY1597" s="93"/>
    </row>
    <row r="1598" ht="15" spans="1:51">
      <c r="A1598" s="91"/>
      <c r="B1598" s="95"/>
      <c r="C1598" s="152" t="s">
        <v>1455</v>
      </c>
      <c r="D1598" s="153" t="s">
        <v>25</v>
      </c>
      <c r="E1598" s="130" t="s">
        <v>1456</v>
      </c>
      <c r="F1598" s="171" t="s">
        <v>1630</v>
      </c>
      <c r="G1598" s="171" t="s">
        <v>1630</v>
      </c>
      <c r="H1598" s="171" t="s">
        <v>1630</v>
      </c>
      <c r="I1598" s="171" t="s">
        <v>1630</v>
      </c>
      <c r="J1598" s="132">
        <v>0.9</v>
      </c>
      <c r="K1598" s="133">
        <v>0.793103448275862</v>
      </c>
      <c r="L1598" s="133">
        <v>0.75</v>
      </c>
      <c r="M1598" s="134">
        <v>0.75</v>
      </c>
      <c r="N1598" s="133">
        <v>0.754901960784314</v>
      </c>
      <c r="O1598" s="135">
        <v>0.9</v>
      </c>
      <c r="P1598" s="133">
        <v>0.729192042224929</v>
      </c>
      <c r="Q1598" s="133">
        <v>0.8</v>
      </c>
      <c r="R1598" s="133">
        <v>0.811780455153949</v>
      </c>
      <c r="S1598" s="133">
        <v>0.694653328734046</v>
      </c>
      <c r="T1598" s="135">
        <v>0.9</v>
      </c>
      <c r="U1598" s="133">
        <v>0.738936256597645</v>
      </c>
      <c r="V1598" s="133">
        <v>0.452647975077882</v>
      </c>
      <c r="W1598" s="133">
        <v>0.492369477911647</v>
      </c>
      <c r="X1598" s="133">
        <v>0.554053121766126</v>
      </c>
      <c r="Y1598" s="135">
        <v>0.92</v>
      </c>
      <c r="Z1598" s="135" t="s">
        <v>35</v>
      </c>
      <c r="AA1598" s="135">
        <v>0</v>
      </c>
      <c r="AB1598" s="135" t="s">
        <v>35</v>
      </c>
      <c r="AC1598" s="135">
        <v>0.444444444444444</v>
      </c>
      <c r="AD1598" s="135">
        <v>0.92</v>
      </c>
      <c r="AE1598" s="133">
        <v>0.904761904761905</v>
      </c>
      <c r="AF1598" s="133">
        <v>0.782608695652174</v>
      </c>
      <c r="AG1598" s="133">
        <v>0.933333333333333</v>
      </c>
      <c r="AH1598" s="133">
        <v>0.948612538540596</v>
      </c>
      <c r="AI1598" s="135">
        <v>0.92</v>
      </c>
      <c r="AJ1598" s="133">
        <v>0.916362159967519</v>
      </c>
      <c r="AK1598" s="133">
        <v>0.879514321295143</v>
      </c>
      <c r="AL1598" s="133">
        <v>0.816599732262383</v>
      </c>
      <c r="AM1598" s="133">
        <v>0.883201810054633</v>
      </c>
      <c r="AN1598" s="132">
        <v>0.99</v>
      </c>
      <c r="AO1598" s="137">
        <v>1</v>
      </c>
      <c r="AP1598" s="137">
        <v>1</v>
      </c>
      <c r="AQ1598" s="137">
        <v>1</v>
      </c>
      <c r="AR1598" s="137">
        <v>1</v>
      </c>
      <c r="AS1598" s="158">
        <v>0.110069253262963</v>
      </c>
      <c r="AT1598" s="141">
        <v>0.0769230769230769</v>
      </c>
      <c r="AU1598" s="141">
        <v>0</v>
      </c>
      <c r="AV1598" s="141">
        <v>0.05</v>
      </c>
      <c r="AW1598" s="141">
        <v>0.0747126436781609</v>
      </c>
      <c r="AX1598" s="95"/>
      <c r="AY1598" s="93"/>
    </row>
    <row r="1599" ht="15" spans="1:51">
      <c r="A1599" s="91"/>
      <c r="B1599" s="95"/>
      <c r="C1599" s="152" t="s">
        <v>1455</v>
      </c>
      <c r="D1599" s="153" t="s">
        <v>125</v>
      </c>
      <c r="E1599" s="130" t="s">
        <v>1456</v>
      </c>
      <c r="F1599" s="171" t="s">
        <v>1631</v>
      </c>
      <c r="G1599" s="171" t="s">
        <v>1631</v>
      </c>
      <c r="H1599" s="171" t="s">
        <v>1631</v>
      </c>
      <c r="I1599" s="171" t="s">
        <v>1631</v>
      </c>
      <c r="J1599" s="132">
        <v>0.9</v>
      </c>
      <c r="K1599" s="133" t="s">
        <v>35</v>
      </c>
      <c r="L1599" s="133" t="s">
        <v>35</v>
      </c>
      <c r="M1599" s="134" t="s">
        <v>35</v>
      </c>
      <c r="N1599" s="133" t="s">
        <v>35</v>
      </c>
      <c r="O1599" s="135">
        <v>0.9</v>
      </c>
      <c r="P1599" s="133" t="s">
        <v>35</v>
      </c>
      <c r="Q1599" s="133" t="s">
        <v>35</v>
      </c>
      <c r="R1599" s="133" t="s">
        <v>35</v>
      </c>
      <c r="S1599" s="133">
        <v>0</v>
      </c>
      <c r="T1599" s="135">
        <v>0.9</v>
      </c>
      <c r="U1599" s="133" t="s">
        <v>35</v>
      </c>
      <c r="V1599" s="133" t="s">
        <v>35</v>
      </c>
      <c r="W1599" s="133" t="s">
        <v>35</v>
      </c>
      <c r="X1599" s="133">
        <v>1</v>
      </c>
      <c r="Y1599" s="135">
        <v>0.92</v>
      </c>
      <c r="Z1599" s="135" t="s">
        <v>35</v>
      </c>
      <c r="AA1599" s="135" t="s">
        <v>35</v>
      </c>
      <c r="AB1599" s="135" t="s">
        <v>35</v>
      </c>
      <c r="AC1599" s="135" t="s">
        <v>35</v>
      </c>
      <c r="AD1599" s="135">
        <v>0.92</v>
      </c>
      <c r="AE1599" s="133">
        <v>0.839378238341969</v>
      </c>
      <c r="AF1599" s="133">
        <v>0.991379310344828</v>
      </c>
      <c r="AG1599" s="133">
        <v>1</v>
      </c>
      <c r="AH1599" s="133">
        <v>0.771649347188916</v>
      </c>
      <c r="AI1599" s="135">
        <v>0.92</v>
      </c>
      <c r="AJ1599" s="133" t="s">
        <v>35</v>
      </c>
      <c r="AK1599" s="133" t="s">
        <v>35</v>
      </c>
      <c r="AL1599" s="133" t="s">
        <v>35</v>
      </c>
      <c r="AM1599" s="133">
        <v>1</v>
      </c>
      <c r="AN1599" s="132">
        <v>0.99</v>
      </c>
      <c r="AO1599" s="137">
        <v>1</v>
      </c>
      <c r="AP1599" s="137">
        <v>1</v>
      </c>
      <c r="AQ1599" s="137">
        <v>1</v>
      </c>
      <c r="AR1599" s="137">
        <v>1</v>
      </c>
      <c r="AS1599" s="158">
        <v>0.110069253262963</v>
      </c>
      <c r="AT1599" s="141" t="s">
        <v>35</v>
      </c>
      <c r="AU1599" s="141" t="s">
        <v>35</v>
      </c>
      <c r="AV1599" s="141" t="s">
        <v>35</v>
      </c>
      <c r="AW1599" s="141" t="s">
        <v>35</v>
      </c>
      <c r="AX1599" s="95"/>
      <c r="AY1599" s="93"/>
    </row>
    <row r="1600" ht="15" spans="1:51">
      <c r="A1600" s="91"/>
      <c r="B1600" s="95"/>
      <c r="C1600" s="152" t="s">
        <v>1455</v>
      </c>
      <c r="D1600" s="153" t="s">
        <v>125</v>
      </c>
      <c r="E1600" s="130" t="s">
        <v>1456</v>
      </c>
      <c r="F1600" s="171" t="s">
        <v>1632</v>
      </c>
      <c r="G1600" s="171" t="s">
        <v>1632</v>
      </c>
      <c r="H1600" s="171" t="s">
        <v>1632</v>
      </c>
      <c r="I1600" s="171" t="s">
        <v>1632</v>
      </c>
      <c r="J1600" s="132">
        <v>0.9</v>
      </c>
      <c r="K1600" s="133" t="s">
        <v>35</v>
      </c>
      <c r="L1600" s="133" t="s">
        <v>35</v>
      </c>
      <c r="M1600" s="134" t="s">
        <v>35</v>
      </c>
      <c r="N1600" s="133" t="s">
        <v>35</v>
      </c>
      <c r="O1600" s="135">
        <v>0.9</v>
      </c>
      <c r="P1600" s="133" t="s">
        <v>35</v>
      </c>
      <c r="Q1600" s="133" t="s">
        <v>35</v>
      </c>
      <c r="R1600" s="133" t="s">
        <v>35</v>
      </c>
      <c r="S1600" s="133" t="s">
        <v>35</v>
      </c>
      <c r="T1600" s="135">
        <v>0.9</v>
      </c>
      <c r="U1600" s="133" t="s">
        <v>35</v>
      </c>
      <c r="V1600" s="133" t="s">
        <v>35</v>
      </c>
      <c r="W1600" s="133" t="s">
        <v>35</v>
      </c>
      <c r="X1600" s="133" t="s">
        <v>35</v>
      </c>
      <c r="Y1600" s="135">
        <v>0.92</v>
      </c>
      <c r="Z1600" s="135" t="s">
        <v>35</v>
      </c>
      <c r="AA1600" s="135" t="s">
        <v>35</v>
      </c>
      <c r="AB1600" s="135" t="s">
        <v>35</v>
      </c>
      <c r="AC1600" s="135" t="s">
        <v>35</v>
      </c>
      <c r="AD1600" s="135">
        <v>0.92</v>
      </c>
      <c r="AE1600" s="133">
        <v>1</v>
      </c>
      <c r="AF1600" s="133">
        <v>1</v>
      </c>
      <c r="AG1600" s="133">
        <v>1</v>
      </c>
      <c r="AH1600" s="133">
        <v>0.955532819140564</v>
      </c>
      <c r="AI1600" s="135">
        <v>0.92</v>
      </c>
      <c r="AJ1600" s="133" t="s">
        <v>35</v>
      </c>
      <c r="AK1600" s="133" t="s">
        <v>35</v>
      </c>
      <c r="AL1600" s="133" t="s">
        <v>35</v>
      </c>
      <c r="AM1600" s="133">
        <v>1</v>
      </c>
      <c r="AN1600" s="132">
        <v>0.99</v>
      </c>
      <c r="AO1600" s="137">
        <v>1</v>
      </c>
      <c r="AP1600" s="137">
        <v>1</v>
      </c>
      <c r="AQ1600" s="137">
        <v>1</v>
      </c>
      <c r="AR1600" s="137">
        <v>1</v>
      </c>
      <c r="AS1600" s="158">
        <v>0.110069253262963</v>
      </c>
      <c r="AT1600" s="141" t="s">
        <v>35</v>
      </c>
      <c r="AU1600" s="141" t="s">
        <v>35</v>
      </c>
      <c r="AV1600" s="141" t="s">
        <v>35</v>
      </c>
      <c r="AW1600" s="141" t="s">
        <v>35</v>
      </c>
      <c r="AX1600" s="95"/>
      <c r="AY1600" s="93"/>
    </row>
    <row r="1601" ht="15" spans="1:51">
      <c r="A1601" s="91"/>
      <c r="B1601" s="95"/>
      <c r="C1601" s="152" t="s">
        <v>1455</v>
      </c>
      <c r="D1601" s="153" t="s">
        <v>125</v>
      </c>
      <c r="E1601" s="130" t="s">
        <v>1456</v>
      </c>
      <c r="F1601" s="171" t="s">
        <v>1633</v>
      </c>
      <c r="G1601" s="171" t="s">
        <v>1633</v>
      </c>
      <c r="H1601" s="171" t="s">
        <v>1633</v>
      </c>
      <c r="I1601" s="171" t="s">
        <v>1633</v>
      </c>
      <c r="J1601" s="132">
        <v>0.9</v>
      </c>
      <c r="K1601" s="133" t="s">
        <v>35</v>
      </c>
      <c r="L1601" s="133" t="s">
        <v>35</v>
      </c>
      <c r="M1601" s="134" t="s">
        <v>35</v>
      </c>
      <c r="N1601" s="133" t="s">
        <v>35</v>
      </c>
      <c r="O1601" s="135">
        <v>0.9</v>
      </c>
      <c r="P1601" s="133" t="s">
        <v>35</v>
      </c>
      <c r="Q1601" s="133" t="s">
        <v>35</v>
      </c>
      <c r="R1601" s="133" t="s">
        <v>35</v>
      </c>
      <c r="S1601" s="133">
        <v>0</v>
      </c>
      <c r="T1601" s="135">
        <v>0.9</v>
      </c>
      <c r="U1601" s="133" t="s">
        <v>35</v>
      </c>
      <c r="V1601" s="133" t="s">
        <v>35</v>
      </c>
      <c r="W1601" s="133" t="s">
        <v>35</v>
      </c>
      <c r="X1601" s="133">
        <v>1</v>
      </c>
      <c r="Y1601" s="135">
        <v>0.92</v>
      </c>
      <c r="Z1601" s="135" t="s">
        <v>35</v>
      </c>
      <c r="AA1601" s="135" t="s">
        <v>35</v>
      </c>
      <c r="AB1601" s="135" t="s">
        <v>35</v>
      </c>
      <c r="AC1601" s="135" t="s">
        <v>35</v>
      </c>
      <c r="AD1601" s="135">
        <v>0.92</v>
      </c>
      <c r="AE1601" s="133">
        <v>0.984615384615385</v>
      </c>
      <c r="AF1601" s="133">
        <v>0.914893617021277</v>
      </c>
      <c r="AG1601" s="133">
        <v>0.873417721518987</v>
      </c>
      <c r="AH1601" s="133">
        <v>0.833197056418643</v>
      </c>
      <c r="AI1601" s="135">
        <v>0.92</v>
      </c>
      <c r="AJ1601" s="133" t="s">
        <v>35</v>
      </c>
      <c r="AK1601" s="133" t="s">
        <v>35</v>
      </c>
      <c r="AL1601" s="133" t="s">
        <v>35</v>
      </c>
      <c r="AM1601" s="133">
        <v>1</v>
      </c>
      <c r="AN1601" s="132">
        <v>0.99</v>
      </c>
      <c r="AO1601" s="137" t="s">
        <v>35</v>
      </c>
      <c r="AP1601" s="137" t="s">
        <v>35</v>
      </c>
      <c r="AQ1601" s="137">
        <v>1</v>
      </c>
      <c r="AR1601" s="137">
        <v>1</v>
      </c>
      <c r="AS1601" s="158">
        <v>0.110069253262963</v>
      </c>
      <c r="AT1601" s="141" t="s">
        <v>35</v>
      </c>
      <c r="AU1601" s="141" t="s">
        <v>35</v>
      </c>
      <c r="AV1601" s="141" t="s">
        <v>35</v>
      </c>
      <c r="AW1601" s="141" t="s">
        <v>35</v>
      </c>
      <c r="AX1601" s="95"/>
      <c r="AY1601" s="93"/>
    </row>
    <row r="1602" ht="15" spans="1:51">
      <c r="A1602" s="91"/>
      <c r="B1602" s="95"/>
      <c r="C1602" s="152" t="s">
        <v>1455</v>
      </c>
      <c r="D1602" s="153" t="s">
        <v>125</v>
      </c>
      <c r="E1602" s="130" t="s">
        <v>1456</v>
      </c>
      <c r="F1602" s="171" t="s">
        <v>1634</v>
      </c>
      <c r="G1602" s="171" t="s">
        <v>1634</v>
      </c>
      <c r="H1602" s="171" t="s">
        <v>1634</v>
      </c>
      <c r="I1602" s="171" t="s">
        <v>1634</v>
      </c>
      <c r="J1602" s="132">
        <v>0.9</v>
      </c>
      <c r="K1602" s="133" t="s">
        <v>35</v>
      </c>
      <c r="L1602" s="133" t="s">
        <v>35</v>
      </c>
      <c r="M1602" s="134" t="s">
        <v>35</v>
      </c>
      <c r="N1602" s="133" t="s">
        <v>35</v>
      </c>
      <c r="O1602" s="135">
        <v>0.9</v>
      </c>
      <c r="P1602" s="133" t="s">
        <v>35</v>
      </c>
      <c r="Q1602" s="133" t="s">
        <v>35</v>
      </c>
      <c r="R1602" s="133" t="s">
        <v>35</v>
      </c>
      <c r="S1602" s="133">
        <v>0</v>
      </c>
      <c r="T1602" s="135">
        <v>0.9</v>
      </c>
      <c r="U1602" s="133" t="s">
        <v>35</v>
      </c>
      <c r="V1602" s="133" t="s">
        <v>35</v>
      </c>
      <c r="W1602" s="133" t="s">
        <v>35</v>
      </c>
      <c r="X1602" s="133">
        <v>0.5</v>
      </c>
      <c r="Y1602" s="135">
        <v>0.92</v>
      </c>
      <c r="Z1602" s="135" t="s">
        <v>35</v>
      </c>
      <c r="AA1602" s="135" t="s">
        <v>35</v>
      </c>
      <c r="AB1602" s="135" t="s">
        <v>35</v>
      </c>
      <c r="AC1602" s="135" t="s">
        <v>35</v>
      </c>
      <c r="AD1602" s="135">
        <v>0.92</v>
      </c>
      <c r="AE1602" s="133">
        <v>1</v>
      </c>
      <c r="AF1602" s="133">
        <v>1</v>
      </c>
      <c r="AG1602" s="133">
        <v>0.971428571428571</v>
      </c>
      <c r="AH1602" s="133">
        <v>0.976052848885219</v>
      </c>
      <c r="AI1602" s="135">
        <v>0.92</v>
      </c>
      <c r="AJ1602" s="133" t="s">
        <v>35</v>
      </c>
      <c r="AK1602" s="133" t="s">
        <v>35</v>
      </c>
      <c r="AL1602" s="133" t="s">
        <v>35</v>
      </c>
      <c r="AM1602" s="133">
        <v>0.5</v>
      </c>
      <c r="AN1602" s="132">
        <v>0.99</v>
      </c>
      <c r="AO1602" s="137">
        <v>1</v>
      </c>
      <c r="AP1602" s="137" t="s">
        <v>35</v>
      </c>
      <c r="AQ1602" s="137" t="s">
        <v>35</v>
      </c>
      <c r="AR1602" s="137">
        <v>1</v>
      </c>
      <c r="AS1602" s="158">
        <v>0.110069253262963</v>
      </c>
      <c r="AT1602" s="141" t="s">
        <v>35</v>
      </c>
      <c r="AU1602" s="141" t="s">
        <v>35</v>
      </c>
      <c r="AV1602" s="141" t="s">
        <v>35</v>
      </c>
      <c r="AW1602" s="141" t="s">
        <v>35</v>
      </c>
      <c r="AX1602" s="95"/>
      <c r="AY1602" s="93"/>
    </row>
    <row r="1603" ht="15" spans="1:51">
      <c r="A1603" s="91"/>
      <c r="B1603" s="95"/>
      <c r="C1603" s="152" t="s">
        <v>1455</v>
      </c>
      <c r="D1603" s="153" t="s">
        <v>25</v>
      </c>
      <c r="E1603" s="130" t="s">
        <v>1456</v>
      </c>
      <c r="F1603" s="171" t="s">
        <v>1635</v>
      </c>
      <c r="G1603" s="171" t="s">
        <v>1635</v>
      </c>
      <c r="H1603" s="171" t="s">
        <v>1635</v>
      </c>
      <c r="I1603" s="171" t="s">
        <v>1635</v>
      </c>
      <c r="J1603" s="132">
        <v>0.9</v>
      </c>
      <c r="K1603" s="133">
        <v>0.970588235294118</v>
      </c>
      <c r="L1603" s="133">
        <v>1</v>
      </c>
      <c r="M1603" s="134">
        <v>0.941176470588235</v>
      </c>
      <c r="N1603" s="133">
        <v>0.982954545454545</v>
      </c>
      <c r="O1603" s="135">
        <v>0.9</v>
      </c>
      <c r="P1603" s="133">
        <v>0.967231324632047</v>
      </c>
      <c r="Q1603" s="133">
        <v>0.957142857142857</v>
      </c>
      <c r="R1603" s="133">
        <v>0.957727147954982</v>
      </c>
      <c r="S1603" s="133">
        <v>0.973496218731821</v>
      </c>
      <c r="T1603" s="135">
        <v>0.9</v>
      </c>
      <c r="U1603" s="133">
        <v>0.968619827825604</v>
      </c>
      <c r="V1603" s="133">
        <v>0.975786924939467</v>
      </c>
      <c r="W1603" s="133">
        <v>0.967883612407357</v>
      </c>
      <c r="X1603" s="133">
        <v>0.973868528214078</v>
      </c>
      <c r="Y1603" s="135">
        <v>0.92</v>
      </c>
      <c r="Z1603" s="135">
        <v>1</v>
      </c>
      <c r="AA1603" s="135">
        <v>0</v>
      </c>
      <c r="AB1603" s="135">
        <v>0.5</v>
      </c>
      <c r="AC1603" s="135">
        <v>0.192307692307692</v>
      </c>
      <c r="AD1603" s="135">
        <v>0.92</v>
      </c>
      <c r="AE1603" s="133">
        <v>0.971698113207547</v>
      </c>
      <c r="AF1603" s="133">
        <v>0.914285714285714</v>
      </c>
      <c r="AG1603" s="133">
        <v>0.975609756097561</v>
      </c>
      <c r="AH1603" s="133">
        <v>0.9338146811071</v>
      </c>
      <c r="AI1603" s="135">
        <v>0.92</v>
      </c>
      <c r="AJ1603" s="133">
        <v>0.973348139922265</v>
      </c>
      <c r="AK1603" s="133">
        <v>0.988622609537642</v>
      </c>
      <c r="AL1603" s="133">
        <v>0.982167352537723</v>
      </c>
      <c r="AM1603" s="133">
        <v>0.986900070904674</v>
      </c>
      <c r="AN1603" s="132">
        <v>0.99</v>
      </c>
      <c r="AO1603" s="137">
        <v>1</v>
      </c>
      <c r="AP1603" s="137">
        <v>1</v>
      </c>
      <c r="AQ1603" s="137">
        <v>1</v>
      </c>
      <c r="AR1603" s="137">
        <v>1</v>
      </c>
      <c r="AS1603" s="158">
        <v>0.110069253262963</v>
      </c>
      <c r="AT1603" s="141">
        <v>0.0833333333333333</v>
      </c>
      <c r="AU1603" s="141">
        <v>0.0344827586206897</v>
      </c>
      <c r="AV1603" s="141">
        <v>0.16</v>
      </c>
      <c r="AW1603" s="141">
        <v>0.0601659751037344</v>
      </c>
      <c r="AX1603" s="95"/>
      <c r="AY1603" s="93"/>
    </row>
    <row r="1604" ht="15" spans="1:51">
      <c r="A1604" s="91"/>
      <c r="B1604" s="95"/>
      <c r="C1604" s="152" t="s">
        <v>1455</v>
      </c>
      <c r="D1604" s="153" t="s">
        <v>125</v>
      </c>
      <c r="E1604" s="130" t="s">
        <v>1456</v>
      </c>
      <c r="F1604" s="171" t="s">
        <v>1636</v>
      </c>
      <c r="G1604" s="171" t="s">
        <v>1636</v>
      </c>
      <c r="H1604" s="171" t="s">
        <v>1636</v>
      </c>
      <c r="I1604" s="171" t="s">
        <v>1636</v>
      </c>
      <c r="J1604" s="132">
        <v>0.9</v>
      </c>
      <c r="K1604" s="133" t="s">
        <v>35</v>
      </c>
      <c r="L1604" s="133" t="s">
        <v>35</v>
      </c>
      <c r="M1604" s="134" t="s">
        <v>35</v>
      </c>
      <c r="N1604" s="133" t="s">
        <v>35</v>
      </c>
      <c r="O1604" s="135">
        <v>0.9</v>
      </c>
      <c r="P1604" s="133" t="s">
        <v>35</v>
      </c>
      <c r="Q1604" s="133" t="s">
        <v>35</v>
      </c>
      <c r="R1604" s="133" t="s">
        <v>35</v>
      </c>
      <c r="S1604" s="133" t="s">
        <v>35</v>
      </c>
      <c r="T1604" s="135">
        <v>0.9</v>
      </c>
      <c r="U1604" s="133" t="s">
        <v>35</v>
      </c>
      <c r="V1604" s="133" t="s">
        <v>35</v>
      </c>
      <c r="W1604" s="133" t="s">
        <v>35</v>
      </c>
      <c r="X1604" s="133" t="s">
        <v>35</v>
      </c>
      <c r="Y1604" s="135">
        <v>0.92</v>
      </c>
      <c r="Z1604" s="135" t="s">
        <v>35</v>
      </c>
      <c r="AA1604" s="135" t="s">
        <v>35</v>
      </c>
      <c r="AB1604" s="135" t="s">
        <v>35</v>
      </c>
      <c r="AC1604" s="135" t="s">
        <v>35</v>
      </c>
      <c r="AD1604" s="135">
        <v>0.92</v>
      </c>
      <c r="AE1604" s="133">
        <v>0.99492385786802</v>
      </c>
      <c r="AF1604" s="133">
        <v>0.922330097087379</v>
      </c>
      <c r="AG1604" s="133">
        <v>0.935483870967742</v>
      </c>
      <c r="AH1604" s="133">
        <v>0.930802204531537</v>
      </c>
      <c r="AI1604" s="135">
        <v>0.92</v>
      </c>
      <c r="AJ1604" s="133" t="s">
        <v>35</v>
      </c>
      <c r="AK1604" s="133" t="s">
        <v>35</v>
      </c>
      <c r="AL1604" s="133" t="s">
        <v>35</v>
      </c>
      <c r="AM1604" s="133" t="s">
        <v>35</v>
      </c>
      <c r="AN1604" s="132">
        <v>0.99</v>
      </c>
      <c r="AO1604" s="137" t="s">
        <v>35</v>
      </c>
      <c r="AP1604" s="137" t="s">
        <v>35</v>
      </c>
      <c r="AQ1604" s="137" t="s">
        <v>35</v>
      </c>
      <c r="AR1604" s="137">
        <v>1</v>
      </c>
      <c r="AS1604" s="158">
        <v>0.110069253262963</v>
      </c>
      <c r="AT1604" s="141" t="s">
        <v>35</v>
      </c>
      <c r="AU1604" s="141" t="s">
        <v>35</v>
      </c>
      <c r="AV1604" s="141" t="s">
        <v>35</v>
      </c>
      <c r="AW1604" s="141" t="s">
        <v>35</v>
      </c>
      <c r="AX1604" s="95"/>
      <c r="AY1604" s="93"/>
    </row>
    <row r="1605" ht="15" spans="1:51">
      <c r="A1605" s="91"/>
      <c r="B1605" s="95"/>
      <c r="C1605" s="152" t="s">
        <v>1455</v>
      </c>
      <c r="D1605" s="153" t="s">
        <v>25</v>
      </c>
      <c r="E1605" s="130" t="s">
        <v>1456</v>
      </c>
      <c r="F1605" s="171" t="s">
        <v>1637</v>
      </c>
      <c r="G1605" s="171" t="s">
        <v>1637</v>
      </c>
      <c r="H1605" s="171" t="s">
        <v>1637</v>
      </c>
      <c r="I1605" s="171" t="s">
        <v>1637</v>
      </c>
      <c r="J1605" s="132">
        <v>0.9</v>
      </c>
      <c r="K1605" s="133">
        <v>0.938775510204082</v>
      </c>
      <c r="L1605" s="133">
        <v>0.980769230769231</v>
      </c>
      <c r="M1605" s="134">
        <v>0.928571428571429</v>
      </c>
      <c r="N1605" s="133">
        <v>0.939091915836102</v>
      </c>
      <c r="O1605" s="135">
        <v>0.9</v>
      </c>
      <c r="P1605" s="133">
        <v>0.989869472043639</v>
      </c>
      <c r="Q1605" s="133">
        <v>0.992424242424242</v>
      </c>
      <c r="R1605" s="133">
        <v>0.991730411412032</v>
      </c>
      <c r="S1605" s="133">
        <v>0.991231590702869</v>
      </c>
      <c r="T1605" s="135">
        <v>0.9</v>
      </c>
      <c r="U1605" s="133">
        <v>0.81531268264173</v>
      </c>
      <c r="V1605" s="133">
        <v>0.669485553206483</v>
      </c>
      <c r="W1605" s="133">
        <v>0.698573495968576</v>
      </c>
      <c r="X1605" s="133">
        <v>0.796991694004327</v>
      </c>
      <c r="Y1605" s="135">
        <v>0.92</v>
      </c>
      <c r="Z1605" s="135" t="s">
        <v>35</v>
      </c>
      <c r="AA1605" s="135">
        <v>0</v>
      </c>
      <c r="AB1605" s="135">
        <v>0</v>
      </c>
      <c r="AC1605" s="135">
        <v>0</v>
      </c>
      <c r="AD1605" s="135">
        <v>0.92</v>
      </c>
      <c r="AE1605" s="133">
        <v>1</v>
      </c>
      <c r="AF1605" s="133">
        <v>1</v>
      </c>
      <c r="AG1605" s="133">
        <v>1</v>
      </c>
      <c r="AH1605" s="133">
        <v>0.929807692307692</v>
      </c>
      <c r="AI1605" s="135">
        <v>0.92</v>
      </c>
      <c r="AJ1605" s="133">
        <v>0.941554646405611</v>
      </c>
      <c r="AK1605" s="133">
        <v>0.897128765192884</v>
      </c>
      <c r="AL1605" s="133">
        <v>0.839834881320949</v>
      </c>
      <c r="AM1605" s="133">
        <v>0.924479938621423</v>
      </c>
      <c r="AN1605" s="132">
        <v>0.99</v>
      </c>
      <c r="AO1605" s="137">
        <v>1</v>
      </c>
      <c r="AP1605" s="137" t="s">
        <v>35</v>
      </c>
      <c r="AQ1605" s="137" t="s">
        <v>35</v>
      </c>
      <c r="AR1605" s="137">
        <v>1</v>
      </c>
      <c r="AS1605" s="158">
        <v>0.110069253262963</v>
      </c>
      <c r="AT1605" s="141">
        <v>0.0333333333333333</v>
      </c>
      <c r="AU1605" s="141">
        <v>0.08</v>
      </c>
      <c r="AV1605" s="141">
        <v>0.02</v>
      </c>
      <c r="AW1605" s="141">
        <v>0.0560652395514781</v>
      </c>
      <c r="AX1605" s="95"/>
      <c r="AY1605" s="93"/>
    </row>
    <row r="1606" ht="15" spans="1:51">
      <c r="A1606" s="91"/>
      <c r="B1606" s="95"/>
      <c r="C1606" s="152" t="s">
        <v>1455</v>
      </c>
      <c r="D1606" s="153" t="s">
        <v>25</v>
      </c>
      <c r="E1606" s="130" t="s">
        <v>1456</v>
      </c>
      <c r="F1606" s="171" t="s">
        <v>1638</v>
      </c>
      <c r="G1606" s="171" t="s">
        <v>1638</v>
      </c>
      <c r="H1606" s="171" t="s">
        <v>1638</v>
      </c>
      <c r="I1606" s="171" t="s">
        <v>1638</v>
      </c>
      <c r="J1606" s="132">
        <v>0.9</v>
      </c>
      <c r="K1606" s="133">
        <v>0.911764705882353</v>
      </c>
      <c r="L1606" s="133">
        <v>0.864864864864865</v>
      </c>
      <c r="M1606" s="134">
        <v>0.918918918918919</v>
      </c>
      <c r="N1606" s="133">
        <v>0.906153846153846</v>
      </c>
      <c r="O1606" s="135">
        <v>0.9</v>
      </c>
      <c r="P1606" s="133">
        <v>0.990049751243781</v>
      </c>
      <c r="Q1606" s="133">
        <v>0.984569732937685</v>
      </c>
      <c r="R1606" s="133">
        <v>0.955629338967703</v>
      </c>
      <c r="S1606" s="133">
        <v>0.967676979916303</v>
      </c>
      <c r="T1606" s="135">
        <v>0.9</v>
      </c>
      <c r="U1606" s="133">
        <v>0.675195451314854</v>
      </c>
      <c r="V1606" s="133">
        <v>0.512462908011869</v>
      </c>
      <c r="W1606" s="133">
        <v>0.582251735587081</v>
      </c>
      <c r="X1606" s="133">
        <v>0.549666439039765</v>
      </c>
      <c r="Y1606" s="135">
        <v>0.92</v>
      </c>
      <c r="Z1606" s="135">
        <v>0.783132530120482</v>
      </c>
      <c r="AA1606" s="135">
        <v>0.846363636363636</v>
      </c>
      <c r="AB1606" s="135">
        <v>0.785580524344569</v>
      </c>
      <c r="AC1606" s="135">
        <v>0.853908355795148</v>
      </c>
      <c r="AD1606" s="135">
        <v>0.92</v>
      </c>
      <c r="AE1606" s="133">
        <v>0.9875</v>
      </c>
      <c r="AF1606" s="133">
        <v>0.994318181818182</v>
      </c>
      <c r="AG1606" s="133">
        <v>1</v>
      </c>
      <c r="AH1606" s="133">
        <v>0.993781797625777</v>
      </c>
      <c r="AI1606" s="135">
        <v>0.92</v>
      </c>
      <c r="AJ1606" s="133">
        <v>0.836901518100428</v>
      </c>
      <c r="AK1606" s="133">
        <v>0.868515205724508</v>
      </c>
      <c r="AL1606" s="133">
        <v>0.843186487103401</v>
      </c>
      <c r="AM1606" s="133">
        <v>0.88560243584167</v>
      </c>
      <c r="AN1606" s="132">
        <v>0.99</v>
      </c>
      <c r="AO1606" s="137" t="s">
        <v>35</v>
      </c>
      <c r="AP1606" s="137" t="s">
        <v>35</v>
      </c>
      <c r="AQ1606" s="137">
        <v>1</v>
      </c>
      <c r="AR1606" s="137">
        <v>1</v>
      </c>
      <c r="AS1606" s="158">
        <v>0.110069253262963</v>
      </c>
      <c r="AT1606" s="141">
        <v>0.037037037037037</v>
      </c>
      <c r="AU1606" s="141">
        <v>0.0454545454545455</v>
      </c>
      <c r="AV1606" s="141">
        <v>0.142857142857143</v>
      </c>
      <c r="AW1606" s="141">
        <v>0.0782442748091603</v>
      </c>
      <c r="AX1606" s="95"/>
      <c r="AY1606" s="93"/>
    </row>
    <row r="1607" ht="15" spans="1:51">
      <c r="A1607" s="91"/>
      <c r="B1607" s="95"/>
      <c r="C1607" s="152" t="s">
        <v>1455</v>
      </c>
      <c r="D1607" s="153" t="s">
        <v>125</v>
      </c>
      <c r="E1607" s="130" t="s">
        <v>1456</v>
      </c>
      <c r="F1607" s="171" t="s">
        <v>1639</v>
      </c>
      <c r="G1607" s="171" t="s">
        <v>1639</v>
      </c>
      <c r="H1607" s="171" t="s">
        <v>1639</v>
      </c>
      <c r="I1607" s="171" t="s">
        <v>1639</v>
      </c>
      <c r="J1607" s="132">
        <v>0.9</v>
      </c>
      <c r="K1607" s="133" t="s">
        <v>35</v>
      </c>
      <c r="L1607" s="133" t="s">
        <v>35</v>
      </c>
      <c r="M1607" s="134" t="s">
        <v>35</v>
      </c>
      <c r="N1607" s="133" t="s">
        <v>35</v>
      </c>
      <c r="O1607" s="135">
        <v>0.9</v>
      </c>
      <c r="P1607" s="133" t="s">
        <v>35</v>
      </c>
      <c r="Q1607" s="133" t="s">
        <v>35</v>
      </c>
      <c r="R1607" s="133" t="s">
        <v>35</v>
      </c>
      <c r="S1607" s="133">
        <v>0</v>
      </c>
      <c r="T1607" s="135">
        <v>0.9</v>
      </c>
      <c r="U1607" s="133" t="s">
        <v>35</v>
      </c>
      <c r="V1607" s="133" t="s">
        <v>35</v>
      </c>
      <c r="W1607" s="133" t="s">
        <v>35</v>
      </c>
      <c r="X1607" s="133">
        <v>0</v>
      </c>
      <c r="Y1607" s="135">
        <v>0.92</v>
      </c>
      <c r="Z1607" s="135" t="s">
        <v>35</v>
      </c>
      <c r="AA1607" s="135" t="s">
        <v>35</v>
      </c>
      <c r="AB1607" s="135" t="s">
        <v>35</v>
      </c>
      <c r="AC1607" s="135" t="s">
        <v>35</v>
      </c>
      <c r="AD1607" s="135">
        <v>0.92</v>
      </c>
      <c r="AE1607" s="133">
        <v>0.907142857142857</v>
      </c>
      <c r="AF1607" s="133">
        <v>0.954128440366973</v>
      </c>
      <c r="AG1607" s="133">
        <v>0.639656816015253</v>
      </c>
      <c r="AH1607" s="133">
        <v>0.885344827586207</v>
      </c>
      <c r="AI1607" s="135">
        <v>0.92</v>
      </c>
      <c r="AJ1607" s="133" t="s">
        <v>35</v>
      </c>
      <c r="AK1607" s="133" t="s">
        <v>35</v>
      </c>
      <c r="AL1607" s="133" t="s">
        <v>35</v>
      </c>
      <c r="AM1607" s="133">
        <v>0</v>
      </c>
      <c r="AN1607" s="132">
        <v>0.99</v>
      </c>
      <c r="AO1607" s="137">
        <v>1</v>
      </c>
      <c r="AP1607" s="137">
        <v>1</v>
      </c>
      <c r="AQ1607" s="137">
        <v>1</v>
      </c>
      <c r="AR1607" s="137">
        <v>1</v>
      </c>
      <c r="AS1607" s="158">
        <v>0.110069253262963</v>
      </c>
      <c r="AT1607" s="141" t="s">
        <v>35</v>
      </c>
      <c r="AU1607" s="141" t="s">
        <v>35</v>
      </c>
      <c r="AV1607" s="141" t="s">
        <v>35</v>
      </c>
      <c r="AW1607" s="141" t="s">
        <v>35</v>
      </c>
      <c r="AX1607" s="95"/>
      <c r="AY1607" s="93"/>
    </row>
    <row r="1608" ht="15" spans="1:51">
      <c r="A1608" s="91"/>
      <c r="B1608" s="95"/>
      <c r="C1608" s="152" t="s">
        <v>1455</v>
      </c>
      <c r="D1608" s="153" t="s">
        <v>125</v>
      </c>
      <c r="E1608" s="130" t="s">
        <v>1456</v>
      </c>
      <c r="F1608" s="171" t="s">
        <v>1640</v>
      </c>
      <c r="G1608" s="171" t="s">
        <v>1640</v>
      </c>
      <c r="H1608" s="171" t="s">
        <v>1640</v>
      </c>
      <c r="I1608" s="171" t="s">
        <v>1640</v>
      </c>
      <c r="J1608" s="132">
        <v>0.9</v>
      </c>
      <c r="K1608" s="133" t="s">
        <v>35</v>
      </c>
      <c r="L1608" s="133" t="s">
        <v>35</v>
      </c>
      <c r="M1608" s="134" t="s">
        <v>35</v>
      </c>
      <c r="N1608" s="133" t="s">
        <v>35</v>
      </c>
      <c r="O1608" s="135">
        <v>0.9</v>
      </c>
      <c r="P1608" s="133" t="s">
        <v>35</v>
      </c>
      <c r="Q1608" s="133" t="s">
        <v>35</v>
      </c>
      <c r="R1608" s="133">
        <v>0</v>
      </c>
      <c r="S1608" s="133">
        <v>0</v>
      </c>
      <c r="T1608" s="135">
        <v>0.9</v>
      </c>
      <c r="U1608" s="133" t="s">
        <v>35</v>
      </c>
      <c r="V1608" s="133" t="s">
        <v>35</v>
      </c>
      <c r="W1608" s="133">
        <v>0</v>
      </c>
      <c r="X1608" s="133">
        <v>0.666666666666667</v>
      </c>
      <c r="Y1608" s="135">
        <v>0.92</v>
      </c>
      <c r="Z1608" s="135" t="s">
        <v>35</v>
      </c>
      <c r="AA1608" s="135" t="s">
        <v>35</v>
      </c>
      <c r="AB1608" s="135" t="s">
        <v>35</v>
      </c>
      <c r="AC1608" s="135" t="s">
        <v>35</v>
      </c>
      <c r="AD1608" s="135">
        <v>0.92</v>
      </c>
      <c r="AE1608" s="133">
        <v>0.552083333333333</v>
      </c>
      <c r="AF1608" s="133">
        <v>0.365034965034965</v>
      </c>
      <c r="AG1608" s="133">
        <v>0.925581395348837</v>
      </c>
      <c r="AH1608" s="133">
        <v>0.604576713303296</v>
      </c>
      <c r="AI1608" s="135">
        <v>0.92</v>
      </c>
      <c r="AJ1608" s="133">
        <v>1</v>
      </c>
      <c r="AK1608" s="133" t="s">
        <v>35</v>
      </c>
      <c r="AL1608" s="133">
        <v>1</v>
      </c>
      <c r="AM1608" s="133">
        <v>1</v>
      </c>
      <c r="AN1608" s="132">
        <v>0.99</v>
      </c>
      <c r="AO1608" s="137">
        <v>1</v>
      </c>
      <c r="AP1608" s="137">
        <v>1</v>
      </c>
      <c r="AQ1608" s="137">
        <v>1</v>
      </c>
      <c r="AR1608" s="137">
        <v>1</v>
      </c>
      <c r="AS1608" s="158">
        <v>0.110069253262963</v>
      </c>
      <c r="AT1608" s="141" t="s">
        <v>35</v>
      </c>
      <c r="AU1608" s="141" t="s">
        <v>35</v>
      </c>
      <c r="AV1608" s="141" t="s">
        <v>35</v>
      </c>
      <c r="AW1608" s="141" t="s">
        <v>35</v>
      </c>
      <c r="AX1608" s="95"/>
      <c r="AY1608" s="93"/>
    </row>
    <row r="1609" ht="15" spans="1:51">
      <c r="A1609" s="91"/>
      <c r="B1609" s="95"/>
      <c r="C1609" s="152" t="s">
        <v>1455</v>
      </c>
      <c r="D1609" s="153" t="s">
        <v>25</v>
      </c>
      <c r="E1609" s="130" t="s">
        <v>1456</v>
      </c>
      <c r="F1609" s="171" t="s">
        <v>1641</v>
      </c>
      <c r="G1609" s="171" t="s">
        <v>1641</v>
      </c>
      <c r="H1609" s="171" t="s">
        <v>1641</v>
      </c>
      <c r="I1609" s="171" t="s">
        <v>1641</v>
      </c>
      <c r="J1609" s="132">
        <v>0.9</v>
      </c>
      <c r="K1609" s="133">
        <v>1</v>
      </c>
      <c r="L1609" s="133">
        <v>1</v>
      </c>
      <c r="M1609" s="134">
        <v>0.979166666666667</v>
      </c>
      <c r="N1609" s="133">
        <v>0.978818283166109</v>
      </c>
      <c r="O1609" s="135">
        <v>0.9</v>
      </c>
      <c r="P1609" s="133">
        <v>0.977572559366755</v>
      </c>
      <c r="Q1609" s="133">
        <v>0.976334951456311</v>
      </c>
      <c r="R1609" s="133">
        <v>0.964726631393298</v>
      </c>
      <c r="S1609" s="133">
        <v>0.958229426433915</v>
      </c>
      <c r="T1609" s="135">
        <v>0.9</v>
      </c>
      <c r="U1609" s="133">
        <v>0.840369393139842</v>
      </c>
      <c r="V1609" s="133">
        <v>0.887742718446602</v>
      </c>
      <c r="W1609" s="133">
        <v>0.844209288653733</v>
      </c>
      <c r="X1609" s="133">
        <v>0.853352729287891</v>
      </c>
      <c r="Y1609" s="135">
        <v>0.92</v>
      </c>
      <c r="Z1609" s="135">
        <v>0.882275132275132</v>
      </c>
      <c r="AA1609" s="135">
        <v>0.930976430976431</v>
      </c>
      <c r="AB1609" s="135">
        <v>0.924920127795527</v>
      </c>
      <c r="AC1609" s="135">
        <v>0.932200373698728</v>
      </c>
      <c r="AD1609" s="135">
        <v>0.92</v>
      </c>
      <c r="AE1609" s="133">
        <v>0.375</v>
      </c>
      <c r="AF1609" s="133">
        <v>0.984</v>
      </c>
      <c r="AG1609" s="133">
        <v>1</v>
      </c>
      <c r="AH1609" s="133">
        <v>0.957410562180579</v>
      </c>
      <c r="AI1609" s="135">
        <v>0.92</v>
      </c>
      <c r="AJ1609" s="133">
        <v>0.90554821664465</v>
      </c>
      <c r="AK1609" s="133">
        <v>0.958537672759697</v>
      </c>
      <c r="AL1609" s="133">
        <v>0.948431456811345</v>
      </c>
      <c r="AM1609" s="133">
        <v>0.948102472329748</v>
      </c>
      <c r="AN1609" s="132">
        <v>0.99</v>
      </c>
      <c r="AO1609" s="137" t="s">
        <v>35</v>
      </c>
      <c r="AP1609" s="137">
        <v>1</v>
      </c>
      <c r="AQ1609" s="137">
        <v>1</v>
      </c>
      <c r="AR1609" s="137">
        <v>1</v>
      </c>
      <c r="AS1609" s="158">
        <v>0.110069253262963</v>
      </c>
      <c r="AT1609" s="141">
        <v>0.176470588235294</v>
      </c>
      <c r="AU1609" s="141">
        <v>0.0625</v>
      </c>
      <c r="AV1609" s="141">
        <v>0.0526315789473684</v>
      </c>
      <c r="AW1609" s="141">
        <v>0.0626865671641791</v>
      </c>
      <c r="AX1609" s="95"/>
      <c r="AY1609" s="93"/>
    </row>
    <row r="1610" ht="15" spans="1:51">
      <c r="A1610" s="91"/>
      <c r="B1610" s="95"/>
      <c r="C1610" s="152" t="s">
        <v>1455</v>
      </c>
      <c r="D1610" s="153" t="s">
        <v>125</v>
      </c>
      <c r="E1610" s="130" t="s">
        <v>1456</v>
      </c>
      <c r="F1610" s="171" t="s">
        <v>1642</v>
      </c>
      <c r="G1610" s="171" t="s">
        <v>1642</v>
      </c>
      <c r="H1610" s="171" t="s">
        <v>1642</v>
      </c>
      <c r="I1610" s="171" t="s">
        <v>1642</v>
      </c>
      <c r="J1610" s="132">
        <v>0.9</v>
      </c>
      <c r="K1610" s="133" t="s">
        <v>35</v>
      </c>
      <c r="L1610" s="133" t="s">
        <v>35</v>
      </c>
      <c r="M1610" s="134" t="s">
        <v>35</v>
      </c>
      <c r="N1610" s="133" t="s">
        <v>35</v>
      </c>
      <c r="O1610" s="135">
        <v>0.9</v>
      </c>
      <c r="P1610" s="133" t="s">
        <v>35</v>
      </c>
      <c r="Q1610" s="133">
        <v>0</v>
      </c>
      <c r="R1610" s="133" t="s">
        <v>35</v>
      </c>
      <c r="S1610" s="133">
        <v>0</v>
      </c>
      <c r="T1610" s="135">
        <v>0.9</v>
      </c>
      <c r="U1610" s="133" t="s">
        <v>35</v>
      </c>
      <c r="V1610" s="133">
        <v>0.5</v>
      </c>
      <c r="W1610" s="133" t="s">
        <v>35</v>
      </c>
      <c r="X1610" s="133">
        <v>0.833333333333333</v>
      </c>
      <c r="Y1610" s="135">
        <v>0.92</v>
      </c>
      <c r="Z1610" s="135" t="s">
        <v>35</v>
      </c>
      <c r="AA1610" s="135" t="s">
        <v>35</v>
      </c>
      <c r="AB1610" s="135">
        <v>1</v>
      </c>
      <c r="AC1610" s="135">
        <v>1</v>
      </c>
      <c r="AD1610" s="135">
        <v>0.92</v>
      </c>
      <c r="AE1610" s="133">
        <v>0.824582338902148</v>
      </c>
      <c r="AF1610" s="133">
        <v>0.959239130434783</v>
      </c>
      <c r="AG1610" s="133">
        <v>0.987762237762238</v>
      </c>
      <c r="AH1610" s="133">
        <v>0.97611778275324</v>
      </c>
      <c r="AI1610" s="135">
        <v>0.92</v>
      </c>
      <c r="AJ1610" s="133" t="s">
        <v>35</v>
      </c>
      <c r="AK1610" s="133">
        <v>1</v>
      </c>
      <c r="AL1610" s="133">
        <v>1</v>
      </c>
      <c r="AM1610" s="133">
        <v>0.95</v>
      </c>
      <c r="AN1610" s="132">
        <v>0.99</v>
      </c>
      <c r="AO1610" s="137">
        <v>1</v>
      </c>
      <c r="AP1610" s="137">
        <v>1</v>
      </c>
      <c r="AQ1610" s="137">
        <v>1</v>
      </c>
      <c r="AR1610" s="137">
        <v>1</v>
      </c>
      <c r="AS1610" s="158">
        <v>0.110069253262963</v>
      </c>
      <c r="AT1610" s="141" t="s">
        <v>35</v>
      </c>
      <c r="AU1610" s="141" t="s">
        <v>35</v>
      </c>
      <c r="AV1610" s="141" t="s">
        <v>35</v>
      </c>
      <c r="AW1610" s="141" t="s">
        <v>35</v>
      </c>
      <c r="AX1610" s="95"/>
      <c r="AY1610" s="93"/>
    </row>
    <row r="1611" ht="15" spans="1:51">
      <c r="A1611" s="91"/>
      <c r="B1611" s="95"/>
      <c r="C1611" s="152" t="s">
        <v>1455</v>
      </c>
      <c r="D1611" s="153" t="s">
        <v>125</v>
      </c>
      <c r="E1611" s="130" t="s">
        <v>1456</v>
      </c>
      <c r="F1611" s="171" t="s">
        <v>1643</v>
      </c>
      <c r="G1611" s="171" t="s">
        <v>1643</v>
      </c>
      <c r="H1611" s="171" t="s">
        <v>1643</v>
      </c>
      <c r="I1611" s="171" t="s">
        <v>1643</v>
      </c>
      <c r="J1611" s="132">
        <v>0.9</v>
      </c>
      <c r="K1611" s="133" t="s">
        <v>35</v>
      </c>
      <c r="L1611" s="133" t="s">
        <v>35</v>
      </c>
      <c r="M1611" s="134" t="s">
        <v>35</v>
      </c>
      <c r="N1611" s="133" t="s">
        <v>35</v>
      </c>
      <c r="O1611" s="135">
        <v>0.9</v>
      </c>
      <c r="P1611" s="133" t="s">
        <v>35</v>
      </c>
      <c r="Q1611" s="133" t="s">
        <v>35</v>
      </c>
      <c r="R1611" s="133" t="s">
        <v>35</v>
      </c>
      <c r="S1611" s="133">
        <v>0</v>
      </c>
      <c r="T1611" s="135">
        <v>0.9</v>
      </c>
      <c r="U1611" s="133" t="s">
        <v>35</v>
      </c>
      <c r="V1611" s="133" t="s">
        <v>35</v>
      </c>
      <c r="W1611" s="133" t="s">
        <v>35</v>
      </c>
      <c r="X1611" s="133">
        <v>1</v>
      </c>
      <c r="Y1611" s="135">
        <v>0.92</v>
      </c>
      <c r="Z1611" s="135" t="s">
        <v>35</v>
      </c>
      <c r="AA1611" s="135" t="s">
        <v>35</v>
      </c>
      <c r="AB1611" s="135" t="s">
        <v>35</v>
      </c>
      <c r="AC1611" s="135" t="s">
        <v>35</v>
      </c>
      <c r="AD1611" s="135">
        <v>0.92</v>
      </c>
      <c r="AE1611" s="133">
        <v>0.775641025641026</v>
      </c>
      <c r="AF1611" s="133">
        <v>0.818461538461538</v>
      </c>
      <c r="AG1611" s="133">
        <v>0.981366459627329</v>
      </c>
      <c r="AH1611" s="133">
        <v>0.920964236316933</v>
      </c>
      <c r="AI1611" s="135">
        <v>0.92</v>
      </c>
      <c r="AJ1611" s="133" t="s">
        <v>35</v>
      </c>
      <c r="AK1611" s="133" t="s">
        <v>35</v>
      </c>
      <c r="AL1611" s="133" t="s">
        <v>35</v>
      </c>
      <c r="AM1611" s="133">
        <v>1</v>
      </c>
      <c r="AN1611" s="132">
        <v>0.99</v>
      </c>
      <c r="AO1611" s="137">
        <v>1</v>
      </c>
      <c r="AP1611" s="137">
        <v>1</v>
      </c>
      <c r="AQ1611" s="137">
        <v>1</v>
      </c>
      <c r="AR1611" s="137">
        <v>1</v>
      </c>
      <c r="AS1611" s="158">
        <v>0.110069253262963</v>
      </c>
      <c r="AT1611" s="141" t="s">
        <v>35</v>
      </c>
      <c r="AU1611" s="141" t="s">
        <v>35</v>
      </c>
      <c r="AV1611" s="141" t="s">
        <v>35</v>
      </c>
      <c r="AW1611" s="141" t="s">
        <v>35</v>
      </c>
      <c r="AX1611" s="95"/>
      <c r="AY1611" s="93"/>
    </row>
    <row r="1612" ht="15" spans="1:51">
      <c r="A1612" s="91"/>
      <c r="B1612" s="95"/>
      <c r="C1612" s="152" t="s">
        <v>1455</v>
      </c>
      <c r="D1612" s="153" t="s">
        <v>125</v>
      </c>
      <c r="E1612" s="130" t="s">
        <v>1456</v>
      </c>
      <c r="F1612" s="171" t="s">
        <v>1644</v>
      </c>
      <c r="G1612" s="171" t="s">
        <v>1644</v>
      </c>
      <c r="H1612" s="171" t="s">
        <v>1644</v>
      </c>
      <c r="I1612" s="171" t="s">
        <v>1644</v>
      </c>
      <c r="J1612" s="132">
        <v>0.9</v>
      </c>
      <c r="K1612" s="133" t="s">
        <v>35</v>
      </c>
      <c r="L1612" s="133" t="s">
        <v>35</v>
      </c>
      <c r="M1612" s="134" t="s">
        <v>35</v>
      </c>
      <c r="N1612" s="133" t="s">
        <v>35</v>
      </c>
      <c r="O1612" s="135">
        <v>0.9</v>
      </c>
      <c r="P1612" s="133" t="s">
        <v>35</v>
      </c>
      <c r="Q1612" s="133" t="s">
        <v>35</v>
      </c>
      <c r="R1612" s="133" t="s">
        <v>35</v>
      </c>
      <c r="S1612" s="133" t="s">
        <v>35</v>
      </c>
      <c r="T1612" s="135">
        <v>0.9</v>
      </c>
      <c r="U1612" s="133" t="s">
        <v>35</v>
      </c>
      <c r="V1612" s="133" t="s">
        <v>35</v>
      </c>
      <c r="W1612" s="133" t="s">
        <v>35</v>
      </c>
      <c r="X1612" s="133" t="s">
        <v>35</v>
      </c>
      <c r="Y1612" s="135">
        <v>0.92</v>
      </c>
      <c r="Z1612" s="135" t="s">
        <v>35</v>
      </c>
      <c r="AA1612" s="135" t="s">
        <v>35</v>
      </c>
      <c r="AB1612" s="135" t="s">
        <v>35</v>
      </c>
      <c r="AC1612" s="135" t="s">
        <v>35</v>
      </c>
      <c r="AD1612" s="135">
        <v>0.92</v>
      </c>
      <c r="AE1612" s="133">
        <v>0.9921875</v>
      </c>
      <c r="AF1612" s="133">
        <v>0.928571428571429</v>
      </c>
      <c r="AG1612" s="133">
        <v>1</v>
      </c>
      <c r="AH1612" s="133">
        <v>0.990818363273453</v>
      </c>
      <c r="AI1612" s="135">
        <v>0.92</v>
      </c>
      <c r="AJ1612" s="133" t="s">
        <v>35</v>
      </c>
      <c r="AK1612" s="133" t="s">
        <v>35</v>
      </c>
      <c r="AL1612" s="133" t="s">
        <v>35</v>
      </c>
      <c r="AM1612" s="133" t="s">
        <v>35</v>
      </c>
      <c r="AN1612" s="132">
        <v>0.99</v>
      </c>
      <c r="AO1612" s="137">
        <v>1</v>
      </c>
      <c r="AP1612" s="137">
        <v>1</v>
      </c>
      <c r="AQ1612" s="137" t="s">
        <v>35</v>
      </c>
      <c r="AR1612" s="137">
        <v>1</v>
      </c>
      <c r="AS1612" s="158">
        <v>0.110069253262963</v>
      </c>
      <c r="AT1612" s="141" t="s">
        <v>35</v>
      </c>
      <c r="AU1612" s="141" t="s">
        <v>35</v>
      </c>
      <c r="AV1612" s="141" t="s">
        <v>35</v>
      </c>
      <c r="AW1612" s="141" t="s">
        <v>35</v>
      </c>
      <c r="AX1612" s="95"/>
      <c r="AY1612" s="93"/>
    </row>
    <row r="1613" ht="15" spans="1:51">
      <c r="A1613" s="91"/>
      <c r="B1613" s="95"/>
      <c r="C1613" s="152" t="s">
        <v>1455</v>
      </c>
      <c r="D1613" s="153" t="s">
        <v>125</v>
      </c>
      <c r="E1613" s="130" t="s">
        <v>1456</v>
      </c>
      <c r="F1613" s="171" t="s">
        <v>1645</v>
      </c>
      <c r="G1613" s="171" t="s">
        <v>1645</v>
      </c>
      <c r="H1613" s="171" t="s">
        <v>1645</v>
      </c>
      <c r="I1613" s="171" t="s">
        <v>1645</v>
      </c>
      <c r="J1613" s="132">
        <v>0.9</v>
      </c>
      <c r="K1613" s="133" t="s">
        <v>35</v>
      </c>
      <c r="L1613" s="133" t="s">
        <v>35</v>
      </c>
      <c r="M1613" s="134" t="s">
        <v>35</v>
      </c>
      <c r="N1613" s="133" t="s">
        <v>35</v>
      </c>
      <c r="O1613" s="135">
        <v>0.9</v>
      </c>
      <c r="P1613" s="133" t="s">
        <v>35</v>
      </c>
      <c r="Q1613" s="133" t="s">
        <v>35</v>
      </c>
      <c r="R1613" s="133" t="s">
        <v>35</v>
      </c>
      <c r="S1613" s="133">
        <v>0</v>
      </c>
      <c r="T1613" s="135">
        <v>0.9</v>
      </c>
      <c r="U1613" s="133" t="s">
        <v>35</v>
      </c>
      <c r="V1613" s="133" t="s">
        <v>35</v>
      </c>
      <c r="W1613" s="133" t="s">
        <v>35</v>
      </c>
      <c r="X1613" s="133">
        <v>0.666666666666667</v>
      </c>
      <c r="Y1613" s="135">
        <v>0.92</v>
      </c>
      <c r="Z1613" s="135" t="s">
        <v>35</v>
      </c>
      <c r="AA1613" s="135" t="s">
        <v>35</v>
      </c>
      <c r="AB1613" s="135" t="s">
        <v>35</v>
      </c>
      <c r="AC1613" s="135" t="s">
        <v>35</v>
      </c>
      <c r="AD1613" s="135">
        <v>0.92</v>
      </c>
      <c r="AE1613" s="133">
        <v>0.673946957878315</v>
      </c>
      <c r="AF1613" s="133">
        <v>0.78968253968254</v>
      </c>
      <c r="AG1613" s="133">
        <v>1</v>
      </c>
      <c r="AH1613" s="133">
        <v>0.932041986797966</v>
      </c>
      <c r="AI1613" s="135">
        <v>0.92</v>
      </c>
      <c r="AJ1613" s="133" t="s">
        <v>35</v>
      </c>
      <c r="AK1613" s="133" t="s">
        <v>35</v>
      </c>
      <c r="AL1613" s="133" t="s">
        <v>35</v>
      </c>
      <c r="AM1613" s="133">
        <v>1</v>
      </c>
      <c r="AN1613" s="132">
        <v>0.99</v>
      </c>
      <c r="AO1613" s="137">
        <v>1</v>
      </c>
      <c r="AP1613" s="137">
        <v>1</v>
      </c>
      <c r="AQ1613" s="137">
        <v>1</v>
      </c>
      <c r="AR1613" s="137">
        <v>1</v>
      </c>
      <c r="AS1613" s="158">
        <v>0.110069253262963</v>
      </c>
      <c r="AT1613" s="141" t="s">
        <v>35</v>
      </c>
      <c r="AU1613" s="141" t="s">
        <v>35</v>
      </c>
      <c r="AV1613" s="141" t="s">
        <v>35</v>
      </c>
      <c r="AW1613" s="141" t="s">
        <v>35</v>
      </c>
      <c r="AX1613" s="95"/>
      <c r="AY1613" s="93"/>
    </row>
    <row r="1614" ht="15" spans="1:51">
      <c r="A1614" s="91"/>
      <c r="B1614" s="95"/>
      <c r="C1614" s="152" t="s">
        <v>1455</v>
      </c>
      <c r="D1614" s="153" t="s">
        <v>125</v>
      </c>
      <c r="E1614" s="130" t="s">
        <v>1456</v>
      </c>
      <c r="F1614" s="171" t="s">
        <v>1646</v>
      </c>
      <c r="G1614" s="171" t="s">
        <v>1646</v>
      </c>
      <c r="H1614" s="171" t="s">
        <v>1646</v>
      </c>
      <c r="I1614" s="171" t="s">
        <v>1646</v>
      </c>
      <c r="J1614" s="132">
        <v>0.9</v>
      </c>
      <c r="K1614" s="133" t="s">
        <v>35</v>
      </c>
      <c r="L1614" s="133" t="s">
        <v>35</v>
      </c>
      <c r="M1614" s="134" t="s">
        <v>35</v>
      </c>
      <c r="N1614" s="133" t="s">
        <v>35</v>
      </c>
      <c r="O1614" s="135">
        <v>0.9</v>
      </c>
      <c r="P1614" s="133">
        <v>0</v>
      </c>
      <c r="Q1614" s="133" t="s">
        <v>35</v>
      </c>
      <c r="R1614" s="133" t="s">
        <v>35</v>
      </c>
      <c r="S1614" s="133">
        <v>0</v>
      </c>
      <c r="T1614" s="135">
        <v>0.9</v>
      </c>
      <c r="U1614" s="133">
        <v>0.75</v>
      </c>
      <c r="V1614" s="133" t="s">
        <v>35</v>
      </c>
      <c r="W1614" s="133" t="s">
        <v>35</v>
      </c>
      <c r="X1614" s="133">
        <v>0.75</v>
      </c>
      <c r="Y1614" s="135">
        <v>0.92</v>
      </c>
      <c r="Z1614" s="135" t="s">
        <v>35</v>
      </c>
      <c r="AA1614" s="135" t="s">
        <v>35</v>
      </c>
      <c r="AB1614" s="135" t="s">
        <v>35</v>
      </c>
      <c r="AC1614" s="135" t="s">
        <v>35</v>
      </c>
      <c r="AD1614" s="135">
        <v>0.92</v>
      </c>
      <c r="AE1614" s="133">
        <v>1</v>
      </c>
      <c r="AF1614" s="133">
        <v>0.995475113122172</v>
      </c>
      <c r="AG1614" s="133">
        <v>0.75</v>
      </c>
      <c r="AH1614" s="133">
        <v>0.832749655099225</v>
      </c>
      <c r="AI1614" s="135">
        <v>0.92</v>
      </c>
      <c r="AJ1614" s="133">
        <v>1</v>
      </c>
      <c r="AK1614" s="133" t="s">
        <v>35</v>
      </c>
      <c r="AL1614" s="133" t="s">
        <v>35</v>
      </c>
      <c r="AM1614" s="133">
        <v>1</v>
      </c>
      <c r="AN1614" s="132">
        <v>0.99</v>
      </c>
      <c r="AO1614" s="137">
        <v>1</v>
      </c>
      <c r="AP1614" s="137">
        <v>1</v>
      </c>
      <c r="AQ1614" s="137">
        <v>1</v>
      </c>
      <c r="AR1614" s="137">
        <v>1</v>
      </c>
      <c r="AS1614" s="158">
        <v>0.110069253262963</v>
      </c>
      <c r="AT1614" s="141" t="s">
        <v>35</v>
      </c>
      <c r="AU1614" s="141" t="s">
        <v>35</v>
      </c>
      <c r="AV1614" s="141" t="s">
        <v>35</v>
      </c>
      <c r="AW1614" s="141" t="s">
        <v>35</v>
      </c>
      <c r="AX1614" s="95"/>
      <c r="AY1614" s="93"/>
    </row>
    <row r="1615" ht="15" spans="1:51">
      <c r="A1615" s="91"/>
      <c r="B1615" s="95"/>
      <c r="C1615" s="152" t="s">
        <v>1455</v>
      </c>
      <c r="D1615" s="153" t="s">
        <v>125</v>
      </c>
      <c r="E1615" s="130" t="s">
        <v>1456</v>
      </c>
      <c r="F1615" s="171" t="s">
        <v>1647</v>
      </c>
      <c r="G1615" s="171" t="s">
        <v>1647</v>
      </c>
      <c r="H1615" s="171" t="s">
        <v>1647</v>
      </c>
      <c r="I1615" s="171" t="s">
        <v>1647</v>
      </c>
      <c r="J1615" s="132">
        <v>0.9</v>
      </c>
      <c r="K1615" s="133" t="s">
        <v>35</v>
      </c>
      <c r="L1615" s="133" t="s">
        <v>35</v>
      </c>
      <c r="M1615" s="134" t="s">
        <v>35</v>
      </c>
      <c r="N1615" s="133" t="s">
        <v>35</v>
      </c>
      <c r="O1615" s="135">
        <v>0.9</v>
      </c>
      <c r="P1615" s="133" t="s">
        <v>35</v>
      </c>
      <c r="Q1615" s="133" t="s">
        <v>35</v>
      </c>
      <c r="R1615" s="133" t="s">
        <v>35</v>
      </c>
      <c r="S1615" s="133" t="s">
        <v>35</v>
      </c>
      <c r="T1615" s="135">
        <v>0.9</v>
      </c>
      <c r="U1615" s="133" t="s">
        <v>35</v>
      </c>
      <c r="V1615" s="133" t="s">
        <v>35</v>
      </c>
      <c r="W1615" s="133" t="s">
        <v>35</v>
      </c>
      <c r="X1615" s="133" t="s">
        <v>35</v>
      </c>
      <c r="Y1615" s="135">
        <v>0.92</v>
      </c>
      <c r="Z1615" s="135" t="s">
        <v>35</v>
      </c>
      <c r="AA1615" s="135" t="s">
        <v>35</v>
      </c>
      <c r="AB1615" s="135" t="s">
        <v>35</v>
      </c>
      <c r="AC1615" s="135" t="s">
        <v>35</v>
      </c>
      <c r="AD1615" s="135">
        <v>0.92</v>
      </c>
      <c r="AE1615" s="133">
        <v>1</v>
      </c>
      <c r="AF1615" s="133">
        <v>1</v>
      </c>
      <c r="AG1615" s="133">
        <v>0.995698924731183</v>
      </c>
      <c r="AH1615" s="133">
        <v>0.998847167325428</v>
      </c>
      <c r="AI1615" s="135">
        <v>0.92</v>
      </c>
      <c r="AJ1615" s="133" t="s">
        <v>35</v>
      </c>
      <c r="AK1615" s="133" t="s">
        <v>35</v>
      </c>
      <c r="AL1615" s="133" t="s">
        <v>35</v>
      </c>
      <c r="AM1615" s="133">
        <v>1</v>
      </c>
      <c r="AN1615" s="132">
        <v>0.99</v>
      </c>
      <c r="AO1615" s="137">
        <v>1</v>
      </c>
      <c r="AP1615" s="137">
        <v>1</v>
      </c>
      <c r="AQ1615" s="137">
        <v>1</v>
      </c>
      <c r="AR1615" s="137">
        <v>1</v>
      </c>
      <c r="AS1615" s="158">
        <v>0.110069253262963</v>
      </c>
      <c r="AT1615" s="141" t="s">
        <v>35</v>
      </c>
      <c r="AU1615" s="141" t="s">
        <v>35</v>
      </c>
      <c r="AV1615" s="141" t="s">
        <v>35</v>
      </c>
      <c r="AW1615" s="141" t="s">
        <v>35</v>
      </c>
      <c r="AX1615" s="95"/>
      <c r="AY1615" s="93"/>
    </row>
    <row r="1616" ht="15" spans="1:51">
      <c r="A1616" s="91"/>
      <c r="B1616" s="95"/>
      <c r="C1616" s="152" t="s">
        <v>1455</v>
      </c>
      <c r="D1616" s="153" t="s">
        <v>125</v>
      </c>
      <c r="E1616" s="130" t="s">
        <v>1456</v>
      </c>
      <c r="F1616" s="171" t="s">
        <v>1648</v>
      </c>
      <c r="G1616" s="171" t="s">
        <v>1648</v>
      </c>
      <c r="H1616" s="171" t="s">
        <v>1648</v>
      </c>
      <c r="I1616" s="171" t="s">
        <v>1648</v>
      </c>
      <c r="J1616" s="132">
        <v>0.9</v>
      </c>
      <c r="K1616" s="133" t="s">
        <v>35</v>
      </c>
      <c r="L1616" s="133" t="s">
        <v>35</v>
      </c>
      <c r="M1616" s="134" t="s">
        <v>35</v>
      </c>
      <c r="N1616" s="133" t="s">
        <v>35</v>
      </c>
      <c r="O1616" s="135">
        <v>0.9</v>
      </c>
      <c r="P1616" s="133" t="s">
        <v>35</v>
      </c>
      <c r="Q1616" s="133" t="s">
        <v>35</v>
      </c>
      <c r="R1616" s="133" t="s">
        <v>35</v>
      </c>
      <c r="S1616" s="133" t="s">
        <v>35</v>
      </c>
      <c r="T1616" s="135">
        <v>0.9</v>
      </c>
      <c r="U1616" s="133" t="s">
        <v>35</v>
      </c>
      <c r="V1616" s="133" t="s">
        <v>35</v>
      </c>
      <c r="W1616" s="133" t="s">
        <v>35</v>
      </c>
      <c r="X1616" s="133" t="s">
        <v>35</v>
      </c>
      <c r="Y1616" s="135">
        <v>0.92</v>
      </c>
      <c r="Z1616" s="135" t="s">
        <v>35</v>
      </c>
      <c r="AA1616" s="135" t="s">
        <v>35</v>
      </c>
      <c r="AB1616" s="135" t="s">
        <v>35</v>
      </c>
      <c r="AC1616" s="135" t="s">
        <v>35</v>
      </c>
      <c r="AD1616" s="135">
        <v>0.92</v>
      </c>
      <c r="AE1616" s="133">
        <v>1</v>
      </c>
      <c r="AF1616" s="133">
        <v>0.278625954198473</v>
      </c>
      <c r="AG1616" s="133">
        <v>1</v>
      </c>
      <c r="AH1616" s="133">
        <v>0.717967874486365</v>
      </c>
      <c r="AI1616" s="135">
        <v>0.92</v>
      </c>
      <c r="AJ1616" s="133" t="s">
        <v>35</v>
      </c>
      <c r="AK1616" s="133" t="s">
        <v>35</v>
      </c>
      <c r="AL1616" s="133" t="s">
        <v>35</v>
      </c>
      <c r="AM1616" s="133" t="s">
        <v>35</v>
      </c>
      <c r="AN1616" s="132">
        <v>0.99</v>
      </c>
      <c r="AO1616" s="137">
        <v>1</v>
      </c>
      <c r="AP1616" s="137">
        <v>1</v>
      </c>
      <c r="AQ1616" s="137">
        <v>1</v>
      </c>
      <c r="AR1616" s="137">
        <v>1</v>
      </c>
      <c r="AS1616" s="158">
        <v>0.110069253262963</v>
      </c>
      <c r="AT1616" s="141" t="s">
        <v>35</v>
      </c>
      <c r="AU1616" s="141" t="s">
        <v>35</v>
      </c>
      <c r="AV1616" s="141" t="s">
        <v>35</v>
      </c>
      <c r="AW1616" s="141" t="s">
        <v>35</v>
      </c>
      <c r="AX1616" s="95"/>
      <c r="AY1616" s="93"/>
    </row>
    <row r="1617" ht="15" spans="1:51">
      <c r="A1617" s="91"/>
      <c r="B1617" s="95"/>
      <c r="C1617" s="152" t="s">
        <v>1455</v>
      </c>
      <c r="D1617" s="153" t="s">
        <v>125</v>
      </c>
      <c r="E1617" s="130" t="s">
        <v>1456</v>
      </c>
      <c r="F1617" s="171" t="s">
        <v>1649</v>
      </c>
      <c r="G1617" s="171" t="s">
        <v>1649</v>
      </c>
      <c r="H1617" s="171" t="s">
        <v>1649</v>
      </c>
      <c r="I1617" s="171" t="s">
        <v>1649</v>
      </c>
      <c r="J1617" s="132">
        <v>0.9</v>
      </c>
      <c r="K1617" s="133" t="s">
        <v>35</v>
      </c>
      <c r="L1617" s="133" t="s">
        <v>35</v>
      </c>
      <c r="M1617" s="134" t="s">
        <v>35</v>
      </c>
      <c r="N1617" s="133" t="s">
        <v>35</v>
      </c>
      <c r="O1617" s="135">
        <v>0.9</v>
      </c>
      <c r="P1617" s="133" t="s">
        <v>35</v>
      </c>
      <c r="Q1617" s="133" t="s">
        <v>35</v>
      </c>
      <c r="R1617" s="133" t="s">
        <v>35</v>
      </c>
      <c r="S1617" s="133" t="s">
        <v>35</v>
      </c>
      <c r="T1617" s="135">
        <v>0.9</v>
      </c>
      <c r="U1617" s="133" t="s">
        <v>35</v>
      </c>
      <c r="V1617" s="133" t="s">
        <v>35</v>
      </c>
      <c r="W1617" s="133" t="s">
        <v>35</v>
      </c>
      <c r="X1617" s="133" t="s">
        <v>35</v>
      </c>
      <c r="Y1617" s="135">
        <v>0.92</v>
      </c>
      <c r="Z1617" s="135" t="s">
        <v>35</v>
      </c>
      <c r="AA1617" s="135" t="s">
        <v>35</v>
      </c>
      <c r="AB1617" s="135" t="s">
        <v>35</v>
      </c>
      <c r="AC1617" s="135" t="s">
        <v>35</v>
      </c>
      <c r="AD1617" s="135">
        <v>0.92</v>
      </c>
      <c r="AE1617" s="133">
        <v>1</v>
      </c>
      <c r="AF1617" s="133">
        <v>0.995238095238095</v>
      </c>
      <c r="AG1617" s="133">
        <v>1</v>
      </c>
      <c r="AH1617" s="133">
        <v>0.998524638536441</v>
      </c>
      <c r="AI1617" s="135">
        <v>0.92</v>
      </c>
      <c r="AJ1617" s="133" t="s">
        <v>35</v>
      </c>
      <c r="AK1617" s="133" t="s">
        <v>35</v>
      </c>
      <c r="AL1617" s="133" t="s">
        <v>35</v>
      </c>
      <c r="AM1617" s="133" t="s">
        <v>35</v>
      </c>
      <c r="AN1617" s="132">
        <v>0.99</v>
      </c>
      <c r="AO1617" s="137">
        <v>1</v>
      </c>
      <c r="AP1617" s="137">
        <v>1</v>
      </c>
      <c r="AQ1617" s="137">
        <v>1</v>
      </c>
      <c r="AR1617" s="137">
        <v>1</v>
      </c>
      <c r="AS1617" s="158">
        <v>0.110069253262963</v>
      </c>
      <c r="AT1617" s="141" t="s">
        <v>35</v>
      </c>
      <c r="AU1617" s="141" t="s">
        <v>35</v>
      </c>
      <c r="AV1617" s="141" t="s">
        <v>35</v>
      </c>
      <c r="AW1617" s="141" t="s">
        <v>35</v>
      </c>
      <c r="AX1617" s="95"/>
      <c r="AY1617" s="93"/>
    </row>
    <row r="1618" ht="15" spans="1:51">
      <c r="A1618" s="91"/>
      <c r="B1618" s="95"/>
      <c r="C1618" s="152" t="s">
        <v>1455</v>
      </c>
      <c r="D1618" s="153" t="s">
        <v>125</v>
      </c>
      <c r="E1618" s="130" t="s">
        <v>1456</v>
      </c>
      <c r="F1618" s="171" t="s">
        <v>1650</v>
      </c>
      <c r="G1618" s="171" t="s">
        <v>1650</v>
      </c>
      <c r="H1618" s="171" t="s">
        <v>1650</v>
      </c>
      <c r="I1618" s="171" t="s">
        <v>1650</v>
      </c>
      <c r="J1618" s="132">
        <v>0.9</v>
      </c>
      <c r="K1618" s="133" t="s">
        <v>35</v>
      </c>
      <c r="L1618" s="133" t="s">
        <v>35</v>
      </c>
      <c r="M1618" s="134" t="s">
        <v>35</v>
      </c>
      <c r="N1618" s="133" t="s">
        <v>35</v>
      </c>
      <c r="O1618" s="135">
        <v>0.9</v>
      </c>
      <c r="P1618" s="133" t="s">
        <v>35</v>
      </c>
      <c r="Q1618" s="133" t="s">
        <v>35</v>
      </c>
      <c r="R1618" s="133" t="s">
        <v>35</v>
      </c>
      <c r="S1618" s="133">
        <v>0</v>
      </c>
      <c r="T1618" s="135">
        <v>0.9</v>
      </c>
      <c r="U1618" s="133" t="s">
        <v>35</v>
      </c>
      <c r="V1618" s="133" t="s">
        <v>35</v>
      </c>
      <c r="W1618" s="133" t="s">
        <v>35</v>
      </c>
      <c r="X1618" s="133">
        <v>1</v>
      </c>
      <c r="Y1618" s="135">
        <v>0.92</v>
      </c>
      <c r="Z1618" s="135" t="s">
        <v>35</v>
      </c>
      <c r="AA1618" s="135" t="s">
        <v>35</v>
      </c>
      <c r="AB1618" s="135" t="s">
        <v>35</v>
      </c>
      <c r="AC1618" s="135" t="s">
        <v>35</v>
      </c>
      <c r="AD1618" s="135">
        <v>0.92</v>
      </c>
      <c r="AE1618" s="133">
        <v>0.96373779637378</v>
      </c>
      <c r="AF1618" s="133">
        <v>0.94017094017094</v>
      </c>
      <c r="AG1618" s="133">
        <v>1</v>
      </c>
      <c r="AH1618" s="133">
        <v>0.988752404913423</v>
      </c>
      <c r="AI1618" s="135">
        <v>0.92</v>
      </c>
      <c r="AJ1618" s="133" t="s">
        <v>35</v>
      </c>
      <c r="AK1618" s="133" t="s">
        <v>35</v>
      </c>
      <c r="AL1618" s="133" t="s">
        <v>35</v>
      </c>
      <c r="AM1618" s="133">
        <v>1</v>
      </c>
      <c r="AN1618" s="132">
        <v>0.99</v>
      </c>
      <c r="AO1618" s="137">
        <v>1</v>
      </c>
      <c r="AP1618" s="137">
        <v>1</v>
      </c>
      <c r="AQ1618" s="137">
        <v>1</v>
      </c>
      <c r="AR1618" s="137">
        <v>1</v>
      </c>
      <c r="AS1618" s="158">
        <v>0.110069253262963</v>
      </c>
      <c r="AT1618" s="141" t="s">
        <v>35</v>
      </c>
      <c r="AU1618" s="141" t="s">
        <v>35</v>
      </c>
      <c r="AV1618" s="141" t="s">
        <v>35</v>
      </c>
      <c r="AW1618" s="141" t="s">
        <v>35</v>
      </c>
      <c r="AX1618" s="95"/>
      <c r="AY1618" s="93"/>
    </row>
    <row r="1619" ht="15" spans="1:51">
      <c r="A1619" s="91"/>
      <c r="B1619" s="95"/>
      <c r="C1619" s="152" t="s">
        <v>1455</v>
      </c>
      <c r="D1619" s="153" t="s">
        <v>25</v>
      </c>
      <c r="E1619" s="130" t="s">
        <v>1456</v>
      </c>
      <c r="F1619" s="171" t="s">
        <v>1651</v>
      </c>
      <c r="G1619" s="171" t="s">
        <v>1651</v>
      </c>
      <c r="H1619" s="171" t="s">
        <v>1651</v>
      </c>
      <c r="I1619" s="171" t="s">
        <v>1651</v>
      </c>
      <c r="J1619" s="132">
        <v>0.9</v>
      </c>
      <c r="K1619" s="133">
        <v>0.975609756097561</v>
      </c>
      <c r="L1619" s="133">
        <v>1</v>
      </c>
      <c r="M1619" s="134">
        <v>0.978260869565217</v>
      </c>
      <c r="N1619" s="133">
        <v>0.973902728351127</v>
      </c>
      <c r="O1619" s="135">
        <v>0.9</v>
      </c>
      <c r="P1619" s="133">
        <v>0.956712672521957</v>
      </c>
      <c r="Q1619" s="133">
        <v>0.922462266942882</v>
      </c>
      <c r="R1619" s="133">
        <v>0.960518731988473</v>
      </c>
      <c r="S1619" s="133">
        <v>0.951187380828566</v>
      </c>
      <c r="T1619" s="135">
        <v>0.9</v>
      </c>
      <c r="U1619" s="133">
        <v>0.598494353826851</v>
      </c>
      <c r="V1619" s="133">
        <v>0.524119562000592</v>
      </c>
      <c r="W1619" s="133">
        <v>0.548126801152738</v>
      </c>
      <c r="X1619" s="133">
        <v>0.542121684867395</v>
      </c>
      <c r="Y1619" s="135">
        <v>0.92</v>
      </c>
      <c r="Z1619" s="135">
        <v>0.901253918495298</v>
      </c>
      <c r="AA1619" s="135">
        <v>0.909293680297398</v>
      </c>
      <c r="AB1619" s="135">
        <v>0.848939929328622</v>
      </c>
      <c r="AC1619" s="135">
        <v>0.872206939819507</v>
      </c>
      <c r="AD1619" s="135">
        <v>0.92</v>
      </c>
      <c r="AE1619" s="133">
        <v>1</v>
      </c>
      <c r="AF1619" s="133">
        <v>1</v>
      </c>
      <c r="AG1619" s="133">
        <v>1</v>
      </c>
      <c r="AH1619" s="133">
        <v>0.989885367498314</v>
      </c>
      <c r="AI1619" s="135">
        <v>0.92</v>
      </c>
      <c r="AJ1619" s="133">
        <v>0.917770034843206</v>
      </c>
      <c r="AK1619" s="133">
        <v>0.927180355630821</v>
      </c>
      <c r="AL1619" s="133">
        <v>0.918079096045198</v>
      </c>
      <c r="AM1619" s="133">
        <v>0.913102669342396</v>
      </c>
      <c r="AN1619" s="132">
        <v>0.99</v>
      </c>
      <c r="AO1619" s="137">
        <v>1</v>
      </c>
      <c r="AP1619" s="137" t="s">
        <v>35</v>
      </c>
      <c r="AQ1619" s="137" t="s">
        <v>35</v>
      </c>
      <c r="AR1619" s="137">
        <v>1</v>
      </c>
      <c r="AS1619" s="158">
        <v>0.110069253262963</v>
      </c>
      <c r="AT1619" s="141">
        <v>0.2</v>
      </c>
      <c r="AU1619" s="141">
        <v>0.166666666666667</v>
      </c>
      <c r="AV1619" s="141">
        <v>0.130434782608696</v>
      </c>
      <c r="AW1619" s="141">
        <v>0.107266435986159</v>
      </c>
      <c r="AX1619" s="95"/>
      <c r="AY1619" s="93"/>
    </row>
    <row r="1620" ht="15" spans="1:51">
      <c r="A1620" s="91"/>
      <c r="B1620" s="95"/>
      <c r="C1620" s="152" t="s">
        <v>1455</v>
      </c>
      <c r="D1620" s="153" t="s">
        <v>125</v>
      </c>
      <c r="E1620" s="130" t="s">
        <v>1456</v>
      </c>
      <c r="F1620" s="171" t="s">
        <v>1652</v>
      </c>
      <c r="G1620" s="171" t="s">
        <v>1652</v>
      </c>
      <c r="H1620" s="171" t="s">
        <v>1652</v>
      </c>
      <c r="I1620" s="171" t="s">
        <v>1652</v>
      </c>
      <c r="J1620" s="132">
        <v>0.9</v>
      </c>
      <c r="K1620" s="133" t="s">
        <v>35</v>
      </c>
      <c r="L1620" s="133" t="s">
        <v>35</v>
      </c>
      <c r="M1620" s="134" t="s">
        <v>35</v>
      </c>
      <c r="N1620" s="133" t="s">
        <v>35</v>
      </c>
      <c r="O1620" s="135">
        <v>0.9</v>
      </c>
      <c r="P1620" s="133" t="s">
        <v>35</v>
      </c>
      <c r="Q1620" s="133">
        <v>0</v>
      </c>
      <c r="R1620" s="133" t="s">
        <v>35</v>
      </c>
      <c r="S1620" s="133">
        <v>0</v>
      </c>
      <c r="T1620" s="135">
        <v>0.9</v>
      </c>
      <c r="U1620" s="133" t="s">
        <v>35</v>
      </c>
      <c r="V1620" s="133">
        <v>0</v>
      </c>
      <c r="W1620" s="133" t="s">
        <v>35</v>
      </c>
      <c r="X1620" s="133">
        <v>0.75</v>
      </c>
      <c r="Y1620" s="135">
        <v>0.92</v>
      </c>
      <c r="Z1620" s="135" t="s">
        <v>35</v>
      </c>
      <c r="AA1620" s="135" t="s">
        <v>35</v>
      </c>
      <c r="AB1620" s="135" t="s">
        <v>35</v>
      </c>
      <c r="AC1620" s="135" t="s">
        <v>35</v>
      </c>
      <c r="AD1620" s="135">
        <v>0.92</v>
      </c>
      <c r="AE1620" s="133">
        <v>0.773809523809524</v>
      </c>
      <c r="AF1620" s="133">
        <v>0.990740740740741</v>
      </c>
      <c r="AG1620" s="133">
        <v>1</v>
      </c>
      <c r="AH1620" s="133">
        <v>0.891521197007481</v>
      </c>
      <c r="AI1620" s="135">
        <v>0.92</v>
      </c>
      <c r="AJ1620" s="133" t="s">
        <v>35</v>
      </c>
      <c r="AK1620" s="133">
        <v>0</v>
      </c>
      <c r="AL1620" s="133" t="s">
        <v>35</v>
      </c>
      <c r="AM1620" s="133">
        <v>0.75</v>
      </c>
      <c r="AN1620" s="132">
        <v>0.99</v>
      </c>
      <c r="AO1620" s="137">
        <v>1</v>
      </c>
      <c r="AP1620" s="137">
        <v>1</v>
      </c>
      <c r="AQ1620" s="137">
        <v>1</v>
      </c>
      <c r="AR1620" s="137">
        <v>1</v>
      </c>
      <c r="AS1620" s="158">
        <v>0.110069253262963</v>
      </c>
      <c r="AT1620" s="141" t="s">
        <v>35</v>
      </c>
      <c r="AU1620" s="141" t="s">
        <v>35</v>
      </c>
      <c r="AV1620" s="141" t="s">
        <v>35</v>
      </c>
      <c r="AW1620" s="141" t="s">
        <v>35</v>
      </c>
      <c r="AX1620" s="95"/>
      <c r="AY1620" s="93"/>
    </row>
    <row r="1621" ht="15" spans="1:51">
      <c r="A1621" s="91"/>
      <c r="B1621" s="95"/>
      <c r="C1621" s="152" t="s">
        <v>1455</v>
      </c>
      <c r="D1621" s="153" t="s">
        <v>125</v>
      </c>
      <c r="E1621" s="130" t="s">
        <v>1456</v>
      </c>
      <c r="F1621" s="171" t="s">
        <v>1653</v>
      </c>
      <c r="G1621" s="171" t="s">
        <v>1653</v>
      </c>
      <c r="H1621" s="171" t="s">
        <v>1653</v>
      </c>
      <c r="I1621" s="171" t="s">
        <v>1653</v>
      </c>
      <c r="J1621" s="132">
        <v>0.9</v>
      </c>
      <c r="K1621" s="133" t="s">
        <v>35</v>
      </c>
      <c r="L1621" s="133" t="s">
        <v>35</v>
      </c>
      <c r="M1621" s="134" t="s">
        <v>35</v>
      </c>
      <c r="N1621" s="133" t="s">
        <v>35</v>
      </c>
      <c r="O1621" s="135">
        <v>0.9</v>
      </c>
      <c r="P1621" s="133" t="s">
        <v>35</v>
      </c>
      <c r="Q1621" s="133" t="s">
        <v>35</v>
      </c>
      <c r="R1621" s="133" t="s">
        <v>35</v>
      </c>
      <c r="S1621" s="133" t="s">
        <v>35</v>
      </c>
      <c r="T1621" s="135">
        <v>0.9</v>
      </c>
      <c r="U1621" s="133" t="s">
        <v>35</v>
      </c>
      <c r="V1621" s="133" t="s">
        <v>35</v>
      </c>
      <c r="W1621" s="133" t="s">
        <v>35</v>
      </c>
      <c r="X1621" s="133" t="s">
        <v>35</v>
      </c>
      <c r="Y1621" s="135">
        <v>0.92</v>
      </c>
      <c r="Z1621" s="135" t="s">
        <v>35</v>
      </c>
      <c r="AA1621" s="135" t="s">
        <v>35</v>
      </c>
      <c r="AB1621" s="135" t="s">
        <v>35</v>
      </c>
      <c r="AC1621" s="135" t="s">
        <v>35</v>
      </c>
      <c r="AD1621" s="135">
        <v>0.92</v>
      </c>
      <c r="AE1621" s="133">
        <v>1</v>
      </c>
      <c r="AF1621" s="133">
        <v>0.99438202247191</v>
      </c>
      <c r="AG1621" s="133">
        <v>1</v>
      </c>
      <c r="AH1621" s="133">
        <v>0.990728476821192</v>
      </c>
      <c r="AI1621" s="135">
        <v>0.92</v>
      </c>
      <c r="AJ1621" s="133" t="s">
        <v>35</v>
      </c>
      <c r="AK1621" s="133" t="s">
        <v>35</v>
      </c>
      <c r="AL1621" s="133" t="s">
        <v>35</v>
      </c>
      <c r="AM1621" s="133" t="s">
        <v>35</v>
      </c>
      <c r="AN1621" s="132">
        <v>0.99</v>
      </c>
      <c r="AO1621" s="137">
        <v>1</v>
      </c>
      <c r="AP1621" s="137">
        <v>1</v>
      </c>
      <c r="AQ1621" s="137" t="s">
        <v>35</v>
      </c>
      <c r="AR1621" s="137">
        <v>1</v>
      </c>
      <c r="AS1621" s="158">
        <v>0.110069253262963</v>
      </c>
      <c r="AT1621" s="141" t="s">
        <v>35</v>
      </c>
      <c r="AU1621" s="141" t="s">
        <v>35</v>
      </c>
      <c r="AV1621" s="141" t="s">
        <v>35</v>
      </c>
      <c r="AW1621" s="141" t="s">
        <v>35</v>
      </c>
      <c r="AX1621" s="95"/>
      <c r="AY1621" s="93"/>
    </row>
    <row r="1622" ht="15" spans="1:51">
      <c r="A1622" s="91"/>
      <c r="B1622" s="95"/>
      <c r="C1622" s="152" t="s">
        <v>1455</v>
      </c>
      <c r="D1622" s="153" t="s">
        <v>125</v>
      </c>
      <c r="E1622" s="130" t="s">
        <v>1456</v>
      </c>
      <c r="F1622" s="171" t="s">
        <v>1654</v>
      </c>
      <c r="G1622" s="171" t="s">
        <v>1654</v>
      </c>
      <c r="H1622" s="171" t="s">
        <v>1654</v>
      </c>
      <c r="I1622" s="171" t="s">
        <v>1654</v>
      </c>
      <c r="J1622" s="132">
        <v>0.9</v>
      </c>
      <c r="K1622" s="133" t="s">
        <v>35</v>
      </c>
      <c r="L1622" s="133" t="s">
        <v>35</v>
      </c>
      <c r="M1622" s="134" t="s">
        <v>35</v>
      </c>
      <c r="N1622" s="133" t="s">
        <v>35</v>
      </c>
      <c r="O1622" s="135">
        <v>0.9</v>
      </c>
      <c r="P1622" s="133" t="s">
        <v>35</v>
      </c>
      <c r="Q1622" s="133">
        <v>0</v>
      </c>
      <c r="R1622" s="133" t="s">
        <v>35</v>
      </c>
      <c r="S1622" s="133">
        <v>0</v>
      </c>
      <c r="T1622" s="135">
        <v>0.9</v>
      </c>
      <c r="U1622" s="133" t="s">
        <v>35</v>
      </c>
      <c r="V1622" s="133">
        <v>1</v>
      </c>
      <c r="W1622" s="133" t="s">
        <v>35</v>
      </c>
      <c r="X1622" s="133">
        <v>1</v>
      </c>
      <c r="Y1622" s="135">
        <v>0.92</v>
      </c>
      <c r="Z1622" s="135" t="s">
        <v>35</v>
      </c>
      <c r="AA1622" s="135" t="s">
        <v>35</v>
      </c>
      <c r="AB1622" s="135" t="s">
        <v>35</v>
      </c>
      <c r="AC1622" s="135">
        <v>1</v>
      </c>
      <c r="AD1622" s="135">
        <v>0.92</v>
      </c>
      <c r="AE1622" s="133">
        <v>0.998204667863555</v>
      </c>
      <c r="AF1622" s="133">
        <v>1</v>
      </c>
      <c r="AG1622" s="133">
        <v>0.983870967741935</v>
      </c>
      <c r="AH1622" s="133">
        <v>0.997627953653864</v>
      </c>
      <c r="AI1622" s="135">
        <v>0.92</v>
      </c>
      <c r="AJ1622" s="133" t="s">
        <v>35</v>
      </c>
      <c r="AK1622" s="133">
        <v>1</v>
      </c>
      <c r="AL1622" s="133" t="s">
        <v>35</v>
      </c>
      <c r="AM1622" s="133">
        <v>1</v>
      </c>
      <c r="AN1622" s="132">
        <v>0.99</v>
      </c>
      <c r="AO1622" s="137">
        <v>1</v>
      </c>
      <c r="AP1622" s="137">
        <v>1</v>
      </c>
      <c r="AQ1622" s="137">
        <v>1</v>
      </c>
      <c r="AR1622" s="137">
        <v>1</v>
      </c>
      <c r="AS1622" s="158">
        <v>0.110069253262963</v>
      </c>
      <c r="AT1622" s="141" t="s">
        <v>35</v>
      </c>
      <c r="AU1622" s="141" t="s">
        <v>35</v>
      </c>
      <c r="AV1622" s="141" t="s">
        <v>35</v>
      </c>
      <c r="AW1622" s="141" t="s">
        <v>35</v>
      </c>
      <c r="AX1622" s="95"/>
      <c r="AY1622" s="93"/>
    </row>
    <row r="1623" ht="15" spans="1:51">
      <c r="A1623" s="91"/>
      <c r="B1623" s="95"/>
      <c r="C1623" s="152" t="s">
        <v>1455</v>
      </c>
      <c r="D1623" s="153" t="s">
        <v>25</v>
      </c>
      <c r="E1623" s="130" t="s">
        <v>1456</v>
      </c>
      <c r="F1623" s="171" t="s">
        <v>1655</v>
      </c>
      <c r="G1623" s="171" t="s">
        <v>1655</v>
      </c>
      <c r="H1623" s="171" t="s">
        <v>1655</v>
      </c>
      <c r="I1623" s="171" t="s">
        <v>1655</v>
      </c>
      <c r="J1623" s="132">
        <v>0.9</v>
      </c>
      <c r="K1623" s="133">
        <v>1</v>
      </c>
      <c r="L1623" s="133">
        <v>0.970588235294118</v>
      </c>
      <c r="M1623" s="134">
        <v>0.935483870967742</v>
      </c>
      <c r="N1623" s="133">
        <v>0.9488</v>
      </c>
      <c r="O1623" s="135">
        <v>0.9</v>
      </c>
      <c r="P1623" s="133">
        <v>0.940501043841336</v>
      </c>
      <c r="Q1623" s="133">
        <v>0.880034772529702</v>
      </c>
      <c r="R1623" s="133">
        <v>0.994307891332471</v>
      </c>
      <c r="S1623" s="133">
        <v>0.905757486524895</v>
      </c>
      <c r="T1623" s="135">
        <v>0.9</v>
      </c>
      <c r="U1623" s="133">
        <v>0.977818371607516</v>
      </c>
      <c r="V1623" s="133">
        <v>0.966966096783541</v>
      </c>
      <c r="W1623" s="133">
        <v>0.977490297542044</v>
      </c>
      <c r="X1623" s="133">
        <v>0.987965227188344</v>
      </c>
      <c r="Y1623" s="135">
        <v>0.92</v>
      </c>
      <c r="Z1623" s="135">
        <v>0.2</v>
      </c>
      <c r="AA1623" s="135">
        <v>0.333333333333333</v>
      </c>
      <c r="AB1623" s="135">
        <v>0</v>
      </c>
      <c r="AC1623" s="135">
        <v>0.424460431654676</v>
      </c>
      <c r="AD1623" s="135">
        <v>0.92</v>
      </c>
      <c r="AE1623" s="133">
        <v>0.287531806615776</v>
      </c>
      <c r="AF1623" s="133">
        <v>0.990825688073395</v>
      </c>
      <c r="AG1623" s="133">
        <v>1</v>
      </c>
      <c r="AH1623" s="133">
        <v>0.667836257309942</v>
      </c>
      <c r="AI1623" s="135">
        <v>0.92</v>
      </c>
      <c r="AJ1623" s="133">
        <v>0.98540526452958</v>
      </c>
      <c r="AK1623" s="133">
        <v>0.977707006369427</v>
      </c>
      <c r="AL1623" s="133">
        <v>0.985522233712513</v>
      </c>
      <c r="AM1623" s="133">
        <v>0.992166634719826</v>
      </c>
      <c r="AN1623" s="132">
        <v>0.99</v>
      </c>
      <c r="AO1623" s="137">
        <v>1</v>
      </c>
      <c r="AP1623" s="137">
        <v>1</v>
      </c>
      <c r="AQ1623" s="137">
        <v>1</v>
      </c>
      <c r="AR1623" s="137">
        <v>1</v>
      </c>
      <c r="AS1623" s="158">
        <v>0.110069253262963</v>
      </c>
      <c r="AT1623" s="141">
        <v>0.037037037037037</v>
      </c>
      <c r="AU1623" s="141">
        <v>0.0454545454545455</v>
      </c>
      <c r="AV1623" s="141">
        <v>0.0833333333333333</v>
      </c>
      <c r="AW1623" s="141">
        <v>0.0630323679727428</v>
      </c>
      <c r="AX1623" s="95"/>
      <c r="AY1623" s="93"/>
    </row>
    <row r="1624" ht="15" spans="1:51">
      <c r="A1624" s="91"/>
      <c r="B1624" s="95"/>
      <c r="C1624" s="152" t="s">
        <v>1455</v>
      </c>
      <c r="D1624" s="153" t="s">
        <v>125</v>
      </c>
      <c r="E1624" s="130" t="s">
        <v>1456</v>
      </c>
      <c r="F1624" s="171" t="s">
        <v>1656</v>
      </c>
      <c r="G1624" s="171" t="s">
        <v>1656</v>
      </c>
      <c r="H1624" s="171" t="s">
        <v>1656</v>
      </c>
      <c r="I1624" s="171" t="s">
        <v>1656</v>
      </c>
      <c r="J1624" s="132">
        <v>0.9</v>
      </c>
      <c r="K1624" s="133" t="s">
        <v>35</v>
      </c>
      <c r="L1624" s="133" t="s">
        <v>35</v>
      </c>
      <c r="M1624" s="134" t="s">
        <v>35</v>
      </c>
      <c r="N1624" s="133" t="s">
        <v>35</v>
      </c>
      <c r="O1624" s="135">
        <v>0.9</v>
      </c>
      <c r="P1624" s="133" t="s">
        <v>35</v>
      </c>
      <c r="Q1624" s="133" t="s">
        <v>35</v>
      </c>
      <c r="R1624" s="133">
        <v>0</v>
      </c>
      <c r="S1624" s="133">
        <v>0</v>
      </c>
      <c r="T1624" s="135">
        <v>0.9</v>
      </c>
      <c r="U1624" s="133" t="s">
        <v>35</v>
      </c>
      <c r="V1624" s="133" t="s">
        <v>35</v>
      </c>
      <c r="W1624" s="133">
        <v>0</v>
      </c>
      <c r="X1624" s="133">
        <v>0.5</v>
      </c>
      <c r="Y1624" s="135">
        <v>0.92</v>
      </c>
      <c r="Z1624" s="135" t="s">
        <v>35</v>
      </c>
      <c r="AA1624" s="135">
        <v>0</v>
      </c>
      <c r="AB1624" s="135" t="s">
        <v>35</v>
      </c>
      <c r="AC1624" s="135">
        <v>0</v>
      </c>
      <c r="AD1624" s="135">
        <v>0.92</v>
      </c>
      <c r="AE1624" s="133">
        <v>0.952853598014888</v>
      </c>
      <c r="AF1624" s="133">
        <v>0.954802259887006</v>
      </c>
      <c r="AG1624" s="133">
        <v>1</v>
      </c>
      <c r="AH1624" s="133">
        <v>0.973283337239278</v>
      </c>
      <c r="AI1624" s="135">
        <v>0.92</v>
      </c>
      <c r="AJ1624" s="133" t="s">
        <v>35</v>
      </c>
      <c r="AK1624" s="133">
        <v>0</v>
      </c>
      <c r="AL1624" s="133">
        <v>0</v>
      </c>
      <c r="AM1624" s="133">
        <v>0.5</v>
      </c>
      <c r="AN1624" s="132">
        <v>0.99</v>
      </c>
      <c r="AO1624" s="137">
        <v>1</v>
      </c>
      <c r="AP1624" s="137">
        <v>1</v>
      </c>
      <c r="AQ1624" s="137">
        <v>1</v>
      </c>
      <c r="AR1624" s="137">
        <v>1</v>
      </c>
      <c r="AS1624" s="158">
        <v>0.110069253262963</v>
      </c>
      <c r="AT1624" s="141" t="s">
        <v>35</v>
      </c>
      <c r="AU1624" s="141" t="s">
        <v>35</v>
      </c>
      <c r="AV1624" s="141" t="s">
        <v>35</v>
      </c>
      <c r="AW1624" s="141" t="s">
        <v>35</v>
      </c>
      <c r="AX1624" s="95"/>
      <c r="AY1624" s="93"/>
    </row>
    <row r="1625" ht="15" spans="1:51">
      <c r="A1625" s="91"/>
      <c r="B1625" s="95"/>
      <c r="C1625" s="152" t="s">
        <v>1455</v>
      </c>
      <c r="D1625" s="153" t="s">
        <v>125</v>
      </c>
      <c r="E1625" s="130" t="s">
        <v>1456</v>
      </c>
      <c r="F1625" s="171" t="s">
        <v>1657</v>
      </c>
      <c r="G1625" s="171" t="s">
        <v>1657</v>
      </c>
      <c r="H1625" s="171" t="s">
        <v>1657</v>
      </c>
      <c r="I1625" s="171" t="s">
        <v>1657</v>
      </c>
      <c r="J1625" s="132">
        <v>0.9</v>
      </c>
      <c r="K1625" s="133" t="s">
        <v>35</v>
      </c>
      <c r="L1625" s="133" t="s">
        <v>35</v>
      </c>
      <c r="M1625" s="134" t="s">
        <v>35</v>
      </c>
      <c r="N1625" s="133" t="s">
        <v>35</v>
      </c>
      <c r="O1625" s="135">
        <v>0.9</v>
      </c>
      <c r="P1625" s="133" t="s">
        <v>35</v>
      </c>
      <c r="Q1625" s="133" t="s">
        <v>35</v>
      </c>
      <c r="R1625" s="133" t="s">
        <v>35</v>
      </c>
      <c r="S1625" s="133">
        <v>0</v>
      </c>
      <c r="T1625" s="135">
        <v>0.9</v>
      </c>
      <c r="U1625" s="133" t="s">
        <v>35</v>
      </c>
      <c r="V1625" s="133" t="s">
        <v>35</v>
      </c>
      <c r="W1625" s="133" t="s">
        <v>35</v>
      </c>
      <c r="X1625" s="133">
        <v>1</v>
      </c>
      <c r="Y1625" s="135">
        <v>0.92</v>
      </c>
      <c r="Z1625" s="135" t="s">
        <v>35</v>
      </c>
      <c r="AA1625" s="135" t="s">
        <v>35</v>
      </c>
      <c r="AB1625" s="135" t="s">
        <v>35</v>
      </c>
      <c r="AC1625" s="135" t="s">
        <v>35</v>
      </c>
      <c r="AD1625" s="135">
        <v>0.92</v>
      </c>
      <c r="AE1625" s="133">
        <v>0.997518610421836</v>
      </c>
      <c r="AF1625" s="133">
        <v>1</v>
      </c>
      <c r="AG1625" s="133">
        <v>1</v>
      </c>
      <c r="AH1625" s="133">
        <v>0.984621017942146</v>
      </c>
      <c r="AI1625" s="135">
        <v>0.92</v>
      </c>
      <c r="AJ1625" s="133" t="s">
        <v>35</v>
      </c>
      <c r="AK1625" s="133">
        <v>1</v>
      </c>
      <c r="AL1625" s="133" t="s">
        <v>35</v>
      </c>
      <c r="AM1625" s="133">
        <v>1</v>
      </c>
      <c r="AN1625" s="132">
        <v>0.99</v>
      </c>
      <c r="AO1625" s="137">
        <v>1</v>
      </c>
      <c r="AP1625" s="137">
        <v>1</v>
      </c>
      <c r="AQ1625" s="137">
        <v>1</v>
      </c>
      <c r="AR1625" s="137">
        <v>1</v>
      </c>
      <c r="AS1625" s="158">
        <v>0.110069253262963</v>
      </c>
      <c r="AT1625" s="141" t="s">
        <v>35</v>
      </c>
      <c r="AU1625" s="141" t="s">
        <v>35</v>
      </c>
      <c r="AV1625" s="141" t="s">
        <v>35</v>
      </c>
      <c r="AW1625" s="141" t="s">
        <v>35</v>
      </c>
      <c r="AX1625" s="95"/>
      <c r="AY1625" s="93"/>
    </row>
    <row r="1626" ht="15" spans="1:51">
      <c r="A1626" s="91"/>
      <c r="B1626" s="95"/>
      <c r="C1626" s="152" t="s">
        <v>1455</v>
      </c>
      <c r="D1626" s="153" t="s">
        <v>125</v>
      </c>
      <c r="E1626" s="130" t="s">
        <v>1456</v>
      </c>
      <c r="F1626" s="171" t="s">
        <v>1658</v>
      </c>
      <c r="G1626" s="171" t="s">
        <v>1658</v>
      </c>
      <c r="H1626" s="171" t="s">
        <v>1658</v>
      </c>
      <c r="I1626" s="171" t="s">
        <v>1658</v>
      </c>
      <c r="J1626" s="132">
        <v>0.9</v>
      </c>
      <c r="K1626" s="133" t="s">
        <v>35</v>
      </c>
      <c r="L1626" s="133" t="s">
        <v>35</v>
      </c>
      <c r="M1626" s="134" t="s">
        <v>35</v>
      </c>
      <c r="N1626" s="133" t="s">
        <v>35</v>
      </c>
      <c r="O1626" s="135">
        <v>0.9</v>
      </c>
      <c r="P1626" s="133" t="s">
        <v>35</v>
      </c>
      <c r="Q1626" s="133" t="s">
        <v>35</v>
      </c>
      <c r="R1626" s="133" t="s">
        <v>35</v>
      </c>
      <c r="S1626" s="133">
        <v>0</v>
      </c>
      <c r="T1626" s="135">
        <v>0.9</v>
      </c>
      <c r="U1626" s="133" t="s">
        <v>35</v>
      </c>
      <c r="V1626" s="133" t="s">
        <v>35</v>
      </c>
      <c r="W1626" s="133" t="s">
        <v>35</v>
      </c>
      <c r="X1626" s="133">
        <v>1</v>
      </c>
      <c r="Y1626" s="135">
        <v>0.92</v>
      </c>
      <c r="Z1626" s="135" t="s">
        <v>35</v>
      </c>
      <c r="AA1626" s="135" t="s">
        <v>35</v>
      </c>
      <c r="AB1626" s="135" t="s">
        <v>35</v>
      </c>
      <c r="AC1626" s="135" t="s">
        <v>35</v>
      </c>
      <c r="AD1626" s="135">
        <v>0.92</v>
      </c>
      <c r="AE1626" s="133">
        <v>0.903409090909091</v>
      </c>
      <c r="AF1626" s="133">
        <v>0.882154882154882</v>
      </c>
      <c r="AG1626" s="133">
        <v>0.986111111111111</v>
      </c>
      <c r="AH1626" s="133">
        <v>0.985817941952507</v>
      </c>
      <c r="AI1626" s="135">
        <v>0.92</v>
      </c>
      <c r="AJ1626" s="133">
        <v>1</v>
      </c>
      <c r="AK1626" s="133" t="s">
        <v>35</v>
      </c>
      <c r="AL1626" s="133" t="s">
        <v>35</v>
      </c>
      <c r="AM1626" s="133">
        <v>0.888888888888889</v>
      </c>
      <c r="AN1626" s="132">
        <v>0.99</v>
      </c>
      <c r="AO1626" s="137">
        <v>1</v>
      </c>
      <c r="AP1626" s="137">
        <v>1</v>
      </c>
      <c r="AQ1626" s="137">
        <v>1</v>
      </c>
      <c r="AR1626" s="137">
        <v>1</v>
      </c>
      <c r="AS1626" s="158">
        <v>0.110069253262963</v>
      </c>
      <c r="AT1626" s="141" t="s">
        <v>35</v>
      </c>
      <c r="AU1626" s="141" t="s">
        <v>35</v>
      </c>
      <c r="AV1626" s="141" t="s">
        <v>35</v>
      </c>
      <c r="AW1626" s="141" t="s">
        <v>35</v>
      </c>
      <c r="AX1626" s="95"/>
      <c r="AY1626" s="93"/>
    </row>
    <row r="1627" ht="15" spans="1:51">
      <c r="A1627" s="91"/>
      <c r="B1627" s="95"/>
      <c r="C1627" s="152" t="s">
        <v>1455</v>
      </c>
      <c r="D1627" s="153" t="s">
        <v>125</v>
      </c>
      <c r="E1627" s="130" t="s">
        <v>1456</v>
      </c>
      <c r="F1627" s="171" t="s">
        <v>1659</v>
      </c>
      <c r="G1627" s="171" t="s">
        <v>1659</v>
      </c>
      <c r="H1627" s="171" t="s">
        <v>1659</v>
      </c>
      <c r="I1627" s="171" t="s">
        <v>1659</v>
      </c>
      <c r="J1627" s="132">
        <v>0.9</v>
      </c>
      <c r="K1627" s="133" t="s">
        <v>35</v>
      </c>
      <c r="L1627" s="133" t="s">
        <v>35</v>
      </c>
      <c r="M1627" s="134" t="s">
        <v>35</v>
      </c>
      <c r="N1627" s="133" t="s">
        <v>35</v>
      </c>
      <c r="O1627" s="135">
        <v>0.9</v>
      </c>
      <c r="P1627" s="133" t="s">
        <v>35</v>
      </c>
      <c r="Q1627" s="133" t="s">
        <v>35</v>
      </c>
      <c r="R1627" s="133">
        <v>0</v>
      </c>
      <c r="S1627" s="133">
        <v>0.333333333333333</v>
      </c>
      <c r="T1627" s="135">
        <v>0.9</v>
      </c>
      <c r="U1627" s="133" t="s">
        <v>35</v>
      </c>
      <c r="V1627" s="133" t="s">
        <v>35</v>
      </c>
      <c r="W1627" s="133">
        <v>0</v>
      </c>
      <c r="X1627" s="133">
        <v>0.333333333333333</v>
      </c>
      <c r="Y1627" s="135">
        <v>0.92</v>
      </c>
      <c r="Z1627" s="135" t="s">
        <v>35</v>
      </c>
      <c r="AA1627" s="135" t="s">
        <v>35</v>
      </c>
      <c r="AB1627" s="135" t="s">
        <v>35</v>
      </c>
      <c r="AC1627" s="135" t="s">
        <v>35</v>
      </c>
      <c r="AD1627" s="135">
        <v>0.92</v>
      </c>
      <c r="AE1627" s="133">
        <v>0.985781990521327</v>
      </c>
      <c r="AF1627" s="133">
        <v>0.99290780141844</v>
      </c>
      <c r="AG1627" s="133">
        <v>0.981220657276995</v>
      </c>
      <c r="AH1627" s="133">
        <v>0.991215811539229</v>
      </c>
      <c r="AI1627" s="135">
        <v>0.92</v>
      </c>
      <c r="AJ1627" s="133" t="s">
        <v>35</v>
      </c>
      <c r="AK1627" s="133" t="s">
        <v>35</v>
      </c>
      <c r="AL1627" s="133">
        <v>0</v>
      </c>
      <c r="AM1627" s="133">
        <v>0.333333333333333</v>
      </c>
      <c r="AN1627" s="132">
        <v>0.99</v>
      </c>
      <c r="AO1627" s="137">
        <v>1</v>
      </c>
      <c r="AP1627" s="137" t="s">
        <v>35</v>
      </c>
      <c r="AQ1627" s="137">
        <v>1</v>
      </c>
      <c r="AR1627" s="137">
        <v>1</v>
      </c>
      <c r="AS1627" s="158">
        <v>0.110069253262963</v>
      </c>
      <c r="AT1627" s="141" t="s">
        <v>35</v>
      </c>
      <c r="AU1627" s="141" t="s">
        <v>35</v>
      </c>
      <c r="AV1627" s="141" t="s">
        <v>35</v>
      </c>
      <c r="AW1627" s="141" t="s">
        <v>35</v>
      </c>
      <c r="AX1627" s="95"/>
      <c r="AY1627" s="93"/>
    </row>
    <row r="1628" ht="15" spans="1:51">
      <c r="A1628" s="91"/>
      <c r="B1628" s="95"/>
      <c r="C1628" s="152" t="s">
        <v>1455</v>
      </c>
      <c r="D1628" s="153" t="s">
        <v>125</v>
      </c>
      <c r="E1628" s="130" t="s">
        <v>1456</v>
      </c>
      <c r="F1628" s="171" t="s">
        <v>1660</v>
      </c>
      <c r="G1628" s="171" t="s">
        <v>1660</v>
      </c>
      <c r="H1628" s="171" t="s">
        <v>1660</v>
      </c>
      <c r="I1628" s="171" t="s">
        <v>1660</v>
      </c>
      <c r="J1628" s="132">
        <v>0.9</v>
      </c>
      <c r="K1628" s="133" t="s">
        <v>35</v>
      </c>
      <c r="L1628" s="133" t="s">
        <v>35</v>
      </c>
      <c r="M1628" s="134" t="s">
        <v>35</v>
      </c>
      <c r="N1628" s="133" t="s">
        <v>35</v>
      </c>
      <c r="O1628" s="135">
        <v>0.9</v>
      </c>
      <c r="P1628" s="133" t="s">
        <v>35</v>
      </c>
      <c r="Q1628" s="133">
        <v>0</v>
      </c>
      <c r="R1628" s="133" t="s">
        <v>35</v>
      </c>
      <c r="S1628" s="133">
        <v>0</v>
      </c>
      <c r="T1628" s="135">
        <v>0.9</v>
      </c>
      <c r="U1628" s="133" t="s">
        <v>35</v>
      </c>
      <c r="V1628" s="133">
        <v>0</v>
      </c>
      <c r="W1628" s="133" t="s">
        <v>35</v>
      </c>
      <c r="X1628" s="133">
        <v>0.6</v>
      </c>
      <c r="Y1628" s="135">
        <v>0.92</v>
      </c>
      <c r="Z1628" s="135" t="s">
        <v>35</v>
      </c>
      <c r="AA1628" s="135" t="s">
        <v>35</v>
      </c>
      <c r="AB1628" s="135" t="s">
        <v>35</v>
      </c>
      <c r="AC1628" s="135">
        <v>0</v>
      </c>
      <c r="AD1628" s="135">
        <v>0.92</v>
      </c>
      <c r="AE1628" s="133">
        <v>0.919037199124726</v>
      </c>
      <c r="AF1628" s="133">
        <v>0.915690866510539</v>
      </c>
      <c r="AG1628" s="133">
        <v>0.991279069767442</v>
      </c>
      <c r="AH1628" s="133">
        <v>0.940838800374883</v>
      </c>
      <c r="AI1628" s="135">
        <v>0.92</v>
      </c>
      <c r="AJ1628" s="133" t="s">
        <v>35</v>
      </c>
      <c r="AK1628" s="133">
        <v>0</v>
      </c>
      <c r="AL1628" s="133" t="s">
        <v>35</v>
      </c>
      <c r="AM1628" s="133">
        <v>0.5</v>
      </c>
      <c r="AN1628" s="132">
        <v>0.99</v>
      </c>
      <c r="AO1628" s="137">
        <v>1</v>
      </c>
      <c r="AP1628" s="137">
        <v>1</v>
      </c>
      <c r="AQ1628" s="137">
        <v>1</v>
      </c>
      <c r="AR1628" s="137">
        <v>1</v>
      </c>
      <c r="AS1628" s="158">
        <v>0.110069253262963</v>
      </c>
      <c r="AT1628" s="141" t="s">
        <v>35</v>
      </c>
      <c r="AU1628" s="141" t="s">
        <v>35</v>
      </c>
      <c r="AV1628" s="141" t="s">
        <v>35</v>
      </c>
      <c r="AW1628" s="141" t="s">
        <v>35</v>
      </c>
      <c r="AX1628" s="95"/>
      <c r="AY1628" s="93"/>
    </row>
    <row r="1629" ht="15" spans="1:51">
      <c r="A1629" s="91"/>
      <c r="B1629" s="95"/>
      <c r="C1629" s="152" t="s">
        <v>1455</v>
      </c>
      <c r="D1629" s="153" t="s">
        <v>25</v>
      </c>
      <c r="E1629" s="130" t="s">
        <v>1456</v>
      </c>
      <c r="F1629" s="171" t="s">
        <v>1661</v>
      </c>
      <c r="G1629" s="171" t="s">
        <v>1661</v>
      </c>
      <c r="H1629" s="171" t="s">
        <v>1661</v>
      </c>
      <c r="I1629" s="171" t="s">
        <v>1661</v>
      </c>
      <c r="J1629" s="132">
        <v>0.9</v>
      </c>
      <c r="K1629" s="133">
        <v>0.785714285714286</v>
      </c>
      <c r="L1629" s="133">
        <v>0.774193548387097</v>
      </c>
      <c r="M1629" s="134">
        <v>0.78125</v>
      </c>
      <c r="N1629" s="133">
        <v>0.780316344463972</v>
      </c>
      <c r="O1629" s="135">
        <v>0.9</v>
      </c>
      <c r="P1629" s="133">
        <v>0.970319634703196</v>
      </c>
      <c r="Q1629" s="133">
        <v>0.980848861283644</v>
      </c>
      <c r="R1629" s="133">
        <v>0.976124375347029</v>
      </c>
      <c r="S1629" s="133">
        <v>0.969068209320858</v>
      </c>
      <c r="T1629" s="135">
        <v>0.9</v>
      </c>
      <c r="U1629" s="133">
        <v>0.504566210045662</v>
      </c>
      <c r="V1629" s="133">
        <v>0.425983436853002</v>
      </c>
      <c r="W1629" s="133">
        <v>0.490283176013326</v>
      </c>
      <c r="X1629" s="133">
        <v>0.402526489773029</v>
      </c>
      <c r="Y1629" s="135">
        <v>0.92</v>
      </c>
      <c r="Z1629" s="135">
        <v>0.483198146002317</v>
      </c>
      <c r="AA1629" s="135">
        <v>0.443217665615142</v>
      </c>
      <c r="AB1629" s="135">
        <v>0.500697350069735</v>
      </c>
      <c r="AC1629" s="135">
        <v>0.592161641573961</v>
      </c>
      <c r="AD1629" s="135">
        <v>0.92</v>
      </c>
      <c r="AE1629" s="133">
        <v>1</v>
      </c>
      <c r="AF1629" s="133">
        <v>0.964912280701754</v>
      </c>
      <c r="AG1629" s="133">
        <v>1</v>
      </c>
      <c r="AH1629" s="133">
        <v>0.882055988985773</v>
      </c>
      <c r="AI1629" s="135">
        <v>0.92</v>
      </c>
      <c r="AJ1629" s="133">
        <v>0.611717403790925</v>
      </c>
      <c r="AK1629" s="133">
        <v>0.699766355140187</v>
      </c>
      <c r="AL1629" s="133">
        <v>0.665873015873016</v>
      </c>
      <c r="AM1629" s="133">
        <v>0.685351799433886</v>
      </c>
      <c r="AN1629" s="132">
        <v>0.99</v>
      </c>
      <c r="AO1629" s="137" t="s">
        <v>35</v>
      </c>
      <c r="AP1629" s="137" t="s">
        <v>35</v>
      </c>
      <c r="AQ1629" s="137">
        <v>1</v>
      </c>
      <c r="AR1629" s="137">
        <v>1</v>
      </c>
      <c r="AS1629" s="158">
        <v>0.110069253262963</v>
      </c>
      <c r="AT1629" s="141">
        <v>0.173913043478261</v>
      </c>
      <c r="AU1629" s="141">
        <v>0.0833333333333333</v>
      </c>
      <c r="AV1629" s="141">
        <v>0.0416666666666667</v>
      </c>
      <c r="AW1629" s="141">
        <v>0.119266055045872</v>
      </c>
      <c r="AX1629" s="95"/>
      <c r="AY1629" s="93"/>
    </row>
    <row r="1630" ht="15" spans="1:51">
      <c r="A1630" s="91"/>
      <c r="B1630" s="95"/>
      <c r="C1630" s="152" t="s">
        <v>1455</v>
      </c>
      <c r="D1630" s="153" t="s">
        <v>125</v>
      </c>
      <c r="E1630" s="130" t="s">
        <v>1456</v>
      </c>
      <c r="F1630" s="171" t="s">
        <v>1662</v>
      </c>
      <c r="G1630" s="171" t="s">
        <v>1662</v>
      </c>
      <c r="H1630" s="171" t="s">
        <v>1662</v>
      </c>
      <c r="I1630" s="171" t="s">
        <v>1662</v>
      </c>
      <c r="J1630" s="132">
        <v>0.9</v>
      </c>
      <c r="K1630" s="133" t="s">
        <v>35</v>
      </c>
      <c r="L1630" s="133" t="s">
        <v>35</v>
      </c>
      <c r="M1630" s="134" t="s">
        <v>35</v>
      </c>
      <c r="N1630" s="133" t="s">
        <v>35</v>
      </c>
      <c r="O1630" s="135">
        <v>0.9</v>
      </c>
      <c r="P1630" s="133" t="s">
        <v>35</v>
      </c>
      <c r="Q1630" s="133" t="s">
        <v>35</v>
      </c>
      <c r="R1630" s="133">
        <v>0</v>
      </c>
      <c r="S1630" s="133">
        <v>0</v>
      </c>
      <c r="T1630" s="135">
        <v>0.9</v>
      </c>
      <c r="U1630" s="133" t="s">
        <v>35</v>
      </c>
      <c r="V1630" s="133" t="s">
        <v>35</v>
      </c>
      <c r="W1630" s="133">
        <v>1</v>
      </c>
      <c r="X1630" s="133">
        <v>1</v>
      </c>
      <c r="Y1630" s="135">
        <v>0.92</v>
      </c>
      <c r="Z1630" s="135" t="s">
        <v>35</v>
      </c>
      <c r="AA1630" s="135" t="s">
        <v>35</v>
      </c>
      <c r="AB1630" s="135" t="s">
        <v>35</v>
      </c>
      <c r="AC1630" s="135">
        <v>0</v>
      </c>
      <c r="AD1630" s="135">
        <v>0.92</v>
      </c>
      <c r="AE1630" s="133">
        <v>1</v>
      </c>
      <c r="AF1630" s="133">
        <v>1</v>
      </c>
      <c r="AG1630" s="133">
        <v>0.994186046511628</v>
      </c>
      <c r="AH1630" s="133">
        <v>0.996336996336996</v>
      </c>
      <c r="AI1630" s="135">
        <v>0.92</v>
      </c>
      <c r="AJ1630" s="133" t="s">
        <v>35</v>
      </c>
      <c r="AK1630" s="133" t="s">
        <v>35</v>
      </c>
      <c r="AL1630" s="133">
        <v>1</v>
      </c>
      <c r="AM1630" s="133">
        <v>0.875</v>
      </c>
      <c r="AN1630" s="132">
        <v>0.99</v>
      </c>
      <c r="AO1630" s="137">
        <v>1</v>
      </c>
      <c r="AP1630" s="137" t="s">
        <v>35</v>
      </c>
      <c r="AQ1630" s="137" t="s">
        <v>35</v>
      </c>
      <c r="AR1630" s="137">
        <v>1</v>
      </c>
      <c r="AS1630" s="158">
        <v>0.110069253262963</v>
      </c>
      <c r="AT1630" s="141" t="s">
        <v>35</v>
      </c>
      <c r="AU1630" s="141" t="s">
        <v>35</v>
      </c>
      <c r="AV1630" s="141" t="s">
        <v>35</v>
      </c>
      <c r="AW1630" s="141" t="s">
        <v>35</v>
      </c>
      <c r="AX1630" s="95"/>
      <c r="AY1630" s="93"/>
    </row>
    <row r="1631" ht="15" spans="1:51">
      <c r="A1631" s="91"/>
      <c r="B1631" s="95"/>
      <c r="C1631" s="152" t="s">
        <v>1455</v>
      </c>
      <c r="D1631" s="153" t="s">
        <v>25</v>
      </c>
      <c r="E1631" s="130" t="s">
        <v>1456</v>
      </c>
      <c r="F1631" s="171" t="s">
        <v>1663</v>
      </c>
      <c r="G1631" s="171" t="s">
        <v>1663</v>
      </c>
      <c r="H1631" s="171" t="s">
        <v>1663</v>
      </c>
      <c r="I1631" s="171" t="s">
        <v>1663</v>
      </c>
      <c r="J1631" s="132">
        <v>0.9</v>
      </c>
      <c r="K1631" s="133">
        <v>1</v>
      </c>
      <c r="L1631" s="133">
        <v>1</v>
      </c>
      <c r="M1631" s="134">
        <v>0.923076923076923</v>
      </c>
      <c r="N1631" s="133">
        <v>0.962962962962963</v>
      </c>
      <c r="O1631" s="135">
        <v>0.9</v>
      </c>
      <c r="P1631" s="133">
        <v>0.99835661462613</v>
      </c>
      <c r="Q1631" s="133">
        <v>0.9856</v>
      </c>
      <c r="R1631" s="133">
        <v>0.99625468164794</v>
      </c>
      <c r="S1631" s="133">
        <v>0.984699138037695</v>
      </c>
      <c r="T1631" s="135">
        <v>0.9</v>
      </c>
      <c r="U1631" s="133">
        <v>0.912900575184881</v>
      </c>
      <c r="V1631" s="133">
        <v>0.9176</v>
      </c>
      <c r="W1631" s="133">
        <v>0.960674157303371</v>
      </c>
      <c r="X1631" s="133">
        <v>0.919907617437209</v>
      </c>
      <c r="Y1631" s="135">
        <v>0.92</v>
      </c>
      <c r="Z1631" s="135" t="s">
        <v>35</v>
      </c>
      <c r="AA1631" s="135" t="s">
        <v>35</v>
      </c>
      <c r="AB1631" s="135" t="s">
        <v>35</v>
      </c>
      <c r="AC1631" s="135" t="s">
        <v>35</v>
      </c>
      <c r="AD1631" s="135">
        <v>0.92</v>
      </c>
      <c r="AE1631" s="133">
        <v>1</v>
      </c>
      <c r="AF1631" s="133">
        <v>1</v>
      </c>
      <c r="AG1631" s="133">
        <v>0.885714285714286</v>
      </c>
      <c r="AH1631" s="133">
        <v>0.954782608695652</v>
      </c>
      <c r="AI1631" s="135">
        <v>0.92</v>
      </c>
      <c r="AJ1631" s="133">
        <v>0.959737058340181</v>
      </c>
      <c r="AK1631" s="133">
        <v>0.9664</v>
      </c>
      <c r="AL1631" s="133">
        <v>0.984082397003745</v>
      </c>
      <c r="AM1631" s="133">
        <v>0.976698148224523</v>
      </c>
      <c r="AN1631" s="132">
        <v>0.99</v>
      </c>
      <c r="AO1631" s="137">
        <v>1</v>
      </c>
      <c r="AP1631" s="137">
        <v>1</v>
      </c>
      <c r="AQ1631" s="137">
        <v>1</v>
      </c>
      <c r="AR1631" s="137">
        <v>1</v>
      </c>
      <c r="AS1631" s="158">
        <v>0.110069253262963</v>
      </c>
      <c r="AT1631" s="141">
        <v>0.0451127819548872</v>
      </c>
      <c r="AU1631" s="141">
        <v>0.0425531914893617</v>
      </c>
      <c r="AV1631" s="141">
        <v>0.0377358490566038</v>
      </c>
      <c r="AW1631" s="141">
        <v>0.0467391304347826</v>
      </c>
      <c r="AX1631" s="95"/>
      <c r="AY1631" s="93"/>
    </row>
    <row r="1632" ht="15" spans="1:51">
      <c r="A1632" s="91"/>
      <c r="B1632" s="95"/>
      <c r="C1632" s="152" t="s">
        <v>1455</v>
      </c>
      <c r="D1632" s="153" t="s">
        <v>25</v>
      </c>
      <c r="E1632" s="130" t="s">
        <v>1456</v>
      </c>
      <c r="F1632" s="171" t="s">
        <v>1664</v>
      </c>
      <c r="G1632" s="171" t="s">
        <v>1664</v>
      </c>
      <c r="H1632" s="171" t="s">
        <v>1664</v>
      </c>
      <c r="I1632" s="171" t="s">
        <v>1664</v>
      </c>
      <c r="J1632" s="132">
        <v>0.9</v>
      </c>
      <c r="K1632" s="133">
        <v>0.96</v>
      </c>
      <c r="L1632" s="133">
        <v>0.875</v>
      </c>
      <c r="M1632" s="134">
        <v>1</v>
      </c>
      <c r="N1632" s="133">
        <v>0.948387096774194</v>
      </c>
      <c r="O1632" s="135">
        <v>0.9</v>
      </c>
      <c r="P1632" s="133">
        <v>0.989118607181719</v>
      </c>
      <c r="Q1632" s="133">
        <v>0.940327237728585</v>
      </c>
      <c r="R1632" s="133">
        <v>0.985248100134108</v>
      </c>
      <c r="S1632" s="133">
        <v>0.969962209625431</v>
      </c>
      <c r="T1632" s="135">
        <v>0.9</v>
      </c>
      <c r="U1632" s="133">
        <v>0.627856365614799</v>
      </c>
      <c r="V1632" s="133">
        <v>0.453801732435034</v>
      </c>
      <c r="W1632" s="133">
        <v>0.458649977648637</v>
      </c>
      <c r="X1632" s="133">
        <v>0.481882849838835</v>
      </c>
      <c r="Y1632" s="135">
        <v>0.92</v>
      </c>
      <c r="Z1632" s="135">
        <v>0.704896907216495</v>
      </c>
      <c r="AA1632" s="135">
        <v>0.652974504249292</v>
      </c>
      <c r="AB1632" s="135">
        <v>0.694513715710723</v>
      </c>
      <c r="AC1632" s="135">
        <v>0.708634984833165</v>
      </c>
      <c r="AD1632" s="135">
        <v>0.92</v>
      </c>
      <c r="AE1632" s="133">
        <v>1</v>
      </c>
      <c r="AF1632" s="133">
        <v>1</v>
      </c>
      <c r="AG1632" s="133">
        <v>1</v>
      </c>
      <c r="AH1632" s="133">
        <v>0.947474747474747</v>
      </c>
      <c r="AI1632" s="135">
        <v>0.92</v>
      </c>
      <c r="AJ1632" s="133">
        <v>0.794100294985251</v>
      </c>
      <c r="AK1632" s="133">
        <v>0.802872531418312</v>
      </c>
      <c r="AL1632" s="133">
        <v>0.836513157894737</v>
      </c>
      <c r="AM1632" s="133">
        <v>0.817072769180112</v>
      </c>
      <c r="AN1632" s="132">
        <v>0.99</v>
      </c>
      <c r="AO1632" s="137">
        <v>1</v>
      </c>
      <c r="AP1632" s="137">
        <v>1</v>
      </c>
      <c r="AQ1632" s="137" t="s">
        <v>35</v>
      </c>
      <c r="AR1632" s="137">
        <v>1</v>
      </c>
      <c r="AS1632" s="158">
        <v>0.110069253262963</v>
      </c>
      <c r="AT1632" s="141">
        <v>0.0909090909090909</v>
      </c>
      <c r="AU1632" s="141">
        <v>0.375</v>
      </c>
      <c r="AV1632" s="141">
        <v>0.2</v>
      </c>
      <c r="AW1632" s="141">
        <v>0.0746268656716418</v>
      </c>
      <c r="AX1632" s="95"/>
      <c r="AY1632" s="93"/>
    </row>
    <row r="1633" ht="15" spans="1:51">
      <c r="A1633" s="91"/>
      <c r="B1633" s="95"/>
      <c r="C1633" s="152" t="s">
        <v>1455</v>
      </c>
      <c r="D1633" s="153" t="s">
        <v>25</v>
      </c>
      <c r="E1633" s="130" t="s">
        <v>1456</v>
      </c>
      <c r="F1633" s="171" t="s">
        <v>1665</v>
      </c>
      <c r="G1633" s="171" t="s">
        <v>1665</v>
      </c>
      <c r="H1633" s="171" t="s">
        <v>1665</v>
      </c>
      <c r="I1633" s="171" t="s">
        <v>1665</v>
      </c>
      <c r="J1633" s="132">
        <v>0.9</v>
      </c>
      <c r="K1633" s="133">
        <v>1</v>
      </c>
      <c r="L1633" s="133">
        <v>1</v>
      </c>
      <c r="M1633" s="134">
        <v>1</v>
      </c>
      <c r="N1633" s="133">
        <v>0.985507246376812</v>
      </c>
      <c r="O1633" s="135">
        <v>0.9</v>
      </c>
      <c r="P1633" s="133">
        <v>0.972660357518402</v>
      </c>
      <c r="Q1633" s="133">
        <v>0.899284534947716</v>
      </c>
      <c r="R1633" s="133">
        <v>0.826783114992722</v>
      </c>
      <c r="S1633" s="133">
        <v>0.877335640138408</v>
      </c>
      <c r="T1633" s="135">
        <v>0.9</v>
      </c>
      <c r="U1633" s="133">
        <v>0.958990536277603</v>
      </c>
      <c r="V1633" s="133">
        <v>0.926252063841497</v>
      </c>
      <c r="W1633" s="133">
        <v>0.874818049490539</v>
      </c>
      <c r="X1633" s="133">
        <v>0.901845444059977</v>
      </c>
      <c r="Y1633" s="135">
        <v>0.92</v>
      </c>
      <c r="Z1633" s="135">
        <v>0.962382445141066</v>
      </c>
      <c r="AA1633" s="135">
        <v>0.905723905723906</v>
      </c>
      <c r="AB1633" s="135">
        <v>0.870389884088514</v>
      </c>
      <c r="AC1633" s="135">
        <v>0.784625471234224</v>
      </c>
      <c r="AD1633" s="135">
        <v>0.92</v>
      </c>
      <c r="AE1633" s="133">
        <v>0.994082840236686</v>
      </c>
      <c r="AF1633" s="133">
        <v>0.990291262135922</v>
      </c>
      <c r="AG1633" s="133">
        <v>0.871794871794872</v>
      </c>
      <c r="AH1633" s="133">
        <v>0.856872396819387</v>
      </c>
      <c r="AI1633" s="135">
        <v>0.92</v>
      </c>
      <c r="AJ1633" s="133">
        <v>0.972834645669291</v>
      </c>
      <c r="AK1633" s="133">
        <v>0.960199004975124</v>
      </c>
      <c r="AL1633" s="133">
        <v>0.919070167886354</v>
      </c>
      <c r="AM1633" s="133">
        <v>0.894719918767981</v>
      </c>
      <c r="AN1633" s="132">
        <v>0.99</v>
      </c>
      <c r="AO1633" s="137">
        <v>1</v>
      </c>
      <c r="AP1633" s="137">
        <v>1</v>
      </c>
      <c r="AQ1633" s="137">
        <v>1</v>
      </c>
      <c r="AR1633" s="137">
        <v>1</v>
      </c>
      <c r="AS1633" s="158">
        <v>0.110069253262963</v>
      </c>
      <c r="AT1633" s="141">
        <v>0</v>
      </c>
      <c r="AU1633" s="141">
        <v>0.3125</v>
      </c>
      <c r="AV1633" s="141">
        <v>0</v>
      </c>
      <c r="AW1633" s="141">
        <v>0.0638297872340425</v>
      </c>
      <c r="AX1633" s="95"/>
      <c r="AY1633" s="93"/>
    </row>
    <row r="1634" ht="15" spans="1:51">
      <c r="A1634" s="91"/>
      <c r="B1634" s="95"/>
      <c r="C1634" s="152" t="s">
        <v>1455</v>
      </c>
      <c r="D1634" s="153" t="s">
        <v>25</v>
      </c>
      <c r="E1634" s="130" t="s">
        <v>1456</v>
      </c>
      <c r="F1634" s="171" t="s">
        <v>1666</v>
      </c>
      <c r="G1634" s="171" t="s">
        <v>1666</v>
      </c>
      <c r="H1634" s="171" t="s">
        <v>1666</v>
      </c>
      <c r="I1634" s="171" t="s">
        <v>1666</v>
      </c>
      <c r="J1634" s="132">
        <v>0.9</v>
      </c>
      <c r="K1634" s="133">
        <v>0.923076923076923</v>
      </c>
      <c r="L1634" s="133">
        <v>0.964285714285714</v>
      </c>
      <c r="M1634" s="134">
        <v>0.96</v>
      </c>
      <c r="N1634" s="133">
        <v>0.932135728542914</v>
      </c>
      <c r="O1634" s="135">
        <v>0.9</v>
      </c>
      <c r="P1634" s="133">
        <v>0.984780662488809</v>
      </c>
      <c r="Q1634" s="133">
        <v>0.981510621557829</v>
      </c>
      <c r="R1634" s="133">
        <v>0.98011639185257</v>
      </c>
      <c r="S1634" s="133">
        <v>0.977209985315712</v>
      </c>
      <c r="T1634" s="135">
        <v>0.9</v>
      </c>
      <c r="U1634" s="133">
        <v>0.940913160250671</v>
      </c>
      <c r="V1634" s="133">
        <v>0.902832415420928</v>
      </c>
      <c r="W1634" s="133">
        <v>0.929679922405432</v>
      </c>
      <c r="X1634" s="133">
        <v>0.919823788546255</v>
      </c>
      <c r="Y1634" s="135">
        <v>0.92</v>
      </c>
      <c r="Z1634" s="135" t="s">
        <v>35</v>
      </c>
      <c r="AA1634" s="135">
        <v>0</v>
      </c>
      <c r="AB1634" s="135">
        <v>0</v>
      </c>
      <c r="AC1634" s="135">
        <v>0</v>
      </c>
      <c r="AD1634" s="135">
        <v>0.92</v>
      </c>
      <c r="AE1634" s="133">
        <v>0.94413407821229</v>
      </c>
      <c r="AF1634" s="133">
        <v>0.879518072289157</v>
      </c>
      <c r="AG1634" s="133">
        <v>1</v>
      </c>
      <c r="AH1634" s="133">
        <v>0.942708333333333</v>
      </c>
      <c r="AI1634" s="135">
        <v>0.92</v>
      </c>
      <c r="AJ1634" s="133">
        <v>0.954341987466428</v>
      </c>
      <c r="AK1634" s="133">
        <v>0.960283130161227</v>
      </c>
      <c r="AL1634" s="133">
        <v>0.957930367504836</v>
      </c>
      <c r="AM1634" s="133">
        <v>0.967750136900571</v>
      </c>
      <c r="AN1634" s="132">
        <v>0.99</v>
      </c>
      <c r="AO1634" s="137" t="s">
        <v>35</v>
      </c>
      <c r="AP1634" s="137" t="s">
        <v>35</v>
      </c>
      <c r="AQ1634" s="137" t="s">
        <v>35</v>
      </c>
      <c r="AR1634" s="137">
        <v>1</v>
      </c>
      <c r="AS1634" s="158">
        <v>0.110069253262963</v>
      </c>
      <c r="AT1634" s="141">
        <v>0</v>
      </c>
      <c r="AU1634" s="141">
        <v>0.04</v>
      </c>
      <c r="AV1634" s="141">
        <v>0</v>
      </c>
      <c r="AW1634" s="141">
        <v>0.0463917525773196</v>
      </c>
      <c r="AX1634" s="95"/>
      <c r="AY1634" s="93"/>
    </row>
    <row r="1635" ht="15" spans="1:51">
      <c r="A1635" s="91"/>
      <c r="B1635" s="95"/>
      <c r="C1635" s="152" t="s">
        <v>1455</v>
      </c>
      <c r="D1635" s="153" t="s">
        <v>25</v>
      </c>
      <c r="E1635" s="130" t="s">
        <v>1456</v>
      </c>
      <c r="F1635" s="171" t="s">
        <v>1667</v>
      </c>
      <c r="G1635" s="171" t="s">
        <v>1667</v>
      </c>
      <c r="H1635" s="171" t="s">
        <v>1667</v>
      </c>
      <c r="I1635" s="171" t="s">
        <v>1667</v>
      </c>
      <c r="J1635" s="132">
        <v>0.9</v>
      </c>
      <c r="K1635" s="133">
        <v>0.883720930232558</v>
      </c>
      <c r="L1635" s="133">
        <v>0.904761904761905</v>
      </c>
      <c r="M1635" s="134">
        <v>0.904761904761905</v>
      </c>
      <c r="N1635" s="133">
        <v>0.890180878552972</v>
      </c>
      <c r="O1635" s="135">
        <v>0.9</v>
      </c>
      <c r="P1635" s="133">
        <v>0.987147335423198</v>
      </c>
      <c r="Q1635" s="133">
        <v>0.978858350951374</v>
      </c>
      <c r="R1635" s="133">
        <v>0.974532646979138</v>
      </c>
      <c r="S1635" s="133">
        <v>0.977733566977167</v>
      </c>
      <c r="T1635" s="135">
        <v>0.9</v>
      </c>
      <c r="U1635" s="133">
        <v>0.959561128526646</v>
      </c>
      <c r="V1635" s="133">
        <v>0.951638477801269</v>
      </c>
      <c r="W1635" s="133">
        <v>0.954483879707396</v>
      </c>
      <c r="X1635" s="133">
        <v>0.964742618479822</v>
      </c>
      <c r="Y1635" s="135">
        <v>0.92</v>
      </c>
      <c r="Z1635" s="135" t="s">
        <v>35</v>
      </c>
      <c r="AA1635" s="135">
        <v>0</v>
      </c>
      <c r="AB1635" s="135" t="s">
        <v>35</v>
      </c>
      <c r="AC1635" s="135">
        <v>0.428571428571429</v>
      </c>
      <c r="AD1635" s="135">
        <v>0.92</v>
      </c>
      <c r="AE1635" s="133">
        <v>0.666666666666667</v>
      </c>
      <c r="AF1635" s="133">
        <v>0.633333333333333</v>
      </c>
      <c r="AG1635" s="133">
        <v>1</v>
      </c>
      <c r="AH1635" s="133">
        <v>0.853002070393375</v>
      </c>
      <c r="AI1635" s="135">
        <v>0.92</v>
      </c>
      <c r="AJ1635" s="133">
        <v>0.967711598746081</v>
      </c>
      <c r="AK1635" s="133">
        <v>0.971466314398943</v>
      </c>
      <c r="AL1635" s="133">
        <v>0.973448929829315</v>
      </c>
      <c r="AM1635" s="133">
        <v>0.982069928595895</v>
      </c>
      <c r="AN1635" s="132">
        <v>0.99</v>
      </c>
      <c r="AO1635" s="137" t="s">
        <v>35</v>
      </c>
      <c r="AP1635" s="137" t="s">
        <v>35</v>
      </c>
      <c r="AQ1635" s="137" t="s">
        <v>35</v>
      </c>
      <c r="AR1635" s="137">
        <v>1</v>
      </c>
      <c r="AS1635" s="158">
        <v>0.110069253262963</v>
      </c>
      <c r="AT1635" s="141">
        <v>0.0857142857142857</v>
      </c>
      <c r="AU1635" s="141">
        <v>0.032258064516129</v>
      </c>
      <c r="AV1635" s="141">
        <v>0.0512820512820513</v>
      </c>
      <c r="AW1635" s="141">
        <v>0.0783242258652095</v>
      </c>
      <c r="AX1635" s="95"/>
      <c r="AY1635" s="93"/>
    </row>
    <row r="1636" ht="15" spans="1:51">
      <c r="A1636" s="91"/>
      <c r="B1636" s="95"/>
      <c r="C1636" s="152" t="s">
        <v>1455</v>
      </c>
      <c r="D1636" s="153" t="s">
        <v>25</v>
      </c>
      <c r="E1636" s="130" t="s">
        <v>1456</v>
      </c>
      <c r="F1636" s="171" t="s">
        <v>1668</v>
      </c>
      <c r="G1636" s="171" t="s">
        <v>1668</v>
      </c>
      <c r="H1636" s="171" t="s">
        <v>1668</v>
      </c>
      <c r="I1636" s="171" t="s">
        <v>1668</v>
      </c>
      <c r="J1636" s="132">
        <v>0.9</v>
      </c>
      <c r="K1636" s="133">
        <v>1</v>
      </c>
      <c r="L1636" s="133">
        <v>1</v>
      </c>
      <c r="M1636" s="134">
        <v>1</v>
      </c>
      <c r="N1636" s="133">
        <v>0.996070726915521</v>
      </c>
      <c r="O1636" s="135">
        <v>0.9</v>
      </c>
      <c r="P1636" s="133">
        <v>0.956632653061224</v>
      </c>
      <c r="Q1636" s="133">
        <v>0.962878355225585</v>
      </c>
      <c r="R1636" s="133">
        <v>0.766607877718989</v>
      </c>
      <c r="S1636" s="133">
        <v>0.935482749026155</v>
      </c>
      <c r="T1636" s="135">
        <v>0.9</v>
      </c>
      <c r="U1636" s="133">
        <v>0.806122448979592</v>
      </c>
      <c r="V1636" s="133">
        <v>0.722444317532838</v>
      </c>
      <c r="W1636" s="133">
        <v>0.751322751322751</v>
      </c>
      <c r="X1636" s="133">
        <v>0.772607122982749</v>
      </c>
      <c r="Y1636" s="135">
        <v>0.92</v>
      </c>
      <c r="Z1636" s="135">
        <v>0.873949579831933</v>
      </c>
      <c r="AA1636" s="135">
        <v>0.824858757062147</v>
      </c>
      <c r="AB1636" s="135">
        <v>0.864217252396166</v>
      </c>
      <c r="AC1636" s="135">
        <v>0.869520563932589</v>
      </c>
      <c r="AD1636" s="135">
        <v>0.92</v>
      </c>
      <c r="AE1636" s="133">
        <v>1</v>
      </c>
      <c r="AF1636" s="133">
        <v>0.995495495495496</v>
      </c>
      <c r="AG1636" s="133">
        <v>1</v>
      </c>
      <c r="AH1636" s="133">
        <v>0.995357833655706</v>
      </c>
      <c r="AI1636" s="135">
        <v>0.92</v>
      </c>
      <c r="AJ1636" s="133">
        <v>0.902536715620828</v>
      </c>
      <c r="AK1636" s="133">
        <v>0.909290096406661</v>
      </c>
      <c r="AL1636" s="133">
        <v>0.90159003008165</v>
      </c>
      <c r="AM1636" s="133">
        <v>0.905008566760967</v>
      </c>
      <c r="AN1636" s="132">
        <v>0.99</v>
      </c>
      <c r="AO1636" s="137">
        <v>1</v>
      </c>
      <c r="AP1636" s="137">
        <v>1</v>
      </c>
      <c r="AQ1636" s="137">
        <v>1</v>
      </c>
      <c r="AR1636" s="137">
        <v>1</v>
      </c>
      <c r="AS1636" s="158">
        <v>0.110069253262963</v>
      </c>
      <c r="AT1636" s="141">
        <v>0.166666666666667</v>
      </c>
      <c r="AU1636" s="141">
        <v>0</v>
      </c>
      <c r="AV1636" s="141">
        <v>0.05</v>
      </c>
      <c r="AW1636" s="141">
        <v>0.0739371534195934</v>
      </c>
      <c r="AX1636" s="95"/>
      <c r="AY1636" s="93"/>
    </row>
    <row r="1637" ht="15" spans="1:51">
      <c r="A1637" s="91"/>
      <c r="B1637" s="95"/>
      <c r="C1637" s="152" t="s">
        <v>1455</v>
      </c>
      <c r="D1637" s="153" t="s">
        <v>25</v>
      </c>
      <c r="E1637" s="130" t="s">
        <v>1456</v>
      </c>
      <c r="F1637" s="171" t="s">
        <v>1669</v>
      </c>
      <c r="G1637" s="171" t="s">
        <v>1669</v>
      </c>
      <c r="H1637" s="171" t="s">
        <v>1669</v>
      </c>
      <c r="I1637" s="171" t="s">
        <v>1669</v>
      </c>
      <c r="J1637" s="132">
        <v>0.9</v>
      </c>
      <c r="K1637" s="133">
        <v>1</v>
      </c>
      <c r="L1637" s="133">
        <v>0.96</v>
      </c>
      <c r="M1637" s="134">
        <v>1</v>
      </c>
      <c r="N1637" s="133">
        <v>0.982978723404255</v>
      </c>
      <c r="O1637" s="135">
        <v>0.9</v>
      </c>
      <c r="P1637" s="133">
        <v>0.843023255813954</v>
      </c>
      <c r="Q1637" s="133">
        <v>0.894505494505495</v>
      </c>
      <c r="R1637" s="133">
        <v>0.861926415874328</v>
      </c>
      <c r="S1637" s="133">
        <v>0.875527116332739</v>
      </c>
      <c r="T1637" s="135">
        <v>0.9</v>
      </c>
      <c r="U1637" s="133">
        <v>0.841362126245847</v>
      </c>
      <c r="V1637" s="133">
        <v>0.847472527472527</v>
      </c>
      <c r="W1637" s="133">
        <v>0.78462174452253</v>
      </c>
      <c r="X1637" s="133">
        <v>0.852889961187454</v>
      </c>
      <c r="Y1637" s="135">
        <v>0.92</v>
      </c>
      <c r="Z1637" s="135">
        <v>0</v>
      </c>
      <c r="AA1637" s="135">
        <v>0.75</v>
      </c>
      <c r="AB1637" s="135">
        <v>0.625</v>
      </c>
      <c r="AC1637" s="135">
        <v>0.537634408602151</v>
      </c>
      <c r="AD1637" s="135">
        <v>0.92</v>
      </c>
      <c r="AE1637" s="133">
        <v>0.804347826086957</v>
      </c>
      <c r="AF1637" s="133">
        <v>0.989130434782609</v>
      </c>
      <c r="AG1637" s="133">
        <v>1</v>
      </c>
      <c r="AH1637" s="133">
        <v>0.954869358669834</v>
      </c>
      <c r="AI1637" s="135">
        <v>0.92</v>
      </c>
      <c r="AJ1637" s="133">
        <v>0.917081260364842</v>
      </c>
      <c r="AK1637" s="133">
        <v>0.948313622426632</v>
      </c>
      <c r="AL1637" s="133">
        <v>0.908978583196046</v>
      </c>
      <c r="AM1637" s="133">
        <v>0.955869114660749</v>
      </c>
      <c r="AN1637" s="132">
        <v>0.99</v>
      </c>
      <c r="AO1637" s="137">
        <v>1</v>
      </c>
      <c r="AP1637" s="137">
        <v>1</v>
      </c>
      <c r="AQ1637" s="137">
        <v>1</v>
      </c>
      <c r="AR1637" s="137">
        <v>1</v>
      </c>
      <c r="AS1637" s="158">
        <v>0.110069253262963</v>
      </c>
      <c r="AT1637" s="141">
        <v>0.0769230769230769</v>
      </c>
      <c r="AU1637" s="141">
        <v>0.105263157894737</v>
      </c>
      <c r="AV1637" s="141">
        <v>0.0833333333333333</v>
      </c>
      <c r="AW1637" s="141">
        <v>0.0513595166163142</v>
      </c>
      <c r="AX1637" s="95"/>
      <c r="AY1637" s="93"/>
    </row>
    <row r="1638" ht="15" spans="1:51">
      <c r="A1638" s="91"/>
      <c r="B1638" s="95"/>
      <c r="C1638" s="152" t="s">
        <v>1455</v>
      </c>
      <c r="D1638" s="153" t="s">
        <v>25</v>
      </c>
      <c r="E1638" s="130" t="s">
        <v>1456</v>
      </c>
      <c r="F1638" s="171" t="s">
        <v>1670</v>
      </c>
      <c r="G1638" s="171" t="s">
        <v>1670</v>
      </c>
      <c r="H1638" s="171" t="s">
        <v>1670</v>
      </c>
      <c r="I1638" s="171" t="s">
        <v>1670</v>
      </c>
      <c r="J1638" s="132">
        <v>0.9</v>
      </c>
      <c r="K1638" s="133">
        <v>0.95</v>
      </c>
      <c r="L1638" s="133">
        <v>1</v>
      </c>
      <c r="M1638" s="134">
        <v>1</v>
      </c>
      <c r="N1638" s="133">
        <v>0.982968369829684</v>
      </c>
      <c r="O1638" s="135">
        <v>0.9</v>
      </c>
      <c r="P1638" s="133">
        <v>0.997555012224939</v>
      </c>
      <c r="Q1638" s="133">
        <v>0.996886674968867</v>
      </c>
      <c r="R1638" s="133">
        <v>0.998685939553219</v>
      </c>
      <c r="S1638" s="133">
        <v>0.993506300080427</v>
      </c>
      <c r="T1638" s="135">
        <v>0.9</v>
      </c>
      <c r="U1638" s="133">
        <v>0.938264058679707</v>
      </c>
      <c r="V1638" s="133">
        <v>0.926525529265255</v>
      </c>
      <c r="W1638" s="133">
        <v>0.934296977660972</v>
      </c>
      <c r="X1638" s="133">
        <v>0.938220487921122</v>
      </c>
      <c r="Y1638" s="135">
        <v>0.92</v>
      </c>
      <c r="Z1638" s="135" t="s">
        <v>35</v>
      </c>
      <c r="AA1638" s="135" t="s">
        <v>35</v>
      </c>
      <c r="AB1638" s="135" t="s">
        <v>35</v>
      </c>
      <c r="AC1638" s="135" t="s">
        <v>35</v>
      </c>
      <c r="AD1638" s="135">
        <v>0.92</v>
      </c>
      <c r="AE1638" s="133">
        <v>1</v>
      </c>
      <c r="AF1638" s="133">
        <v>0.979591836734694</v>
      </c>
      <c r="AG1638" s="133">
        <v>0.622950819672131</v>
      </c>
      <c r="AH1638" s="133">
        <v>0.958018471872376</v>
      </c>
      <c r="AI1638" s="135">
        <v>0.92</v>
      </c>
      <c r="AJ1638" s="133">
        <v>0.959657701711491</v>
      </c>
      <c r="AK1638" s="133">
        <v>0.962640099626401</v>
      </c>
      <c r="AL1638" s="133">
        <v>0.970433639947438</v>
      </c>
      <c r="AM1638" s="133">
        <v>0.976437997080814</v>
      </c>
      <c r="AN1638" s="132">
        <v>0.99</v>
      </c>
      <c r="AO1638" s="137">
        <v>1</v>
      </c>
      <c r="AP1638" s="137">
        <v>1</v>
      </c>
      <c r="AQ1638" s="137">
        <v>1</v>
      </c>
      <c r="AR1638" s="137">
        <v>1</v>
      </c>
      <c r="AS1638" s="158">
        <v>0.110069253262963</v>
      </c>
      <c r="AT1638" s="141">
        <v>0.0714285714285714</v>
      </c>
      <c r="AU1638" s="141">
        <v>0</v>
      </c>
      <c r="AV1638" s="141">
        <v>0</v>
      </c>
      <c r="AW1638" s="141">
        <v>0.0614886731391586</v>
      </c>
      <c r="AX1638" s="95"/>
      <c r="AY1638" s="93"/>
    </row>
    <row r="1639" ht="15" spans="1:51">
      <c r="A1639" s="91"/>
      <c r="B1639" s="95"/>
      <c r="C1639" s="152" t="s">
        <v>1455</v>
      </c>
      <c r="D1639" s="153" t="s">
        <v>25</v>
      </c>
      <c r="E1639" s="130" t="s">
        <v>1456</v>
      </c>
      <c r="F1639" s="171" t="s">
        <v>1671</v>
      </c>
      <c r="G1639" s="171" t="s">
        <v>1671</v>
      </c>
      <c r="H1639" s="171" t="s">
        <v>1671</v>
      </c>
      <c r="I1639" s="171" t="s">
        <v>1671</v>
      </c>
      <c r="J1639" s="132">
        <v>0.9</v>
      </c>
      <c r="K1639" s="133">
        <v>0.977777777777778</v>
      </c>
      <c r="L1639" s="133">
        <v>0.96</v>
      </c>
      <c r="M1639" s="134">
        <v>0.978723404255319</v>
      </c>
      <c r="N1639" s="133">
        <v>0.972067039106145</v>
      </c>
      <c r="O1639" s="135">
        <v>0.9</v>
      </c>
      <c r="P1639" s="133">
        <v>0.973788721207307</v>
      </c>
      <c r="Q1639" s="133">
        <v>0.91921726041144</v>
      </c>
      <c r="R1639" s="133">
        <v>0.927464008859358</v>
      </c>
      <c r="S1639" s="133">
        <v>0.939214726083299</v>
      </c>
      <c r="T1639" s="135">
        <v>0.9</v>
      </c>
      <c r="U1639" s="133">
        <v>0.862854117024093</v>
      </c>
      <c r="V1639" s="133">
        <v>0.821123933768189</v>
      </c>
      <c r="W1639" s="133">
        <v>0.825027685492802</v>
      </c>
      <c r="X1639" s="133">
        <v>0.881618764204367</v>
      </c>
      <c r="Y1639" s="135">
        <v>0.92</v>
      </c>
      <c r="Z1639" s="135" t="s">
        <v>35</v>
      </c>
      <c r="AA1639" s="135" t="s">
        <v>35</v>
      </c>
      <c r="AB1639" s="135" t="s">
        <v>35</v>
      </c>
      <c r="AC1639" s="135">
        <v>1</v>
      </c>
      <c r="AD1639" s="135">
        <v>0.92</v>
      </c>
      <c r="AE1639" s="133">
        <v>0.927021696252465</v>
      </c>
      <c r="AF1639" s="133">
        <v>0.896634615384615</v>
      </c>
      <c r="AG1639" s="133">
        <v>0.970074812967581</v>
      </c>
      <c r="AH1639" s="133">
        <v>0.941394825646794</v>
      </c>
      <c r="AI1639" s="135">
        <v>0.92</v>
      </c>
      <c r="AJ1639" s="133">
        <v>0.905480540111199</v>
      </c>
      <c r="AK1639" s="133">
        <v>0.912214697767745</v>
      </c>
      <c r="AL1639" s="133">
        <v>0.877940769443676</v>
      </c>
      <c r="AM1639" s="133">
        <v>0.938074431218924</v>
      </c>
      <c r="AN1639" s="132">
        <v>0.99</v>
      </c>
      <c r="AO1639" s="137">
        <v>1</v>
      </c>
      <c r="AP1639" s="137">
        <v>1</v>
      </c>
      <c r="AQ1639" s="137">
        <v>1</v>
      </c>
      <c r="AR1639" s="137">
        <v>1</v>
      </c>
      <c r="AS1639" s="158">
        <v>0.110069253262963</v>
      </c>
      <c r="AT1639" s="141">
        <v>0.0526315789473684</v>
      </c>
      <c r="AU1639" s="141">
        <v>0.1</v>
      </c>
      <c r="AV1639" s="141">
        <v>0</v>
      </c>
      <c r="AW1639" s="141">
        <v>0.050381679389313</v>
      </c>
      <c r="AX1639" s="95"/>
      <c r="AY1639" s="93"/>
    </row>
    <row r="1640" ht="15" spans="1:51">
      <c r="A1640" s="91"/>
      <c r="B1640" s="95"/>
      <c r="C1640" s="152" t="s">
        <v>1455</v>
      </c>
      <c r="D1640" s="153" t="s">
        <v>25</v>
      </c>
      <c r="E1640" s="130" t="s">
        <v>1456</v>
      </c>
      <c r="F1640" s="171" t="s">
        <v>1672</v>
      </c>
      <c r="G1640" s="171" t="s">
        <v>1672</v>
      </c>
      <c r="H1640" s="171" t="s">
        <v>1672</v>
      </c>
      <c r="I1640" s="171" t="s">
        <v>1672</v>
      </c>
      <c r="J1640" s="132">
        <v>0.9</v>
      </c>
      <c r="K1640" s="133">
        <v>0.958333333333333</v>
      </c>
      <c r="L1640" s="133">
        <v>1</v>
      </c>
      <c r="M1640" s="134">
        <v>0.925925925925926</v>
      </c>
      <c r="N1640" s="133">
        <v>0.944230769230769</v>
      </c>
      <c r="O1640" s="135">
        <v>0.9</v>
      </c>
      <c r="P1640" s="133">
        <v>0.930610626486915</v>
      </c>
      <c r="Q1640" s="133">
        <v>0.866750208855472</v>
      </c>
      <c r="R1640" s="133">
        <v>0.913973799126638</v>
      </c>
      <c r="S1640" s="133">
        <v>0.918578684215727</v>
      </c>
      <c r="T1640" s="135">
        <v>0.9</v>
      </c>
      <c r="U1640" s="133">
        <v>0.858049167327518</v>
      </c>
      <c r="V1640" s="133">
        <v>0.804928989139515</v>
      </c>
      <c r="W1640" s="133">
        <v>0.839737991266375</v>
      </c>
      <c r="X1640" s="133">
        <v>0.851445623604277</v>
      </c>
      <c r="Y1640" s="135">
        <v>0.92</v>
      </c>
      <c r="Z1640" s="135" t="s">
        <v>35</v>
      </c>
      <c r="AA1640" s="135" t="s">
        <v>35</v>
      </c>
      <c r="AB1640" s="135" t="s">
        <v>35</v>
      </c>
      <c r="AC1640" s="135" t="s">
        <v>35</v>
      </c>
      <c r="AD1640" s="135">
        <v>0.92</v>
      </c>
      <c r="AE1640" s="133">
        <v>0.550295857988166</v>
      </c>
      <c r="AF1640" s="133">
        <v>1</v>
      </c>
      <c r="AG1640" s="133">
        <v>0.986842105263158</v>
      </c>
      <c r="AH1640" s="133">
        <v>0.961355214399153</v>
      </c>
      <c r="AI1640" s="135">
        <v>0.92</v>
      </c>
      <c r="AJ1640" s="133">
        <v>0.894528152260111</v>
      </c>
      <c r="AK1640" s="133">
        <v>0.917293233082707</v>
      </c>
      <c r="AL1640" s="133">
        <v>0.889519650655022</v>
      </c>
      <c r="AM1640" s="133">
        <v>0.921011027232125</v>
      </c>
      <c r="AN1640" s="132">
        <v>0.99</v>
      </c>
      <c r="AO1640" s="137">
        <v>1</v>
      </c>
      <c r="AP1640" s="137">
        <v>1</v>
      </c>
      <c r="AQ1640" s="137">
        <v>1</v>
      </c>
      <c r="AR1640" s="137">
        <v>1</v>
      </c>
      <c r="AS1640" s="158">
        <v>0.110069253262963</v>
      </c>
      <c r="AT1640" s="141">
        <v>0.0555555555555556</v>
      </c>
      <c r="AU1640" s="141">
        <v>0.0625</v>
      </c>
      <c r="AV1640" s="141">
        <v>0.0769230769230769</v>
      </c>
      <c r="AW1640" s="141">
        <v>0.0646067415730337</v>
      </c>
      <c r="AX1640" s="95"/>
      <c r="AY1640" s="93"/>
    </row>
    <row r="1641" ht="15" spans="1:51">
      <c r="A1641" s="91"/>
      <c r="B1641" s="95"/>
      <c r="C1641" s="152" t="s">
        <v>1455</v>
      </c>
      <c r="D1641" s="153" t="s">
        <v>25</v>
      </c>
      <c r="E1641" s="130" t="s">
        <v>1456</v>
      </c>
      <c r="F1641" s="171" t="s">
        <v>1673</v>
      </c>
      <c r="G1641" s="171" t="s">
        <v>1673</v>
      </c>
      <c r="H1641" s="171" t="s">
        <v>1673</v>
      </c>
      <c r="I1641" s="171" t="s">
        <v>1673</v>
      </c>
      <c r="J1641" s="132">
        <v>0.9</v>
      </c>
      <c r="K1641" s="133">
        <v>0.956521739130435</v>
      </c>
      <c r="L1641" s="133">
        <v>1</v>
      </c>
      <c r="M1641" s="134">
        <v>0.954545454545455</v>
      </c>
      <c r="N1641" s="133">
        <v>0.951020408163265</v>
      </c>
      <c r="O1641" s="135">
        <v>0.9</v>
      </c>
      <c r="P1641" s="133">
        <v>0.922752808988764</v>
      </c>
      <c r="Q1641" s="133">
        <v>0.937456078706957</v>
      </c>
      <c r="R1641" s="133">
        <v>0.910007199424046</v>
      </c>
      <c r="S1641" s="133">
        <v>0.92416680764676</v>
      </c>
      <c r="T1641" s="135">
        <v>0.9</v>
      </c>
      <c r="U1641" s="133">
        <v>0.764044943820225</v>
      </c>
      <c r="V1641" s="133">
        <v>0.700632466619817</v>
      </c>
      <c r="W1641" s="133">
        <v>0.625629949604032</v>
      </c>
      <c r="X1641" s="133">
        <v>0.711639316528506</v>
      </c>
      <c r="Y1641" s="135">
        <v>0.92</v>
      </c>
      <c r="Z1641" s="135">
        <v>0.830564784053156</v>
      </c>
      <c r="AA1641" s="135">
        <v>0.886473429951691</v>
      </c>
      <c r="AB1641" s="135">
        <v>0.830324909747292</v>
      </c>
      <c r="AC1641" s="135">
        <v>0.879456706281834</v>
      </c>
      <c r="AD1641" s="135">
        <v>0.92</v>
      </c>
      <c r="AE1641" s="133">
        <v>1</v>
      </c>
      <c r="AF1641" s="133">
        <v>1</v>
      </c>
      <c r="AG1641" s="133">
        <v>1</v>
      </c>
      <c r="AH1641" s="133">
        <v>0.971789883268482</v>
      </c>
      <c r="AI1641" s="135">
        <v>0.92</v>
      </c>
      <c r="AJ1641" s="133">
        <v>0.859208523592085</v>
      </c>
      <c r="AK1641" s="133">
        <v>0.90968443960827</v>
      </c>
      <c r="AL1641" s="133">
        <v>0.851337448559671</v>
      </c>
      <c r="AM1641" s="133">
        <v>0.900543012289226</v>
      </c>
      <c r="AN1641" s="132">
        <v>0.99</v>
      </c>
      <c r="AO1641" s="137">
        <v>1</v>
      </c>
      <c r="AP1641" s="137">
        <v>1</v>
      </c>
      <c r="AQ1641" s="137" t="s">
        <v>35</v>
      </c>
      <c r="AR1641" s="137">
        <v>1</v>
      </c>
      <c r="AS1641" s="158">
        <v>0.110069253262963</v>
      </c>
      <c r="AT1641" s="141">
        <v>0</v>
      </c>
      <c r="AU1641" s="141">
        <v>0.0555555555555556</v>
      </c>
      <c r="AV1641" s="141">
        <v>0</v>
      </c>
      <c r="AW1641" s="141">
        <v>0.0688836104513064</v>
      </c>
      <c r="AX1641" s="95"/>
      <c r="AY1641" s="93"/>
    </row>
    <row r="1642" ht="15" spans="1:51">
      <c r="A1642" s="91"/>
      <c r="B1642" s="95"/>
      <c r="C1642" s="152" t="s">
        <v>1455</v>
      </c>
      <c r="D1642" s="153" t="s">
        <v>25</v>
      </c>
      <c r="E1642" s="130" t="s">
        <v>1456</v>
      </c>
      <c r="F1642" s="171" t="s">
        <v>1674</v>
      </c>
      <c r="G1642" s="171" t="s">
        <v>1674</v>
      </c>
      <c r="H1642" s="171" t="s">
        <v>1674</v>
      </c>
      <c r="I1642" s="171" t="s">
        <v>1674</v>
      </c>
      <c r="J1642" s="132">
        <v>0.9</v>
      </c>
      <c r="K1642" s="133">
        <v>0.9375</v>
      </c>
      <c r="L1642" s="133">
        <v>0.96969696969697</v>
      </c>
      <c r="M1642" s="134">
        <v>0.941176470588235</v>
      </c>
      <c r="N1642" s="133">
        <v>0.962616822429907</v>
      </c>
      <c r="O1642" s="135">
        <v>0.9</v>
      </c>
      <c r="P1642" s="133">
        <v>0.860681114551084</v>
      </c>
      <c r="Q1642" s="133">
        <v>0.807179487179487</v>
      </c>
      <c r="R1642" s="133">
        <v>0.658227848101266</v>
      </c>
      <c r="S1642" s="133">
        <v>0.774295795705998</v>
      </c>
      <c r="T1642" s="135">
        <v>0.9</v>
      </c>
      <c r="U1642" s="133">
        <v>0.677244582043344</v>
      </c>
      <c r="V1642" s="133">
        <v>0.578803418803419</v>
      </c>
      <c r="W1642" s="133">
        <v>0.617088607594937</v>
      </c>
      <c r="X1642" s="133">
        <v>0.620297829077208</v>
      </c>
      <c r="Y1642" s="135">
        <v>0.92</v>
      </c>
      <c r="Z1642" s="135">
        <v>0.710686359687228</v>
      </c>
      <c r="AA1642" s="135">
        <v>0.722814498933902</v>
      </c>
      <c r="AB1642" s="135">
        <v>0.722731906218145</v>
      </c>
      <c r="AC1642" s="135">
        <v>0.752862035979881</v>
      </c>
      <c r="AD1642" s="135">
        <v>0.92</v>
      </c>
      <c r="AE1642" s="133">
        <v>0.181818181818182</v>
      </c>
      <c r="AF1642" s="133">
        <v>1</v>
      </c>
      <c r="AG1642" s="133">
        <v>1</v>
      </c>
      <c r="AH1642" s="133">
        <v>0.943271767810026</v>
      </c>
      <c r="AI1642" s="135">
        <v>0.92</v>
      </c>
      <c r="AJ1642" s="133">
        <v>0.793780687397709</v>
      </c>
      <c r="AK1642" s="133">
        <v>0.831219259642765</v>
      </c>
      <c r="AL1642" s="133">
        <v>0.827279853671283</v>
      </c>
      <c r="AM1642" s="133">
        <v>0.83019827147941</v>
      </c>
      <c r="AN1642" s="132">
        <v>0.99</v>
      </c>
      <c r="AO1642" s="137">
        <v>1</v>
      </c>
      <c r="AP1642" s="137" t="s">
        <v>35</v>
      </c>
      <c r="AQ1642" s="137">
        <v>1</v>
      </c>
      <c r="AR1642" s="137">
        <v>1</v>
      </c>
      <c r="AS1642" s="158">
        <v>0.110069253262963</v>
      </c>
      <c r="AT1642" s="141">
        <v>0.08</v>
      </c>
      <c r="AU1642" s="141">
        <v>0.125</v>
      </c>
      <c r="AV1642" s="141">
        <v>0.129032258064516</v>
      </c>
      <c r="AW1642" s="141">
        <v>0.119521912350598</v>
      </c>
      <c r="AX1642" s="95"/>
      <c r="AY1642" s="93"/>
    </row>
    <row r="1643" ht="15" spans="1:51">
      <c r="A1643" s="91"/>
      <c r="B1643" s="95"/>
      <c r="C1643" s="152" t="s">
        <v>1455</v>
      </c>
      <c r="D1643" s="153" t="s">
        <v>25</v>
      </c>
      <c r="E1643" s="130" t="s">
        <v>1456</v>
      </c>
      <c r="F1643" s="171" t="s">
        <v>1675</v>
      </c>
      <c r="G1643" s="171" t="s">
        <v>1675</v>
      </c>
      <c r="H1643" s="171" t="s">
        <v>1675</v>
      </c>
      <c r="I1643" s="171" t="s">
        <v>1675</v>
      </c>
      <c r="J1643" s="132">
        <v>0.9</v>
      </c>
      <c r="K1643" s="133">
        <v>1</v>
      </c>
      <c r="L1643" s="133">
        <v>1</v>
      </c>
      <c r="M1643" s="134">
        <v>1</v>
      </c>
      <c r="N1643" s="133">
        <v>0.982428115015974</v>
      </c>
      <c r="O1643" s="135">
        <v>0.9</v>
      </c>
      <c r="P1643" s="133">
        <v>0.800100704934542</v>
      </c>
      <c r="Q1643" s="133">
        <v>0.885627250069233</v>
      </c>
      <c r="R1643" s="133">
        <v>0.870893812070283</v>
      </c>
      <c r="S1643" s="133">
        <v>0.88794088618773</v>
      </c>
      <c r="T1643" s="135">
        <v>0.9</v>
      </c>
      <c r="U1643" s="133">
        <v>0.8932527693857</v>
      </c>
      <c r="V1643" s="133">
        <v>0.83079479368596</v>
      </c>
      <c r="W1643" s="133">
        <v>0.82785841609371</v>
      </c>
      <c r="X1643" s="133">
        <v>0.822372863747338</v>
      </c>
      <c r="Y1643" s="135">
        <v>0.92</v>
      </c>
      <c r="Z1643" s="135">
        <v>1</v>
      </c>
      <c r="AA1643" s="135">
        <v>0</v>
      </c>
      <c r="AB1643" s="135">
        <v>0.142857142857143</v>
      </c>
      <c r="AC1643" s="135">
        <v>0.106508875739645</v>
      </c>
      <c r="AD1643" s="135">
        <v>0.92</v>
      </c>
      <c r="AE1643" s="133">
        <v>0.135761589403974</v>
      </c>
      <c r="AF1643" s="133">
        <v>0.0415512465373961</v>
      </c>
      <c r="AG1643" s="133">
        <v>0.9875</v>
      </c>
      <c r="AH1643" s="133">
        <v>0.654761904761905</v>
      </c>
      <c r="AI1643" s="135">
        <v>0.92</v>
      </c>
      <c r="AJ1643" s="133">
        <v>0.972320080523402</v>
      </c>
      <c r="AK1643" s="133">
        <v>0.982562967063382</v>
      </c>
      <c r="AL1643" s="133">
        <v>0.961616675139807</v>
      </c>
      <c r="AM1643" s="133">
        <v>0.963734328048907</v>
      </c>
      <c r="AN1643" s="132">
        <v>0.99</v>
      </c>
      <c r="AO1643" s="137">
        <v>1</v>
      </c>
      <c r="AP1643" s="137">
        <v>1</v>
      </c>
      <c r="AQ1643" s="137">
        <v>1</v>
      </c>
      <c r="AR1643" s="137">
        <v>1</v>
      </c>
      <c r="AS1643" s="158">
        <v>0.110069253262963</v>
      </c>
      <c r="AT1643" s="141">
        <v>0.0384615384615385</v>
      </c>
      <c r="AU1643" s="141">
        <v>0.142857142857143</v>
      </c>
      <c r="AV1643" s="141">
        <v>0</v>
      </c>
      <c r="AW1643" s="141">
        <v>0.0847058823529412</v>
      </c>
      <c r="AX1643" s="95"/>
      <c r="AY1643" s="93"/>
    </row>
    <row r="1644" ht="15" spans="1:51">
      <c r="A1644" s="91"/>
      <c r="B1644" s="95"/>
      <c r="C1644" s="152" t="s">
        <v>1455</v>
      </c>
      <c r="D1644" s="153" t="s">
        <v>25</v>
      </c>
      <c r="E1644" s="130" t="s">
        <v>1456</v>
      </c>
      <c r="F1644" s="171" t="s">
        <v>1676</v>
      </c>
      <c r="G1644" s="171" t="s">
        <v>1676</v>
      </c>
      <c r="H1644" s="171" t="s">
        <v>1676</v>
      </c>
      <c r="I1644" s="171" t="s">
        <v>1676</v>
      </c>
      <c r="J1644" s="132">
        <v>0.9</v>
      </c>
      <c r="K1644" s="133">
        <v>0.9375</v>
      </c>
      <c r="L1644" s="133">
        <v>0.957446808510638</v>
      </c>
      <c r="M1644" s="134">
        <v>0.928571428571429</v>
      </c>
      <c r="N1644" s="133">
        <v>0.918170878459687</v>
      </c>
      <c r="O1644" s="135">
        <v>0.9</v>
      </c>
      <c r="P1644" s="133">
        <v>0.967010828506673</v>
      </c>
      <c r="Q1644" s="133">
        <v>0.83446370258729</v>
      </c>
      <c r="R1644" s="133">
        <v>0.762734949605012</v>
      </c>
      <c r="S1644" s="133">
        <v>0.833399956157883</v>
      </c>
      <c r="T1644" s="135">
        <v>0.9</v>
      </c>
      <c r="U1644" s="133">
        <v>0.789473684210526</v>
      </c>
      <c r="V1644" s="133">
        <v>0.720170811353931</v>
      </c>
      <c r="W1644" s="133">
        <v>0.703895396349768</v>
      </c>
      <c r="X1644" s="133">
        <v>0.732692034918957</v>
      </c>
      <c r="Y1644" s="135">
        <v>0.92</v>
      </c>
      <c r="Z1644" s="135" t="s">
        <v>35</v>
      </c>
      <c r="AA1644" s="135" t="s">
        <v>35</v>
      </c>
      <c r="AB1644" s="135" t="s">
        <v>35</v>
      </c>
      <c r="AC1644" s="135" t="s">
        <v>35</v>
      </c>
      <c r="AD1644" s="135">
        <v>0.92</v>
      </c>
      <c r="AE1644" s="133">
        <v>0.995271867612293</v>
      </c>
      <c r="AF1644" s="133">
        <v>0.911308203991131</v>
      </c>
      <c r="AG1644" s="133">
        <v>0.99748743718593</v>
      </c>
      <c r="AH1644" s="133">
        <v>0.939708676377454</v>
      </c>
      <c r="AI1644" s="135">
        <v>0.92</v>
      </c>
      <c r="AJ1644" s="133">
        <v>0.860992193402166</v>
      </c>
      <c r="AK1644" s="133">
        <v>0.843757849786486</v>
      </c>
      <c r="AL1644" s="133">
        <v>0.819122854807954</v>
      </c>
      <c r="AM1644" s="133">
        <v>0.867313122977138</v>
      </c>
      <c r="AN1644" s="132">
        <v>0.99</v>
      </c>
      <c r="AO1644" s="137">
        <v>1</v>
      </c>
      <c r="AP1644" s="137">
        <v>1</v>
      </c>
      <c r="AQ1644" s="137" t="s">
        <v>35</v>
      </c>
      <c r="AR1644" s="137">
        <v>1</v>
      </c>
      <c r="AS1644" s="158">
        <v>0.110069253262963</v>
      </c>
      <c r="AT1644" s="141">
        <v>0.0869565217391304</v>
      </c>
      <c r="AU1644" s="141">
        <v>0.0967741935483871</v>
      </c>
      <c r="AV1644" s="141">
        <v>0.24</v>
      </c>
      <c r="AW1644" s="141">
        <v>0.116104868913858</v>
      </c>
      <c r="AX1644" s="95"/>
      <c r="AY1644" s="93"/>
    </row>
    <row r="1645" ht="15" spans="1:51">
      <c r="A1645" s="91"/>
      <c r="B1645" s="95"/>
      <c r="C1645" s="152" t="s">
        <v>1455</v>
      </c>
      <c r="D1645" s="153" t="s">
        <v>25</v>
      </c>
      <c r="E1645" s="130" t="s">
        <v>1456</v>
      </c>
      <c r="F1645" s="171" t="s">
        <v>1677</v>
      </c>
      <c r="G1645" s="171" t="s">
        <v>1677</v>
      </c>
      <c r="H1645" s="171" t="s">
        <v>1677</v>
      </c>
      <c r="I1645" s="171" t="s">
        <v>1677</v>
      </c>
      <c r="J1645" s="132">
        <v>0.9</v>
      </c>
      <c r="K1645" s="133">
        <v>1</v>
      </c>
      <c r="L1645" s="133">
        <v>0.923076923076923</v>
      </c>
      <c r="M1645" s="134">
        <v>0.961538461538462</v>
      </c>
      <c r="N1645" s="133">
        <v>0.968688845401174</v>
      </c>
      <c r="O1645" s="135">
        <v>0.9</v>
      </c>
      <c r="P1645" s="133">
        <v>0.942660550458716</v>
      </c>
      <c r="Q1645" s="133">
        <v>0.865766146053187</v>
      </c>
      <c r="R1645" s="133">
        <v>0.825796303578451</v>
      </c>
      <c r="S1645" s="133">
        <v>0.822309116390124</v>
      </c>
      <c r="T1645" s="135">
        <v>0.9</v>
      </c>
      <c r="U1645" s="133">
        <v>0.879204892966361</v>
      </c>
      <c r="V1645" s="133">
        <v>0.796116504854369</v>
      </c>
      <c r="W1645" s="133">
        <v>0.82147070389304</v>
      </c>
      <c r="X1645" s="133">
        <v>0.82568299392702</v>
      </c>
      <c r="Y1645" s="135">
        <v>0.92</v>
      </c>
      <c r="Z1645" s="135">
        <v>0</v>
      </c>
      <c r="AA1645" s="135">
        <v>0</v>
      </c>
      <c r="AB1645" s="135">
        <v>0</v>
      </c>
      <c r="AC1645" s="135">
        <v>0.186440677966102</v>
      </c>
      <c r="AD1645" s="135">
        <v>0.92</v>
      </c>
      <c r="AE1645" s="133">
        <v>1</v>
      </c>
      <c r="AF1645" s="133">
        <v>1</v>
      </c>
      <c r="AG1645" s="133">
        <v>1</v>
      </c>
      <c r="AH1645" s="133">
        <v>0.986201298701299</v>
      </c>
      <c r="AI1645" s="135">
        <v>0.92</v>
      </c>
      <c r="AJ1645" s="133">
        <v>0.950343773873186</v>
      </c>
      <c r="AK1645" s="133">
        <v>0.951075495571489</v>
      </c>
      <c r="AL1645" s="133">
        <v>0.943811394891945</v>
      </c>
      <c r="AM1645" s="133">
        <v>0.96498981459103</v>
      </c>
      <c r="AN1645" s="132">
        <v>0.99</v>
      </c>
      <c r="AO1645" s="137">
        <v>1</v>
      </c>
      <c r="AP1645" s="137">
        <v>1</v>
      </c>
      <c r="AQ1645" s="137">
        <v>1</v>
      </c>
      <c r="AR1645" s="137">
        <v>1</v>
      </c>
      <c r="AS1645" s="158">
        <v>0.110069253262963</v>
      </c>
      <c r="AT1645" s="141">
        <v>0</v>
      </c>
      <c r="AU1645" s="141">
        <v>0.142857142857143</v>
      </c>
      <c r="AV1645" s="141">
        <v>0</v>
      </c>
      <c r="AW1645" s="141">
        <v>0.039832285115304</v>
      </c>
      <c r="AX1645" s="95"/>
      <c r="AY1645" s="93"/>
    </row>
    <row r="1646" ht="15" spans="1:51">
      <c r="A1646" s="91"/>
      <c r="B1646" s="95"/>
      <c r="C1646" s="152" t="s">
        <v>1455</v>
      </c>
      <c r="D1646" s="153" t="s">
        <v>25</v>
      </c>
      <c r="E1646" s="130" t="s">
        <v>1456</v>
      </c>
      <c r="F1646" s="171" t="s">
        <v>1678</v>
      </c>
      <c r="G1646" s="171" t="s">
        <v>1678</v>
      </c>
      <c r="H1646" s="171" t="s">
        <v>1678</v>
      </c>
      <c r="I1646" s="171" t="s">
        <v>1678</v>
      </c>
      <c r="J1646" s="132">
        <v>0.9</v>
      </c>
      <c r="K1646" s="133">
        <v>1</v>
      </c>
      <c r="L1646" s="133">
        <v>0.958333333333333</v>
      </c>
      <c r="M1646" s="134">
        <v>0.96</v>
      </c>
      <c r="N1646" s="133">
        <v>0.955789473684211</v>
      </c>
      <c r="O1646" s="135">
        <v>0.9</v>
      </c>
      <c r="P1646" s="133">
        <v>0.944594594594595</v>
      </c>
      <c r="Q1646" s="133">
        <v>0.980532121998702</v>
      </c>
      <c r="R1646" s="133">
        <v>0.983142279163857</v>
      </c>
      <c r="S1646" s="133">
        <v>0.964599404261819</v>
      </c>
      <c r="T1646" s="135">
        <v>0.9</v>
      </c>
      <c r="U1646" s="133">
        <v>0.858108108108108</v>
      </c>
      <c r="V1646" s="133">
        <v>0.790395846852693</v>
      </c>
      <c r="W1646" s="133">
        <v>0.815913688469319</v>
      </c>
      <c r="X1646" s="133">
        <v>0.762201176201023</v>
      </c>
      <c r="Y1646" s="135">
        <v>0.92</v>
      </c>
      <c r="Z1646" s="135">
        <v>0.844827586206897</v>
      </c>
      <c r="AA1646" s="135">
        <v>0.795373665480427</v>
      </c>
      <c r="AB1646" s="135">
        <v>0.781725888324873</v>
      </c>
      <c r="AC1646" s="135">
        <v>0.851637026029433</v>
      </c>
      <c r="AD1646" s="135">
        <v>0.92</v>
      </c>
      <c r="AE1646" s="133">
        <v>1</v>
      </c>
      <c r="AF1646" s="133">
        <v>0.941176470588235</v>
      </c>
      <c r="AG1646" s="133">
        <v>1</v>
      </c>
      <c r="AH1646" s="133">
        <v>0.989966555183946</v>
      </c>
      <c r="AI1646" s="135">
        <v>0.92</v>
      </c>
      <c r="AJ1646" s="133">
        <v>0.877437325905292</v>
      </c>
      <c r="AK1646" s="133">
        <v>0.875416072277699</v>
      </c>
      <c r="AL1646" s="133">
        <v>0.87029893924783</v>
      </c>
      <c r="AM1646" s="133">
        <v>0.900718109968556</v>
      </c>
      <c r="AN1646" s="132">
        <v>0.99</v>
      </c>
      <c r="AO1646" s="137" t="s">
        <v>35</v>
      </c>
      <c r="AP1646" s="137">
        <v>1</v>
      </c>
      <c r="AQ1646" s="137">
        <v>1</v>
      </c>
      <c r="AR1646" s="137">
        <v>1</v>
      </c>
      <c r="AS1646" s="158">
        <v>0.110069253262963</v>
      </c>
      <c r="AT1646" s="141">
        <v>0.111111111111111</v>
      </c>
      <c r="AU1646" s="141">
        <v>0.0555555555555556</v>
      </c>
      <c r="AV1646" s="141">
        <v>0.0909090909090909</v>
      </c>
      <c r="AW1646" s="141">
        <v>0.0678466076696165</v>
      </c>
      <c r="AX1646" s="95"/>
      <c r="AY1646" s="93"/>
    </row>
    <row r="1647" ht="15" spans="1:51">
      <c r="A1647" s="91"/>
      <c r="B1647" s="95"/>
      <c r="C1647" s="152" t="s">
        <v>1455</v>
      </c>
      <c r="D1647" s="153" t="s">
        <v>25</v>
      </c>
      <c r="E1647" s="130" t="s">
        <v>1456</v>
      </c>
      <c r="F1647" s="171" t="s">
        <v>1679</v>
      </c>
      <c r="G1647" s="171" t="s">
        <v>1679</v>
      </c>
      <c r="H1647" s="171" t="s">
        <v>1679</v>
      </c>
      <c r="I1647" s="171" t="s">
        <v>1679</v>
      </c>
      <c r="J1647" s="132">
        <v>0.9</v>
      </c>
      <c r="K1647" s="133">
        <v>1</v>
      </c>
      <c r="L1647" s="133">
        <v>0.964285714285714</v>
      </c>
      <c r="M1647" s="134">
        <v>1</v>
      </c>
      <c r="N1647" s="133">
        <v>0.944866920152091</v>
      </c>
      <c r="O1647" s="135">
        <v>0.9</v>
      </c>
      <c r="P1647" s="133">
        <v>0.979952830188679</v>
      </c>
      <c r="Q1647" s="133">
        <v>0.969308035714286</v>
      </c>
      <c r="R1647" s="133">
        <v>0.967528562838244</v>
      </c>
      <c r="S1647" s="133">
        <v>0.968388305345554</v>
      </c>
      <c r="T1647" s="135">
        <v>0.9</v>
      </c>
      <c r="U1647" s="133">
        <v>0.699292452830189</v>
      </c>
      <c r="V1647" s="133">
        <v>0.604910714285714</v>
      </c>
      <c r="W1647" s="133">
        <v>0.608538785327721</v>
      </c>
      <c r="X1647" s="133">
        <v>0.616779286813407</v>
      </c>
      <c r="Y1647" s="135">
        <v>0.92</v>
      </c>
      <c r="Z1647" s="135">
        <v>0.725992317541613</v>
      </c>
      <c r="AA1647" s="135">
        <v>0.712765957446808</v>
      </c>
      <c r="AB1647" s="135">
        <v>0.540064102564103</v>
      </c>
      <c r="AC1647" s="135">
        <v>0.727537511032657</v>
      </c>
      <c r="AD1647" s="135">
        <v>0.92</v>
      </c>
      <c r="AE1647" s="133">
        <v>1</v>
      </c>
      <c r="AF1647" s="133">
        <v>1</v>
      </c>
      <c r="AG1647" s="133">
        <v>0.91025641025641</v>
      </c>
      <c r="AH1647" s="133">
        <v>0.633333333333333</v>
      </c>
      <c r="AI1647" s="135">
        <v>0.92</v>
      </c>
      <c r="AJ1647" s="133">
        <v>0.786372007366482</v>
      </c>
      <c r="AK1647" s="133">
        <v>0.8276740237691</v>
      </c>
      <c r="AL1647" s="133">
        <v>0.722027972027972</v>
      </c>
      <c r="AM1647" s="133">
        <v>0.807786674781749</v>
      </c>
      <c r="AN1647" s="132">
        <v>0.99</v>
      </c>
      <c r="AO1647" s="137">
        <v>1</v>
      </c>
      <c r="AP1647" s="137">
        <v>1</v>
      </c>
      <c r="AQ1647" s="137">
        <v>1</v>
      </c>
      <c r="AR1647" s="137">
        <v>1</v>
      </c>
      <c r="AS1647" s="158">
        <v>0.110069253262963</v>
      </c>
      <c r="AT1647" s="141">
        <v>0.0625</v>
      </c>
      <c r="AU1647" s="141">
        <v>0.0526315789473684</v>
      </c>
      <c r="AV1647" s="141">
        <v>0.125</v>
      </c>
      <c r="AW1647" s="141">
        <v>0.0953678474114441</v>
      </c>
      <c r="AX1647" s="95"/>
      <c r="AY1647" s="93"/>
    </row>
    <row r="1648" ht="15" spans="1:51">
      <c r="A1648" s="91"/>
      <c r="B1648" s="95"/>
      <c r="C1648" s="152" t="s">
        <v>1455</v>
      </c>
      <c r="D1648" s="153" t="s">
        <v>25</v>
      </c>
      <c r="E1648" s="130" t="s">
        <v>1456</v>
      </c>
      <c r="F1648" s="171" t="s">
        <v>1680</v>
      </c>
      <c r="G1648" s="171" t="s">
        <v>1680</v>
      </c>
      <c r="H1648" s="171" t="s">
        <v>1680</v>
      </c>
      <c r="I1648" s="171" t="s">
        <v>1680</v>
      </c>
      <c r="J1648" s="132">
        <v>0.9</v>
      </c>
      <c r="K1648" s="133">
        <v>1</v>
      </c>
      <c r="L1648" s="133">
        <v>0.966666666666667</v>
      </c>
      <c r="M1648" s="134">
        <v>0.935483870967742</v>
      </c>
      <c r="N1648" s="133">
        <v>0.947169811320755</v>
      </c>
      <c r="O1648" s="135">
        <v>0.9</v>
      </c>
      <c r="P1648" s="133">
        <v>0.802688172043011</v>
      </c>
      <c r="Q1648" s="133">
        <v>0.852756892230576</v>
      </c>
      <c r="R1648" s="133">
        <v>0.848015761328455</v>
      </c>
      <c r="S1648" s="133">
        <v>0.791448744769874</v>
      </c>
      <c r="T1648" s="135">
        <v>0.9</v>
      </c>
      <c r="U1648" s="133">
        <v>0.824193548387097</v>
      </c>
      <c r="V1648" s="133">
        <v>0.652255639097744</v>
      </c>
      <c r="W1648" s="133">
        <v>0.709541232761047</v>
      </c>
      <c r="X1648" s="133">
        <v>0.672405276615528</v>
      </c>
      <c r="Y1648" s="135">
        <v>0.92</v>
      </c>
      <c r="Z1648" s="135" t="s">
        <v>35</v>
      </c>
      <c r="AA1648" s="135">
        <v>0.666666666666667</v>
      </c>
      <c r="AB1648" s="135">
        <v>0.2</v>
      </c>
      <c r="AC1648" s="135">
        <v>0.0454545454545455</v>
      </c>
      <c r="AD1648" s="135">
        <v>0.92</v>
      </c>
      <c r="AE1648" s="133">
        <v>1</v>
      </c>
      <c r="AF1648" s="133">
        <v>0.791666666666667</v>
      </c>
      <c r="AG1648" s="133">
        <v>0.72</v>
      </c>
      <c r="AH1648" s="133">
        <v>0.910804020100503</v>
      </c>
      <c r="AI1648" s="135">
        <v>0.92</v>
      </c>
      <c r="AJ1648" s="133">
        <v>0.898924731182796</v>
      </c>
      <c r="AK1648" s="133">
        <v>0.917057902973396</v>
      </c>
      <c r="AL1648" s="133">
        <v>0.897162124192189</v>
      </c>
      <c r="AM1648" s="133">
        <v>0.900601841780872</v>
      </c>
      <c r="AN1648" s="132">
        <v>0.99</v>
      </c>
      <c r="AO1648" s="137">
        <v>1</v>
      </c>
      <c r="AP1648" s="137">
        <v>1</v>
      </c>
      <c r="AQ1648" s="137">
        <v>1</v>
      </c>
      <c r="AR1648" s="137">
        <v>1</v>
      </c>
      <c r="AS1648" s="158">
        <v>0.110069253262963</v>
      </c>
      <c r="AT1648" s="141">
        <v>0</v>
      </c>
      <c r="AU1648" s="141">
        <v>0.0526315789473684</v>
      </c>
      <c r="AV1648" s="141">
        <v>0.125</v>
      </c>
      <c r="AW1648" s="141">
        <v>0.0936768149882904</v>
      </c>
      <c r="AX1648" s="95"/>
      <c r="AY1648" s="93"/>
    </row>
    <row r="1649" ht="15" spans="1:51">
      <c r="A1649" s="91"/>
      <c r="B1649" s="95"/>
      <c r="C1649" s="152" t="s">
        <v>1455</v>
      </c>
      <c r="D1649" s="153" t="s">
        <v>25</v>
      </c>
      <c r="E1649" s="130" t="s">
        <v>1456</v>
      </c>
      <c r="F1649" s="171" t="s">
        <v>1681</v>
      </c>
      <c r="G1649" s="171" t="s">
        <v>1681</v>
      </c>
      <c r="H1649" s="171" t="s">
        <v>1681</v>
      </c>
      <c r="I1649" s="171" t="s">
        <v>1681</v>
      </c>
      <c r="J1649" s="132">
        <v>0.9</v>
      </c>
      <c r="K1649" s="133">
        <v>0.972972972972973</v>
      </c>
      <c r="L1649" s="133">
        <v>0.970588235294118</v>
      </c>
      <c r="M1649" s="134">
        <v>0.921052631578947</v>
      </c>
      <c r="N1649" s="133">
        <v>0.94949494949495</v>
      </c>
      <c r="O1649" s="135">
        <v>0.9</v>
      </c>
      <c r="P1649" s="133">
        <v>0.977371627502176</v>
      </c>
      <c r="Q1649" s="133">
        <v>0.971255060728745</v>
      </c>
      <c r="R1649" s="133">
        <v>0.95757071547421</v>
      </c>
      <c r="S1649" s="133">
        <v>0.948162153645306</v>
      </c>
      <c r="T1649" s="135">
        <v>0.9</v>
      </c>
      <c r="U1649" s="133">
        <v>0.606614447345518</v>
      </c>
      <c r="V1649" s="133">
        <v>0.480971659919028</v>
      </c>
      <c r="W1649" s="133">
        <v>0.468801996672213</v>
      </c>
      <c r="X1649" s="133">
        <v>0.483152137213856</v>
      </c>
      <c r="Y1649" s="135">
        <v>0.92</v>
      </c>
      <c r="Z1649" s="135">
        <v>0.758928571428571</v>
      </c>
      <c r="AA1649" s="135">
        <v>0.72707423580786</v>
      </c>
      <c r="AB1649" s="135">
        <v>0.758974358974359</v>
      </c>
      <c r="AC1649" s="135">
        <v>0.720096261397146</v>
      </c>
      <c r="AD1649" s="135">
        <v>0.92</v>
      </c>
      <c r="AE1649" s="133">
        <v>1</v>
      </c>
      <c r="AF1649" s="133">
        <v>0.95</v>
      </c>
      <c r="AG1649" s="133">
        <v>0.972222222222222</v>
      </c>
      <c r="AH1649" s="133">
        <v>0.924180327868853</v>
      </c>
      <c r="AI1649" s="135">
        <v>0.92</v>
      </c>
      <c r="AJ1649" s="133">
        <v>0.795698924731183</v>
      </c>
      <c r="AK1649" s="133">
        <v>0.830478440637921</v>
      </c>
      <c r="AL1649" s="133">
        <v>0.838165680473373</v>
      </c>
      <c r="AM1649" s="133">
        <v>0.803095849668785</v>
      </c>
      <c r="AN1649" s="132">
        <v>0.99</v>
      </c>
      <c r="AO1649" s="137">
        <v>1</v>
      </c>
      <c r="AP1649" s="137">
        <v>1</v>
      </c>
      <c r="AQ1649" s="137" t="s">
        <v>35</v>
      </c>
      <c r="AR1649" s="137">
        <v>1</v>
      </c>
      <c r="AS1649" s="158">
        <v>0.110069253262963</v>
      </c>
      <c r="AT1649" s="141">
        <v>0.142857142857143</v>
      </c>
      <c r="AU1649" s="141">
        <v>0</v>
      </c>
      <c r="AV1649" s="141">
        <v>0.0645161290322581</v>
      </c>
      <c r="AW1649" s="141">
        <v>0.100401606425703</v>
      </c>
      <c r="AX1649" s="95"/>
      <c r="AY1649" s="93"/>
    </row>
    <row r="1650" ht="15" spans="1:51">
      <c r="A1650" s="91"/>
      <c r="B1650" s="95"/>
      <c r="C1650" s="152" t="s">
        <v>1455</v>
      </c>
      <c r="D1650" s="153" t="s">
        <v>25</v>
      </c>
      <c r="E1650" s="130" t="s">
        <v>1456</v>
      </c>
      <c r="F1650" s="171" t="s">
        <v>1682</v>
      </c>
      <c r="G1650" s="171" t="s">
        <v>1682</v>
      </c>
      <c r="H1650" s="171" t="s">
        <v>1682</v>
      </c>
      <c r="I1650" s="171" t="s">
        <v>1682</v>
      </c>
      <c r="J1650" s="132">
        <v>0.9</v>
      </c>
      <c r="K1650" s="133">
        <v>0.970588235294118</v>
      </c>
      <c r="L1650" s="133">
        <v>0.914285714285714</v>
      </c>
      <c r="M1650" s="134">
        <v>0.885714285714286</v>
      </c>
      <c r="N1650" s="133">
        <v>0.882440476190476</v>
      </c>
      <c r="O1650" s="135">
        <v>0.9</v>
      </c>
      <c r="P1650" s="133">
        <v>0.76137585094948</v>
      </c>
      <c r="Q1650" s="133">
        <v>0.86248012718601</v>
      </c>
      <c r="R1650" s="133">
        <v>0.792432035268185</v>
      </c>
      <c r="S1650" s="133">
        <v>0.883132506360069</v>
      </c>
      <c r="T1650" s="135">
        <v>0.9</v>
      </c>
      <c r="U1650" s="133">
        <v>0.804012898602651</v>
      </c>
      <c r="V1650" s="133">
        <v>0.540739268680445</v>
      </c>
      <c r="W1650" s="133">
        <v>0.644562821454813</v>
      </c>
      <c r="X1650" s="133">
        <v>0.726319837497781</v>
      </c>
      <c r="Y1650" s="135">
        <v>0.92</v>
      </c>
      <c r="Z1650" s="135">
        <v>0</v>
      </c>
      <c r="AA1650" s="135" t="s">
        <v>35</v>
      </c>
      <c r="AB1650" s="135" t="s">
        <v>35</v>
      </c>
      <c r="AC1650" s="135">
        <v>0</v>
      </c>
      <c r="AD1650" s="135">
        <v>0.92</v>
      </c>
      <c r="AE1650" s="133">
        <v>0.938775510204082</v>
      </c>
      <c r="AF1650" s="133">
        <v>1</v>
      </c>
      <c r="AG1650" s="133">
        <v>1</v>
      </c>
      <c r="AH1650" s="133">
        <v>0.94885745375408</v>
      </c>
      <c r="AI1650" s="135">
        <v>0.92</v>
      </c>
      <c r="AJ1650" s="133">
        <v>0.904727793696275</v>
      </c>
      <c r="AK1650" s="133">
        <v>0.924284578696343</v>
      </c>
      <c r="AL1650" s="133">
        <v>0.893277002204262</v>
      </c>
      <c r="AM1650" s="133">
        <v>0.941776195781855</v>
      </c>
      <c r="AN1650" s="132">
        <v>0.99</v>
      </c>
      <c r="AO1650" s="137">
        <v>1</v>
      </c>
      <c r="AP1650" s="137" t="s">
        <v>35</v>
      </c>
      <c r="AQ1650" s="137" t="s">
        <v>35</v>
      </c>
      <c r="AR1650" s="137">
        <v>1</v>
      </c>
      <c r="AS1650" s="158">
        <v>0.110069253262963</v>
      </c>
      <c r="AT1650" s="141">
        <v>0.12</v>
      </c>
      <c r="AU1650" s="141">
        <v>0.148148148148148</v>
      </c>
      <c r="AV1650" s="141">
        <v>0.0740740740740741</v>
      </c>
      <c r="AW1650" s="141">
        <v>0.0976058931860037</v>
      </c>
      <c r="AX1650" s="95"/>
      <c r="AY1650" s="93"/>
    </row>
    <row r="1651" ht="15" spans="1:51">
      <c r="A1651" s="91"/>
      <c r="B1651" s="95"/>
      <c r="C1651" s="152" t="s">
        <v>1455</v>
      </c>
      <c r="D1651" s="153" t="s">
        <v>25</v>
      </c>
      <c r="E1651" s="130" t="s">
        <v>1456</v>
      </c>
      <c r="F1651" s="171" t="s">
        <v>1683</v>
      </c>
      <c r="G1651" s="171" t="s">
        <v>1683</v>
      </c>
      <c r="H1651" s="171" t="s">
        <v>1683</v>
      </c>
      <c r="I1651" s="171" t="s">
        <v>1683</v>
      </c>
      <c r="J1651" s="132">
        <v>0.9</v>
      </c>
      <c r="K1651" s="133">
        <v>0.870967741935484</v>
      </c>
      <c r="L1651" s="133">
        <v>0.918918918918919</v>
      </c>
      <c r="M1651" s="134">
        <v>0.842105263157895</v>
      </c>
      <c r="N1651" s="133">
        <v>0.832196452933151</v>
      </c>
      <c r="O1651" s="135">
        <v>0.9</v>
      </c>
      <c r="P1651" s="133">
        <v>0.979591836734694</v>
      </c>
      <c r="Q1651" s="133">
        <v>0.981798904400071</v>
      </c>
      <c r="R1651" s="133">
        <v>0.899467376830892</v>
      </c>
      <c r="S1651" s="133">
        <v>0.982364918914988</v>
      </c>
      <c r="T1651" s="135">
        <v>0.9</v>
      </c>
      <c r="U1651" s="133">
        <v>0.893120134651799</v>
      </c>
      <c r="V1651" s="133">
        <v>0.90386994168581</v>
      </c>
      <c r="W1651" s="133">
        <v>0.868619618286729</v>
      </c>
      <c r="X1651" s="133">
        <v>0.894153152498</v>
      </c>
      <c r="Y1651" s="135">
        <v>0.92</v>
      </c>
      <c r="Z1651" s="135" t="s">
        <v>35</v>
      </c>
      <c r="AA1651" s="135" t="s">
        <v>35</v>
      </c>
      <c r="AB1651" s="135">
        <v>0</v>
      </c>
      <c r="AC1651" s="135">
        <v>0</v>
      </c>
      <c r="AD1651" s="135">
        <v>0.92</v>
      </c>
      <c r="AE1651" s="133">
        <v>1</v>
      </c>
      <c r="AF1651" s="133">
        <v>1</v>
      </c>
      <c r="AG1651" s="133">
        <v>1</v>
      </c>
      <c r="AH1651" s="133">
        <v>0.903225806451613</v>
      </c>
      <c r="AI1651" s="135">
        <v>0.92</v>
      </c>
      <c r="AJ1651" s="133">
        <v>0.940669051125605</v>
      </c>
      <c r="AK1651" s="133">
        <v>0.95546916416328</v>
      </c>
      <c r="AL1651" s="133">
        <v>0.951187042378522</v>
      </c>
      <c r="AM1651" s="133">
        <v>0.962792303987058</v>
      </c>
      <c r="AN1651" s="132">
        <v>0.99</v>
      </c>
      <c r="AO1651" s="137" t="s">
        <v>35</v>
      </c>
      <c r="AP1651" s="137" t="s">
        <v>35</v>
      </c>
      <c r="AQ1651" s="137">
        <v>1</v>
      </c>
      <c r="AR1651" s="137">
        <v>1</v>
      </c>
      <c r="AS1651" s="158">
        <v>0.110069253262963</v>
      </c>
      <c r="AT1651" s="141">
        <v>0.2</v>
      </c>
      <c r="AU1651" s="141">
        <v>0.186046511627907</v>
      </c>
      <c r="AV1651" s="141">
        <v>0.0681818181818182</v>
      </c>
      <c r="AW1651" s="141">
        <v>0.0859598853868195</v>
      </c>
      <c r="AX1651" s="95"/>
      <c r="AY1651" s="93"/>
    </row>
    <row r="1652" ht="15" spans="1:51">
      <c r="A1652" s="91"/>
      <c r="B1652" s="95"/>
      <c r="C1652" s="152" t="s">
        <v>1455</v>
      </c>
      <c r="D1652" s="153" t="s">
        <v>25</v>
      </c>
      <c r="E1652" s="130" t="s">
        <v>1456</v>
      </c>
      <c r="F1652" s="171" t="s">
        <v>1684</v>
      </c>
      <c r="G1652" s="171" t="s">
        <v>1684</v>
      </c>
      <c r="H1652" s="171" t="s">
        <v>1684</v>
      </c>
      <c r="I1652" s="171" t="s">
        <v>1684</v>
      </c>
      <c r="J1652" s="132">
        <v>0.9</v>
      </c>
      <c r="K1652" s="133">
        <v>0.942857142857143</v>
      </c>
      <c r="L1652" s="133">
        <v>1</v>
      </c>
      <c r="M1652" s="134">
        <v>0.921052631578947</v>
      </c>
      <c r="N1652" s="133">
        <v>0.93411420204978</v>
      </c>
      <c r="O1652" s="135">
        <v>0.9</v>
      </c>
      <c r="P1652" s="133">
        <v>0.971943887775551</v>
      </c>
      <c r="Q1652" s="133">
        <v>0.974580854515955</v>
      </c>
      <c r="R1652" s="133">
        <v>0.973131411822179</v>
      </c>
      <c r="S1652" s="133">
        <v>0.97309666489671</v>
      </c>
      <c r="T1652" s="135">
        <v>0.9</v>
      </c>
      <c r="U1652" s="133">
        <v>0.831663326653307</v>
      </c>
      <c r="V1652" s="133">
        <v>0.813953488372093</v>
      </c>
      <c r="W1652" s="133">
        <v>0.782608695652174</v>
      </c>
      <c r="X1652" s="133">
        <v>0.763710839717818</v>
      </c>
      <c r="Y1652" s="135">
        <v>0.92</v>
      </c>
      <c r="Z1652" s="135">
        <v>0.923245614035088</v>
      </c>
      <c r="AA1652" s="135">
        <v>0.919597989949749</v>
      </c>
      <c r="AB1652" s="135">
        <v>0.902743142144638</v>
      </c>
      <c r="AC1652" s="135">
        <v>0.917851611994932</v>
      </c>
      <c r="AD1652" s="135">
        <v>0.92</v>
      </c>
      <c r="AE1652" s="133">
        <v>1</v>
      </c>
      <c r="AF1652" s="133">
        <v>0.997658079625293</v>
      </c>
      <c r="AG1652" s="133">
        <v>1</v>
      </c>
      <c r="AH1652" s="133">
        <v>0.99879489033502</v>
      </c>
      <c r="AI1652" s="135">
        <v>0.92</v>
      </c>
      <c r="AJ1652" s="133">
        <v>0.929842931937173</v>
      </c>
      <c r="AK1652" s="133">
        <v>0.940642722117202</v>
      </c>
      <c r="AL1652" s="133">
        <v>0.923832923832924</v>
      </c>
      <c r="AM1652" s="133">
        <v>0.935652813534388</v>
      </c>
      <c r="AN1652" s="132">
        <v>0.99</v>
      </c>
      <c r="AO1652" s="137">
        <v>1</v>
      </c>
      <c r="AP1652" s="137">
        <v>1</v>
      </c>
      <c r="AQ1652" s="137">
        <v>1</v>
      </c>
      <c r="AR1652" s="137">
        <v>1</v>
      </c>
      <c r="AS1652" s="158">
        <v>0.110069253262963</v>
      </c>
      <c r="AT1652" s="141">
        <v>0</v>
      </c>
      <c r="AU1652" s="141">
        <v>0.0909090909090909</v>
      </c>
      <c r="AV1652" s="141">
        <v>0.0512820512820513</v>
      </c>
      <c r="AW1652" s="141">
        <v>0.0665557404326123</v>
      </c>
      <c r="AX1652" s="95"/>
      <c r="AY1652" s="93"/>
    </row>
    <row r="1653" ht="15" spans="1:51">
      <c r="A1653" s="91"/>
      <c r="B1653" s="95"/>
      <c r="C1653" s="152" t="s">
        <v>1455</v>
      </c>
      <c r="D1653" s="153" t="s">
        <v>25</v>
      </c>
      <c r="E1653" s="130" t="s">
        <v>1456</v>
      </c>
      <c r="F1653" s="171" t="s">
        <v>1685</v>
      </c>
      <c r="G1653" s="171" t="s">
        <v>1685</v>
      </c>
      <c r="H1653" s="171" t="s">
        <v>1685</v>
      </c>
      <c r="I1653" s="171" t="s">
        <v>1685</v>
      </c>
      <c r="J1653" s="132">
        <v>0.9</v>
      </c>
      <c r="K1653" s="133">
        <v>1</v>
      </c>
      <c r="L1653" s="133">
        <v>1</v>
      </c>
      <c r="M1653" s="134">
        <v>0.974358974358974</v>
      </c>
      <c r="N1653" s="133">
        <v>0.985652797704448</v>
      </c>
      <c r="O1653" s="135">
        <v>0.9</v>
      </c>
      <c r="P1653" s="133">
        <v>0.9833984375</v>
      </c>
      <c r="Q1653" s="133">
        <v>0.993898718730933</v>
      </c>
      <c r="R1653" s="133">
        <v>0.987945492662474</v>
      </c>
      <c r="S1653" s="133">
        <v>0.990896436525612</v>
      </c>
      <c r="T1653" s="135">
        <v>0.9</v>
      </c>
      <c r="U1653" s="133">
        <v>0.95751953125</v>
      </c>
      <c r="V1653" s="133">
        <v>0.920683343502135</v>
      </c>
      <c r="W1653" s="133">
        <v>0.912473794549266</v>
      </c>
      <c r="X1653" s="133">
        <v>0.942232739420935</v>
      </c>
      <c r="Y1653" s="135">
        <v>0.92</v>
      </c>
      <c r="Z1653" s="135">
        <v>0.955168119551681</v>
      </c>
      <c r="AA1653" s="135">
        <v>0.964044943820225</v>
      </c>
      <c r="AB1653" s="135">
        <v>0.940650406504065</v>
      </c>
      <c r="AC1653" s="135">
        <v>0.94460550838683</v>
      </c>
      <c r="AD1653" s="135">
        <v>0.92</v>
      </c>
      <c r="AE1653" s="133">
        <v>1</v>
      </c>
      <c r="AF1653" s="133">
        <v>0.991596638655462</v>
      </c>
      <c r="AG1653" s="133">
        <v>1</v>
      </c>
      <c r="AH1653" s="133">
        <v>0.998401278976819</v>
      </c>
      <c r="AI1653" s="135">
        <v>0.92</v>
      </c>
      <c r="AJ1653" s="133">
        <v>0.97194950911641</v>
      </c>
      <c r="AK1653" s="133">
        <v>0.967576117042309</v>
      </c>
      <c r="AL1653" s="133">
        <v>0.945825366475462</v>
      </c>
      <c r="AM1653" s="133">
        <v>0.962097283638661</v>
      </c>
      <c r="AN1653" s="132">
        <v>0.99</v>
      </c>
      <c r="AO1653" s="137">
        <v>1</v>
      </c>
      <c r="AP1653" s="137">
        <v>1</v>
      </c>
      <c r="AQ1653" s="137">
        <v>1</v>
      </c>
      <c r="AR1653" s="137">
        <v>1</v>
      </c>
      <c r="AS1653" s="158">
        <v>0.110069253262963</v>
      </c>
      <c r="AT1653" s="141">
        <v>0</v>
      </c>
      <c r="AU1653" s="141">
        <v>0</v>
      </c>
      <c r="AV1653" s="141">
        <v>0.16</v>
      </c>
      <c r="AW1653" s="141">
        <v>0.0836431226765799</v>
      </c>
      <c r="AX1653" s="95"/>
      <c r="AY1653" s="93"/>
    </row>
    <row r="1654" ht="15" spans="1:51">
      <c r="A1654" s="91"/>
      <c r="B1654" s="95"/>
      <c r="C1654" s="152" t="s">
        <v>1455</v>
      </c>
      <c r="D1654" s="153" t="s">
        <v>922</v>
      </c>
      <c r="E1654" s="130" t="s">
        <v>1456</v>
      </c>
      <c r="F1654" s="171" t="s">
        <v>1686</v>
      </c>
      <c r="G1654" s="171" t="s">
        <v>1686</v>
      </c>
      <c r="H1654" s="171" t="s">
        <v>1686</v>
      </c>
      <c r="I1654" s="171" t="s">
        <v>1686</v>
      </c>
      <c r="J1654" s="132">
        <v>0.9</v>
      </c>
      <c r="K1654" s="133" t="s">
        <v>35</v>
      </c>
      <c r="L1654" s="133" t="s">
        <v>35</v>
      </c>
      <c r="M1654" s="134" t="s">
        <v>35</v>
      </c>
      <c r="N1654" s="133" t="s">
        <v>35</v>
      </c>
      <c r="O1654" s="135">
        <v>0.9</v>
      </c>
      <c r="P1654" s="133" t="s">
        <v>35</v>
      </c>
      <c r="Q1654" s="133" t="s">
        <v>35</v>
      </c>
      <c r="R1654" s="133" t="s">
        <v>35</v>
      </c>
      <c r="S1654" s="133" t="s">
        <v>35</v>
      </c>
      <c r="T1654" s="135">
        <v>0.9</v>
      </c>
      <c r="U1654" s="133" t="s">
        <v>35</v>
      </c>
      <c r="V1654" s="133" t="s">
        <v>35</v>
      </c>
      <c r="W1654" s="133" t="s">
        <v>35</v>
      </c>
      <c r="X1654" s="133" t="s">
        <v>35</v>
      </c>
      <c r="Y1654" s="135">
        <v>0.92</v>
      </c>
      <c r="Z1654" s="135" t="s">
        <v>35</v>
      </c>
      <c r="AA1654" s="135" t="s">
        <v>35</v>
      </c>
      <c r="AB1654" s="135" t="s">
        <v>35</v>
      </c>
      <c r="AC1654" s="135" t="s">
        <v>35</v>
      </c>
      <c r="AD1654" s="135">
        <v>0.92</v>
      </c>
      <c r="AE1654" s="133" t="s">
        <v>35</v>
      </c>
      <c r="AF1654" s="133" t="s">
        <v>35</v>
      </c>
      <c r="AG1654" s="133" t="s">
        <v>35</v>
      </c>
      <c r="AH1654" s="133" t="s">
        <v>35</v>
      </c>
      <c r="AI1654" s="135">
        <v>0.92</v>
      </c>
      <c r="AJ1654" s="133" t="s">
        <v>35</v>
      </c>
      <c r="AK1654" s="133" t="s">
        <v>35</v>
      </c>
      <c r="AL1654" s="133" t="s">
        <v>35</v>
      </c>
      <c r="AM1654" s="133" t="s">
        <v>35</v>
      </c>
      <c r="AN1654" s="132">
        <v>0.99</v>
      </c>
      <c r="AO1654" s="137" t="s">
        <v>35</v>
      </c>
      <c r="AP1654" s="137" t="s">
        <v>35</v>
      </c>
      <c r="AQ1654" s="137" t="s">
        <v>35</v>
      </c>
      <c r="AR1654" s="137" t="s">
        <v>35</v>
      </c>
      <c r="AS1654" s="158">
        <v>0.110069253262963</v>
      </c>
      <c r="AT1654" s="141" t="s">
        <v>35</v>
      </c>
      <c r="AU1654" s="141" t="s">
        <v>35</v>
      </c>
      <c r="AV1654" s="141" t="s">
        <v>35</v>
      </c>
      <c r="AW1654" s="141" t="s">
        <v>35</v>
      </c>
      <c r="AX1654" s="95"/>
      <c r="AY1654" s="93"/>
    </row>
    <row r="1655" ht="15" spans="1:51">
      <c r="A1655" s="91"/>
      <c r="B1655" s="95"/>
      <c r="C1655" s="152" t="s">
        <v>1455</v>
      </c>
      <c r="D1655" s="153" t="s">
        <v>922</v>
      </c>
      <c r="E1655" s="130" t="s">
        <v>1456</v>
      </c>
      <c r="F1655" s="171" t="s">
        <v>1687</v>
      </c>
      <c r="G1655" s="171" t="s">
        <v>1687</v>
      </c>
      <c r="H1655" s="171" t="s">
        <v>1687</v>
      </c>
      <c r="I1655" s="171" t="s">
        <v>1687</v>
      </c>
      <c r="J1655" s="132">
        <v>0.9</v>
      </c>
      <c r="K1655" s="133" t="s">
        <v>35</v>
      </c>
      <c r="L1655" s="133" t="s">
        <v>35</v>
      </c>
      <c r="M1655" s="134" t="s">
        <v>35</v>
      </c>
      <c r="N1655" s="133" t="s">
        <v>35</v>
      </c>
      <c r="O1655" s="135">
        <v>0.9</v>
      </c>
      <c r="P1655" s="133" t="s">
        <v>35</v>
      </c>
      <c r="Q1655" s="133" t="s">
        <v>35</v>
      </c>
      <c r="R1655" s="133" t="s">
        <v>35</v>
      </c>
      <c r="S1655" s="133" t="s">
        <v>35</v>
      </c>
      <c r="T1655" s="135">
        <v>0.9</v>
      </c>
      <c r="U1655" s="133" t="s">
        <v>35</v>
      </c>
      <c r="V1655" s="133" t="s">
        <v>35</v>
      </c>
      <c r="W1655" s="133" t="s">
        <v>35</v>
      </c>
      <c r="X1655" s="133" t="s">
        <v>35</v>
      </c>
      <c r="Y1655" s="135">
        <v>0.92</v>
      </c>
      <c r="Z1655" s="135" t="s">
        <v>35</v>
      </c>
      <c r="AA1655" s="135" t="s">
        <v>35</v>
      </c>
      <c r="AB1655" s="135" t="s">
        <v>35</v>
      </c>
      <c r="AC1655" s="135" t="s">
        <v>35</v>
      </c>
      <c r="AD1655" s="135">
        <v>0.92</v>
      </c>
      <c r="AE1655" s="133" t="s">
        <v>35</v>
      </c>
      <c r="AF1655" s="133" t="s">
        <v>35</v>
      </c>
      <c r="AG1655" s="133" t="s">
        <v>35</v>
      </c>
      <c r="AH1655" s="133" t="s">
        <v>35</v>
      </c>
      <c r="AI1655" s="135">
        <v>0.92</v>
      </c>
      <c r="AJ1655" s="133" t="s">
        <v>35</v>
      </c>
      <c r="AK1655" s="133" t="s">
        <v>35</v>
      </c>
      <c r="AL1655" s="133" t="s">
        <v>35</v>
      </c>
      <c r="AM1655" s="133" t="s">
        <v>35</v>
      </c>
      <c r="AN1655" s="132">
        <v>0.99</v>
      </c>
      <c r="AO1655" s="137" t="s">
        <v>35</v>
      </c>
      <c r="AP1655" s="137" t="s">
        <v>35</v>
      </c>
      <c r="AQ1655" s="137" t="s">
        <v>35</v>
      </c>
      <c r="AR1655" s="137" t="s">
        <v>35</v>
      </c>
      <c r="AS1655" s="158">
        <v>0.110069253262963</v>
      </c>
      <c r="AT1655" s="141" t="s">
        <v>35</v>
      </c>
      <c r="AU1655" s="141" t="s">
        <v>35</v>
      </c>
      <c r="AV1655" s="141" t="s">
        <v>35</v>
      </c>
      <c r="AW1655" s="141" t="s">
        <v>35</v>
      </c>
      <c r="AX1655" s="95"/>
      <c r="AY1655" s="93"/>
    </row>
    <row r="1656" ht="15" spans="1:51">
      <c r="A1656" s="91"/>
      <c r="B1656" s="95"/>
      <c r="C1656" s="152" t="s">
        <v>1455</v>
      </c>
      <c r="D1656" s="153" t="s">
        <v>125</v>
      </c>
      <c r="E1656" s="130" t="s">
        <v>1456</v>
      </c>
      <c r="F1656" s="171" t="s">
        <v>1688</v>
      </c>
      <c r="G1656" s="171" t="s">
        <v>1688</v>
      </c>
      <c r="H1656" s="171" t="s">
        <v>1688</v>
      </c>
      <c r="I1656" s="171" t="s">
        <v>1688</v>
      </c>
      <c r="J1656" s="132">
        <v>0.9</v>
      </c>
      <c r="K1656" s="133" t="s">
        <v>35</v>
      </c>
      <c r="L1656" s="133" t="s">
        <v>35</v>
      </c>
      <c r="M1656" s="134" t="s">
        <v>35</v>
      </c>
      <c r="N1656" s="133" t="s">
        <v>35</v>
      </c>
      <c r="O1656" s="135">
        <v>0.9</v>
      </c>
      <c r="P1656" s="133" t="s">
        <v>35</v>
      </c>
      <c r="Q1656" s="133" t="s">
        <v>35</v>
      </c>
      <c r="R1656" s="133" t="s">
        <v>35</v>
      </c>
      <c r="S1656" s="133" t="s">
        <v>35</v>
      </c>
      <c r="T1656" s="135">
        <v>0.9</v>
      </c>
      <c r="U1656" s="133" t="s">
        <v>35</v>
      </c>
      <c r="V1656" s="133" t="s">
        <v>35</v>
      </c>
      <c r="W1656" s="133" t="s">
        <v>35</v>
      </c>
      <c r="X1656" s="133" t="s">
        <v>35</v>
      </c>
      <c r="Y1656" s="135">
        <v>0.92</v>
      </c>
      <c r="Z1656" s="135" t="s">
        <v>35</v>
      </c>
      <c r="AA1656" s="135" t="s">
        <v>35</v>
      </c>
      <c r="AB1656" s="135" t="s">
        <v>35</v>
      </c>
      <c r="AC1656" s="135" t="s">
        <v>35</v>
      </c>
      <c r="AD1656" s="135">
        <v>0.92</v>
      </c>
      <c r="AE1656" s="133" t="s">
        <v>35</v>
      </c>
      <c r="AF1656" s="133" t="s">
        <v>35</v>
      </c>
      <c r="AG1656" s="133" t="s">
        <v>35</v>
      </c>
      <c r="AH1656" s="133" t="s">
        <v>35</v>
      </c>
      <c r="AI1656" s="135">
        <v>0.92</v>
      </c>
      <c r="AJ1656" s="133" t="s">
        <v>35</v>
      </c>
      <c r="AK1656" s="133" t="s">
        <v>35</v>
      </c>
      <c r="AL1656" s="133" t="s">
        <v>35</v>
      </c>
      <c r="AM1656" s="133" t="s">
        <v>35</v>
      </c>
      <c r="AN1656" s="132">
        <v>0.99</v>
      </c>
      <c r="AO1656" s="137" t="s">
        <v>35</v>
      </c>
      <c r="AP1656" s="137" t="s">
        <v>35</v>
      </c>
      <c r="AQ1656" s="137" t="s">
        <v>35</v>
      </c>
      <c r="AR1656" s="137" t="s">
        <v>35</v>
      </c>
      <c r="AS1656" s="158">
        <v>0.110069253262963</v>
      </c>
      <c r="AT1656" s="141" t="s">
        <v>35</v>
      </c>
      <c r="AU1656" s="141" t="s">
        <v>35</v>
      </c>
      <c r="AV1656" s="141" t="s">
        <v>35</v>
      </c>
      <c r="AW1656" s="141" t="s">
        <v>35</v>
      </c>
      <c r="AX1656" s="95"/>
      <c r="AY1656" s="93"/>
    </row>
    <row r="1657" ht="15" spans="1:51">
      <c r="A1657" s="91"/>
      <c r="B1657" s="95"/>
      <c r="C1657" s="152" t="s">
        <v>1455</v>
      </c>
      <c r="D1657" s="153" t="s">
        <v>25</v>
      </c>
      <c r="E1657" s="130" t="s">
        <v>1456</v>
      </c>
      <c r="F1657" s="171" t="s">
        <v>1689</v>
      </c>
      <c r="G1657" s="171" t="s">
        <v>1689</v>
      </c>
      <c r="H1657" s="171" t="s">
        <v>1689</v>
      </c>
      <c r="I1657" s="171" t="s">
        <v>1689</v>
      </c>
      <c r="J1657" s="132">
        <v>0.9</v>
      </c>
      <c r="K1657" s="133">
        <v>1</v>
      </c>
      <c r="L1657" s="133">
        <v>0.952380952380952</v>
      </c>
      <c r="M1657" s="134">
        <v>0.956521739130435</v>
      </c>
      <c r="N1657" s="133">
        <v>0.926339285714286</v>
      </c>
      <c r="O1657" s="135">
        <v>0.9</v>
      </c>
      <c r="P1657" s="133">
        <v>0.983026874115983</v>
      </c>
      <c r="Q1657" s="133">
        <v>0.979153506001263</v>
      </c>
      <c r="R1657" s="133">
        <v>0.961856325492689</v>
      </c>
      <c r="S1657" s="133">
        <v>0.971398937674828</v>
      </c>
      <c r="T1657" s="135">
        <v>0.9</v>
      </c>
      <c r="U1657" s="133">
        <v>0.758132956152758</v>
      </c>
      <c r="V1657" s="133">
        <v>0.757422615287429</v>
      </c>
      <c r="W1657" s="133">
        <v>0.784488239033694</v>
      </c>
      <c r="X1657" s="133">
        <v>0.718483829399378</v>
      </c>
      <c r="Y1657" s="135">
        <v>0.92</v>
      </c>
      <c r="Z1657" s="135">
        <v>0.865853658536585</v>
      </c>
      <c r="AA1657" s="135">
        <v>0.857142857142857</v>
      </c>
      <c r="AB1657" s="135">
        <v>0.878461538461539</v>
      </c>
      <c r="AC1657" s="135">
        <v>0.896447692699924</v>
      </c>
      <c r="AD1657" s="135">
        <v>0.92</v>
      </c>
      <c r="AE1657" s="133">
        <v>1</v>
      </c>
      <c r="AF1657" s="133">
        <v>0.927835051546392</v>
      </c>
      <c r="AG1657" s="133">
        <v>0.739130434782609</v>
      </c>
      <c r="AH1657" s="133">
        <v>0.95005675368899</v>
      </c>
      <c r="AI1657" s="135">
        <v>0.92</v>
      </c>
      <c r="AJ1657" s="133">
        <v>0.88719723183391</v>
      </c>
      <c r="AK1657" s="133">
        <v>0.895316804407714</v>
      </c>
      <c r="AL1657" s="133">
        <v>0.92442645074224</v>
      </c>
      <c r="AM1657" s="133">
        <v>0.925301161299644</v>
      </c>
      <c r="AN1657" s="132">
        <v>0.99</v>
      </c>
      <c r="AO1657" s="137">
        <v>1</v>
      </c>
      <c r="AP1657" s="137" t="s">
        <v>35</v>
      </c>
      <c r="AQ1657" s="137">
        <v>1</v>
      </c>
      <c r="AR1657" s="137">
        <v>1</v>
      </c>
      <c r="AS1657" s="158">
        <v>0.110069253262963</v>
      </c>
      <c r="AT1657" s="141">
        <v>0.272727272727273</v>
      </c>
      <c r="AU1657" s="141">
        <v>0.142857142857143</v>
      </c>
      <c r="AV1657" s="141">
        <v>0.125</v>
      </c>
      <c r="AW1657" s="141">
        <v>0.087962962962963</v>
      </c>
      <c r="AX1657" s="95"/>
      <c r="AY1657" s="93"/>
    </row>
    <row r="1658" ht="15" spans="1:51">
      <c r="A1658" s="91"/>
      <c r="B1658" s="95"/>
      <c r="C1658" s="152" t="s">
        <v>1455</v>
      </c>
      <c r="D1658" s="153" t="s">
        <v>125</v>
      </c>
      <c r="E1658" s="130" t="s">
        <v>1456</v>
      </c>
      <c r="F1658" s="171" t="s">
        <v>1690</v>
      </c>
      <c r="G1658" s="171" t="s">
        <v>1690</v>
      </c>
      <c r="H1658" s="171" t="s">
        <v>1690</v>
      </c>
      <c r="I1658" s="171" t="s">
        <v>1690</v>
      </c>
      <c r="J1658" s="132">
        <v>0.9</v>
      </c>
      <c r="K1658" s="133" t="s">
        <v>35</v>
      </c>
      <c r="L1658" s="133" t="s">
        <v>35</v>
      </c>
      <c r="M1658" s="134" t="s">
        <v>35</v>
      </c>
      <c r="N1658" s="133" t="s">
        <v>35</v>
      </c>
      <c r="O1658" s="135">
        <v>0.9</v>
      </c>
      <c r="P1658" s="133" t="s">
        <v>35</v>
      </c>
      <c r="Q1658" s="133" t="s">
        <v>35</v>
      </c>
      <c r="R1658" s="133" t="s">
        <v>35</v>
      </c>
      <c r="S1658" s="133" t="s">
        <v>35</v>
      </c>
      <c r="T1658" s="135">
        <v>0.9</v>
      </c>
      <c r="U1658" s="133" t="s">
        <v>35</v>
      </c>
      <c r="V1658" s="133" t="s">
        <v>35</v>
      </c>
      <c r="W1658" s="133" t="s">
        <v>35</v>
      </c>
      <c r="X1658" s="133" t="s">
        <v>35</v>
      </c>
      <c r="Y1658" s="135">
        <v>0.92</v>
      </c>
      <c r="Z1658" s="135" t="s">
        <v>35</v>
      </c>
      <c r="AA1658" s="135" t="s">
        <v>35</v>
      </c>
      <c r="AB1658" s="135" t="s">
        <v>35</v>
      </c>
      <c r="AC1658" s="135" t="s">
        <v>35</v>
      </c>
      <c r="AD1658" s="135">
        <v>0.92</v>
      </c>
      <c r="AE1658" s="133">
        <v>1</v>
      </c>
      <c r="AF1658" s="133">
        <v>1</v>
      </c>
      <c r="AG1658" s="133">
        <v>1</v>
      </c>
      <c r="AH1658" s="133">
        <v>0.996529116853066</v>
      </c>
      <c r="AI1658" s="135">
        <v>0.92</v>
      </c>
      <c r="AJ1658" s="133" t="s">
        <v>35</v>
      </c>
      <c r="AK1658" s="133" t="s">
        <v>35</v>
      </c>
      <c r="AL1658" s="133" t="s">
        <v>35</v>
      </c>
      <c r="AM1658" s="133" t="s">
        <v>35</v>
      </c>
      <c r="AN1658" s="132">
        <v>0.99</v>
      </c>
      <c r="AO1658" s="137">
        <v>1</v>
      </c>
      <c r="AP1658" s="137">
        <v>1</v>
      </c>
      <c r="AQ1658" s="137">
        <v>1</v>
      </c>
      <c r="AR1658" s="137">
        <v>1</v>
      </c>
      <c r="AS1658" s="158">
        <v>0.110069253262963</v>
      </c>
      <c r="AT1658" s="141" t="s">
        <v>35</v>
      </c>
      <c r="AU1658" s="141" t="s">
        <v>35</v>
      </c>
      <c r="AV1658" s="141" t="s">
        <v>35</v>
      </c>
      <c r="AW1658" s="141" t="s">
        <v>35</v>
      </c>
      <c r="AX1658" s="95"/>
      <c r="AY1658" s="93"/>
    </row>
    <row r="1659" ht="15" spans="1:51">
      <c r="A1659" s="91"/>
      <c r="B1659" s="95"/>
      <c r="C1659" s="152" t="s">
        <v>1455</v>
      </c>
      <c r="D1659" s="153" t="s">
        <v>25</v>
      </c>
      <c r="E1659" s="130" t="s">
        <v>1456</v>
      </c>
      <c r="F1659" s="171" t="s">
        <v>1691</v>
      </c>
      <c r="G1659" s="171" t="s">
        <v>1691</v>
      </c>
      <c r="H1659" s="171" t="s">
        <v>1691</v>
      </c>
      <c r="I1659" s="171" t="s">
        <v>1691</v>
      </c>
      <c r="J1659" s="132">
        <v>0.9</v>
      </c>
      <c r="K1659" s="133">
        <v>0.764705882352941</v>
      </c>
      <c r="L1659" s="133">
        <v>0.735294117647059</v>
      </c>
      <c r="M1659" s="134">
        <v>0.65625</v>
      </c>
      <c r="N1659" s="133">
        <v>0.74468085106383</v>
      </c>
      <c r="O1659" s="135">
        <v>0.9</v>
      </c>
      <c r="P1659" s="133">
        <v>0.984111699566683</v>
      </c>
      <c r="Q1659" s="133">
        <v>0.986691142726021</v>
      </c>
      <c r="R1659" s="133">
        <v>0.983360171765969</v>
      </c>
      <c r="S1659" s="133">
        <v>0.988104538029969</v>
      </c>
      <c r="T1659" s="135">
        <v>0.9</v>
      </c>
      <c r="U1659" s="133">
        <v>0.808618199325951</v>
      </c>
      <c r="V1659" s="133">
        <v>0.765029830197338</v>
      </c>
      <c r="W1659" s="133">
        <v>0.791196994095545</v>
      </c>
      <c r="X1659" s="133">
        <v>0.788367303458561</v>
      </c>
      <c r="Y1659" s="135">
        <v>0.92</v>
      </c>
      <c r="Z1659" s="135" t="s">
        <v>35</v>
      </c>
      <c r="AA1659" s="135">
        <v>0</v>
      </c>
      <c r="AB1659" s="135">
        <v>0</v>
      </c>
      <c r="AC1659" s="135">
        <v>0.0714285714285714</v>
      </c>
      <c r="AD1659" s="135">
        <v>0.92</v>
      </c>
      <c r="AE1659" s="133">
        <v>0.745454545454545</v>
      </c>
      <c r="AF1659" s="133">
        <v>0.470588235294118</v>
      </c>
      <c r="AG1659" s="133">
        <v>0.954545454545455</v>
      </c>
      <c r="AH1659" s="133">
        <v>0.826298701298701</v>
      </c>
      <c r="AI1659" s="135">
        <v>0.92</v>
      </c>
      <c r="AJ1659" s="133">
        <v>0.869523350987001</v>
      </c>
      <c r="AK1659" s="133">
        <v>0.866865261228231</v>
      </c>
      <c r="AL1659" s="133">
        <v>0.880396889246447</v>
      </c>
      <c r="AM1659" s="133">
        <v>0.883995551032965</v>
      </c>
      <c r="AN1659" s="132">
        <v>0.99</v>
      </c>
      <c r="AO1659" s="137">
        <v>1</v>
      </c>
      <c r="AP1659" s="137">
        <v>1</v>
      </c>
      <c r="AQ1659" s="137">
        <v>1</v>
      </c>
      <c r="AR1659" s="137">
        <v>1</v>
      </c>
      <c r="AS1659" s="158">
        <v>0.110069253262963</v>
      </c>
      <c r="AT1659" s="141">
        <v>0.0555555555555556</v>
      </c>
      <c r="AU1659" s="141">
        <v>0.1</v>
      </c>
      <c r="AV1659" s="141">
        <v>0.0625</v>
      </c>
      <c r="AW1659" s="141">
        <v>0.104700854700855</v>
      </c>
      <c r="AX1659" s="95"/>
      <c r="AY1659" s="93"/>
    </row>
    <row r="1660" ht="15" spans="1:51">
      <c r="A1660" s="91"/>
      <c r="B1660" s="95"/>
      <c r="C1660" s="152" t="s">
        <v>1455</v>
      </c>
      <c r="D1660" s="153" t="s">
        <v>25</v>
      </c>
      <c r="E1660" s="130" t="s">
        <v>1456</v>
      </c>
      <c r="F1660" s="171" t="s">
        <v>1692</v>
      </c>
      <c r="G1660" s="171" t="s">
        <v>1692</v>
      </c>
      <c r="H1660" s="171" t="s">
        <v>1692</v>
      </c>
      <c r="I1660" s="171" t="s">
        <v>1692</v>
      </c>
      <c r="J1660" s="132">
        <v>0.9</v>
      </c>
      <c r="K1660" s="133">
        <v>1</v>
      </c>
      <c r="L1660" s="133">
        <v>0.976190476190476</v>
      </c>
      <c r="M1660" s="134">
        <v>0.974358974358974</v>
      </c>
      <c r="N1660" s="133">
        <v>0.986859395532194</v>
      </c>
      <c r="O1660" s="135">
        <v>0.9</v>
      </c>
      <c r="P1660" s="133">
        <v>0.992212848799481</v>
      </c>
      <c r="Q1660" s="133">
        <v>0.968266253869969</v>
      </c>
      <c r="R1660" s="133">
        <v>0.982597054886212</v>
      </c>
      <c r="S1660" s="133">
        <v>0.971887413845788</v>
      </c>
      <c r="T1660" s="135">
        <v>0.9</v>
      </c>
      <c r="U1660" s="133">
        <v>0.946787800129786</v>
      </c>
      <c r="V1660" s="133">
        <v>0.886996904024768</v>
      </c>
      <c r="W1660" s="133">
        <v>0.902945113788487</v>
      </c>
      <c r="X1660" s="133">
        <v>0.933826774861644</v>
      </c>
      <c r="Y1660" s="135">
        <v>0.92</v>
      </c>
      <c r="Z1660" s="135">
        <v>0.963478260869565</v>
      </c>
      <c r="AA1660" s="135">
        <v>0.98546511627907</v>
      </c>
      <c r="AB1660" s="135">
        <v>0.927550047664442</v>
      </c>
      <c r="AC1660" s="135">
        <v>0.954299458809381</v>
      </c>
      <c r="AD1660" s="135">
        <v>0.92</v>
      </c>
      <c r="AE1660" s="133">
        <v>0.897959183673469</v>
      </c>
      <c r="AF1660" s="133">
        <v>1</v>
      </c>
      <c r="AG1660" s="133">
        <v>0.714285714285714</v>
      </c>
      <c r="AH1660" s="133">
        <v>0.946695095948827</v>
      </c>
      <c r="AI1660" s="135">
        <v>0.92</v>
      </c>
      <c r="AJ1660" s="133">
        <v>0.980151228733459</v>
      </c>
      <c r="AK1660" s="133">
        <v>0.984343434343434</v>
      </c>
      <c r="AL1660" s="133">
        <v>0.942262372348782</v>
      </c>
      <c r="AM1660" s="133">
        <v>0.968096601141167</v>
      </c>
      <c r="AN1660" s="132">
        <v>0.99</v>
      </c>
      <c r="AO1660" s="137">
        <v>1</v>
      </c>
      <c r="AP1660" s="137">
        <v>1</v>
      </c>
      <c r="AQ1660" s="137">
        <v>1</v>
      </c>
      <c r="AR1660" s="137">
        <v>1</v>
      </c>
      <c r="AS1660" s="158">
        <v>0.110069253262963</v>
      </c>
      <c r="AT1660" s="141">
        <v>0.0588235294117647</v>
      </c>
      <c r="AU1660" s="141">
        <v>0.0952380952380952</v>
      </c>
      <c r="AV1660" s="141">
        <v>0.0740740740740741</v>
      </c>
      <c r="AW1660" s="141">
        <v>0.0616621983914209</v>
      </c>
      <c r="AX1660" s="95"/>
      <c r="AY1660" s="93"/>
    </row>
    <row r="1661" ht="15" spans="1:51">
      <c r="A1661" s="91"/>
      <c r="B1661" s="95"/>
      <c r="C1661" s="152" t="s">
        <v>1455</v>
      </c>
      <c r="D1661" s="153" t="s">
        <v>125</v>
      </c>
      <c r="E1661" s="130" t="s">
        <v>1456</v>
      </c>
      <c r="F1661" s="171" t="s">
        <v>1693</v>
      </c>
      <c r="G1661" s="171" t="s">
        <v>1693</v>
      </c>
      <c r="H1661" s="171" t="s">
        <v>1693</v>
      </c>
      <c r="I1661" s="171" t="s">
        <v>1693</v>
      </c>
      <c r="J1661" s="132">
        <v>0.9</v>
      </c>
      <c r="K1661" s="133" t="s">
        <v>35</v>
      </c>
      <c r="L1661" s="133" t="s">
        <v>35</v>
      </c>
      <c r="M1661" s="134" t="s">
        <v>35</v>
      </c>
      <c r="N1661" s="133" t="s">
        <v>35</v>
      </c>
      <c r="O1661" s="135">
        <v>0.9</v>
      </c>
      <c r="P1661" s="133" t="s">
        <v>35</v>
      </c>
      <c r="Q1661" s="133" t="s">
        <v>35</v>
      </c>
      <c r="R1661" s="133" t="s">
        <v>35</v>
      </c>
      <c r="S1661" s="133" t="s">
        <v>35</v>
      </c>
      <c r="T1661" s="135">
        <v>0.9</v>
      </c>
      <c r="U1661" s="133" t="s">
        <v>35</v>
      </c>
      <c r="V1661" s="133" t="s">
        <v>35</v>
      </c>
      <c r="W1661" s="133" t="s">
        <v>35</v>
      </c>
      <c r="X1661" s="133" t="s">
        <v>35</v>
      </c>
      <c r="Y1661" s="135">
        <v>0.92</v>
      </c>
      <c r="Z1661" s="135" t="s">
        <v>35</v>
      </c>
      <c r="AA1661" s="135" t="s">
        <v>35</v>
      </c>
      <c r="AB1661" s="135" t="s">
        <v>35</v>
      </c>
      <c r="AC1661" s="135" t="s">
        <v>35</v>
      </c>
      <c r="AD1661" s="135">
        <v>0.92</v>
      </c>
      <c r="AE1661" s="133">
        <v>1</v>
      </c>
      <c r="AF1661" s="133">
        <v>1</v>
      </c>
      <c r="AG1661" s="133">
        <v>1</v>
      </c>
      <c r="AH1661" s="133">
        <v>0.972341733251383</v>
      </c>
      <c r="AI1661" s="135">
        <v>0.92</v>
      </c>
      <c r="AJ1661" s="133" t="s">
        <v>35</v>
      </c>
      <c r="AK1661" s="133" t="s">
        <v>35</v>
      </c>
      <c r="AL1661" s="133" t="s">
        <v>35</v>
      </c>
      <c r="AM1661" s="133" t="s">
        <v>35</v>
      </c>
      <c r="AN1661" s="132">
        <v>0.99</v>
      </c>
      <c r="AO1661" s="137">
        <v>1</v>
      </c>
      <c r="AP1661" s="137" t="s">
        <v>35</v>
      </c>
      <c r="AQ1661" s="137" t="s">
        <v>35</v>
      </c>
      <c r="AR1661" s="137">
        <v>1</v>
      </c>
      <c r="AS1661" s="158">
        <v>0.110069253262963</v>
      </c>
      <c r="AT1661" s="141" t="s">
        <v>35</v>
      </c>
      <c r="AU1661" s="141" t="s">
        <v>35</v>
      </c>
      <c r="AV1661" s="141" t="s">
        <v>35</v>
      </c>
      <c r="AW1661" s="141" t="s">
        <v>35</v>
      </c>
      <c r="AX1661" s="95"/>
      <c r="AY1661" s="93"/>
    </row>
    <row r="1662" ht="15" spans="1:51">
      <c r="A1662" s="91"/>
      <c r="B1662" s="95"/>
      <c r="C1662" s="152" t="s">
        <v>1455</v>
      </c>
      <c r="D1662" s="153" t="s">
        <v>125</v>
      </c>
      <c r="E1662" s="130" t="s">
        <v>1456</v>
      </c>
      <c r="F1662" s="171" t="s">
        <v>1694</v>
      </c>
      <c r="G1662" s="171" t="s">
        <v>1694</v>
      </c>
      <c r="H1662" s="171" t="s">
        <v>1694</v>
      </c>
      <c r="I1662" s="171" t="s">
        <v>1694</v>
      </c>
      <c r="J1662" s="132">
        <v>0.9</v>
      </c>
      <c r="K1662" s="133" t="s">
        <v>35</v>
      </c>
      <c r="L1662" s="133" t="s">
        <v>35</v>
      </c>
      <c r="M1662" s="134" t="s">
        <v>35</v>
      </c>
      <c r="N1662" s="133" t="s">
        <v>35</v>
      </c>
      <c r="O1662" s="135">
        <v>0.9</v>
      </c>
      <c r="P1662" s="133" t="s">
        <v>35</v>
      </c>
      <c r="Q1662" s="133" t="s">
        <v>35</v>
      </c>
      <c r="R1662" s="133" t="s">
        <v>35</v>
      </c>
      <c r="S1662" s="133" t="s">
        <v>35</v>
      </c>
      <c r="T1662" s="135">
        <v>0.9</v>
      </c>
      <c r="U1662" s="133" t="s">
        <v>35</v>
      </c>
      <c r="V1662" s="133" t="s">
        <v>35</v>
      </c>
      <c r="W1662" s="133" t="s">
        <v>35</v>
      </c>
      <c r="X1662" s="133" t="s">
        <v>35</v>
      </c>
      <c r="Y1662" s="135">
        <v>0.92</v>
      </c>
      <c r="Z1662" s="135" t="s">
        <v>35</v>
      </c>
      <c r="AA1662" s="135" t="s">
        <v>35</v>
      </c>
      <c r="AB1662" s="135" t="s">
        <v>35</v>
      </c>
      <c r="AC1662" s="135" t="s">
        <v>35</v>
      </c>
      <c r="AD1662" s="135">
        <v>0.92</v>
      </c>
      <c r="AE1662" s="133">
        <v>1</v>
      </c>
      <c r="AF1662" s="133">
        <v>1</v>
      </c>
      <c r="AG1662" s="133">
        <v>1</v>
      </c>
      <c r="AH1662" s="133">
        <v>0.99451744021174</v>
      </c>
      <c r="AI1662" s="135">
        <v>0.92</v>
      </c>
      <c r="AJ1662" s="133" t="s">
        <v>35</v>
      </c>
      <c r="AK1662" s="133" t="s">
        <v>35</v>
      </c>
      <c r="AL1662" s="133" t="s">
        <v>35</v>
      </c>
      <c r="AM1662" s="133" t="s">
        <v>35</v>
      </c>
      <c r="AN1662" s="132">
        <v>0.99</v>
      </c>
      <c r="AO1662" s="137">
        <v>1</v>
      </c>
      <c r="AP1662" s="137">
        <v>1</v>
      </c>
      <c r="AQ1662" s="137">
        <v>1</v>
      </c>
      <c r="AR1662" s="137">
        <v>1</v>
      </c>
      <c r="AS1662" s="158">
        <v>0.110069253262963</v>
      </c>
      <c r="AT1662" s="141" t="s">
        <v>35</v>
      </c>
      <c r="AU1662" s="141" t="s">
        <v>35</v>
      </c>
      <c r="AV1662" s="141" t="s">
        <v>35</v>
      </c>
      <c r="AW1662" s="141" t="s">
        <v>35</v>
      </c>
      <c r="AX1662" s="95"/>
      <c r="AY1662" s="93"/>
    </row>
    <row r="1663" ht="15" spans="1:51">
      <c r="A1663" s="91"/>
      <c r="B1663" s="95"/>
      <c r="C1663" s="152" t="s">
        <v>1455</v>
      </c>
      <c r="D1663" s="153" t="s">
        <v>25</v>
      </c>
      <c r="E1663" s="130" t="s">
        <v>1456</v>
      </c>
      <c r="F1663" s="171" t="s">
        <v>1695</v>
      </c>
      <c r="G1663" s="171" t="s">
        <v>1695</v>
      </c>
      <c r="H1663" s="171" t="s">
        <v>1695</v>
      </c>
      <c r="I1663" s="171" t="s">
        <v>1695</v>
      </c>
      <c r="J1663" s="132">
        <v>0.9</v>
      </c>
      <c r="K1663" s="133">
        <v>0.518518518518518</v>
      </c>
      <c r="L1663" s="133">
        <v>0.666666666666667</v>
      </c>
      <c r="M1663" s="134">
        <v>0.564102564102564</v>
      </c>
      <c r="N1663" s="133">
        <v>0.655667144906743</v>
      </c>
      <c r="O1663" s="135">
        <v>0.9</v>
      </c>
      <c r="P1663" s="133">
        <v>0.872213582166926</v>
      </c>
      <c r="Q1663" s="133">
        <v>0.86369710467706</v>
      </c>
      <c r="R1663" s="133">
        <v>0.78250137136588</v>
      </c>
      <c r="S1663" s="133">
        <v>0.851037941078869</v>
      </c>
      <c r="T1663" s="135">
        <v>0.9</v>
      </c>
      <c r="U1663" s="133">
        <v>0.749611197511664</v>
      </c>
      <c r="V1663" s="133">
        <v>0.788418708240535</v>
      </c>
      <c r="W1663" s="133">
        <v>0.684311574328031</v>
      </c>
      <c r="X1663" s="133">
        <v>0.753659525828694</v>
      </c>
      <c r="Y1663" s="135">
        <v>0.92</v>
      </c>
      <c r="Z1663" s="135">
        <v>1</v>
      </c>
      <c r="AA1663" s="135">
        <v>0.666666666666667</v>
      </c>
      <c r="AB1663" s="135">
        <v>1</v>
      </c>
      <c r="AC1663" s="135">
        <v>0.365079365079365</v>
      </c>
      <c r="AD1663" s="135">
        <v>0.92</v>
      </c>
      <c r="AE1663" s="133">
        <v>0.829268292682927</v>
      </c>
      <c r="AF1663" s="133">
        <v>0.823529411764706</v>
      </c>
      <c r="AG1663" s="133">
        <v>0.785714285714286</v>
      </c>
      <c r="AH1663" s="133">
        <v>0.787142857142857</v>
      </c>
      <c r="AI1663" s="135">
        <v>0.92</v>
      </c>
      <c r="AJ1663" s="133">
        <v>0.838425686172967</v>
      </c>
      <c r="AK1663" s="133">
        <v>0.874916536835077</v>
      </c>
      <c r="AL1663" s="133">
        <v>0.866337989591893</v>
      </c>
      <c r="AM1663" s="133">
        <v>0.884265854497225</v>
      </c>
      <c r="AN1663" s="132">
        <v>0.99</v>
      </c>
      <c r="AO1663" s="137">
        <v>1</v>
      </c>
      <c r="AP1663" s="137">
        <v>1</v>
      </c>
      <c r="AQ1663" s="137">
        <v>1</v>
      </c>
      <c r="AR1663" s="137">
        <v>1</v>
      </c>
      <c r="AS1663" s="158">
        <v>0.110069253262963</v>
      </c>
      <c r="AT1663" s="141">
        <v>0.206896551724138</v>
      </c>
      <c r="AU1663" s="141">
        <v>0.108108108108108</v>
      </c>
      <c r="AV1663" s="141">
        <v>0.129032258064516</v>
      </c>
      <c r="AW1663" s="141">
        <v>0.101910828025478</v>
      </c>
      <c r="AX1663" s="95"/>
      <c r="AY1663" s="93"/>
    </row>
    <row r="1664" ht="15" spans="1:51">
      <c r="A1664" s="91"/>
      <c r="B1664" s="95"/>
      <c r="C1664" s="152" t="s">
        <v>1455</v>
      </c>
      <c r="D1664" s="153" t="s">
        <v>125</v>
      </c>
      <c r="E1664" s="130" t="s">
        <v>1456</v>
      </c>
      <c r="F1664" s="171" t="s">
        <v>1696</v>
      </c>
      <c r="G1664" s="171" t="s">
        <v>1696</v>
      </c>
      <c r="H1664" s="171" t="s">
        <v>1696</v>
      </c>
      <c r="I1664" s="171" t="s">
        <v>1696</v>
      </c>
      <c r="J1664" s="132">
        <v>0.9</v>
      </c>
      <c r="K1664" s="133" t="s">
        <v>35</v>
      </c>
      <c r="L1664" s="133" t="s">
        <v>35</v>
      </c>
      <c r="M1664" s="134" t="s">
        <v>35</v>
      </c>
      <c r="N1664" s="133" t="s">
        <v>35</v>
      </c>
      <c r="O1664" s="135">
        <v>0.9</v>
      </c>
      <c r="P1664" s="133" t="s">
        <v>35</v>
      </c>
      <c r="Q1664" s="133">
        <v>0</v>
      </c>
      <c r="R1664" s="133" t="s">
        <v>35</v>
      </c>
      <c r="S1664" s="133">
        <v>0</v>
      </c>
      <c r="T1664" s="135">
        <v>0.9</v>
      </c>
      <c r="U1664" s="133" t="s">
        <v>35</v>
      </c>
      <c r="V1664" s="133">
        <v>0</v>
      </c>
      <c r="W1664" s="133" t="s">
        <v>35</v>
      </c>
      <c r="X1664" s="133">
        <v>0.2</v>
      </c>
      <c r="Y1664" s="135">
        <v>0.92</v>
      </c>
      <c r="Z1664" s="135" t="s">
        <v>35</v>
      </c>
      <c r="AA1664" s="135" t="s">
        <v>35</v>
      </c>
      <c r="AB1664" s="135" t="s">
        <v>35</v>
      </c>
      <c r="AC1664" s="135" t="s">
        <v>35</v>
      </c>
      <c r="AD1664" s="135">
        <v>0.92</v>
      </c>
      <c r="AE1664" s="133">
        <v>0.91219512195122</v>
      </c>
      <c r="AF1664" s="133">
        <v>0.910569105691057</v>
      </c>
      <c r="AG1664" s="133">
        <v>0.99009900990099</v>
      </c>
      <c r="AH1664" s="133">
        <v>0.966058906030856</v>
      </c>
      <c r="AI1664" s="135">
        <v>0.92</v>
      </c>
      <c r="AJ1664" s="133" t="s">
        <v>35</v>
      </c>
      <c r="AK1664" s="133">
        <v>0</v>
      </c>
      <c r="AL1664" s="133" t="s">
        <v>35</v>
      </c>
      <c r="AM1664" s="133">
        <v>0.333333333333333</v>
      </c>
      <c r="AN1664" s="132">
        <v>0.99</v>
      </c>
      <c r="AO1664" s="137">
        <v>1</v>
      </c>
      <c r="AP1664" s="137">
        <v>1</v>
      </c>
      <c r="AQ1664" s="137">
        <v>1</v>
      </c>
      <c r="AR1664" s="137">
        <v>1</v>
      </c>
      <c r="AS1664" s="158">
        <v>0.110069253262963</v>
      </c>
      <c r="AT1664" s="141" t="s">
        <v>35</v>
      </c>
      <c r="AU1664" s="141" t="s">
        <v>35</v>
      </c>
      <c r="AV1664" s="141" t="s">
        <v>35</v>
      </c>
      <c r="AW1664" s="141" t="s">
        <v>35</v>
      </c>
      <c r="AX1664" s="95"/>
      <c r="AY1664" s="93"/>
    </row>
    <row r="1665" ht="15" spans="1:51">
      <c r="A1665" s="91"/>
      <c r="B1665" s="95"/>
      <c r="C1665" s="152" t="s">
        <v>1455</v>
      </c>
      <c r="D1665" s="153" t="s">
        <v>125</v>
      </c>
      <c r="E1665" s="130" t="s">
        <v>1456</v>
      </c>
      <c r="F1665" s="171" t="s">
        <v>1697</v>
      </c>
      <c r="G1665" s="171" t="s">
        <v>1697</v>
      </c>
      <c r="H1665" s="171" t="s">
        <v>1697</v>
      </c>
      <c r="I1665" s="171" t="s">
        <v>1697</v>
      </c>
      <c r="J1665" s="132">
        <v>0.9</v>
      </c>
      <c r="K1665" s="133" t="s">
        <v>35</v>
      </c>
      <c r="L1665" s="133" t="s">
        <v>35</v>
      </c>
      <c r="M1665" s="134" t="s">
        <v>35</v>
      </c>
      <c r="N1665" s="133" t="s">
        <v>35</v>
      </c>
      <c r="O1665" s="135">
        <v>0.9</v>
      </c>
      <c r="P1665" s="133" t="s">
        <v>35</v>
      </c>
      <c r="Q1665" s="133" t="s">
        <v>35</v>
      </c>
      <c r="R1665" s="133" t="s">
        <v>35</v>
      </c>
      <c r="S1665" s="133">
        <v>0</v>
      </c>
      <c r="T1665" s="135">
        <v>0.9</v>
      </c>
      <c r="U1665" s="133" t="s">
        <v>35</v>
      </c>
      <c r="V1665" s="133" t="s">
        <v>35</v>
      </c>
      <c r="W1665" s="133" t="s">
        <v>35</v>
      </c>
      <c r="X1665" s="133">
        <v>0.8</v>
      </c>
      <c r="Y1665" s="135">
        <v>0.92</v>
      </c>
      <c r="Z1665" s="135" t="s">
        <v>35</v>
      </c>
      <c r="AA1665" s="135" t="s">
        <v>35</v>
      </c>
      <c r="AB1665" s="135" t="s">
        <v>35</v>
      </c>
      <c r="AC1665" s="135" t="s">
        <v>35</v>
      </c>
      <c r="AD1665" s="135">
        <v>0.92</v>
      </c>
      <c r="AE1665" s="133">
        <v>1</v>
      </c>
      <c r="AF1665" s="133">
        <v>1</v>
      </c>
      <c r="AG1665" s="133">
        <v>0.957446808510638</v>
      </c>
      <c r="AH1665" s="133">
        <v>0.877749029754204</v>
      </c>
      <c r="AI1665" s="135">
        <v>0.92</v>
      </c>
      <c r="AJ1665" s="133" t="s">
        <v>35</v>
      </c>
      <c r="AK1665" s="133">
        <v>1</v>
      </c>
      <c r="AL1665" s="133" t="s">
        <v>35</v>
      </c>
      <c r="AM1665" s="133">
        <v>1</v>
      </c>
      <c r="AN1665" s="132">
        <v>0.99</v>
      </c>
      <c r="AO1665" s="137">
        <v>1</v>
      </c>
      <c r="AP1665" s="137">
        <v>1</v>
      </c>
      <c r="AQ1665" s="137">
        <v>1</v>
      </c>
      <c r="AR1665" s="137">
        <v>1</v>
      </c>
      <c r="AS1665" s="158">
        <v>0.110069253262963</v>
      </c>
      <c r="AT1665" s="141" t="s">
        <v>35</v>
      </c>
      <c r="AU1665" s="141" t="s">
        <v>35</v>
      </c>
      <c r="AV1665" s="141" t="s">
        <v>35</v>
      </c>
      <c r="AW1665" s="141" t="s">
        <v>35</v>
      </c>
      <c r="AX1665" s="95"/>
      <c r="AY1665" s="93"/>
    </row>
    <row r="1666" ht="15" spans="1:51">
      <c r="A1666" s="91"/>
      <c r="B1666" s="95"/>
      <c r="C1666" s="152" t="s">
        <v>1455</v>
      </c>
      <c r="D1666" s="153" t="s">
        <v>125</v>
      </c>
      <c r="E1666" s="130" t="s">
        <v>1456</v>
      </c>
      <c r="F1666" s="171" t="s">
        <v>1698</v>
      </c>
      <c r="G1666" s="171" t="s">
        <v>1698</v>
      </c>
      <c r="H1666" s="171" t="s">
        <v>1698</v>
      </c>
      <c r="I1666" s="171" t="s">
        <v>1698</v>
      </c>
      <c r="J1666" s="132">
        <v>0.9</v>
      </c>
      <c r="K1666" s="133" t="s">
        <v>35</v>
      </c>
      <c r="L1666" s="133" t="s">
        <v>35</v>
      </c>
      <c r="M1666" s="134" t="s">
        <v>35</v>
      </c>
      <c r="N1666" s="133" t="s">
        <v>35</v>
      </c>
      <c r="O1666" s="135">
        <v>0.9</v>
      </c>
      <c r="P1666" s="133">
        <v>0</v>
      </c>
      <c r="Q1666" s="133" t="s">
        <v>35</v>
      </c>
      <c r="R1666" s="133" t="s">
        <v>35</v>
      </c>
      <c r="S1666" s="133">
        <v>0</v>
      </c>
      <c r="T1666" s="135">
        <v>0.9</v>
      </c>
      <c r="U1666" s="133">
        <v>1</v>
      </c>
      <c r="V1666" s="133" t="s">
        <v>35</v>
      </c>
      <c r="W1666" s="133" t="s">
        <v>35</v>
      </c>
      <c r="X1666" s="133">
        <v>0.666666666666667</v>
      </c>
      <c r="Y1666" s="135">
        <v>0.92</v>
      </c>
      <c r="Z1666" s="135" t="s">
        <v>35</v>
      </c>
      <c r="AA1666" s="135" t="s">
        <v>35</v>
      </c>
      <c r="AB1666" s="135" t="s">
        <v>35</v>
      </c>
      <c r="AC1666" s="135" t="s">
        <v>35</v>
      </c>
      <c r="AD1666" s="135">
        <v>0.92</v>
      </c>
      <c r="AE1666" s="133">
        <v>1</v>
      </c>
      <c r="AF1666" s="133">
        <v>1</v>
      </c>
      <c r="AG1666" s="133">
        <v>1</v>
      </c>
      <c r="AH1666" s="133">
        <v>0.930829367777022</v>
      </c>
      <c r="AI1666" s="135">
        <v>0.92</v>
      </c>
      <c r="AJ1666" s="133">
        <v>1</v>
      </c>
      <c r="AK1666" s="133" t="s">
        <v>35</v>
      </c>
      <c r="AL1666" s="133" t="s">
        <v>35</v>
      </c>
      <c r="AM1666" s="133">
        <v>0.75</v>
      </c>
      <c r="AN1666" s="132">
        <v>0.99</v>
      </c>
      <c r="AO1666" s="137">
        <v>1</v>
      </c>
      <c r="AP1666" s="137">
        <v>1</v>
      </c>
      <c r="AQ1666" s="137">
        <v>1</v>
      </c>
      <c r="AR1666" s="137">
        <v>1</v>
      </c>
      <c r="AS1666" s="158">
        <v>0.110069253262963</v>
      </c>
      <c r="AT1666" s="141" t="s">
        <v>35</v>
      </c>
      <c r="AU1666" s="141" t="s">
        <v>35</v>
      </c>
      <c r="AV1666" s="141" t="s">
        <v>35</v>
      </c>
      <c r="AW1666" s="141" t="s">
        <v>35</v>
      </c>
      <c r="AX1666" s="95"/>
      <c r="AY1666" s="93"/>
    </row>
    <row r="1667" ht="15" spans="1:51">
      <c r="A1667" s="91"/>
      <c r="B1667" s="95"/>
      <c r="C1667" s="152" t="s">
        <v>1455</v>
      </c>
      <c r="D1667" s="153" t="s">
        <v>25</v>
      </c>
      <c r="E1667" s="130" t="s">
        <v>1456</v>
      </c>
      <c r="F1667" s="171" t="s">
        <v>1699</v>
      </c>
      <c r="G1667" s="171" t="s">
        <v>1699</v>
      </c>
      <c r="H1667" s="171" t="s">
        <v>1699</v>
      </c>
      <c r="I1667" s="171" t="s">
        <v>1699</v>
      </c>
      <c r="J1667" s="132">
        <v>0.9</v>
      </c>
      <c r="K1667" s="133">
        <v>1</v>
      </c>
      <c r="L1667" s="133">
        <v>1</v>
      </c>
      <c r="M1667" s="134">
        <v>0.857142857142857</v>
      </c>
      <c r="N1667" s="133">
        <v>0.947368421052632</v>
      </c>
      <c r="O1667" s="135">
        <v>0.9</v>
      </c>
      <c r="P1667" s="133">
        <v>1</v>
      </c>
      <c r="Q1667" s="133">
        <v>1</v>
      </c>
      <c r="R1667" s="133">
        <v>0.964705882352941</v>
      </c>
      <c r="S1667" s="133">
        <v>0.20457957957958</v>
      </c>
      <c r="T1667" s="135">
        <v>0.9</v>
      </c>
      <c r="U1667" s="133">
        <v>0.954022988505747</v>
      </c>
      <c r="V1667" s="133">
        <v>0.883495145631068</v>
      </c>
      <c r="W1667" s="133">
        <v>0.847058823529412</v>
      </c>
      <c r="X1667" s="133">
        <v>0.117492492492492</v>
      </c>
      <c r="Y1667" s="135">
        <v>0.92</v>
      </c>
      <c r="Z1667" s="135" t="s">
        <v>35</v>
      </c>
      <c r="AA1667" s="135" t="s">
        <v>35</v>
      </c>
      <c r="AB1667" s="135" t="s">
        <v>35</v>
      </c>
      <c r="AC1667" s="135" t="s">
        <v>35</v>
      </c>
      <c r="AD1667" s="135">
        <v>0.92</v>
      </c>
      <c r="AE1667" s="133">
        <v>1</v>
      </c>
      <c r="AF1667" s="133">
        <v>1</v>
      </c>
      <c r="AG1667" s="133">
        <v>0</v>
      </c>
      <c r="AH1667" s="133">
        <v>0.62</v>
      </c>
      <c r="AI1667" s="135">
        <v>0.92</v>
      </c>
      <c r="AJ1667" s="133">
        <v>0.414179104477612</v>
      </c>
      <c r="AK1667" s="133">
        <v>0.230891719745223</v>
      </c>
      <c r="AL1667" s="133">
        <v>0.150649350649351</v>
      </c>
      <c r="AM1667" s="133">
        <v>0.217456986991188</v>
      </c>
      <c r="AN1667" s="132">
        <v>0.99</v>
      </c>
      <c r="AO1667" s="137" t="s">
        <v>35</v>
      </c>
      <c r="AP1667" s="137" t="s">
        <v>35</v>
      </c>
      <c r="AQ1667" s="137" t="s">
        <v>35</v>
      </c>
      <c r="AR1667" s="137" t="s">
        <v>35</v>
      </c>
      <c r="AS1667" s="158">
        <v>0.110069253262963</v>
      </c>
      <c r="AT1667" s="141">
        <v>0.0434782608695652</v>
      </c>
      <c r="AU1667" s="141">
        <v>0</v>
      </c>
      <c r="AV1667" s="141">
        <v>0.0909090909090909</v>
      </c>
      <c r="AW1667" s="141">
        <v>0.0704845814977974</v>
      </c>
      <c r="AX1667" s="95"/>
      <c r="AY1667" s="93"/>
    </row>
    <row r="1668" ht="15" spans="1:51">
      <c r="A1668" s="91"/>
      <c r="B1668" s="95"/>
      <c r="C1668" s="152" t="s">
        <v>1455</v>
      </c>
      <c r="D1668" s="153" t="s">
        <v>25</v>
      </c>
      <c r="E1668" s="130" t="s">
        <v>1456</v>
      </c>
      <c r="F1668" s="171" t="s">
        <v>1700</v>
      </c>
      <c r="G1668" s="171" t="s">
        <v>1700</v>
      </c>
      <c r="H1668" s="171" t="s">
        <v>1700</v>
      </c>
      <c r="I1668" s="171" t="s">
        <v>1700</v>
      </c>
      <c r="J1668" s="132">
        <v>0.9</v>
      </c>
      <c r="K1668" s="133">
        <v>1</v>
      </c>
      <c r="L1668" s="133">
        <v>0.966666666666667</v>
      </c>
      <c r="M1668" s="134">
        <v>0.967741935483871</v>
      </c>
      <c r="N1668" s="133">
        <v>0.971830985915493</v>
      </c>
      <c r="O1668" s="135">
        <v>0.9</v>
      </c>
      <c r="P1668" s="133">
        <v>0.977665402444164</v>
      </c>
      <c r="Q1668" s="133">
        <v>0.975967540574282</v>
      </c>
      <c r="R1668" s="133">
        <v>0.980473751600512</v>
      </c>
      <c r="S1668" s="133">
        <v>0.970827509586783</v>
      </c>
      <c r="T1668" s="135">
        <v>0.9</v>
      </c>
      <c r="U1668" s="133">
        <v>0.638853771597134</v>
      </c>
      <c r="V1668" s="133">
        <v>0.515917602996255</v>
      </c>
      <c r="W1668" s="133">
        <v>0.582266325224072</v>
      </c>
      <c r="X1668" s="133">
        <v>0.553847256567394</v>
      </c>
      <c r="Y1668" s="135">
        <v>0.92</v>
      </c>
      <c r="Z1668" s="135" t="s">
        <v>35</v>
      </c>
      <c r="AA1668" s="135" t="s">
        <v>35</v>
      </c>
      <c r="AB1668" s="135" t="s">
        <v>35</v>
      </c>
      <c r="AC1668" s="135" t="s">
        <v>35</v>
      </c>
      <c r="AD1668" s="135">
        <v>0.92</v>
      </c>
      <c r="AE1668" s="133">
        <v>1</v>
      </c>
      <c r="AF1668" s="133">
        <v>1</v>
      </c>
      <c r="AG1668" s="133">
        <v>1</v>
      </c>
      <c r="AH1668" s="133">
        <v>0.995525727069351</v>
      </c>
      <c r="AI1668" s="135">
        <v>0.92</v>
      </c>
      <c r="AJ1668" s="133">
        <v>0.885798567214496</v>
      </c>
      <c r="AK1668" s="133">
        <v>0.90792759051186</v>
      </c>
      <c r="AL1668" s="133">
        <v>0.917093469910371</v>
      </c>
      <c r="AM1668" s="133">
        <v>0.920331147188474</v>
      </c>
      <c r="AN1668" s="132">
        <v>0.99</v>
      </c>
      <c r="AO1668" s="137">
        <v>1</v>
      </c>
      <c r="AP1668" s="137">
        <v>1</v>
      </c>
      <c r="AQ1668" s="137">
        <v>1</v>
      </c>
      <c r="AR1668" s="137">
        <v>1</v>
      </c>
      <c r="AS1668" s="158">
        <v>0.110069253262963</v>
      </c>
      <c r="AT1668" s="141">
        <v>0.111111111111111</v>
      </c>
      <c r="AU1668" s="141">
        <v>0.125</v>
      </c>
      <c r="AV1668" s="141">
        <v>0</v>
      </c>
      <c r="AW1668" s="141">
        <v>0.0924657534246575</v>
      </c>
      <c r="AX1668" s="95"/>
      <c r="AY1668" s="93"/>
    </row>
    <row r="1669" ht="15" spans="1:51">
      <c r="A1669" s="91"/>
      <c r="B1669" s="95"/>
      <c r="C1669" s="152" t="s">
        <v>1455</v>
      </c>
      <c r="D1669" s="153" t="s">
        <v>25</v>
      </c>
      <c r="E1669" s="130" t="s">
        <v>1456</v>
      </c>
      <c r="F1669" s="171" t="s">
        <v>1701</v>
      </c>
      <c r="G1669" s="171" t="s">
        <v>1701</v>
      </c>
      <c r="H1669" s="171" t="s">
        <v>1701</v>
      </c>
      <c r="I1669" s="171" t="s">
        <v>1701</v>
      </c>
      <c r="J1669" s="132">
        <v>0.9</v>
      </c>
      <c r="K1669" s="133" t="s">
        <v>35</v>
      </c>
      <c r="L1669" s="133" t="s">
        <v>35</v>
      </c>
      <c r="M1669" s="134" t="s">
        <v>35</v>
      </c>
      <c r="N1669" s="133" t="s">
        <v>35</v>
      </c>
      <c r="O1669" s="135">
        <v>0.9</v>
      </c>
      <c r="P1669" s="133" t="s">
        <v>35</v>
      </c>
      <c r="Q1669" s="133" t="s">
        <v>35</v>
      </c>
      <c r="R1669" s="133" t="s">
        <v>35</v>
      </c>
      <c r="S1669" s="133" t="s">
        <v>35</v>
      </c>
      <c r="T1669" s="135">
        <v>0.9</v>
      </c>
      <c r="U1669" s="133" t="s">
        <v>35</v>
      </c>
      <c r="V1669" s="133" t="s">
        <v>35</v>
      </c>
      <c r="W1669" s="133" t="s">
        <v>35</v>
      </c>
      <c r="X1669" s="133" t="s">
        <v>35</v>
      </c>
      <c r="Y1669" s="135">
        <v>0.92</v>
      </c>
      <c r="Z1669" s="135" t="s">
        <v>35</v>
      </c>
      <c r="AA1669" s="135" t="s">
        <v>35</v>
      </c>
      <c r="AB1669" s="135" t="s">
        <v>35</v>
      </c>
      <c r="AC1669" s="135" t="s">
        <v>35</v>
      </c>
      <c r="AD1669" s="135">
        <v>0.92</v>
      </c>
      <c r="AE1669" s="133" t="s">
        <v>35</v>
      </c>
      <c r="AF1669" s="133" t="s">
        <v>35</v>
      </c>
      <c r="AG1669" s="133" t="s">
        <v>35</v>
      </c>
      <c r="AH1669" s="133" t="s">
        <v>35</v>
      </c>
      <c r="AI1669" s="135">
        <v>0.92</v>
      </c>
      <c r="AJ1669" s="133" t="s">
        <v>35</v>
      </c>
      <c r="AK1669" s="133" t="s">
        <v>35</v>
      </c>
      <c r="AL1669" s="133" t="s">
        <v>35</v>
      </c>
      <c r="AM1669" s="133" t="s">
        <v>35</v>
      </c>
      <c r="AN1669" s="132">
        <v>0.99</v>
      </c>
      <c r="AO1669" s="137" t="s">
        <v>35</v>
      </c>
      <c r="AP1669" s="137" t="s">
        <v>35</v>
      </c>
      <c r="AQ1669" s="137" t="s">
        <v>35</v>
      </c>
      <c r="AR1669" s="137" t="s">
        <v>35</v>
      </c>
      <c r="AS1669" s="158">
        <v>0.110069253262963</v>
      </c>
      <c r="AT1669" s="141" t="s">
        <v>35</v>
      </c>
      <c r="AU1669" s="141" t="s">
        <v>35</v>
      </c>
      <c r="AV1669" s="141" t="s">
        <v>35</v>
      </c>
      <c r="AW1669" s="141" t="s">
        <v>35</v>
      </c>
      <c r="AX1669" s="95"/>
      <c r="AY1669" s="93"/>
    </row>
    <row r="1670" ht="15" spans="1:51">
      <c r="A1670" s="91"/>
      <c r="B1670" s="95"/>
      <c r="C1670" s="152" t="s">
        <v>1455</v>
      </c>
      <c r="D1670" s="153" t="s">
        <v>25</v>
      </c>
      <c r="E1670" s="130" t="s">
        <v>1456</v>
      </c>
      <c r="F1670" s="171" t="s">
        <v>1702</v>
      </c>
      <c r="G1670" s="171" t="s">
        <v>1702</v>
      </c>
      <c r="H1670" s="171" t="s">
        <v>1702</v>
      </c>
      <c r="I1670" s="171" t="s">
        <v>1702</v>
      </c>
      <c r="J1670" s="132">
        <v>0.9</v>
      </c>
      <c r="K1670" s="133" t="s">
        <v>35</v>
      </c>
      <c r="L1670" s="133" t="s">
        <v>35</v>
      </c>
      <c r="M1670" s="134" t="s">
        <v>35</v>
      </c>
      <c r="N1670" s="133" t="s">
        <v>35</v>
      </c>
      <c r="O1670" s="135">
        <v>0.9</v>
      </c>
      <c r="P1670" s="133" t="s">
        <v>35</v>
      </c>
      <c r="Q1670" s="133" t="s">
        <v>35</v>
      </c>
      <c r="R1670" s="133" t="s">
        <v>35</v>
      </c>
      <c r="S1670" s="133" t="s">
        <v>35</v>
      </c>
      <c r="T1670" s="135">
        <v>0.9</v>
      </c>
      <c r="U1670" s="133" t="s">
        <v>35</v>
      </c>
      <c r="V1670" s="133" t="s">
        <v>35</v>
      </c>
      <c r="W1670" s="133" t="s">
        <v>35</v>
      </c>
      <c r="X1670" s="133" t="s">
        <v>35</v>
      </c>
      <c r="Y1670" s="135">
        <v>0.92</v>
      </c>
      <c r="Z1670" s="135" t="s">
        <v>35</v>
      </c>
      <c r="AA1670" s="135" t="s">
        <v>35</v>
      </c>
      <c r="AB1670" s="135" t="s">
        <v>35</v>
      </c>
      <c r="AC1670" s="135" t="s">
        <v>35</v>
      </c>
      <c r="AD1670" s="135">
        <v>0.92</v>
      </c>
      <c r="AE1670" s="133" t="s">
        <v>35</v>
      </c>
      <c r="AF1670" s="133" t="s">
        <v>35</v>
      </c>
      <c r="AG1670" s="133" t="s">
        <v>35</v>
      </c>
      <c r="AH1670" s="133" t="s">
        <v>35</v>
      </c>
      <c r="AI1670" s="135">
        <v>0.92</v>
      </c>
      <c r="AJ1670" s="133" t="s">
        <v>35</v>
      </c>
      <c r="AK1670" s="133" t="s">
        <v>35</v>
      </c>
      <c r="AL1670" s="133" t="s">
        <v>35</v>
      </c>
      <c r="AM1670" s="133" t="s">
        <v>35</v>
      </c>
      <c r="AN1670" s="132">
        <v>0.99</v>
      </c>
      <c r="AO1670" s="137" t="s">
        <v>35</v>
      </c>
      <c r="AP1670" s="137" t="s">
        <v>35</v>
      </c>
      <c r="AQ1670" s="137" t="s">
        <v>35</v>
      </c>
      <c r="AR1670" s="137" t="s">
        <v>35</v>
      </c>
      <c r="AS1670" s="158">
        <v>0.110069253262963</v>
      </c>
      <c r="AT1670" s="141" t="s">
        <v>35</v>
      </c>
      <c r="AU1670" s="141" t="s">
        <v>35</v>
      </c>
      <c r="AV1670" s="141" t="s">
        <v>35</v>
      </c>
      <c r="AW1670" s="141" t="s">
        <v>35</v>
      </c>
      <c r="AX1670" s="95"/>
      <c r="AY1670" s="93"/>
    </row>
    <row r="1671" ht="15" spans="1:51">
      <c r="A1671" s="91"/>
      <c r="B1671" s="95"/>
      <c r="C1671" s="152" t="s">
        <v>1455</v>
      </c>
      <c r="D1671" s="153" t="s">
        <v>125</v>
      </c>
      <c r="E1671" s="130" t="s">
        <v>1456</v>
      </c>
      <c r="F1671" s="171" t="s">
        <v>1703</v>
      </c>
      <c r="G1671" s="171" t="s">
        <v>1703</v>
      </c>
      <c r="H1671" s="171" t="s">
        <v>1703</v>
      </c>
      <c r="I1671" s="171" t="s">
        <v>1703</v>
      </c>
      <c r="J1671" s="132">
        <v>0.9</v>
      </c>
      <c r="K1671" s="133" t="s">
        <v>35</v>
      </c>
      <c r="L1671" s="133" t="s">
        <v>35</v>
      </c>
      <c r="M1671" s="134" t="s">
        <v>35</v>
      </c>
      <c r="N1671" s="133" t="s">
        <v>35</v>
      </c>
      <c r="O1671" s="135">
        <v>0.9</v>
      </c>
      <c r="P1671" s="133" t="s">
        <v>35</v>
      </c>
      <c r="Q1671" s="133">
        <v>0</v>
      </c>
      <c r="R1671" s="133">
        <v>0</v>
      </c>
      <c r="S1671" s="133">
        <v>0</v>
      </c>
      <c r="T1671" s="135">
        <v>0.9</v>
      </c>
      <c r="U1671" s="133" t="s">
        <v>35</v>
      </c>
      <c r="V1671" s="133">
        <v>0</v>
      </c>
      <c r="W1671" s="133">
        <v>0</v>
      </c>
      <c r="X1671" s="133">
        <v>0.681818181818182</v>
      </c>
      <c r="Y1671" s="135">
        <v>0.92</v>
      </c>
      <c r="Z1671" s="135" t="s">
        <v>35</v>
      </c>
      <c r="AA1671" s="135" t="s">
        <v>35</v>
      </c>
      <c r="AB1671" s="135" t="s">
        <v>35</v>
      </c>
      <c r="AC1671" s="135" t="s">
        <v>35</v>
      </c>
      <c r="AD1671" s="135">
        <v>0.92</v>
      </c>
      <c r="AE1671" s="133">
        <v>0.979757085020243</v>
      </c>
      <c r="AF1671" s="133">
        <v>0.99079754601227</v>
      </c>
      <c r="AG1671" s="133">
        <v>1</v>
      </c>
      <c r="AH1671" s="133">
        <v>0.983722144846797</v>
      </c>
      <c r="AI1671" s="135">
        <v>0.92</v>
      </c>
      <c r="AJ1671" s="133" t="s">
        <v>35</v>
      </c>
      <c r="AK1671" s="133">
        <v>0</v>
      </c>
      <c r="AL1671" s="133">
        <v>0</v>
      </c>
      <c r="AM1671" s="133">
        <v>0.739130434782609</v>
      </c>
      <c r="AN1671" s="132">
        <v>0.99</v>
      </c>
      <c r="AO1671" s="137">
        <v>1</v>
      </c>
      <c r="AP1671" s="137">
        <v>1</v>
      </c>
      <c r="AQ1671" s="137" t="s">
        <v>35</v>
      </c>
      <c r="AR1671" s="137">
        <v>1</v>
      </c>
      <c r="AS1671" s="158">
        <v>0.110069253262963</v>
      </c>
      <c r="AT1671" s="141" t="s">
        <v>35</v>
      </c>
      <c r="AU1671" s="141" t="s">
        <v>35</v>
      </c>
      <c r="AV1671" s="141" t="s">
        <v>35</v>
      </c>
      <c r="AW1671" s="141" t="s">
        <v>35</v>
      </c>
      <c r="AX1671" s="95"/>
      <c r="AY1671" s="93"/>
    </row>
    <row r="1672" ht="15" spans="1:51">
      <c r="A1672" s="91"/>
      <c r="B1672" s="95"/>
      <c r="C1672" s="152" t="s">
        <v>1455</v>
      </c>
      <c r="D1672" s="153" t="s">
        <v>125</v>
      </c>
      <c r="E1672" s="130" t="s">
        <v>1456</v>
      </c>
      <c r="F1672" s="171" t="s">
        <v>1704</v>
      </c>
      <c r="G1672" s="171" t="s">
        <v>1704</v>
      </c>
      <c r="H1672" s="171" t="s">
        <v>1704</v>
      </c>
      <c r="I1672" s="171" t="s">
        <v>1704</v>
      </c>
      <c r="J1672" s="132">
        <v>0.9</v>
      </c>
      <c r="K1672" s="133" t="s">
        <v>35</v>
      </c>
      <c r="L1672" s="133" t="s">
        <v>35</v>
      </c>
      <c r="M1672" s="134" t="s">
        <v>35</v>
      </c>
      <c r="N1672" s="133" t="s">
        <v>35</v>
      </c>
      <c r="O1672" s="135">
        <v>0.9</v>
      </c>
      <c r="P1672" s="133">
        <v>0</v>
      </c>
      <c r="Q1672" s="133">
        <v>0</v>
      </c>
      <c r="R1672" s="133">
        <v>0</v>
      </c>
      <c r="S1672" s="133">
        <v>0</v>
      </c>
      <c r="T1672" s="135">
        <v>0.9</v>
      </c>
      <c r="U1672" s="133">
        <v>0.5</v>
      </c>
      <c r="V1672" s="133">
        <v>0.5</v>
      </c>
      <c r="W1672" s="133">
        <v>1</v>
      </c>
      <c r="X1672" s="133">
        <v>0.6</v>
      </c>
      <c r="Y1672" s="135">
        <v>0.92</v>
      </c>
      <c r="Z1672" s="135" t="s">
        <v>35</v>
      </c>
      <c r="AA1672" s="135" t="s">
        <v>35</v>
      </c>
      <c r="AB1672" s="135" t="s">
        <v>35</v>
      </c>
      <c r="AC1672" s="135" t="s">
        <v>35</v>
      </c>
      <c r="AD1672" s="135">
        <v>0.92</v>
      </c>
      <c r="AE1672" s="133">
        <v>0.997750281214848</v>
      </c>
      <c r="AF1672" s="133">
        <v>0.962962962962963</v>
      </c>
      <c r="AG1672" s="133">
        <v>1</v>
      </c>
      <c r="AH1672" s="133">
        <v>0.991394689894008</v>
      </c>
      <c r="AI1672" s="135">
        <v>0.92</v>
      </c>
      <c r="AJ1672" s="133">
        <v>0.5</v>
      </c>
      <c r="AK1672" s="133">
        <v>1</v>
      </c>
      <c r="AL1672" s="133">
        <v>1</v>
      </c>
      <c r="AM1672" s="133">
        <v>0.8</v>
      </c>
      <c r="AN1672" s="132">
        <v>0.99</v>
      </c>
      <c r="AO1672" s="137" t="s">
        <v>35</v>
      </c>
      <c r="AP1672" s="137">
        <v>1</v>
      </c>
      <c r="AQ1672" s="137">
        <v>1</v>
      </c>
      <c r="AR1672" s="137">
        <v>1</v>
      </c>
      <c r="AS1672" s="158">
        <v>0.110069253262963</v>
      </c>
      <c r="AT1672" s="141" t="s">
        <v>35</v>
      </c>
      <c r="AU1672" s="141" t="s">
        <v>35</v>
      </c>
      <c r="AV1672" s="141" t="s">
        <v>35</v>
      </c>
      <c r="AW1672" s="141" t="s">
        <v>35</v>
      </c>
      <c r="AX1672" s="95"/>
      <c r="AY1672" s="93"/>
    </row>
    <row r="1673" ht="15" spans="1:51">
      <c r="A1673" s="91"/>
      <c r="B1673" s="95"/>
      <c r="C1673" s="152" t="s">
        <v>1455</v>
      </c>
      <c r="D1673" s="153" t="s">
        <v>25</v>
      </c>
      <c r="E1673" s="130" t="s">
        <v>1456</v>
      </c>
      <c r="F1673" s="171" t="s">
        <v>1705</v>
      </c>
      <c r="G1673" s="171" t="s">
        <v>1705</v>
      </c>
      <c r="H1673" s="171" t="s">
        <v>1705</v>
      </c>
      <c r="I1673" s="171" t="s">
        <v>1705</v>
      </c>
      <c r="J1673" s="132">
        <v>0.9</v>
      </c>
      <c r="K1673" s="133" t="s">
        <v>35</v>
      </c>
      <c r="L1673" s="133" t="s">
        <v>35</v>
      </c>
      <c r="M1673" s="134" t="s">
        <v>35</v>
      </c>
      <c r="N1673" s="133" t="s">
        <v>35</v>
      </c>
      <c r="O1673" s="135">
        <v>0.9</v>
      </c>
      <c r="P1673" s="133">
        <v>0</v>
      </c>
      <c r="Q1673" s="133">
        <v>0</v>
      </c>
      <c r="R1673" s="133">
        <v>0</v>
      </c>
      <c r="S1673" s="133">
        <v>0</v>
      </c>
      <c r="T1673" s="135">
        <v>0.9</v>
      </c>
      <c r="U1673" s="133">
        <v>0.333333333333333</v>
      </c>
      <c r="V1673" s="133">
        <v>0.75</v>
      </c>
      <c r="W1673" s="133">
        <v>0.818181818181818</v>
      </c>
      <c r="X1673" s="133">
        <v>0.712962962962963</v>
      </c>
      <c r="Y1673" s="135">
        <v>0.92</v>
      </c>
      <c r="Z1673" s="135" t="s">
        <v>35</v>
      </c>
      <c r="AA1673" s="135" t="s">
        <v>35</v>
      </c>
      <c r="AB1673" s="135" t="s">
        <v>35</v>
      </c>
      <c r="AC1673" s="135" t="s">
        <v>35</v>
      </c>
      <c r="AD1673" s="135">
        <v>0.92</v>
      </c>
      <c r="AE1673" s="133">
        <v>0.997864225781846</v>
      </c>
      <c r="AF1673" s="133">
        <v>0.991500490356326</v>
      </c>
      <c r="AG1673" s="133">
        <v>0.998727735368957</v>
      </c>
      <c r="AH1673" s="133">
        <v>0.990652565914518</v>
      </c>
      <c r="AI1673" s="135">
        <v>0.92</v>
      </c>
      <c r="AJ1673" s="133">
        <v>1</v>
      </c>
      <c r="AK1673" s="133">
        <v>0.75</v>
      </c>
      <c r="AL1673" s="133">
        <v>0.916666666666667</v>
      </c>
      <c r="AM1673" s="133">
        <v>0.865546218487395</v>
      </c>
      <c r="AN1673" s="132">
        <v>0.99</v>
      </c>
      <c r="AO1673" s="137">
        <v>1</v>
      </c>
      <c r="AP1673" s="137">
        <v>1</v>
      </c>
      <c r="AQ1673" s="137">
        <v>1</v>
      </c>
      <c r="AR1673" s="137">
        <v>1</v>
      </c>
      <c r="AS1673" s="158">
        <v>0.110069253262963</v>
      </c>
      <c r="AT1673" s="141" t="s">
        <v>35</v>
      </c>
      <c r="AU1673" s="141" t="s">
        <v>35</v>
      </c>
      <c r="AV1673" s="141" t="s">
        <v>35</v>
      </c>
      <c r="AW1673" s="141" t="s">
        <v>35</v>
      </c>
      <c r="AX1673" s="95"/>
      <c r="AY1673" s="93"/>
    </row>
    <row r="1674" ht="15" spans="1:51">
      <c r="A1674" s="91"/>
      <c r="B1674" s="95"/>
      <c r="C1674" s="152" t="s">
        <v>1455</v>
      </c>
      <c r="D1674" s="153" t="s">
        <v>25</v>
      </c>
      <c r="E1674" s="130" t="s">
        <v>1456</v>
      </c>
      <c r="F1674" s="171" t="s">
        <v>1706</v>
      </c>
      <c r="G1674" s="171" t="s">
        <v>1706</v>
      </c>
      <c r="H1674" s="171" t="s">
        <v>1706</v>
      </c>
      <c r="I1674" s="171" t="s">
        <v>1706</v>
      </c>
      <c r="J1674" s="132">
        <v>0.9</v>
      </c>
      <c r="K1674" s="133">
        <v>1</v>
      </c>
      <c r="L1674" s="133">
        <v>1</v>
      </c>
      <c r="M1674" s="134">
        <v>1</v>
      </c>
      <c r="N1674" s="133">
        <v>0.991957104557641</v>
      </c>
      <c r="O1674" s="135">
        <v>0.9</v>
      </c>
      <c r="P1674" s="133">
        <v>0.996363636363636</v>
      </c>
      <c r="Q1674" s="133">
        <v>0.97495303694427</v>
      </c>
      <c r="R1674" s="133">
        <v>0.881235154394299</v>
      </c>
      <c r="S1674" s="133">
        <v>0.956154894808592</v>
      </c>
      <c r="T1674" s="135">
        <v>0.9</v>
      </c>
      <c r="U1674" s="133">
        <v>0.830909090909091</v>
      </c>
      <c r="V1674" s="133">
        <v>0.829680651221039</v>
      </c>
      <c r="W1674" s="133">
        <v>0.812351543942993</v>
      </c>
      <c r="X1674" s="133">
        <v>0.729670977487933</v>
      </c>
      <c r="Y1674" s="135">
        <v>0.92</v>
      </c>
      <c r="Z1674" s="135" t="s">
        <v>35</v>
      </c>
      <c r="AA1674" s="135" t="s">
        <v>35</v>
      </c>
      <c r="AB1674" s="135" t="s">
        <v>35</v>
      </c>
      <c r="AC1674" s="135" t="s">
        <v>35</v>
      </c>
      <c r="AD1674" s="135">
        <v>0.92</v>
      </c>
      <c r="AE1674" s="133">
        <v>0.647058823529412</v>
      </c>
      <c r="AF1674" s="133">
        <v>0.846153846153846</v>
      </c>
      <c r="AG1674" s="133">
        <v>1</v>
      </c>
      <c r="AH1674" s="133">
        <v>0.967479674796748</v>
      </c>
      <c r="AI1674" s="135">
        <v>0.92</v>
      </c>
      <c r="AJ1674" s="133">
        <v>0.893636363636364</v>
      </c>
      <c r="AK1674" s="133">
        <v>0.949906073888541</v>
      </c>
      <c r="AL1674" s="133">
        <v>0.951306413301663</v>
      </c>
      <c r="AM1674" s="133">
        <v>0.926384436829888</v>
      </c>
      <c r="AN1674" s="132">
        <v>0.99</v>
      </c>
      <c r="AO1674" s="137">
        <v>1</v>
      </c>
      <c r="AP1674" s="137">
        <v>1</v>
      </c>
      <c r="AQ1674" s="137">
        <v>1</v>
      </c>
      <c r="AR1674" s="137">
        <v>1</v>
      </c>
      <c r="AS1674" s="158">
        <v>0.110069253262963</v>
      </c>
      <c r="AT1674" s="141">
        <v>0</v>
      </c>
      <c r="AU1674" s="141">
        <v>0.25</v>
      </c>
      <c r="AV1674" s="141">
        <v>0</v>
      </c>
      <c r="AW1674" s="141">
        <v>0.116883116883117</v>
      </c>
      <c r="AX1674" s="95"/>
      <c r="AY1674" s="93"/>
    </row>
    <row r="1675" ht="15" spans="1:51">
      <c r="A1675" s="91"/>
      <c r="B1675" s="95"/>
      <c r="C1675" s="152" t="s">
        <v>1455</v>
      </c>
      <c r="D1675" s="153" t="s">
        <v>25</v>
      </c>
      <c r="E1675" s="130" t="s">
        <v>1456</v>
      </c>
      <c r="F1675" s="171" t="s">
        <v>1707</v>
      </c>
      <c r="G1675" s="171" t="s">
        <v>1707</v>
      </c>
      <c r="H1675" s="171" t="s">
        <v>1707</v>
      </c>
      <c r="I1675" s="171" t="s">
        <v>1707</v>
      </c>
      <c r="J1675" s="132">
        <v>0.9</v>
      </c>
      <c r="K1675" s="133">
        <v>0.166666666666667</v>
      </c>
      <c r="L1675" s="133">
        <v>0</v>
      </c>
      <c r="M1675" s="134">
        <v>0.5</v>
      </c>
      <c r="N1675" s="133">
        <v>0.348623853211009</v>
      </c>
      <c r="O1675" s="135">
        <v>0.9</v>
      </c>
      <c r="P1675" s="133" t="s">
        <v>35</v>
      </c>
      <c r="Q1675" s="133" t="s">
        <v>35</v>
      </c>
      <c r="R1675" s="133" t="s">
        <v>35</v>
      </c>
      <c r="S1675" s="133">
        <v>0.5</v>
      </c>
      <c r="T1675" s="135">
        <v>0.9</v>
      </c>
      <c r="U1675" s="133" t="s">
        <v>35</v>
      </c>
      <c r="V1675" s="133" t="s">
        <v>35</v>
      </c>
      <c r="W1675" s="133" t="s">
        <v>35</v>
      </c>
      <c r="X1675" s="133">
        <v>0.5</v>
      </c>
      <c r="Y1675" s="135">
        <v>0.92</v>
      </c>
      <c r="Z1675" s="135" t="s">
        <v>35</v>
      </c>
      <c r="AA1675" s="135" t="s">
        <v>35</v>
      </c>
      <c r="AB1675" s="135" t="s">
        <v>35</v>
      </c>
      <c r="AC1675" s="135" t="s">
        <v>35</v>
      </c>
      <c r="AD1675" s="135">
        <v>0.92</v>
      </c>
      <c r="AE1675" s="133">
        <v>0</v>
      </c>
      <c r="AF1675" s="133" t="s">
        <v>35</v>
      </c>
      <c r="AG1675" s="133">
        <v>0</v>
      </c>
      <c r="AH1675" s="133">
        <v>0.5</v>
      </c>
      <c r="AI1675" s="135">
        <v>0.92</v>
      </c>
      <c r="AJ1675" s="133">
        <v>0.651933701657459</v>
      </c>
      <c r="AK1675" s="133">
        <v>0.524390243902439</v>
      </c>
      <c r="AL1675" s="133">
        <v>0.68407960199005</v>
      </c>
      <c r="AM1675" s="133">
        <v>0.623151125401929</v>
      </c>
      <c r="AN1675" s="132">
        <v>0.99</v>
      </c>
      <c r="AO1675" s="137" t="s">
        <v>35</v>
      </c>
      <c r="AP1675" s="137" t="s">
        <v>35</v>
      </c>
      <c r="AQ1675" s="137" t="s">
        <v>35</v>
      </c>
      <c r="AR1675" s="137">
        <v>1</v>
      </c>
      <c r="AS1675" s="158">
        <v>0.110069253262963</v>
      </c>
      <c r="AT1675" s="141">
        <v>0</v>
      </c>
      <c r="AU1675" s="141">
        <v>0.3</v>
      </c>
      <c r="AV1675" s="141">
        <v>0.571428571428571</v>
      </c>
      <c r="AW1675" s="141">
        <v>0.0948616600790514</v>
      </c>
      <c r="AX1675" s="95"/>
      <c r="AY1675" s="93"/>
    </row>
    <row r="1676" ht="15" spans="1:51">
      <c r="A1676" s="91"/>
      <c r="B1676" s="95"/>
      <c r="C1676" s="152" t="s">
        <v>1455</v>
      </c>
      <c r="D1676" s="153" t="s">
        <v>25</v>
      </c>
      <c r="E1676" s="130" t="s">
        <v>1456</v>
      </c>
      <c r="F1676" s="171" t="s">
        <v>1708</v>
      </c>
      <c r="G1676" s="171" t="s">
        <v>1708</v>
      </c>
      <c r="H1676" s="171" t="s">
        <v>1708</v>
      </c>
      <c r="I1676" s="171" t="s">
        <v>1708</v>
      </c>
      <c r="J1676" s="132">
        <v>0.9</v>
      </c>
      <c r="K1676" s="133">
        <v>1</v>
      </c>
      <c r="L1676" s="133">
        <v>0.941176470588235</v>
      </c>
      <c r="M1676" s="134">
        <v>1</v>
      </c>
      <c r="N1676" s="133">
        <v>0.996774193548387</v>
      </c>
      <c r="O1676" s="135">
        <v>0.9</v>
      </c>
      <c r="P1676" s="133">
        <v>0.948759007205765</v>
      </c>
      <c r="Q1676" s="133">
        <v>0.994501178318932</v>
      </c>
      <c r="R1676" s="133">
        <v>0.927019982623805</v>
      </c>
      <c r="S1676" s="133">
        <v>0.963686925681122</v>
      </c>
      <c r="T1676" s="135">
        <v>0.9</v>
      </c>
      <c r="U1676" s="133">
        <v>0.914331465172138</v>
      </c>
      <c r="V1676" s="133">
        <v>0.975648075412412</v>
      </c>
      <c r="W1676" s="133">
        <v>0.951346655082537</v>
      </c>
      <c r="X1676" s="133">
        <v>0.949822666451717</v>
      </c>
      <c r="Y1676" s="135">
        <v>0.92</v>
      </c>
      <c r="Z1676" s="135" t="s">
        <v>35</v>
      </c>
      <c r="AA1676" s="135" t="s">
        <v>35</v>
      </c>
      <c r="AB1676" s="135" t="s">
        <v>35</v>
      </c>
      <c r="AC1676" s="135" t="s">
        <v>35</v>
      </c>
      <c r="AD1676" s="135">
        <v>0.92</v>
      </c>
      <c r="AE1676" s="133">
        <v>0.746478873239437</v>
      </c>
      <c r="AF1676" s="133">
        <v>0.912280701754386</v>
      </c>
      <c r="AG1676" s="133">
        <v>0.506666666666667</v>
      </c>
      <c r="AH1676" s="133">
        <v>0.501463414634146</v>
      </c>
      <c r="AI1676" s="135">
        <v>0.92</v>
      </c>
      <c r="AJ1676" s="133">
        <v>0.935948759007206</v>
      </c>
      <c r="AK1676" s="133">
        <v>0.99528672427337</v>
      </c>
      <c r="AL1676" s="133">
        <v>0.995655951346655</v>
      </c>
      <c r="AM1676" s="133">
        <v>0.988392713203289</v>
      </c>
      <c r="AN1676" s="132">
        <v>0.99</v>
      </c>
      <c r="AO1676" s="137">
        <v>1</v>
      </c>
      <c r="AP1676" s="137">
        <v>1</v>
      </c>
      <c r="AQ1676" s="137">
        <v>1</v>
      </c>
      <c r="AR1676" s="137">
        <v>1</v>
      </c>
      <c r="AS1676" s="158">
        <v>0.110069253262963</v>
      </c>
      <c r="AT1676" s="141">
        <v>0.333333333333333</v>
      </c>
      <c r="AU1676" s="141">
        <v>0.0833333333333333</v>
      </c>
      <c r="AV1676" s="141">
        <v>0</v>
      </c>
      <c r="AW1676" s="141">
        <v>0.104838709677419</v>
      </c>
      <c r="AX1676" s="95"/>
      <c r="AY1676" s="93"/>
    </row>
    <row r="1677" ht="15" spans="1:51">
      <c r="A1677" s="91"/>
      <c r="B1677" s="95"/>
      <c r="C1677" s="152" t="s">
        <v>1455</v>
      </c>
      <c r="D1677" s="153" t="s">
        <v>25</v>
      </c>
      <c r="E1677" s="130" t="s">
        <v>1456</v>
      </c>
      <c r="F1677" s="171" t="s">
        <v>1709</v>
      </c>
      <c r="G1677" s="171" t="s">
        <v>1709</v>
      </c>
      <c r="H1677" s="171" t="s">
        <v>1709</v>
      </c>
      <c r="I1677" s="171" t="s">
        <v>1709</v>
      </c>
      <c r="J1677" s="132">
        <v>0.9</v>
      </c>
      <c r="K1677" s="133">
        <v>1</v>
      </c>
      <c r="L1677" s="133">
        <v>0.954545454545455</v>
      </c>
      <c r="M1677" s="134">
        <v>1</v>
      </c>
      <c r="N1677" s="133">
        <v>0.955380577427822</v>
      </c>
      <c r="O1677" s="135">
        <v>0.9</v>
      </c>
      <c r="P1677" s="133">
        <v>0.96913887506222</v>
      </c>
      <c r="Q1677" s="133">
        <v>0.967243799719233</v>
      </c>
      <c r="R1677" s="133">
        <v>0.942684766214178</v>
      </c>
      <c r="S1677" s="133">
        <v>0.96541063667727</v>
      </c>
      <c r="T1677" s="135">
        <v>0.9</v>
      </c>
      <c r="U1677" s="133">
        <v>0.942757590841215</v>
      </c>
      <c r="V1677" s="133">
        <v>0.902667290594291</v>
      </c>
      <c r="W1677" s="133">
        <v>0.90095525389643</v>
      </c>
      <c r="X1677" s="133">
        <v>0.900353958510686</v>
      </c>
      <c r="Y1677" s="135">
        <v>0.92</v>
      </c>
      <c r="Z1677" s="135" t="s">
        <v>35</v>
      </c>
      <c r="AA1677" s="135" t="s">
        <v>35</v>
      </c>
      <c r="AB1677" s="135" t="s">
        <v>35</v>
      </c>
      <c r="AC1677" s="135" t="s">
        <v>35</v>
      </c>
      <c r="AD1677" s="135">
        <v>0.92</v>
      </c>
      <c r="AE1677" s="133">
        <v>0.888888888888889</v>
      </c>
      <c r="AF1677" s="133">
        <v>1</v>
      </c>
      <c r="AG1677" s="133">
        <v>1</v>
      </c>
      <c r="AH1677" s="133">
        <v>0.900540990428631</v>
      </c>
      <c r="AI1677" s="135">
        <v>0.92</v>
      </c>
      <c r="AJ1677" s="133">
        <v>0.952215032354405</v>
      </c>
      <c r="AK1677" s="133">
        <v>0.947590079550772</v>
      </c>
      <c r="AL1677" s="133">
        <v>0.932629462041227</v>
      </c>
      <c r="AM1677" s="133">
        <v>0.946166942963394</v>
      </c>
      <c r="AN1677" s="132">
        <v>0.99</v>
      </c>
      <c r="AO1677" s="137" t="s">
        <v>35</v>
      </c>
      <c r="AP1677" s="137" t="s">
        <v>35</v>
      </c>
      <c r="AQ1677" s="137">
        <v>1</v>
      </c>
      <c r="AR1677" s="137">
        <v>1</v>
      </c>
      <c r="AS1677" s="158">
        <v>0.110069253262963</v>
      </c>
      <c r="AT1677" s="141">
        <v>0</v>
      </c>
      <c r="AU1677" s="141">
        <v>0.210526315789474</v>
      </c>
      <c r="AV1677" s="141">
        <v>0.25</v>
      </c>
      <c r="AW1677" s="141">
        <v>0.0736842105263158</v>
      </c>
      <c r="AX1677" s="95"/>
      <c r="AY1677" s="93"/>
    </row>
    <row r="1678" ht="15" spans="1:51">
      <c r="A1678" s="91"/>
      <c r="B1678" s="95"/>
      <c r="C1678" s="152" t="s">
        <v>1455</v>
      </c>
      <c r="D1678" s="153" t="s">
        <v>25</v>
      </c>
      <c r="E1678" s="130" t="s">
        <v>1456</v>
      </c>
      <c r="F1678" s="171" t="s">
        <v>1710</v>
      </c>
      <c r="G1678" s="171" t="s">
        <v>1710</v>
      </c>
      <c r="H1678" s="171" t="s">
        <v>1710</v>
      </c>
      <c r="I1678" s="171" t="s">
        <v>1710</v>
      </c>
      <c r="J1678" s="132">
        <v>0.9</v>
      </c>
      <c r="K1678" s="133">
        <v>1</v>
      </c>
      <c r="L1678" s="133">
        <v>1</v>
      </c>
      <c r="M1678" s="134">
        <v>0.9375</v>
      </c>
      <c r="N1678" s="133">
        <v>0.912676056338028</v>
      </c>
      <c r="O1678" s="135">
        <v>0.9</v>
      </c>
      <c r="P1678" s="133">
        <v>0.843238184370613</v>
      </c>
      <c r="Q1678" s="133">
        <v>0.785987958401752</v>
      </c>
      <c r="R1678" s="133">
        <v>0.858108108108108</v>
      </c>
      <c r="S1678" s="133">
        <v>0.852488066996313</v>
      </c>
      <c r="T1678" s="135">
        <v>0.9</v>
      </c>
      <c r="U1678" s="133">
        <v>0.508656995788489</v>
      </c>
      <c r="V1678" s="133">
        <v>0.551724137931034</v>
      </c>
      <c r="W1678" s="133">
        <v>0.631274131274131</v>
      </c>
      <c r="X1678" s="133">
        <v>0.606653900020007</v>
      </c>
      <c r="Y1678" s="135">
        <v>0.92</v>
      </c>
      <c r="Z1678" s="135" t="s">
        <v>35</v>
      </c>
      <c r="AA1678" s="135" t="s">
        <v>35</v>
      </c>
      <c r="AB1678" s="135" t="s">
        <v>35</v>
      </c>
      <c r="AC1678" s="135" t="s">
        <v>35</v>
      </c>
      <c r="AD1678" s="135">
        <v>0.92</v>
      </c>
      <c r="AE1678" s="133">
        <v>0.125</v>
      </c>
      <c r="AF1678" s="133">
        <v>0.846153846153846</v>
      </c>
      <c r="AG1678" s="133">
        <v>0.928571428571429</v>
      </c>
      <c r="AH1678" s="133">
        <v>0.469325153374233</v>
      </c>
      <c r="AI1678" s="135">
        <v>0.92</v>
      </c>
      <c r="AJ1678" s="133">
        <v>0.650444548432382</v>
      </c>
      <c r="AK1678" s="133">
        <v>0.675424192665572</v>
      </c>
      <c r="AL1678" s="133">
        <v>0.720559845559846</v>
      </c>
      <c r="AM1678" s="133">
        <v>0.728699231142996</v>
      </c>
      <c r="AN1678" s="132">
        <v>0.99</v>
      </c>
      <c r="AO1678" s="137" t="s">
        <v>35</v>
      </c>
      <c r="AP1678" s="137" t="s">
        <v>35</v>
      </c>
      <c r="AQ1678" s="137">
        <v>1</v>
      </c>
      <c r="AR1678" s="137">
        <v>1</v>
      </c>
      <c r="AS1678" s="158">
        <v>0.110069253262963</v>
      </c>
      <c r="AT1678" s="141">
        <v>0.075</v>
      </c>
      <c r="AU1678" s="141">
        <v>0.175</v>
      </c>
      <c r="AV1678" s="141">
        <v>0.0666666666666667</v>
      </c>
      <c r="AW1678" s="141">
        <v>0.1113074204947</v>
      </c>
      <c r="AX1678" s="95"/>
      <c r="AY1678" s="93"/>
    </row>
    <row r="1679" ht="15" spans="1:51">
      <c r="A1679" s="91"/>
      <c r="B1679" s="95"/>
      <c r="C1679" s="152" t="s">
        <v>1455</v>
      </c>
      <c r="D1679" s="153" t="s">
        <v>25</v>
      </c>
      <c r="E1679" s="130" t="s">
        <v>1456</v>
      </c>
      <c r="F1679" s="171" t="s">
        <v>1711</v>
      </c>
      <c r="G1679" s="171" t="s">
        <v>1711</v>
      </c>
      <c r="H1679" s="171" t="s">
        <v>1711</v>
      </c>
      <c r="I1679" s="171" t="s">
        <v>1711</v>
      </c>
      <c r="J1679" s="132">
        <v>0.9</v>
      </c>
      <c r="K1679" s="133">
        <v>1</v>
      </c>
      <c r="L1679" s="133">
        <v>0.8</v>
      </c>
      <c r="M1679" s="134">
        <v>1</v>
      </c>
      <c r="N1679" s="133">
        <v>0.78125</v>
      </c>
      <c r="O1679" s="135">
        <v>0.9</v>
      </c>
      <c r="P1679" s="133">
        <v>1</v>
      </c>
      <c r="Q1679" s="133">
        <v>1</v>
      </c>
      <c r="R1679" s="133">
        <v>0.9979633401222</v>
      </c>
      <c r="S1679" s="133">
        <v>0.991809672386895</v>
      </c>
      <c r="T1679" s="135">
        <v>0.9</v>
      </c>
      <c r="U1679" s="133">
        <v>0.841708542713568</v>
      </c>
      <c r="V1679" s="133">
        <v>0.851123595505618</v>
      </c>
      <c r="W1679" s="133">
        <v>0.892057026476578</v>
      </c>
      <c r="X1679" s="133">
        <v>0.887285491419657</v>
      </c>
      <c r="Y1679" s="135">
        <v>0.92</v>
      </c>
      <c r="Z1679" s="135" t="s">
        <v>35</v>
      </c>
      <c r="AA1679" s="135" t="s">
        <v>35</v>
      </c>
      <c r="AB1679" s="135" t="s">
        <v>35</v>
      </c>
      <c r="AC1679" s="135" t="s">
        <v>35</v>
      </c>
      <c r="AD1679" s="135">
        <v>0.92</v>
      </c>
      <c r="AE1679" s="133">
        <v>0</v>
      </c>
      <c r="AF1679" s="133">
        <v>0</v>
      </c>
      <c r="AG1679" s="133">
        <v>0</v>
      </c>
      <c r="AH1679" s="133">
        <v>0.0769230769230769</v>
      </c>
      <c r="AI1679" s="135">
        <v>0.92</v>
      </c>
      <c r="AJ1679" s="133">
        <v>0.897560975609756</v>
      </c>
      <c r="AK1679" s="133">
        <v>0.947802197802198</v>
      </c>
      <c r="AL1679" s="133">
        <v>0.923232323232323</v>
      </c>
      <c r="AM1679" s="133">
        <v>0.949023234308172</v>
      </c>
      <c r="AN1679" s="132">
        <v>0.99</v>
      </c>
      <c r="AO1679" s="137" t="s">
        <v>35</v>
      </c>
      <c r="AP1679" s="137" t="s">
        <v>35</v>
      </c>
      <c r="AQ1679" s="137" t="s">
        <v>35</v>
      </c>
      <c r="AR1679" s="137" t="s">
        <v>35</v>
      </c>
      <c r="AS1679" s="158">
        <v>0.110069253262963</v>
      </c>
      <c r="AT1679" s="141">
        <v>0.2</v>
      </c>
      <c r="AU1679" s="141">
        <v>0.1</v>
      </c>
      <c r="AV1679" s="141">
        <v>0.111111111111111</v>
      </c>
      <c r="AW1679" s="141">
        <v>0.092436974789916</v>
      </c>
      <c r="AX1679" s="95"/>
      <c r="AY1679" s="93"/>
    </row>
    <row r="1680" ht="15" spans="1:51">
      <c r="A1680" s="91"/>
      <c r="B1680" s="95"/>
      <c r="C1680" s="152" t="s">
        <v>1455</v>
      </c>
      <c r="D1680" s="153" t="s">
        <v>25</v>
      </c>
      <c r="E1680" s="130" t="s">
        <v>1456</v>
      </c>
      <c r="F1680" s="171" t="s">
        <v>1712</v>
      </c>
      <c r="G1680" s="171" t="s">
        <v>1712</v>
      </c>
      <c r="H1680" s="171" t="s">
        <v>1712</v>
      </c>
      <c r="I1680" s="171" t="s">
        <v>1712</v>
      </c>
      <c r="J1680" s="132">
        <v>0.9</v>
      </c>
      <c r="K1680" s="133">
        <v>1</v>
      </c>
      <c r="L1680" s="133">
        <v>0.857142857142857</v>
      </c>
      <c r="M1680" s="134">
        <v>1</v>
      </c>
      <c r="N1680" s="133">
        <v>0.937007874015748</v>
      </c>
      <c r="O1680" s="135">
        <v>0.9</v>
      </c>
      <c r="P1680" s="133">
        <v>1</v>
      </c>
      <c r="Q1680" s="133" t="s">
        <v>35</v>
      </c>
      <c r="R1680" s="133">
        <v>0.5</v>
      </c>
      <c r="S1680" s="133">
        <v>0.235294117647059</v>
      </c>
      <c r="T1680" s="135">
        <v>0.9</v>
      </c>
      <c r="U1680" s="133">
        <v>1</v>
      </c>
      <c r="V1680" s="133" t="s">
        <v>35</v>
      </c>
      <c r="W1680" s="133">
        <v>0</v>
      </c>
      <c r="X1680" s="133">
        <v>0.235294117647059</v>
      </c>
      <c r="Y1680" s="135">
        <v>0.92</v>
      </c>
      <c r="Z1680" s="135" t="s">
        <v>35</v>
      </c>
      <c r="AA1680" s="135" t="s">
        <v>35</v>
      </c>
      <c r="AB1680" s="135" t="s">
        <v>35</v>
      </c>
      <c r="AC1680" s="135" t="s">
        <v>35</v>
      </c>
      <c r="AD1680" s="135">
        <v>0.92</v>
      </c>
      <c r="AE1680" s="133">
        <v>0.0909090909090909</v>
      </c>
      <c r="AF1680" s="133">
        <v>0.142857142857143</v>
      </c>
      <c r="AG1680" s="133">
        <v>0.2</v>
      </c>
      <c r="AH1680" s="133">
        <v>0.183006535947712</v>
      </c>
      <c r="AI1680" s="135">
        <v>0.92</v>
      </c>
      <c r="AJ1680" s="133">
        <v>0.829306313328137</v>
      </c>
      <c r="AK1680" s="133">
        <v>0.797115384615385</v>
      </c>
      <c r="AL1680" s="133">
        <v>0.882920110192837</v>
      </c>
      <c r="AM1680" s="133">
        <v>0.881770322120104</v>
      </c>
      <c r="AN1680" s="132">
        <v>0.99</v>
      </c>
      <c r="AO1680" s="137">
        <v>1</v>
      </c>
      <c r="AP1680" s="137">
        <v>1</v>
      </c>
      <c r="AQ1680" s="137">
        <v>1</v>
      </c>
      <c r="AR1680" s="137">
        <v>1</v>
      </c>
      <c r="AS1680" s="158">
        <v>0.110069253262963</v>
      </c>
      <c r="AT1680" s="141">
        <v>0.133333333333333</v>
      </c>
      <c r="AU1680" s="141">
        <v>0.0625</v>
      </c>
      <c r="AV1680" s="141">
        <v>0.375</v>
      </c>
      <c r="AW1680" s="141">
        <v>0.111111111111111</v>
      </c>
      <c r="AX1680" s="95"/>
      <c r="AY1680" s="93"/>
    </row>
    <row r="1681" ht="15" spans="1:73">
      <c r="A1681" s="91"/>
      <c r="B1681" s="95"/>
      <c r="C1681" s="152" t="s">
        <v>1455</v>
      </c>
      <c r="D1681" s="153" t="s">
        <v>25</v>
      </c>
      <c r="E1681" s="130" t="s">
        <v>1456</v>
      </c>
      <c r="F1681" s="171" t="s">
        <v>1713</v>
      </c>
      <c r="G1681" s="171" t="s">
        <v>1713</v>
      </c>
      <c r="H1681" s="171" t="s">
        <v>1713</v>
      </c>
      <c r="I1681" s="171" t="s">
        <v>1713</v>
      </c>
      <c r="J1681" s="132">
        <v>0.9</v>
      </c>
      <c r="K1681" s="133">
        <v>0.9375</v>
      </c>
      <c r="L1681" s="133">
        <v>0.9375</v>
      </c>
      <c r="M1681" s="134">
        <v>0.933333333333333</v>
      </c>
      <c r="N1681" s="133">
        <v>0.940705128205128</v>
      </c>
      <c r="O1681" s="135">
        <v>0.9</v>
      </c>
      <c r="P1681" s="133">
        <v>0.858352144469526</v>
      </c>
      <c r="Q1681" s="133">
        <v>0.18403205918619</v>
      </c>
      <c r="R1681" s="133">
        <v>0.00325059101654846</v>
      </c>
      <c r="S1681" s="133">
        <v>0.202784632727051</v>
      </c>
      <c r="T1681" s="135">
        <v>0.9</v>
      </c>
      <c r="U1681" s="133">
        <v>0.589729119638826</v>
      </c>
      <c r="V1681" s="133">
        <v>0.364364981504316</v>
      </c>
      <c r="W1681" s="133">
        <v>0.237884160756501</v>
      </c>
      <c r="X1681" s="133">
        <v>0.40972793467995</v>
      </c>
      <c r="Y1681" s="135">
        <v>0.92</v>
      </c>
      <c r="Z1681" s="135" t="s">
        <v>35</v>
      </c>
      <c r="AA1681" s="135" t="s">
        <v>35</v>
      </c>
      <c r="AB1681" s="135" t="s">
        <v>35</v>
      </c>
      <c r="AC1681" s="135" t="s">
        <v>35</v>
      </c>
      <c r="AD1681" s="135">
        <v>0.92</v>
      </c>
      <c r="AE1681" s="133">
        <v>0.987654320987654</v>
      </c>
      <c r="AF1681" s="133">
        <v>0.983193277310924</v>
      </c>
      <c r="AG1681" s="133">
        <v>0.96</v>
      </c>
      <c r="AH1681" s="133">
        <v>0.964824120603015</v>
      </c>
      <c r="AI1681" s="135">
        <v>0.92</v>
      </c>
      <c r="AJ1681" s="133">
        <v>0.864559819413093</v>
      </c>
      <c r="AK1681" s="133">
        <v>0.752157829839704</v>
      </c>
      <c r="AL1681" s="133">
        <v>0.671985815602837</v>
      </c>
      <c r="AM1681" s="133">
        <v>0.784967857904518</v>
      </c>
      <c r="AN1681" s="132">
        <v>0.99</v>
      </c>
      <c r="AO1681" s="137">
        <v>1</v>
      </c>
      <c r="AP1681" s="137">
        <v>1</v>
      </c>
      <c r="AQ1681" s="137" t="s">
        <v>35</v>
      </c>
      <c r="AR1681" s="137">
        <v>1</v>
      </c>
      <c r="AS1681" s="158">
        <v>0.110069253262963</v>
      </c>
      <c r="AT1681" s="141">
        <v>0.107142857142857</v>
      </c>
      <c r="AU1681" s="141">
        <v>0.162162162162162</v>
      </c>
      <c r="AV1681" s="141">
        <v>0.111111111111111</v>
      </c>
      <c r="AW1681" s="141">
        <v>0.10077519379845</v>
      </c>
      <c r="AX1681" s="95"/>
      <c r="AY1681" s="93"/>
    </row>
    <row r="1682" ht="15" spans="1:73">
      <c r="A1682" s="91"/>
      <c r="B1682" s="95"/>
      <c r="C1682" s="152" t="s">
        <v>1455</v>
      </c>
      <c r="D1682" s="153" t="s">
        <v>25</v>
      </c>
      <c r="E1682" s="130" t="s">
        <v>1456</v>
      </c>
      <c r="F1682" s="171" t="s">
        <v>1714</v>
      </c>
      <c r="G1682" s="171" t="s">
        <v>1714</v>
      </c>
      <c r="H1682" s="171" t="s">
        <v>1714</v>
      </c>
      <c r="I1682" s="171" t="s">
        <v>1714</v>
      </c>
      <c r="J1682" s="132">
        <v>0.9</v>
      </c>
      <c r="K1682" s="133">
        <v>0.954545454545455</v>
      </c>
      <c r="L1682" s="133">
        <v>0.956521739130435</v>
      </c>
      <c r="M1682" s="134">
        <v>0.92</v>
      </c>
      <c r="N1682" s="133">
        <v>0.922246220302376</v>
      </c>
      <c r="O1682" s="135">
        <v>0.9</v>
      </c>
      <c r="P1682" s="133">
        <v>0.979389942291838</v>
      </c>
      <c r="Q1682" s="133">
        <v>0.834731129748397</v>
      </c>
      <c r="R1682" s="133">
        <v>0.807879592740151</v>
      </c>
      <c r="S1682" s="133">
        <v>0.854190372859827</v>
      </c>
      <c r="T1682" s="135">
        <v>0.9</v>
      </c>
      <c r="U1682" s="133">
        <v>0.625721352019786</v>
      </c>
      <c r="V1682" s="133">
        <v>0.552047360631475</v>
      </c>
      <c r="W1682" s="133">
        <v>0.580345285524568</v>
      </c>
      <c r="X1682" s="133">
        <v>0.516975839530022</v>
      </c>
      <c r="Y1682" s="135">
        <v>0.92</v>
      </c>
      <c r="Z1682" s="135" t="s">
        <v>35</v>
      </c>
      <c r="AA1682" s="135" t="s">
        <v>35</v>
      </c>
      <c r="AB1682" s="135" t="s">
        <v>35</v>
      </c>
      <c r="AC1682" s="135" t="s">
        <v>35</v>
      </c>
      <c r="AD1682" s="135">
        <v>0.92</v>
      </c>
      <c r="AE1682" s="133">
        <v>0.032258064516129</v>
      </c>
      <c r="AF1682" s="133">
        <v>0.12962962962963</v>
      </c>
      <c r="AG1682" s="133">
        <v>0.53125</v>
      </c>
      <c r="AH1682" s="133">
        <v>0.210526315789474</v>
      </c>
      <c r="AI1682" s="135">
        <v>0.92</v>
      </c>
      <c r="AJ1682" s="133">
        <v>0.791426215993405</v>
      </c>
      <c r="AK1682" s="133">
        <v>0.867784903798717</v>
      </c>
      <c r="AL1682" s="133">
        <v>0.891102257636122</v>
      </c>
      <c r="AM1682" s="133">
        <v>0.858239170128874</v>
      </c>
      <c r="AN1682" s="132">
        <v>0.99</v>
      </c>
      <c r="AO1682" s="137">
        <v>1</v>
      </c>
      <c r="AP1682" s="137" t="s">
        <v>35</v>
      </c>
      <c r="AQ1682" s="137">
        <v>1</v>
      </c>
      <c r="AR1682" s="137">
        <v>1</v>
      </c>
      <c r="AS1682" s="158">
        <v>0.110069253262963</v>
      </c>
      <c r="AT1682" s="141">
        <v>0.0833333333333333</v>
      </c>
      <c r="AU1682" s="141">
        <v>0.05</v>
      </c>
      <c r="AV1682" s="141">
        <v>0</v>
      </c>
      <c r="AW1682" s="141">
        <v>0.0655737704918033</v>
      </c>
      <c r="AX1682" s="95"/>
      <c r="AY1682" s="93"/>
    </row>
    <row r="1683" ht="15" spans="1:73">
      <c r="A1683" s="91"/>
      <c r="B1683" s="95"/>
      <c r="C1683" s="152" t="s">
        <v>1455</v>
      </c>
      <c r="D1683" s="153" t="s">
        <v>25</v>
      </c>
      <c r="E1683" s="130" t="s">
        <v>1456</v>
      </c>
      <c r="F1683" s="171" t="s">
        <v>1715</v>
      </c>
      <c r="G1683" s="171" t="s">
        <v>1715</v>
      </c>
      <c r="H1683" s="171" t="s">
        <v>1715</v>
      </c>
      <c r="I1683" s="171" t="s">
        <v>1715</v>
      </c>
      <c r="J1683" s="132">
        <v>0.9</v>
      </c>
      <c r="K1683" s="133" t="s">
        <v>35</v>
      </c>
      <c r="L1683" s="133" t="s">
        <v>35</v>
      </c>
      <c r="M1683" s="134" t="s">
        <v>35</v>
      </c>
      <c r="N1683" s="133" t="s">
        <v>35</v>
      </c>
      <c r="O1683" s="135">
        <v>0.9</v>
      </c>
      <c r="P1683" s="133" t="s">
        <v>35</v>
      </c>
      <c r="Q1683" s="133" t="s">
        <v>35</v>
      </c>
      <c r="R1683" s="133" t="s">
        <v>35</v>
      </c>
      <c r="S1683" s="133" t="s">
        <v>35</v>
      </c>
      <c r="T1683" s="135">
        <v>0.9</v>
      </c>
      <c r="U1683" s="133" t="s">
        <v>35</v>
      </c>
      <c r="V1683" s="133" t="s">
        <v>35</v>
      </c>
      <c r="W1683" s="133" t="s">
        <v>35</v>
      </c>
      <c r="X1683" s="133" t="s">
        <v>35</v>
      </c>
      <c r="Y1683" s="135">
        <v>0.92</v>
      </c>
      <c r="Z1683" s="135" t="s">
        <v>35</v>
      </c>
      <c r="AA1683" s="135" t="s">
        <v>35</v>
      </c>
      <c r="AB1683" s="135" t="s">
        <v>35</v>
      </c>
      <c r="AC1683" s="135" t="s">
        <v>35</v>
      </c>
      <c r="AD1683" s="135">
        <v>0.92</v>
      </c>
      <c r="AE1683" s="133" t="s">
        <v>35</v>
      </c>
      <c r="AF1683" s="133" t="s">
        <v>35</v>
      </c>
      <c r="AG1683" s="133" t="s">
        <v>35</v>
      </c>
      <c r="AH1683" s="133" t="s">
        <v>35</v>
      </c>
      <c r="AI1683" s="135">
        <v>0.92</v>
      </c>
      <c r="AJ1683" s="133" t="s">
        <v>35</v>
      </c>
      <c r="AK1683" s="133" t="s">
        <v>35</v>
      </c>
      <c r="AL1683" s="133" t="s">
        <v>35</v>
      </c>
      <c r="AM1683" s="133" t="s">
        <v>35</v>
      </c>
      <c r="AN1683" s="132">
        <v>0.99</v>
      </c>
      <c r="AO1683" s="137" t="s">
        <v>35</v>
      </c>
      <c r="AP1683" s="137" t="s">
        <v>35</v>
      </c>
      <c r="AQ1683" s="137" t="s">
        <v>35</v>
      </c>
      <c r="AR1683" s="137" t="s">
        <v>35</v>
      </c>
      <c r="AS1683" s="158">
        <v>0.110069253262963</v>
      </c>
      <c r="AT1683" s="141" t="s">
        <v>35</v>
      </c>
      <c r="AU1683" s="141" t="s">
        <v>35</v>
      </c>
      <c r="AV1683" s="141" t="s">
        <v>35</v>
      </c>
      <c r="AW1683" s="141" t="s">
        <v>35</v>
      </c>
      <c r="AX1683" s="95"/>
      <c r="AY1683" s="93"/>
    </row>
    <row r="1684" ht="17.25" customHeight="1" spans="1:73">
      <c r="A1684" s="91"/>
      <c r="B1684" s="95"/>
      <c r="C1684" s="203" t="s">
        <v>1716</v>
      </c>
      <c r="D1684" s="204"/>
      <c r="E1684" s="204"/>
      <c r="F1684" s="204"/>
      <c r="G1684" s="204"/>
      <c r="H1684" s="204"/>
      <c r="I1684" s="204"/>
      <c r="J1684" s="205" t="s">
        <v>35</v>
      </c>
      <c r="K1684" s="206">
        <v>0.940687431956678</v>
      </c>
      <c r="L1684" s="206">
        <v>0.926976</v>
      </c>
      <c r="M1684" s="206">
        <v>0.919734210482818</v>
      </c>
      <c r="N1684" s="206">
        <v>0.926506899981129</v>
      </c>
      <c r="O1684" s="205" t="s">
        <v>35</v>
      </c>
      <c r="P1684" s="207">
        <v>0.957653614980585</v>
      </c>
      <c r="Q1684" s="207">
        <v>0.94649494846221</v>
      </c>
      <c r="R1684" s="207">
        <v>0.940958971404185</v>
      </c>
      <c r="S1684" s="206">
        <v>0.941968330867276</v>
      </c>
      <c r="T1684" s="205" t="s">
        <v>35</v>
      </c>
      <c r="U1684" s="207">
        <v>0.902675470445833</v>
      </c>
      <c r="V1684" s="207">
        <v>0.891206747762348</v>
      </c>
      <c r="W1684" s="207">
        <v>0.869742583663324</v>
      </c>
      <c r="X1684" s="208">
        <v>0.88326809921713</v>
      </c>
      <c r="Y1684" s="205" t="s">
        <v>35</v>
      </c>
      <c r="Z1684" s="209">
        <v>0.931942425952934</v>
      </c>
      <c r="AA1684" s="209">
        <v>0.92805447892249</v>
      </c>
      <c r="AB1684" s="209">
        <v>0.882625067785701</v>
      </c>
      <c r="AC1684" s="209">
        <v>0.932950833077589</v>
      </c>
      <c r="AD1684" s="205" t="s">
        <v>35</v>
      </c>
      <c r="AE1684" s="207">
        <v>0.969880009882385</v>
      </c>
      <c r="AF1684" s="207">
        <v>0.951343854212551</v>
      </c>
      <c r="AG1684" s="207">
        <v>0.977519634993674</v>
      </c>
      <c r="AH1684" s="208">
        <v>0.970802787324927</v>
      </c>
      <c r="AI1684" s="205" t="s">
        <v>35</v>
      </c>
      <c r="AJ1684" s="207">
        <v>0.948302400307323</v>
      </c>
      <c r="AK1684" s="207">
        <v>0.947209556359183</v>
      </c>
      <c r="AL1684" s="207">
        <v>0.933076150306531</v>
      </c>
      <c r="AM1684" s="208">
        <v>0.956935578228661</v>
      </c>
      <c r="AN1684" s="205" t="s">
        <v>35</v>
      </c>
      <c r="AO1684" s="208">
        <v>0.995323107870254</v>
      </c>
      <c r="AP1684" s="208">
        <v>0.991488448113469</v>
      </c>
      <c r="AQ1684" s="208">
        <v>0.992383731971334</v>
      </c>
      <c r="AR1684" s="208">
        <v>0.992532745997388</v>
      </c>
      <c r="AS1684" s="205" t="s">
        <v>35</v>
      </c>
      <c r="AT1684" s="208">
        <v>0.0593604599472483</v>
      </c>
      <c r="AU1684" s="208">
        <v>0.067401166558652</v>
      </c>
      <c r="AV1684" s="208">
        <v>0.0556812897225236</v>
      </c>
      <c r="AW1684" s="208">
        <v>0.054179194675938</v>
      </c>
      <c r="AX1684" s="95"/>
      <c r="AY1684" s="93"/>
    </row>
    <row r="1685" ht="24" customHeight="1" spans="1:73">
      <c r="A1685" s="91"/>
      <c r="B1685" s="95"/>
      <c r="C1685" s="210"/>
      <c r="D1685" s="210"/>
      <c r="E1685" s="210"/>
      <c r="F1685" s="210"/>
      <c r="G1685" s="210"/>
      <c r="H1685" s="210"/>
      <c r="I1685" s="210"/>
      <c r="J1685" s="211"/>
      <c r="K1685" s="211"/>
      <c r="L1685" s="211"/>
      <c r="M1685" s="211"/>
      <c r="N1685" s="211"/>
      <c r="O1685" s="211"/>
      <c r="P1685" s="211"/>
      <c r="Q1685" s="211"/>
      <c r="R1685" s="211"/>
      <c r="S1685" s="211"/>
      <c r="T1685" s="211"/>
      <c r="U1685" s="212"/>
      <c r="V1685" s="211"/>
      <c r="W1685" s="211"/>
      <c r="X1685" s="211"/>
      <c r="Y1685" s="211"/>
      <c r="Z1685" s="211"/>
      <c r="AA1685" s="211"/>
      <c r="AB1685" s="211"/>
      <c r="AC1685" s="211"/>
      <c r="AD1685" s="211"/>
      <c r="AE1685" s="211"/>
      <c r="AF1685" s="211"/>
      <c r="AG1685" s="211"/>
      <c r="AH1685" s="211"/>
      <c r="AI1685" s="211"/>
      <c r="AJ1685" s="211"/>
      <c r="AK1685" s="211"/>
      <c r="AL1685" s="211"/>
      <c r="AM1685" s="211"/>
      <c r="AN1685" s="211"/>
      <c r="AO1685" s="211"/>
      <c r="AP1685" s="211"/>
      <c r="AQ1685" s="211"/>
      <c r="AR1685" s="211"/>
      <c r="AS1685" s="211"/>
      <c r="AT1685" s="211"/>
      <c r="AU1685" s="211"/>
      <c r="AV1685" s="211"/>
      <c r="AW1685" s="211"/>
      <c r="AX1685" s="95"/>
      <c r="AY1685" s="93"/>
    </row>
    <row r="1686" ht="10.5" customHeight="1" spans="1:73">
      <c r="A1686" s="93" t="s">
        <v>1717</v>
      </c>
      <c r="B1686" s="93"/>
      <c r="C1686" s="213"/>
      <c r="D1686" s="213"/>
      <c r="E1686" s="213"/>
      <c r="F1686" s="213"/>
      <c r="G1686" s="213"/>
      <c r="H1686" s="213"/>
      <c r="I1686" s="214"/>
      <c r="J1686" s="215"/>
      <c r="K1686" s="215"/>
      <c r="L1686" s="215"/>
      <c r="M1686" s="215"/>
      <c r="N1686" s="215"/>
      <c r="O1686" s="215"/>
      <c r="P1686" s="215"/>
      <c r="Q1686" s="215"/>
      <c r="R1686" s="215"/>
      <c r="S1686" s="215"/>
      <c r="T1686" s="215"/>
      <c r="U1686" s="215"/>
      <c r="V1686" s="215"/>
      <c r="W1686" s="215"/>
      <c r="X1686" s="215"/>
      <c r="Y1686" s="215"/>
      <c r="Z1686" s="215"/>
      <c r="AA1686" s="215"/>
      <c r="AB1686" s="215"/>
      <c r="AC1686" s="215"/>
      <c r="AD1686" s="215"/>
      <c r="AE1686" s="215"/>
      <c r="AF1686" s="215"/>
      <c r="AG1686" s="215"/>
      <c r="AH1686" s="215"/>
      <c r="AI1686" s="215"/>
      <c r="AJ1686" s="215"/>
      <c r="AK1686" s="215"/>
      <c r="AL1686" s="215"/>
      <c r="AM1686" s="215"/>
      <c r="AN1686" s="215"/>
      <c r="AO1686" s="215"/>
      <c r="AP1686" s="215"/>
      <c r="AQ1686" s="215"/>
      <c r="AR1686" s="215"/>
      <c r="AS1686" s="216"/>
      <c r="AT1686" s="215"/>
      <c r="AU1686" s="215"/>
      <c r="AV1686" s="215"/>
      <c r="AW1686" s="215"/>
      <c r="AX1686" s="93"/>
      <c r="AY1686" s="93"/>
    </row>
    <row r="1687" ht="409.5" hidden="1" customHeight="1" spans="1:73">
      <c r="C1687" s="217" t="s">
        <v>1718</v>
      </c>
      <c r="D1687" s="218"/>
      <c r="E1687" s="219"/>
      <c r="F1687" s="219"/>
      <c r="G1687" s="219"/>
      <c r="H1687" s="219"/>
      <c r="I1687" s="219"/>
      <c r="J1687" s="219"/>
      <c r="K1687" s="219"/>
      <c r="L1687" s="219"/>
      <c r="M1687" s="219"/>
      <c r="N1687" s="219"/>
      <c r="O1687" s="219"/>
      <c r="P1687" s="219"/>
      <c r="Q1687" s="219"/>
      <c r="R1687" s="219"/>
      <c r="S1687" s="219"/>
      <c r="T1687" s="219"/>
      <c r="U1687" s="219" t="s">
        <v>1719</v>
      </c>
      <c r="V1687" s="219"/>
      <c r="W1687" s="219"/>
      <c r="X1687" s="219"/>
      <c r="Y1687" s="219"/>
      <c r="Z1687" s="219"/>
      <c r="AA1687" s="219"/>
      <c r="AB1687" s="219"/>
      <c r="AC1687" s="219"/>
      <c r="AD1687" s="219"/>
      <c r="AE1687" s="219"/>
      <c r="AF1687" s="219"/>
      <c r="AG1687" s="219"/>
      <c r="AH1687" s="219"/>
      <c r="AI1687" s="219"/>
      <c r="AJ1687" s="219"/>
      <c r="AK1687" s="219"/>
      <c r="AL1687" s="219"/>
      <c r="AM1687" s="219"/>
      <c r="AN1687" s="219"/>
      <c r="AO1687" s="219"/>
      <c r="AP1687" s="219"/>
      <c r="AQ1687" s="219"/>
      <c r="AR1687" s="219"/>
      <c r="AS1687" s="219"/>
      <c r="AT1687" s="219"/>
      <c r="AU1687" s="219"/>
      <c r="AV1687" s="219"/>
      <c r="AW1687" s="219"/>
      <c r="AX1687" s="219"/>
      <c r="BE1687" s="220" t="s">
        <v>1720</v>
      </c>
      <c r="BF1687" s="221"/>
      <c r="BG1687" s="221"/>
      <c r="BH1687" s="221"/>
      <c r="BI1687" s="221"/>
      <c r="BJ1687" s="221"/>
      <c r="BK1687" s="221"/>
      <c r="BL1687" s="221"/>
      <c r="BM1687" s="221"/>
      <c r="BN1687" s="221"/>
      <c r="BO1687" s="221"/>
      <c r="BP1687" s="221"/>
      <c r="BQ1687" s="221"/>
      <c r="BR1687" s="221"/>
      <c r="BS1687" s="221"/>
      <c r="BT1687" s="221"/>
      <c r="BU1687" s="222"/>
    </row>
    <row r="1688" ht="327" hidden="1" customHeight="1" spans="1:73">
      <c r="C1688" s="217"/>
      <c r="D1688" s="218"/>
      <c r="E1688" s="219"/>
      <c r="F1688" s="219"/>
      <c r="G1688" s="219"/>
      <c r="H1688" s="219"/>
      <c r="I1688" s="219"/>
      <c r="J1688" s="219"/>
      <c r="K1688" s="219"/>
      <c r="L1688" s="219"/>
      <c r="M1688" s="219"/>
      <c r="N1688" s="219"/>
      <c r="O1688" s="219"/>
      <c r="P1688" s="219"/>
      <c r="Q1688" s="219"/>
      <c r="R1688" s="219"/>
      <c r="S1688" s="219"/>
      <c r="T1688" s="219"/>
      <c r="U1688" s="219"/>
      <c r="V1688" s="219"/>
      <c r="W1688" s="219"/>
      <c r="X1688" s="219"/>
      <c r="Y1688" s="219"/>
      <c r="Z1688" s="219"/>
      <c r="AA1688" s="219"/>
      <c r="AB1688" s="219"/>
      <c r="AC1688" s="219"/>
      <c r="AD1688" s="219"/>
      <c r="AE1688" s="219"/>
      <c r="AF1688" s="219"/>
      <c r="AG1688" s="219"/>
      <c r="AH1688" s="219"/>
      <c r="AI1688" s="219"/>
      <c r="AJ1688" s="219"/>
      <c r="AK1688" s="219"/>
      <c r="AL1688" s="219"/>
      <c r="AM1688" s="219"/>
      <c r="AN1688" s="219"/>
      <c r="AO1688" s="219"/>
      <c r="AP1688" s="219"/>
      <c r="AQ1688" s="219"/>
      <c r="AR1688" s="219"/>
      <c r="AS1688" s="219"/>
      <c r="AT1688" s="219"/>
      <c r="AU1688" s="219"/>
      <c r="AV1688" s="219"/>
      <c r="AW1688" s="219"/>
      <c r="AX1688" s="219"/>
      <c r="BE1688" s="223"/>
      <c r="BF1688" s="224"/>
      <c r="BG1688" s="224"/>
      <c r="BH1688" s="224"/>
      <c r="BI1688" s="224"/>
      <c r="BJ1688" s="224"/>
      <c r="BK1688" s="224"/>
      <c r="BL1688" s="224"/>
      <c r="BM1688" s="224"/>
      <c r="BN1688" s="224"/>
      <c r="BO1688" s="224"/>
      <c r="BP1688" s="224"/>
      <c r="BQ1688" s="224"/>
      <c r="BR1688" s="224"/>
      <c r="BS1688" s="224"/>
      <c r="BT1688" s="224"/>
      <c r="BU1688" s="225"/>
    </row>
  </sheetData>
  <autoFilter xmlns:etc="http://www.wps.cn/officeDocument/2017/etCustomData" ref="C8:AW1684" etc:filterBottomFollowUsedRange="0">
    <extLst/>
  </autoFilter>
  <mergeCells count="25">
    <mergeCell ref="C4:S4"/>
    <mergeCell ref="U4:AW4"/>
    <mergeCell ref="J6:X6"/>
    <mergeCell ref="Y6:AC6"/>
    <mergeCell ref="AD6:AM6"/>
    <mergeCell ref="AN6:AW6"/>
    <mergeCell ref="J7:N7"/>
    <mergeCell ref="O7:S7"/>
    <mergeCell ref="T7:X7"/>
    <mergeCell ref="Y7:AC7"/>
    <mergeCell ref="AD7:AH7"/>
    <mergeCell ref="AI7:AM7"/>
    <mergeCell ref="AN7:AR7"/>
    <mergeCell ref="AS7:AW7"/>
    <mergeCell ref="C1684:I1684"/>
    <mergeCell ref="C6:C8"/>
    <mergeCell ref="D6:D8"/>
    <mergeCell ref="E6:E8"/>
    <mergeCell ref="F6:F8"/>
    <mergeCell ref="G6:G8"/>
    <mergeCell ref="I6:I8"/>
    <mergeCell ref="B1:AX2"/>
    <mergeCell ref="C1687:S1688"/>
    <mergeCell ref="U1687:AX1688"/>
    <mergeCell ref="BE1687:BU1688"/>
  </mergeCells>
  <conditionalFormatting sqref="F372">
    <cfRule type="duplicateValues" dxfId="0" priority="244"/>
  </conditionalFormatting>
  <conditionalFormatting sqref="G372">
    <cfRule type="duplicateValues" dxfId="0" priority="213"/>
  </conditionalFormatting>
  <conditionalFormatting sqref="H372">
    <cfRule type="duplicateValues" dxfId="0" priority="182"/>
  </conditionalFormatting>
  <conditionalFormatting sqref="I372">
    <cfRule type="duplicateValues" dxfId="0" priority="151"/>
  </conditionalFormatting>
  <conditionalFormatting sqref="F402">
    <cfRule type="duplicateValues" dxfId="0" priority="241"/>
  </conditionalFormatting>
  <conditionalFormatting sqref="G402">
    <cfRule type="duplicateValues" dxfId="0" priority="210"/>
  </conditionalFormatting>
  <conditionalFormatting sqref="H402">
    <cfRule type="duplicateValues" dxfId="0" priority="179"/>
  </conditionalFormatting>
  <conditionalFormatting sqref="I402">
    <cfRule type="duplicateValues" dxfId="0" priority="148"/>
  </conditionalFormatting>
  <conditionalFormatting sqref="F461">
    <cfRule type="duplicateValues" dxfId="0" priority="238"/>
  </conditionalFormatting>
  <conditionalFormatting sqref="G461">
    <cfRule type="duplicateValues" dxfId="0" priority="207"/>
  </conditionalFormatting>
  <conditionalFormatting sqref="H461">
    <cfRule type="duplicateValues" dxfId="0" priority="176"/>
  </conditionalFormatting>
  <conditionalFormatting sqref="I461">
    <cfRule type="duplicateValues" dxfId="0" priority="145"/>
  </conditionalFormatting>
  <conditionalFormatting sqref="F473">
    <cfRule type="duplicateValues" dxfId="0" priority="237"/>
  </conditionalFormatting>
  <conditionalFormatting sqref="G473">
    <cfRule type="duplicateValues" dxfId="0" priority="206"/>
  </conditionalFormatting>
  <conditionalFormatting sqref="H473">
    <cfRule type="duplicateValues" dxfId="0" priority="175"/>
  </conditionalFormatting>
  <conditionalFormatting sqref="I473">
    <cfRule type="duplicateValues" dxfId="0" priority="144"/>
  </conditionalFormatting>
  <conditionalFormatting sqref="F486">
    <cfRule type="duplicateValues" dxfId="0" priority="233"/>
  </conditionalFormatting>
  <conditionalFormatting sqref="G486">
    <cfRule type="duplicateValues" dxfId="0" priority="202"/>
  </conditionalFormatting>
  <conditionalFormatting sqref="H486">
    <cfRule type="duplicateValues" dxfId="0" priority="171"/>
  </conditionalFormatting>
  <conditionalFormatting sqref="I486">
    <cfRule type="duplicateValues" dxfId="0" priority="140"/>
  </conditionalFormatting>
  <conditionalFormatting sqref="F506">
    <cfRule type="duplicateValues" dxfId="0" priority="231"/>
  </conditionalFormatting>
  <conditionalFormatting sqref="G506">
    <cfRule type="duplicateValues" dxfId="0" priority="200"/>
  </conditionalFormatting>
  <conditionalFormatting sqref="H506">
    <cfRule type="duplicateValues" dxfId="0" priority="169"/>
  </conditionalFormatting>
  <conditionalFormatting sqref="I506">
    <cfRule type="duplicateValues" dxfId="0" priority="138"/>
  </conditionalFormatting>
  <conditionalFormatting sqref="F549">
    <cfRule type="duplicateValues" dxfId="0" priority="227"/>
  </conditionalFormatting>
  <conditionalFormatting sqref="G549">
    <cfRule type="duplicateValues" dxfId="0" priority="196"/>
  </conditionalFormatting>
  <conditionalFormatting sqref="H549">
    <cfRule type="duplicateValues" dxfId="0" priority="165"/>
  </conditionalFormatting>
  <conditionalFormatting sqref="I549">
    <cfRule type="duplicateValues" dxfId="0" priority="134"/>
  </conditionalFormatting>
  <conditionalFormatting sqref="F552">
    <cfRule type="duplicateValues" dxfId="0" priority="225"/>
  </conditionalFormatting>
  <conditionalFormatting sqref="G552">
    <cfRule type="duplicateValues" dxfId="0" priority="194"/>
  </conditionalFormatting>
  <conditionalFormatting sqref="H552">
    <cfRule type="duplicateValues" dxfId="0" priority="163"/>
  </conditionalFormatting>
  <conditionalFormatting sqref="I552">
    <cfRule type="duplicateValues" dxfId="0" priority="132"/>
  </conditionalFormatting>
  <conditionalFormatting sqref="F596">
    <cfRule type="duplicateValues" dxfId="0" priority="223"/>
  </conditionalFormatting>
  <conditionalFormatting sqref="G596">
    <cfRule type="duplicateValues" dxfId="0" priority="192"/>
  </conditionalFormatting>
  <conditionalFormatting sqref="H596">
    <cfRule type="duplicateValues" dxfId="0" priority="161"/>
  </conditionalFormatting>
  <conditionalFormatting sqref="I596">
    <cfRule type="duplicateValues" dxfId="0" priority="130"/>
  </conditionalFormatting>
  <conditionalFormatting sqref="F622">
    <cfRule type="duplicateValues" dxfId="0" priority="220"/>
  </conditionalFormatting>
  <conditionalFormatting sqref="G622">
    <cfRule type="duplicateValues" dxfId="0" priority="189"/>
  </conditionalFormatting>
  <conditionalFormatting sqref="H622">
    <cfRule type="duplicateValues" dxfId="0" priority="158"/>
  </conditionalFormatting>
  <conditionalFormatting sqref="I622">
    <cfRule type="duplicateValues" dxfId="0" priority="127"/>
  </conditionalFormatting>
  <conditionalFormatting sqref="F623">
    <cfRule type="duplicateValues" dxfId="0" priority="219"/>
  </conditionalFormatting>
  <conditionalFormatting sqref="G623">
    <cfRule type="duplicateValues" dxfId="0" priority="188"/>
  </conditionalFormatting>
  <conditionalFormatting sqref="H623">
    <cfRule type="duplicateValues" dxfId="0" priority="157"/>
  </conditionalFormatting>
  <conditionalFormatting sqref="I623">
    <cfRule type="duplicateValues" dxfId="0" priority="126"/>
  </conditionalFormatting>
  <conditionalFormatting sqref="F637">
    <cfRule type="duplicateValues" dxfId="0" priority="217"/>
  </conditionalFormatting>
  <conditionalFormatting sqref="G637">
    <cfRule type="duplicateValues" dxfId="0" priority="186"/>
  </conditionalFormatting>
  <conditionalFormatting sqref="H637">
    <cfRule type="duplicateValues" dxfId="0" priority="155"/>
  </conditionalFormatting>
  <conditionalFormatting sqref="I637">
    <cfRule type="duplicateValues" dxfId="0" priority="124"/>
  </conditionalFormatting>
  <conditionalFormatting sqref="F639">
    <cfRule type="duplicateValues" dxfId="0" priority="216"/>
  </conditionalFormatting>
  <conditionalFormatting sqref="G639">
    <cfRule type="duplicateValues" dxfId="0" priority="185"/>
  </conditionalFormatting>
  <conditionalFormatting sqref="H639">
    <cfRule type="duplicateValues" dxfId="0" priority="154"/>
  </conditionalFormatting>
  <conditionalFormatting sqref="I639">
    <cfRule type="duplicateValues" dxfId="0" priority="123"/>
  </conditionalFormatting>
  <conditionalFormatting sqref="F641">
    <cfRule type="duplicateValues" dxfId="0" priority="215"/>
  </conditionalFormatting>
  <conditionalFormatting sqref="G641">
    <cfRule type="duplicateValues" dxfId="0" priority="184"/>
  </conditionalFormatting>
  <conditionalFormatting sqref="H641">
    <cfRule type="duplicateValues" dxfId="0" priority="153"/>
  </conditionalFormatting>
  <conditionalFormatting sqref="I641">
    <cfRule type="duplicateValues" dxfId="0" priority="122"/>
  </conditionalFormatting>
  <conditionalFormatting sqref="J1686:AR1686">
    <cfRule type="cellIs" dxfId="1" priority="246" operator="greaterThan">
      <formula>0.97</formula>
    </cfRule>
  </conditionalFormatting>
  <conditionalFormatting sqref="F368:F372">
    <cfRule type="duplicateValues" dxfId="0" priority="242"/>
  </conditionalFormatting>
  <conditionalFormatting sqref="F370:F372">
    <cfRule type="duplicateValues" dxfId="0" priority="243"/>
  </conditionalFormatting>
  <conditionalFormatting sqref="F380:F384">
    <cfRule type="duplicateValues" dxfId="0" priority="245"/>
  </conditionalFormatting>
  <conditionalFormatting sqref="F470:F472">
    <cfRule type="duplicateValues" dxfId="0" priority="239"/>
  </conditionalFormatting>
  <conditionalFormatting sqref="F480:F481">
    <cfRule type="duplicateValues" dxfId="0" priority="236"/>
  </conditionalFormatting>
  <conditionalFormatting sqref="F482:F483">
    <cfRule type="duplicateValues" dxfId="0" priority="235"/>
  </conditionalFormatting>
  <conditionalFormatting sqref="F484:F485">
    <cfRule type="duplicateValues" dxfId="0" priority="234"/>
  </conditionalFormatting>
  <conditionalFormatting sqref="F515:F519">
    <cfRule type="duplicateValues" dxfId="0" priority="229"/>
  </conditionalFormatting>
  <conditionalFormatting sqref="F518:F519">
    <cfRule type="duplicateValues" dxfId="0" priority="230"/>
  </conditionalFormatting>
  <conditionalFormatting sqref="F537:F538">
    <cfRule type="duplicateValues" dxfId="0" priority="228"/>
  </conditionalFormatting>
  <conditionalFormatting sqref="F550:F551">
    <cfRule type="duplicateValues" dxfId="0" priority="226"/>
  </conditionalFormatting>
  <conditionalFormatting sqref="F585:F587">
    <cfRule type="duplicateValues" dxfId="0" priority="224"/>
  </conditionalFormatting>
  <conditionalFormatting sqref="F598:F601">
    <cfRule type="duplicateValues" dxfId="0" priority="222"/>
  </conditionalFormatting>
  <conditionalFormatting sqref="F602:F605">
    <cfRule type="duplicateValues" dxfId="0" priority="221"/>
  </conditionalFormatting>
  <conditionalFormatting sqref="F602:F609">
    <cfRule type="duplicateValues" dxfId="0" priority="232"/>
  </conditionalFormatting>
  <conditionalFormatting sqref="F624:F625">
    <cfRule type="duplicateValues" dxfId="0" priority="218"/>
  </conditionalFormatting>
  <conditionalFormatting sqref="F643:F898">
    <cfRule type="duplicateValues" dxfId="0" priority="119"/>
  </conditionalFormatting>
  <conditionalFormatting sqref="G368:G372">
    <cfRule type="duplicateValues" dxfId="0" priority="211"/>
  </conditionalFormatting>
  <conditionalFormatting sqref="G370:G372">
    <cfRule type="duplicateValues" dxfId="0" priority="212"/>
  </conditionalFormatting>
  <conditionalFormatting sqref="G380:G384">
    <cfRule type="duplicateValues" dxfId="0" priority="214"/>
  </conditionalFormatting>
  <conditionalFormatting sqref="G470:G472">
    <cfRule type="duplicateValues" dxfId="0" priority="208"/>
  </conditionalFormatting>
  <conditionalFormatting sqref="G480:G481">
    <cfRule type="duplicateValues" dxfId="0" priority="205"/>
  </conditionalFormatting>
  <conditionalFormatting sqref="G482:G483">
    <cfRule type="duplicateValues" dxfId="0" priority="204"/>
  </conditionalFormatting>
  <conditionalFormatting sqref="G484:G485">
    <cfRule type="duplicateValues" dxfId="0" priority="203"/>
  </conditionalFormatting>
  <conditionalFormatting sqref="G515:G519">
    <cfRule type="duplicateValues" dxfId="0" priority="198"/>
  </conditionalFormatting>
  <conditionalFormatting sqref="G518:G519">
    <cfRule type="duplicateValues" dxfId="0" priority="199"/>
  </conditionalFormatting>
  <conditionalFormatting sqref="G537:G538">
    <cfRule type="duplicateValues" dxfId="0" priority="197"/>
  </conditionalFormatting>
  <conditionalFormatting sqref="G550:G551">
    <cfRule type="duplicateValues" dxfId="0" priority="195"/>
  </conditionalFormatting>
  <conditionalFormatting sqref="G585:G587">
    <cfRule type="duplicateValues" dxfId="0" priority="193"/>
  </conditionalFormatting>
  <conditionalFormatting sqref="G598:G601">
    <cfRule type="duplicateValues" dxfId="0" priority="191"/>
  </conditionalFormatting>
  <conditionalFormatting sqref="G602:G605">
    <cfRule type="duplicateValues" dxfId="0" priority="190"/>
  </conditionalFormatting>
  <conditionalFormatting sqref="G602:G609">
    <cfRule type="duplicateValues" dxfId="0" priority="201"/>
  </conditionalFormatting>
  <conditionalFormatting sqref="G624:G625">
    <cfRule type="duplicateValues" dxfId="0" priority="187"/>
  </conditionalFormatting>
  <conditionalFormatting sqref="G643:G898">
    <cfRule type="duplicateValues" dxfId="0" priority="118"/>
  </conditionalFormatting>
  <conditionalFormatting sqref="H368:H372">
    <cfRule type="duplicateValues" dxfId="0" priority="180"/>
  </conditionalFormatting>
  <conditionalFormatting sqref="H370:H372">
    <cfRule type="duplicateValues" dxfId="0" priority="181"/>
  </conditionalFormatting>
  <conditionalFormatting sqref="H380:H384">
    <cfRule type="duplicateValues" dxfId="0" priority="183"/>
  </conditionalFormatting>
  <conditionalFormatting sqref="H470:H472">
    <cfRule type="duplicateValues" dxfId="0" priority="177"/>
  </conditionalFormatting>
  <conditionalFormatting sqref="H480:H481">
    <cfRule type="duplicateValues" dxfId="0" priority="174"/>
  </conditionalFormatting>
  <conditionalFormatting sqref="H482:H483">
    <cfRule type="duplicateValues" dxfId="0" priority="173"/>
  </conditionalFormatting>
  <conditionalFormatting sqref="H484:H485">
    <cfRule type="duplicateValues" dxfId="0" priority="172"/>
  </conditionalFormatting>
  <conditionalFormatting sqref="H515:H519">
    <cfRule type="duplicateValues" dxfId="0" priority="167"/>
  </conditionalFormatting>
  <conditionalFormatting sqref="H518:H519">
    <cfRule type="duplicateValues" dxfId="0" priority="168"/>
  </conditionalFormatting>
  <conditionalFormatting sqref="H537:H538">
    <cfRule type="duplicateValues" dxfId="0" priority="166"/>
  </conditionalFormatting>
  <conditionalFormatting sqref="H550:H551">
    <cfRule type="duplicateValues" dxfId="0" priority="164"/>
  </conditionalFormatting>
  <conditionalFormatting sqref="H585:H587">
    <cfRule type="duplicateValues" dxfId="0" priority="162"/>
  </conditionalFormatting>
  <conditionalFormatting sqref="H598:H601">
    <cfRule type="duplicateValues" dxfId="0" priority="160"/>
  </conditionalFormatting>
  <conditionalFormatting sqref="H602:H605">
    <cfRule type="duplicateValues" dxfId="0" priority="159"/>
  </conditionalFormatting>
  <conditionalFormatting sqref="H602:H609">
    <cfRule type="duplicateValues" dxfId="0" priority="170"/>
  </conditionalFormatting>
  <conditionalFormatting sqref="H624:H625">
    <cfRule type="duplicateValues" dxfId="0" priority="156"/>
  </conditionalFormatting>
  <conditionalFormatting sqref="H643:H898">
    <cfRule type="duplicateValues" dxfId="0" priority="117"/>
  </conditionalFormatting>
  <conditionalFormatting sqref="I368:I372">
    <cfRule type="duplicateValues" dxfId="0" priority="149"/>
  </conditionalFormatting>
  <conditionalFormatting sqref="I370:I372">
    <cfRule type="duplicateValues" dxfId="0" priority="150"/>
  </conditionalFormatting>
  <conditionalFormatting sqref="I380:I384">
    <cfRule type="duplicateValues" dxfId="0" priority="152"/>
  </conditionalFormatting>
  <conditionalFormatting sqref="I470:I472">
    <cfRule type="duplicateValues" dxfId="0" priority="146"/>
  </conditionalFormatting>
  <conditionalFormatting sqref="I480:I481">
    <cfRule type="duplicateValues" dxfId="0" priority="143"/>
  </conditionalFormatting>
  <conditionalFormatting sqref="I482:I483">
    <cfRule type="duplicateValues" dxfId="0" priority="142"/>
  </conditionalFormatting>
  <conditionalFormatting sqref="I484:I485">
    <cfRule type="duplicateValues" dxfId="0" priority="141"/>
  </conditionalFormatting>
  <conditionalFormatting sqref="I515:I519">
    <cfRule type="duplicateValues" dxfId="0" priority="136"/>
  </conditionalFormatting>
  <conditionalFormatting sqref="I518:I519">
    <cfRule type="duplicateValues" dxfId="0" priority="137"/>
  </conditionalFormatting>
  <conditionalFormatting sqref="I537:I538">
    <cfRule type="duplicateValues" dxfId="0" priority="135"/>
  </conditionalFormatting>
  <conditionalFormatting sqref="I550:I551">
    <cfRule type="duplicateValues" dxfId="0" priority="133"/>
  </conditionalFormatting>
  <conditionalFormatting sqref="I585:I587">
    <cfRule type="duplicateValues" dxfId="0" priority="131"/>
  </conditionalFormatting>
  <conditionalFormatting sqref="I598:I601">
    <cfRule type="duplicateValues" dxfId="0" priority="129"/>
  </conditionalFormatting>
  <conditionalFormatting sqref="I602:I605">
    <cfRule type="duplicateValues" dxfId="0" priority="128"/>
  </conditionalFormatting>
  <conditionalFormatting sqref="I602:I609">
    <cfRule type="duplicateValues" dxfId="0" priority="139"/>
  </conditionalFormatting>
  <conditionalFormatting sqref="I624:I625">
    <cfRule type="duplicateValues" dxfId="0" priority="125"/>
  </conditionalFormatting>
  <conditionalFormatting sqref="I643:I898">
    <cfRule type="duplicateValues" dxfId="0" priority="116"/>
  </conditionalFormatting>
  <conditionalFormatting sqref="J80:J187">
    <cfRule type="cellIs" dxfId="1" priority="113" operator="greaterThan">
      <formula>0.97</formula>
    </cfRule>
  </conditionalFormatting>
  <conditionalFormatting sqref="J189:J236">
    <cfRule type="cellIs" dxfId="1" priority="112" operator="greaterThan">
      <formula>0.97</formula>
    </cfRule>
  </conditionalFormatting>
  <conditionalFormatting sqref="J238:J325">
    <cfRule type="cellIs" dxfId="1" priority="111" operator="greaterThan">
      <formula>0.97</formula>
    </cfRule>
  </conditionalFormatting>
  <conditionalFormatting sqref="J327:J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J351:J641">
    <cfRule type="cellIs" dxfId="1" priority="121" operator="greaterThan">
      <formula>0.97</formula>
    </cfRule>
  </conditionalFormatting>
  <conditionalFormatting sqref="J643:J898">
    <cfRule type="cellIs" dxfId="1" priority="115" operator="greaterThan">
      <formula>0.97</formula>
    </cfRule>
  </conditionalFormatting>
  <conditionalFormatting sqref="J900:J1055">
    <cfRule type="cellIs" dxfId="1" priority="120" operator="greaterThan">
      <formula>0.97</formula>
    </cfRule>
  </conditionalFormatting>
  <conditionalFormatting sqref="J1057:J1423">
    <cfRule type="cellIs" dxfId="1" priority="110" operator="greaterThan">
      <formula>0.97</formula>
    </cfRule>
  </conditionalFormatting>
  <conditionalFormatting sqref="J1425:J1683">
    <cfRule type="cellIs" dxfId="1" priority="109" operator="greaterThan">
      <formula>0.97</formula>
    </cfRule>
  </conditionalFormatting>
  <conditionalFormatting sqref="O80:O1683">
    <cfRule type="cellIs" dxfId="1" priority="105" operator="greaterThan">
      <formula>0.96</formula>
    </cfRule>
    <cfRule type="cellIs" dxfId="1" priority="106" operator="greaterThan">
      <formula>0.97</formula>
    </cfRule>
  </conditionalFormatting>
  <conditionalFormatting sqref="Y9:Y1683">
    <cfRule type="cellIs" dxfId="1" priority="27" operator="greaterThan">
      <formula>0.96</formula>
    </cfRule>
    <cfRule type="cellIs" dxfId="1" priority="28" operator="greaterThan">
      <formula>0.97</formula>
    </cfRule>
  </conditionalFormatting>
  <conditionalFormatting sqref="AD9:AD78">
    <cfRule type="cellIs" dxfId="1" priority="103" operator="greaterThan">
      <formula>0.96</formula>
    </cfRule>
    <cfRule type="cellIs" dxfId="1" priority="104" operator="greaterThan">
      <formula>0.97</formula>
    </cfRule>
  </conditionalFormatting>
  <conditionalFormatting sqref="AD80:AD325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AD327:AD349">
    <cfRule type="cellIs" dxfId="1" priority="61" operator="greaterThan">
      <formula>0.96</formula>
    </cfRule>
    <cfRule type="cellIs" dxfId="1" priority="62" operator="greaterThan">
      <formula>0.97</formula>
    </cfRule>
  </conditionalFormatting>
  <conditionalFormatting sqref="AD351:AD641">
    <cfRule type="cellIs" dxfId="1" priority="99" operator="greaterThan">
      <formula>0.96</formula>
    </cfRule>
    <cfRule type="cellIs" dxfId="1" priority="100" operator="greaterThan">
      <formula>0.97</formula>
    </cfRule>
  </conditionalFormatting>
  <conditionalFormatting sqref="AD643:AD898">
    <cfRule type="cellIs" dxfId="1" priority="97" operator="greaterThan">
      <formula>0.96</formula>
    </cfRule>
    <cfRule type="cellIs" dxfId="1" priority="98" operator="greaterThan">
      <formula>0.97</formula>
    </cfRule>
  </conditionalFormatting>
  <conditionalFormatting sqref="AD900:AD1055">
    <cfRule type="cellIs" dxfId="1" priority="95" operator="greaterThan">
      <formula>0.96</formula>
    </cfRule>
    <cfRule type="cellIs" dxfId="1" priority="96" operator="greaterThan">
      <formula>0.97</formula>
    </cfRule>
  </conditionalFormatting>
  <conditionalFormatting sqref="AD1057:AD1423">
    <cfRule type="cellIs" dxfId="1" priority="93" operator="greaterThan">
      <formula>0.96</formula>
    </cfRule>
    <cfRule type="cellIs" dxfId="1" priority="94" operator="greaterThan">
      <formula>0.97</formula>
    </cfRule>
  </conditionalFormatting>
  <conditionalFormatting sqref="AD1425:AD1683">
    <cfRule type="cellIs" dxfId="1" priority="91" operator="greaterThan">
      <formula>0.96</formula>
    </cfRule>
    <cfRule type="cellIs" dxfId="1" priority="92" operator="greaterThan">
      <formula>0.97</formula>
    </cfRule>
  </conditionalFormatting>
  <conditionalFormatting sqref="AI9:AI325">
    <cfRule type="cellIs" dxfId="1" priority="89" operator="greaterThan">
      <formula>0.96</formula>
    </cfRule>
    <cfRule type="cellIs" dxfId="1" priority="90" operator="greaterThan">
      <formula>0.97</formula>
    </cfRule>
  </conditionalFormatting>
  <conditionalFormatting sqref="AI327:AI349">
    <cfRule type="cellIs" dxfId="1" priority="83" operator="greaterThan">
      <formula>0.96</formula>
    </cfRule>
    <cfRule type="cellIs" dxfId="1" priority="84" operator="greaterThan">
      <formula>0.97</formula>
    </cfRule>
  </conditionalFormatting>
  <conditionalFormatting sqref="K9:N1683">
    <cfRule type="cellIs" dxfId="2" priority="59" operator="lessThan">
      <formula>0.9</formula>
    </cfRule>
    <cfRule type="cellIs" dxfId="1" priority="60" operator="greaterThan">
      <formula>0.9</formula>
    </cfRule>
  </conditionalFormatting>
  <conditionalFormatting sqref="P9:S1683">
    <cfRule type="cellIs" dxfId="2" priority="57" operator="lessThan">
      <formula>0.9</formula>
    </cfRule>
    <cfRule type="cellIs" dxfId="1" priority="58" operator="greaterThan">
      <formula>0.9</formula>
    </cfRule>
  </conditionalFormatting>
  <conditionalFormatting sqref="U9:X1683">
    <cfRule type="cellIs" dxfId="2" priority="23" operator="lessThan">
      <formula>0.9</formula>
    </cfRule>
    <cfRule type="cellIs" dxfId="1" priority="24" operator="greaterThan">
      <formula>0.9</formula>
    </cfRule>
  </conditionalFormatting>
  <conditionalFormatting sqref="Z9:AC1683">
    <cfRule type="cellIs" dxfId="2" priority="21" operator="lessThan">
      <formula>0.9</formula>
    </cfRule>
    <cfRule type="cellIs" dxfId="1" priority="22" operator="greaterThan">
      <formula>0.9</formula>
    </cfRule>
  </conditionalFormatting>
  <conditionalFormatting sqref="AE9:AH1683">
    <cfRule type="cellIs" dxfId="2" priority="53" operator="lessThan">
      <formula>0.92</formula>
    </cfRule>
    <cfRule type="cellIs" dxfId="1" priority="54" operator="greaterThan">
      <formula>0.92</formula>
    </cfRule>
  </conditionalFormatting>
  <conditionalFormatting sqref="AJ9:AM1683">
    <cfRule type="cellIs" dxfId="2" priority="51" operator="lessThan">
      <formula>0.92</formula>
    </cfRule>
    <cfRule type="cellIs" dxfId="1" priority="52" operator="greaterThan">
      <formula>0.92</formula>
    </cfRule>
  </conditionalFormatting>
  <conditionalFormatting sqref="AO9:AR1683">
    <cfRule type="cellIs" dxfId="2" priority="49" operator="lessThan">
      <formula>0.99</formula>
    </cfRule>
    <cfRule type="cellIs" dxfId="1" priority="50" operator="greaterThan">
      <formula>0.99</formula>
    </cfRule>
  </conditionalFormatting>
  <conditionalFormatting sqref="AT9:AW78">
    <cfRule type="cellIs" dxfId="2" priority="19" operator="lessThan">
      <formula>$AS$9</formula>
    </cfRule>
    <cfRule type="cellIs" dxfId="1" priority="20" operator="greaterThan">
      <formula>$AS$9</formula>
    </cfRule>
  </conditionalFormatting>
  <conditionalFormatting sqref="AT80:AW187">
    <cfRule type="cellIs" dxfId="2" priority="17" operator="lessThan">
      <formula>$AS$80</formula>
    </cfRule>
    <cfRule type="cellIs" dxfId="1" priority="18" operator="greaterThan">
      <formula>$AS$80</formula>
    </cfRule>
  </conditionalFormatting>
  <conditionalFormatting sqref="AT189:AW236">
    <cfRule type="cellIs" dxfId="2" priority="15" operator="lessThan">
      <formula>$AS$189</formula>
    </cfRule>
    <cfRule type="cellIs" dxfId="1" priority="16" operator="greaterThan">
      <formula>$AS$189</formula>
    </cfRule>
  </conditionalFormatting>
  <conditionalFormatting sqref="AT238:AW325">
    <cfRule type="cellIs" dxfId="2" priority="13" operator="lessThan">
      <formula>$AS$238</formula>
    </cfRule>
    <cfRule type="cellIs" dxfId="1" priority="14" operator="greaterThan">
      <formula>$AS$238</formula>
    </cfRule>
  </conditionalFormatting>
  <conditionalFormatting sqref="AT327:AW349">
    <cfRule type="cellIs" dxfId="2" priority="11" operator="lessThan">
      <formula>$AS$327</formula>
    </cfRule>
    <cfRule type="cellIs" dxfId="1" priority="12" operator="greaterThan">
      <formula>$AS$327</formula>
    </cfRule>
  </conditionalFormatting>
  <conditionalFormatting sqref="AT351:AW641">
    <cfRule type="cellIs" dxfId="2" priority="9" operator="lessThan">
      <formula>$AS$351</formula>
    </cfRule>
    <cfRule type="cellIs" dxfId="1" priority="10" operator="greaterThan">
      <formula>$AS$351</formula>
    </cfRule>
  </conditionalFormatting>
  <conditionalFormatting sqref="AT643:AW898">
    <cfRule type="cellIs" dxfId="2" priority="7" operator="lessThan">
      <formula>$AS$643</formula>
    </cfRule>
    <cfRule type="cellIs" dxfId="1" priority="8" operator="greaterThan">
      <formula>$AS$643</formula>
    </cfRule>
  </conditionalFormatting>
  <conditionalFormatting sqref="AT900:AW1055">
    <cfRule type="cellIs" dxfId="2" priority="5" operator="lessThan">
      <formula>$AS$900</formula>
    </cfRule>
    <cfRule type="cellIs" dxfId="1" priority="6" operator="greaterThan">
      <formula>$AS$900</formula>
    </cfRule>
  </conditionalFormatting>
  <conditionalFormatting sqref="AT1057:AW1423">
    <cfRule type="cellIs" dxfId="2" priority="3" operator="lessThan">
      <formula>$AS$1057</formula>
    </cfRule>
    <cfRule type="cellIs" dxfId="1" priority="4" operator="greaterThan">
      <formula>$AS$1057</formula>
    </cfRule>
  </conditionalFormatting>
  <conditionalFormatting sqref="AT1425:AW1683">
    <cfRule type="cellIs" dxfId="2" priority="1" operator="lessThan">
      <formula>$AS$1425</formula>
    </cfRule>
    <cfRule type="cellIs" dxfId="1" priority="2" operator="greaterThan">
      <formula>$AS$1425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workbookViewId="0">
      <selection activeCell="E5" sqref="E5:S15"/>
    </sheetView>
  </sheetViews>
  <sheetFormatPr defaultColWidth="8.78095238095238" defaultRowHeight="15"/>
  <cols>
    <col min="2" max="2" width="12.2190476190476" customWidth="1"/>
    <col min="3" max="3" width="21" customWidth="1"/>
    <col min="4" max="4" width="14.6666666666667" customWidth="1"/>
    <col min="5" max="5" width="10.8952380952381" customWidth="1"/>
    <col min="6" max="8" width="11.3333333333333" customWidth="1"/>
    <col min="9" max="9" width="12.6666666666667" customWidth="1"/>
    <col min="10" max="10" width="8.78095238095238" customWidth="1"/>
    <col min="11" max="13" width="11.3333333333333" customWidth="1"/>
    <col min="14" max="14" width="12.552380952381" customWidth="1"/>
    <col min="15" max="15" width="8.78095238095238" customWidth="1"/>
    <col min="16" max="17" width="11.3333333333333"/>
    <col min="18" max="18" width="11.447619047619" customWidth="1"/>
    <col min="19" max="19" width="12.552380952381" customWidth="1"/>
  </cols>
  <sheetData>
    <row r="1" ht="15.75"/>
    <row r="2" ht="40.95" customHeight="1" spans="2:19">
      <c r="B2" s="30" t="s">
        <v>1721</v>
      </c>
      <c r="C2" s="31" t="s">
        <v>1722</v>
      </c>
      <c r="D2" s="31" t="s">
        <v>1723</v>
      </c>
      <c r="E2" s="31" t="s">
        <v>1724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3"/>
      <c r="S2" s="74"/>
    </row>
    <row r="3" ht="36" customHeight="1" spans="2:19">
      <c r="B3" s="32"/>
      <c r="C3" s="8"/>
      <c r="D3" s="8"/>
      <c r="E3" s="8" t="s">
        <v>1725</v>
      </c>
      <c r="F3" s="8"/>
      <c r="G3" s="8"/>
      <c r="H3" s="8"/>
      <c r="I3" s="8"/>
      <c r="J3" s="8" t="s">
        <v>1726</v>
      </c>
      <c r="K3" s="8"/>
      <c r="L3" s="8"/>
      <c r="M3" s="8"/>
      <c r="N3" s="8"/>
      <c r="O3" s="8" t="s">
        <v>1727</v>
      </c>
      <c r="P3" s="8"/>
      <c r="Q3" s="8"/>
      <c r="R3" s="33"/>
      <c r="S3" s="75"/>
    </row>
    <row r="4" ht="30.75" spans="2:19">
      <c r="B4" s="76"/>
      <c r="C4" s="77"/>
      <c r="D4" s="77"/>
      <c r="E4" s="77" t="s">
        <v>21</v>
      </c>
      <c r="F4" s="78">
        <v>46252</v>
      </c>
      <c r="G4" s="78">
        <f>F4-1</f>
        <v>46251</v>
      </c>
      <c r="H4" s="78">
        <f>G4-1</f>
        <v>46250</v>
      </c>
      <c r="I4" s="77" t="s">
        <v>1728</v>
      </c>
      <c r="J4" s="77" t="s">
        <v>21</v>
      </c>
      <c r="K4" s="79">
        <f>F4</f>
        <v>46252</v>
      </c>
      <c r="L4" s="78">
        <f>F4-1</f>
        <v>46251</v>
      </c>
      <c r="M4" s="78">
        <f>G4-1</f>
        <v>46250</v>
      </c>
      <c r="N4" s="77" t="s">
        <v>1728</v>
      </c>
      <c r="O4" s="77" t="s">
        <v>21</v>
      </c>
      <c r="P4" s="79">
        <f>F4</f>
        <v>46252</v>
      </c>
      <c r="Q4" s="78">
        <f>F4-1</f>
        <v>46251</v>
      </c>
      <c r="R4" s="78">
        <f>G4-1</f>
        <v>46250</v>
      </c>
      <c r="S4" s="80" t="s">
        <v>1728</v>
      </c>
    </row>
    <row r="5" ht="15.75" spans="2:19">
      <c r="B5" s="39" t="s">
        <v>1729</v>
      </c>
      <c r="C5" s="40" t="s">
        <v>1730</v>
      </c>
      <c r="D5" s="40" t="s">
        <v>100</v>
      </c>
      <c r="E5" s="81">
        <v>0.9</v>
      </c>
      <c r="F5" s="66">
        <v>0.958355159769513</v>
      </c>
      <c r="G5" s="66">
        <v>0.951115049475705</v>
      </c>
      <c r="H5" s="66">
        <v>0.943083003952569</v>
      </c>
      <c r="I5" s="66">
        <v>0.946425423131171</v>
      </c>
      <c r="J5" s="81">
        <v>0.9</v>
      </c>
      <c r="K5" s="66">
        <v>0.928095510719785</v>
      </c>
      <c r="L5" s="66">
        <v>0.936865012694535</v>
      </c>
      <c r="M5" s="66">
        <v>0.919923350705887</v>
      </c>
      <c r="N5" s="82">
        <v>0.924411919104444</v>
      </c>
      <c r="O5" s="81">
        <v>0.9</v>
      </c>
      <c r="P5" s="66">
        <v>0.922098945789079</v>
      </c>
      <c r="Q5" s="66">
        <v>0.929527613218992</v>
      </c>
      <c r="R5" s="66">
        <v>0.884039006259907</v>
      </c>
      <c r="S5" s="66">
        <v>0.901458964796838</v>
      </c>
    </row>
    <row r="6" ht="15.75" spans="2:19">
      <c r="B6" s="45"/>
      <c r="C6" s="40" t="s">
        <v>212</v>
      </c>
      <c r="D6" s="40" t="s">
        <v>211</v>
      </c>
      <c r="E6" s="81">
        <v>0.9</v>
      </c>
      <c r="F6" s="66">
        <v>0.950204290091931</v>
      </c>
      <c r="G6" s="66">
        <v>0.952407932011331</v>
      </c>
      <c r="H6" s="66">
        <v>0.938430311231394</v>
      </c>
      <c r="I6" s="66">
        <v>0.946944500679643</v>
      </c>
      <c r="J6" s="81">
        <v>0.9</v>
      </c>
      <c r="K6" s="66">
        <v>0.958912799732478</v>
      </c>
      <c r="L6" s="66">
        <v>0.951288921301287</v>
      </c>
      <c r="M6" s="66">
        <v>0.951764171747308</v>
      </c>
      <c r="N6" s="82">
        <v>0.94488421679163</v>
      </c>
      <c r="O6" s="81">
        <v>0.9</v>
      </c>
      <c r="P6" s="66">
        <v>0.916414225859118</v>
      </c>
      <c r="Q6" s="66">
        <v>0.917845139197159</v>
      </c>
      <c r="R6" s="66">
        <v>0.883246854326112</v>
      </c>
      <c r="S6" s="66">
        <v>0.909149388362642</v>
      </c>
    </row>
    <row r="7" ht="15.75" spans="2:19">
      <c r="B7" s="45"/>
      <c r="C7" s="40" t="s">
        <v>279</v>
      </c>
      <c r="D7" s="40" t="s">
        <v>261</v>
      </c>
      <c r="E7" s="81">
        <v>0.9</v>
      </c>
      <c r="F7" s="66">
        <v>0.952192891290792</v>
      </c>
      <c r="G7" s="66">
        <v>0.944280191039345</v>
      </c>
      <c r="H7" s="66">
        <v>0.937220982142857</v>
      </c>
      <c r="I7" s="66">
        <v>0.943476047323507</v>
      </c>
      <c r="J7" s="81">
        <v>0.9</v>
      </c>
      <c r="K7" s="66">
        <v>0.964456912517703</v>
      </c>
      <c r="L7" s="66">
        <v>0.970746361885499</v>
      </c>
      <c r="M7" s="66">
        <v>0.967853775212162</v>
      </c>
      <c r="N7" s="82">
        <v>0.947056124150833</v>
      </c>
      <c r="O7" s="81">
        <v>0.9</v>
      </c>
      <c r="P7" s="66">
        <v>0.934265715219523</v>
      </c>
      <c r="Q7" s="66">
        <v>0.940592955033871</v>
      </c>
      <c r="R7" s="66">
        <v>0.933913663439203</v>
      </c>
      <c r="S7" s="66">
        <v>0.935170999617262</v>
      </c>
    </row>
    <row r="8" ht="15.75" spans="2:19">
      <c r="B8" s="46"/>
      <c r="C8" s="40" t="s">
        <v>1731</v>
      </c>
      <c r="D8" s="40" t="s">
        <v>351</v>
      </c>
      <c r="E8" s="81">
        <v>0.9</v>
      </c>
      <c r="F8" s="66">
        <v>0.950592885375494</v>
      </c>
      <c r="G8" s="66">
        <v>0.937293729372937</v>
      </c>
      <c r="H8" s="66">
        <v>0.886010362694301</v>
      </c>
      <c r="I8" s="66">
        <v>0.926620962119452</v>
      </c>
      <c r="J8" s="81">
        <v>0.9</v>
      </c>
      <c r="K8" s="66">
        <v>0.956894273959159</v>
      </c>
      <c r="L8" s="66">
        <v>0.95497916946647</v>
      </c>
      <c r="M8" s="66">
        <v>0.946511276681434</v>
      </c>
      <c r="N8" s="82">
        <v>0.949648948638263</v>
      </c>
      <c r="O8" s="81">
        <v>0.9</v>
      </c>
      <c r="P8" s="66">
        <v>0.911542671649115</v>
      </c>
      <c r="Q8" s="66">
        <v>0.901962101868028</v>
      </c>
      <c r="R8" s="66">
        <v>0.884237817156665</v>
      </c>
      <c r="S8" s="66">
        <v>0.911867238757743</v>
      </c>
    </row>
    <row r="9" ht="15.75" spans="2:19">
      <c r="B9" s="45"/>
      <c r="C9" s="40" t="s">
        <v>1732</v>
      </c>
      <c r="D9" s="40" t="s">
        <v>376</v>
      </c>
      <c r="E9" s="81">
        <v>0.9</v>
      </c>
      <c r="F9" s="66">
        <v>0.937240663900415</v>
      </c>
      <c r="G9" s="66">
        <v>0.912606577344702</v>
      </c>
      <c r="H9" s="66">
        <v>0.907002711756261</v>
      </c>
      <c r="I9" s="66">
        <v>0.9152598204727</v>
      </c>
      <c r="J9" s="81">
        <v>0.9</v>
      </c>
      <c r="K9" s="66">
        <v>0.95929441639711</v>
      </c>
      <c r="L9" s="66">
        <v>0.950590382819512</v>
      </c>
      <c r="M9" s="66">
        <v>0.93710470111191</v>
      </c>
      <c r="N9" s="82">
        <v>0.946431482157821</v>
      </c>
      <c r="O9" s="81">
        <v>0.9</v>
      </c>
      <c r="P9" s="66">
        <v>0.905457929718034</v>
      </c>
      <c r="Q9" s="66">
        <v>0.881763260569318</v>
      </c>
      <c r="R9" s="66">
        <v>0.824661835665719</v>
      </c>
      <c r="S9" s="66">
        <v>0.872072528065448</v>
      </c>
    </row>
    <row r="10" ht="15.75" spans="2:19">
      <c r="B10" s="45"/>
      <c r="C10" s="40" t="s">
        <v>836</v>
      </c>
      <c r="D10" s="40" t="s">
        <v>669</v>
      </c>
      <c r="E10" s="81">
        <v>0.9</v>
      </c>
      <c r="F10" s="66">
        <v>0.921216390747916</v>
      </c>
      <c r="G10" s="66">
        <v>0.914651698330455</v>
      </c>
      <c r="H10" s="66">
        <v>0.899422706863374</v>
      </c>
      <c r="I10" s="66">
        <v>0.913948651369827</v>
      </c>
      <c r="J10" s="81">
        <v>0.9</v>
      </c>
      <c r="K10" s="66">
        <v>0.961444670794489</v>
      </c>
      <c r="L10" s="66">
        <v>0.953526832602571</v>
      </c>
      <c r="M10" s="66">
        <v>0.949011470554601</v>
      </c>
      <c r="N10" s="82">
        <v>0.945448272802568</v>
      </c>
      <c r="O10" s="81">
        <v>0.9</v>
      </c>
      <c r="P10" s="66">
        <v>0.928669630402714</v>
      </c>
      <c r="Q10" s="66">
        <v>0.92127436106897</v>
      </c>
      <c r="R10" s="66">
        <v>0.919379618841476</v>
      </c>
      <c r="S10" s="66">
        <v>0.920820220116833</v>
      </c>
    </row>
    <row r="11" ht="15.75" spans="2:19">
      <c r="B11" s="45"/>
      <c r="C11" s="40" t="s">
        <v>963</v>
      </c>
      <c r="D11" s="40" t="s">
        <v>928</v>
      </c>
      <c r="E11" s="81">
        <v>0.9</v>
      </c>
      <c r="F11" s="66">
        <v>0.941965374298951</v>
      </c>
      <c r="G11" s="66">
        <v>0.912616056799563</v>
      </c>
      <c r="H11" s="66">
        <v>0.91515308770109</v>
      </c>
      <c r="I11" s="66">
        <v>0.922664563392332</v>
      </c>
      <c r="J11" s="81">
        <v>0.9</v>
      </c>
      <c r="K11" s="66">
        <v>0.952697874056829</v>
      </c>
      <c r="L11" s="66">
        <v>0.935412660082614</v>
      </c>
      <c r="M11" s="66">
        <v>0.914946337083249</v>
      </c>
      <c r="N11" s="82">
        <v>0.930282046463646</v>
      </c>
      <c r="O11" s="81">
        <v>0.9</v>
      </c>
      <c r="P11" s="66">
        <v>0.922327883658429</v>
      </c>
      <c r="Q11" s="66">
        <v>0.909919940618207</v>
      </c>
      <c r="R11" s="66">
        <v>0.892404218016078</v>
      </c>
      <c r="S11" s="66">
        <v>0.897192877230109</v>
      </c>
    </row>
    <row r="12" ht="15.75" spans="2:19">
      <c r="B12" s="45"/>
      <c r="C12" s="40" t="s">
        <v>1733</v>
      </c>
      <c r="D12" s="40" t="s">
        <v>1086</v>
      </c>
      <c r="E12" s="81">
        <v>0.9</v>
      </c>
      <c r="F12" s="66">
        <v>0.948839381003202</v>
      </c>
      <c r="G12" s="66">
        <v>0.93175304051437</v>
      </c>
      <c r="H12" s="66">
        <v>0.934753857457752</v>
      </c>
      <c r="I12" s="66">
        <v>0.936418154048874</v>
      </c>
      <c r="J12" s="81">
        <v>0.9</v>
      </c>
      <c r="K12" s="66">
        <v>0.970646354309499</v>
      </c>
      <c r="L12" s="66">
        <v>0.967999430986043</v>
      </c>
      <c r="M12" s="66">
        <v>0.959313825591499</v>
      </c>
      <c r="N12" s="82">
        <v>0.956948934776083</v>
      </c>
      <c r="O12" s="81">
        <v>0.9</v>
      </c>
      <c r="P12" s="66">
        <v>0.916216652613072</v>
      </c>
      <c r="Q12" s="66">
        <v>0.915414135470584</v>
      </c>
      <c r="R12" s="66">
        <v>0.900013813979748</v>
      </c>
      <c r="S12" s="66">
        <v>0.902725369773064</v>
      </c>
    </row>
    <row r="13" ht="15.75" spans="2:19">
      <c r="B13" s="45"/>
      <c r="C13" s="40" t="s">
        <v>1734</v>
      </c>
      <c r="D13" s="40" t="s">
        <v>1456</v>
      </c>
      <c r="E13" s="81">
        <v>0.9</v>
      </c>
      <c r="F13" s="66">
        <v>0.9085516559565</v>
      </c>
      <c r="G13" s="66">
        <v>0.90273556231003</v>
      </c>
      <c r="H13" s="66">
        <v>0.90541825095057</v>
      </c>
      <c r="I13" s="66">
        <v>0.903338222205508</v>
      </c>
      <c r="J13" s="81">
        <v>0.9</v>
      </c>
      <c r="K13" s="66">
        <v>0.942325088339223</v>
      </c>
      <c r="L13" s="66">
        <v>0.918246061350079</v>
      </c>
      <c r="M13" s="66">
        <v>0.906454328695738</v>
      </c>
      <c r="N13" s="82">
        <v>0.910717262829493</v>
      </c>
      <c r="O13" s="81">
        <v>0.9</v>
      </c>
      <c r="P13" s="66">
        <v>0.832992932862191</v>
      </c>
      <c r="Q13" s="66">
        <v>0.779397831184979</v>
      </c>
      <c r="R13" s="66">
        <v>0.763061673467381</v>
      </c>
      <c r="S13" s="66">
        <v>0.783480887374455</v>
      </c>
    </row>
    <row r="14" ht="15.75" spans="2:19">
      <c r="B14" s="45"/>
      <c r="C14" s="40" t="s">
        <v>1735</v>
      </c>
      <c r="D14" s="40" t="s">
        <v>26</v>
      </c>
      <c r="E14" s="81">
        <v>0.9</v>
      </c>
      <c r="F14" s="66">
        <v>0.938137755102041</v>
      </c>
      <c r="G14" s="66">
        <v>0.932058379466532</v>
      </c>
      <c r="H14" s="66">
        <v>0.90982087708462</v>
      </c>
      <c r="I14" s="66">
        <v>0.916258464198242</v>
      </c>
      <c r="J14" s="81">
        <v>0.9</v>
      </c>
      <c r="K14" s="66">
        <v>0.965213235628783</v>
      </c>
      <c r="L14" s="66">
        <v>0.917044762515477</v>
      </c>
      <c r="M14" s="66">
        <v>0.938806942932358</v>
      </c>
      <c r="N14" s="82">
        <v>0.93911833834902</v>
      </c>
      <c r="O14" s="81">
        <v>0.9</v>
      </c>
      <c r="P14" s="66">
        <v>0.845616949615402</v>
      </c>
      <c r="Q14" s="66">
        <v>0.855940440325384</v>
      </c>
      <c r="R14" s="66">
        <v>0.776910781061685</v>
      </c>
      <c r="S14" s="66">
        <v>0.800069509407343</v>
      </c>
    </row>
    <row r="15" ht="15.75" spans="2:19">
      <c r="B15" s="47" t="s">
        <v>1716</v>
      </c>
      <c r="C15" s="48"/>
      <c r="D15" s="48"/>
      <c r="E15" s="83" t="s">
        <v>35</v>
      </c>
      <c r="F15" s="83">
        <v>0.940687431956678</v>
      </c>
      <c r="G15" s="83">
        <v>0.926976</v>
      </c>
      <c r="H15" s="83">
        <v>0.919734210482818</v>
      </c>
      <c r="I15" s="83">
        <v>0.926506899981129</v>
      </c>
      <c r="J15" s="83" t="s">
        <v>35</v>
      </c>
      <c r="K15" s="83">
        <v>0.957653614980585</v>
      </c>
      <c r="L15" s="83">
        <v>0.94649494846221</v>
      </c>
      <c r="M15" s="83">
        <v>0.940958971404185</v>
      </c>
      <c r="N15" s="83">
        <v>0.941968330867276</v>
      </c>
      <c r="O15" s="83" t="s">
        <v>35</v>
      </c>
      <c r="P15" s="83">
        <v>0.902675470445833</v>
      </c>
      <c r="Q15" s="83">
        <v>0.891206747762348</v>
      </c>
      <c r="R15" s="83">
        <v>0.869742583663324</v>
      </c>
      <c r="S15" s="84">
        <v>0.88326809921713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C2" workbookViewId="0">
      <selection activeCell="E5" sqref="E5:S15"/>
    </sheetView>
  </sheetViews>
  <sheetFormatPr defaultColWidth="8.78095238095238" defaultRowHeight="15"/>
  <cols>
    <col min="2" max="2" width="12.3333333333333" customWidth="1"/>
    <col min="3" max="3" width="21.2190476190476" customWidth="1"/>
    <col min="4" max="4" width="12" customWidth="1"/>
    <col min="5" max="11" width="14.3333333333333" customWidth="1"/>
    <col min="12" max="12" width="14.447619047619" customWidth="1"/>
    <col min="13" max="14" width="14.2190476190476" customWidth="1"/>
    <col min="15" max="17" width="14.3333333333333" customWidth="1"/>
    <col min="18" max="19" width="14.2190476190476" customWidth="1"/>
  </cols>
  <sheetData>
    <row r="1" ht="15.75"/>
    <row r="2" ht="57" customHeight="1" spans="2:19">
      <c r="B2" s="30" t="s">
        <v>1721</v>
      </c>
      <c r="C2" s="31" t="s">
        <v>1722</v>
      </c>
      <c r="D2" s="31" t="s">
        <v>1723</v>
      </c>
      <c r="E2" s="54" t="s">
        <v>1736</v>
      </c>
      <c r="F2" s="55"/>
      <c r="G2" s="55"/>
      <c r="H2" s="55"/>
      <c r="I2" s="56"/>
      <c r="J2" s="57" t="s">
        <v>1737</v>
      </c>
      <c r="K2" s="58"/>
      <c r="L2" s="58"/>
      <c r="M2" s="58"/>
      <c r="N2" s="58"/>
      <c r="O2" s="58"/>
      <c r="P2" s="58"/>
      <c r="Q2" s="58"/>
      <c r="R2" s="58"/>
      <c r="S2" s="59"/>
    </row>
    <row r="3" ht="55.05" customHeight="1" spans="2:19">
      <c r="B3" s="32"/>
      <c r="C3" s="8"/>
      <c r="D3" s="8"/>
      <c r="E3" s="60" t="s">
        <v>1738</v>
      </c>
      <c r="F3" s="61"/>
      <c r="G3" s="61"/>
      <c r="H3" s="61"/>
      <c r="I3" s="62"/>
      <c r="J3" s="33" t="s">
        <v>1739</v>
      </c>
      <c r="K3" s="34"/>
      <c r="L3" s="34"/>
      <c r="M3" s="34"/>
      <c r="N3" s="35"/>
      <c r="O3" s="33" t="s">
        <v>1740</v>
      </c>
      <c r="P3" s="34"/>
      <c r="Q3" s="34"/>
      <c r="R3" s="34"/>
      <c r="S3" s="35"/>
    </row>
    <row r="4" ht="30.75" spans="2:19">
      <c r="B4" s="36"/>
      <c r="C4" s="11"/>
      <c r="D4" s="11"/>
      <c r="E4" s="37" t="s">
        <v>21</v>
      </c>
      <c r="F4" s="37">
        <f>'06.30, 07.30, &amp; 12.00'!F4</f>
        <v>46252</v>
      </c>
      <c r="G4" s="38">
        <f>F4-1</f>
        <v>46251</v>
      </c>
      <c r="H4" s="38">
        <f>G4-1</f>
        <v>46250</v>
      </c>
      <c r="I4" s="63" t="s">
        <v>1728</v>
      </c>
      <c r="J4" s="64" t="s">
        <v>21</v>
      </c>
      <c r="K4" s="37">
        <f>F4</f>
        <v>46252</v>
      </c>
      <c r="L4" s="38">
        <f>F4-1</f>
        <v>46251</v>
      </c>
      <c r="M4" s="38">
        <f>G4-1</f>
        <v>46250</v>
      </c>
      <c r="N4" s="11" t="s">
        <v>1728</v>
      </c>
      <c r="O4" s="37" t="s">
        <v>21</v>
      </c>
      <c r="P4" s="37">
        <f>K4</f>
        <v>46252</v>
      </c>
      <c r="Q4" s="38">
        <f>K4-1</f>
        <v>46251</v>
      </c>
      <c r="R4" s="38">
        <f>L4-1</f>
        <v>46250</v>
      </c>
      <c r="S4" s="11" t="s">
        <v>1728</v>
      </c>
    </row>
    <row r="5" ht="15.75" spans="2:19">
      <c r="B5" s="39" t="s">
        <v>1729</v>
      </c>
      <c r="C5" s="40" t="s">
        <v>1730</v>
      </c>
      <c r="D5" s="40" t="s">
        <v>100</v>
      </c>
      <c r="E5" s="65">
        <v>0.92</v>
      </c>
      <c r="F5" s="66">
        <v>0.932645280081888</v>
      </c>
      <c r="G5" s="66">
        <v>0.938708671241422</v>
      </c>
      <c r="H5" s="66">
        <v>0.833213842130242</v>
      </c>
      <c r="I5" s="66">
        <v>0.939943058832792</v>
      </c>
      <c r="J5" s="43">
        <v>0.92</v>
      </c>
      <c r="K5" s="67">
        <v>0.954544472232973</v>
      </c>
      <c r="L5" s="67">
        <v>0.932842653235467</v>
      </c>
      <c r="M5" s="67">
        <v>0.971441926544559</v>
      </c>
      <c r="N5" s="67">
        <v>0.967470347282747</v>
      </c>
      <c r="O5" s="43">
        <v>0.93</v>
      </c>
      <c r="P5" s="67">
        <v>0.955510355073295</v>
      </c>
      <c r="Q5" s="67">
        <v>0.965774945169785</v>
      </c>
      <c r="R5" s="67">
        <v>0.937632060182176</v>
      </c>
      <c r="S5" s="67">
        <v>0.96736236808594</v>
      </c>
    </row>
    <row r="6" ht="15.75" spans="2:19">
      <c r="B6" s="45"/>
      <c r="C6" s="40" t="s">
        <v>212</v>
      </c>
      <c r="D6" s="40" t="s">
        <v>211</v>
      </c>
      <c r="E6" s="65">
        <v>0.92</v>
      </c>
      <c r="F6" s="66">
        <v>0.933168607559695</v>
      </c>
      <c r="G6" s="66">
        <v>0.928605983052699</v>
      </c>
      <c r="H6" s="66">
        <v>0.887135534829006</v>
      </c>
      <c r="I6" s="66">
        <v>0.941389905475141</v>
      </c>
      <c r="J6" s="43">
        <v>0.92</v>
      </c>
      <c r="K6" s="67">
        <v>0.982146006593496</v>
      </c>
      <c r="L6" s="67">
        <v>0.978564374606726</v>
      </c>
      <c r="M6" s="67">
        <v>0.992431742576023</v>
      </c>
      <c r="N6" s="67">
        <v>0.981456990407491</v>
      </c>
      <c r="O6" s="43">
        <v>0.93</v>
      </c>
      <c r="P6" s="67">
        <v>0.949724125358545</v>
      </c>
      <c r="Q6" s="67">
        <v>0.957847378075381</v>
      </c>
      <c r="R6" s="67">
        <v>0.934547087551223</v>
      </c>
      <c r="S6" s="67">
        <v>0.962288989261509</v>
      </c>
    </row>
    <row r="7" ht="15.75" spans="2:19">
      <c r="B7" s="45"/>
      <c r="C7" s="40" t="s">
        <v>279</v>
      </c>
      <c r="D7" s="40" t="s">
        <v>261</v>
      </c>
      <c r="E7" s="65">
        <v>0.92</v>
      </c>
      <c r="F7" s="66">
        <v>0.968183057698786</v>
      </c>
      <c r="G7" s="66">
        <v>0.969450908550775</v>
      </c>
      <c r="H7" s="66">
        <v>0.95618419205391</v>
      </c>
      <c r="I7" s="66">
        <v>0.97583474347055</v>
      </c>
      <c r="J7" s="43">
        <v>0.92</v>
      </c>
      <c r="K7" s="67">
        <v>0.954921606771516</v>
      </c>
      <c r="L7" s="67">
        <v>0.960448739637963</v>
      </c>
      <c r="M7" s="67">
        <v>0.954576480836894</v>
      </c>
      <c r="N7" s="67">
        <v>0.963211059914801</v>
      </c>
      <c r="O7" s="43">
        <v>0.93</v>
      </c>
      <c r="P7" s="67">
        <v>0.975718886563968</v>
      </c>
      <c r="Q7" s="67">
        <v>0.982663158322497</v>
      </c>
      <c r="R7" s="67">
        <v>0.976769505541556</v>
      </c>
      <c r="S7" s="67">
        <v>0.98478428446186</v>
      </c>
    </row>
    <row r="8" ht="15.75" spans="2:19">
      <c r="B8" s="46"/>
      <c r="C8" s="40" t="s">
        <v>1731</v>
      </c>
      <c r="D8" s="40" t="s">
        <v>351</v>
      </c>
      <c r="E8" s="65">
        <v>0.92</v>
      </c>
      <c r="F8" s="66">
        <v>0.95055417467836</v>
      </c>
      <c r="G8" s="66">
        <v>0.939488811332375</v>
      </c>
      <c r="H8" s="66">
        <v>0.914940249439023</v>
      </c>
      <c r="I8" s="66">
        <v>0.954756141213015</v>
      </c>
      <c r="J8" s="43">
        <v>0.92</v>
      </c>
      <c r="K8" s="67">
        <v>0.97836211485008</v>
      </c>
      <c r="L8" s="67">
        <v>0.946359090718097</v>
      </c>
      <c r="M8" s="67">
        <v>0.991058122205663</v>
      </c>
      <c r="N8" s="67">
        <v>0.960526637659076</v>
      </c>
      <c r="O8" s="43">
        <v>0.93</v>
      </c>
      <c r="P8" s="67">
        <v>0.960516538983832</v>
      </c>
      <c r="Q8" s="67">
        <v>0.956808273344824</v>
      </c>
      <c r="R8" s="67">
        <v>0.942631159088209</v>
      </c>
      <c r="S8" s="67">
        <v>0.965908692441865</v>
      </c>
    </row>
    <row r="9" ht="15.75" spans="2:19">
      <c r="B9" s="45"/>
      <c r="C9" s="40" t="s">
        <v>1732</v>
      </c>
      <c r="D9" s="40" t="s">
        <v>376</v>
      </c>
      <c r="E9" s="65">
        <v>0.92</v>
      </c>
      <c r="F9" s="66">
        <v>0.919365577264288</v>
      </c>
      <c r="G9" s="66">
        <v>0.917826133800959</v>
      </c>
      <c r="H9" s="66">
        <v>0.835458177578106</v>
      </c>
      <c r="I9" s="66">
        <v>0.911777511668812</v>
      </c>
      <c r="J9" s="43">
        <v>0.92</v>
      </c>
      <c r="K9" s="67">
        <v>0.975809902467747</v>
      </c>
      <c r="L9" s="67">
        <v>0.951625830601974</v>
      </c>
      <c r="M9" s="67">
        <v>0.986603771718377</v>
      </c>
      <c r="N9" s="67">
        <v>0.974948275104813</v>
      </c>
      <c r="O9" s="43">
        <v>0.93</v>
      </c>
      <c r="P9" s="67">
        <v>0.943119976375471</v>
      </c>
      <c r="Q9" s="67">
        <v>0.942553447862695</v>
      </c>
      <c r="R9" s="67">
        <v>0.910291270343759</v>
      </c>
      <c r="S9" s="67">
        <v>0.950032324697237</v>
      </c>
    </row>
    <row r="10" ht="15.75" spans="2:19">
      <c r="B10" s="45"/>
      <c r="C10" s="40" t="s">
        <v>836</v>
      </c>
      <c r="D10" s="40" t="s">
        <v>669</v>
      </c>
      <c r="E10" s="65">
        <v>0.92</v>
      </c>
      <c r="F10" s="66">
        <v>0.91894712288068</v>
      </c>
      <c r="G10" s="66">
        <v>0.911753265211472</v>
      </c>
      <c r="H10" s="66">
        <v>0.89818894663957</v>
      </c>
      <c r="I10" s="66">
        <v>0.919144581118601</v>
      </c>
      <c r="J10" s="43">
        <v>0.92</v>
      </c>
      <c r="K10" s="67">
        <v>0.988975956864359</v>
      </c>
      <c r="L10" s="67">
        <v>0.963027968748441</v>
      </c>
      <c r="M10" s="67">
        <v>0.987790964124572</v>
      </c>
      <c r="N10" s="67">
        <v>0.98038339034563</v>
      </c>
      <c r="O10" s="43">
        <v>0.93</v>
      </c>
      <c r="P10" s="67">
        <v>0.951024361409875</v>
      </c>
      <c r="Q10" s="67">
        <v>0.947309218063172</v>
      </c>
      <c r="R10" s="67">
        <v>0.954227362011942</v>
      </c>
      <c r="S10" s="67">
        <v>0.960577807467345</v>
      </c>
    </row>
    <row r="11" ht="15.75" spans="2:19">
      <c r="B11" s="45"/>
      <c r="C11" s="40" t="s">
        <v>963</v>
      </c>
      <c r="D11" s="40" t="s">
        <v>928</v>
      </c>
      <c r="E11" s="65">
        <v>0.92</v>
      </c>
      <c r="F11" s="66">
        <v>0.907644080057873</v>
      </c>
      <c r="G11" s="66">
        <v>0.898284872505349</v>
      </c>
      <c r="H11" s="66">
        <v>0.834013138122021</v>
      </c>
      <c r="I11" s="66">
        <v>0.877647135755399</v>
      </c>
      <c r="J11" s="43">
        <v>0.92</v>
      </c>
      <c r="K11" s="67">
        <v>0.980728829534744</v>
      </c>
      <c r="L11" s="67">
        <v>0.945763081234496</v>
      </c>
      <c r="M11" s="67">
        <v>0.976035069997539</v>
      </c>
      <c r="N11" s="67">
        <v>0.966519388939593</v>
      </c>
      <c r="O11" s="43">
        <v>0.93</v>
      </c>
      <c r="P11" s="67">
        <v>0.952093288392895</v>
      </c>
      <c r="Q11" s="67">
        <v>0.94632146124911</v>
      </c>
      <c r="R11" s="67">
        <v>0.937619739138544</v>
      </c>
      <c r="S11" s="67">
        <v>0.951532089055051</v>
      </c>
    </row>
    <row r="12" ht="15.75" spans="2:19">
      <c r="B12" s="45"/>
      <c r="C12" s="40" t="s">
        <v>1733</v>
      </c>
      <c r="D12" s="40" t="s">
        <v>1086</v>
      </c>
      <c r="E12" s="65">
        <v>0.92</v>
      </c>
      <c r="F12" s="66">
        <v>0.941479871337388</v>
      </c>
      <c r="G12" s="66">
        <v>0.942928396030884</v>
      </c>
      <c r="H12" s="66">
        <v>0.939262270293349</v>
      </c>
      <c r="I12" s="66">
        <v>0.949785787692557</v>
      </c>
      <c r="J12" s="43">
        <v>0.92</v>
      </c>
      <c r="K12" s="67">
        <v>0.980129001505698</v>
      </c>
      <c r="L12" s="67">
        <v>0.961803278480579</v>
      </c>
      <c r="M12" s="67">
        <v>0.974927670185675</v>
      </c>
      <c r="N12" s="67">
        <v>0.973062789321127</v>
      </c>
      <c r="O12" s="43">
        <v>0.93</v>
      </c>
      <c r="P12" s="67">
        <v>0.955764825146748</v>
      </c>
      <c r="Q12" s="67">
        <v>0.954784843573463</v>
      </c>
      <c r="R12" s="67">
        <v>0.958322200789813</v>
      </c>
      <c r="S12" s="67">
        <v>0.965255799008352</v>
      </c>
    </row>
    <row r="13" ht="15.75" spans="2:19">
      <c r="B13" s="45"/>
      <c r="C13" s="40" t="s">
        <v>1734</v>
      </c>
      <c r="D13" s="40" t="s">
        <v>1456</v>
      </c>
      <c r="E13" s="65">
        <v>0.92</v>
      </c>
      <c r="F13" s="66">
        <v>0.825257556888939</v>
      </c>
      <c r="G13" s="66">
        <v>0.828777182925096</v>
      </c>
      <c r="H13" s="66">
        <v>0.830141392982719</v>
      </c>
      <c r="I13" s="66">
        <v>0.846439556874572</v>
      </c>
      <c r="J13" s="43">
        <v>0.92</v>
      </c>
      <c r="K13" s="67">
        <v>0.959206048285786</v>
      </c>
      <c r="L13" s="67">
        <v>0.943775100401606</v>
      </c>
      <c r="M13" s="67">
        <v>0.939893558652474</v>
      </c>
      <c r="N13" s="67">
        <v>0.959429681174582</v>
      </c>
      <c r="O13" s="43">
        <v>0.93</v>
      </c>
      <c r="P13" s="67">
        <v>0.882582544151523</v>
      </c>
      <c r="Q13" s="67">
        <v>0.888835474641586</v>
      </c>
      <c r="R13" s="67">
        <v>0.875923410197019</v>
      </c>
      <c r="S13" s="67">
        <v>0.902889030485204</v>
      </c>
    </row>
    <row r="14" ht="15.75" spans="2:19">
      <c r="B14" s="45"/>
      <c r="C14" s="40" t="s">
        <v>1735</v>
      </c>
      <c r="D14" s="40" t="s">
        <v>26</v>
      </c>
      <c r="E14" s="65">
        <v>0.92</v>
      </c>
      <c r="F14" s="66">
        <v>0.92739537345738</v>
      </c>
      <c r="G14" s="66">
        <v>0.935092092276294</v>
      </c>
      <c r="H14" s="66">
        <v>0.864348458332277</v>
      </c>
      <c r="I14" s="66">
        <v>0.932687778450822</v>
      </c>
      <c r="J14" s="43">
        <v>0.92</v>
      </c>
      <c r="K14" s="67">
        <v>0.964228149581135</v>
      </c>
      <c r="L14" s="67">
        <v>0.948941605508948</v>
      </c>
      <c r="M14" s="67">
        <v>0.97813681001419</v>
      </c>
      <c r="N14" s="67">
        <v>0.966742454183274</v>
      </c>
      <c r="O14" s="43">
        <v>0.93</v>
      </c>
      <c r="P14" s="67">
        <v>0.94468036726499</v>
      </c>
      <c r="Q14" s="67">
        <v>0.953514310508519</v>
      </c>
      <c r="R14" s="67">
        <v>0.896023585793579</v>
      </c>
      <c r="S14" s="67">
        <v>0.952019769576549</v>
      </c>
    </row>
    <row r="15" ht="15.75" spans="2:19">
      <c r="B15" s="47" t="s">
        <v>1716</v>
      </c>
      <c r="C15" s="48"/>
      <c r="D15" s="49"/>
      <c r="E15" s="68" t="s">
        <v>35</v>
      </c>
      <c r="F15" s="69">
        <v>0.931942425952934</v>
      </c>
      <c r="G15" s="69">
        <v>0.92805447892249</v>
      </c>
      <c r="H15" s="69">
        <v>0.882625067785701</v>
      </c>
      <c r="I15" s="70">
        <v>0.932950833077589</v>
      </c>
      <c r="J15" s="71" t="s">
        <v>35</v>
      </c>
      <c r="K15" s="51">
        <v>0.969880009882385</v>
      </c>
      <c r="L15" s="51">
        <v>0.951343854212551</v>
      </c>
      <c r="M15" s="51">
        <v>0.977519634993674</v>
      </c>
      <c r="N15" s="72">
        <v>0.970802787324927</v>
      </c>
      <c r="O15" s="51" t="s">
        <v>35</v>
      </c>
      <c r="P15" s="51">
        <v>0.948302400307323</v>
      </c>
      <c r="Q15" s="51">
        <v>0.947209556359183</v>
      </c>
      <c r="R15" s="51">
        <v>0.933076150306531</v>
      </c>
      <c r="S15" s="51">
        <v>0.956935578228661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D2" workbookViewId="0">
      <selection activeCell="E5" sqref="E5:N15"/>
    </sheetView>
  </sheetViews>
  <sheetFormatPr defaultColWidth="8.78095238095238" defaultRowHeight="15"/>
  <cols>
    <col min="2" max="2" width="14.7809523809524" customWidth="1"/>
    <col min="3" max="3" width="22.2190476190476" customWidth="1"/>
    <col min="4" max="4" width="13.7809523809524" customWidth="1"/>
    <col min="5" max="5" width="8.78095238095238" customWidth="1"/>
    <col min="6" max="7" width="14.3333333333333" customWidth="1"/>
    <col min="8" max="9" width="13.7809523809524" customWidth="1"/>
    <col min="10" max="10" width="13.1047619047619" customWidth="1"/>
    <col min="11" max="12" width="14.3333333333333" customWidth="1"/>
    <col min="13" max="14" width="13.7809523809524" customWidth="1"/>
  </cols>
  <sheetData>
    <row r="1" ht="15.75"/>
    <row r="2" ht="33" customHeight="1" spans="2:14">
      <c r="B2" s="30" t="s">
        <v>1721</v>
      </c>
      <c r="C2" s="31" t="s">
        <v>1722</v>
      </c>
      <c r="D2" s="31" t="s">
        <v>1723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ht="54" customHeight="1" spans="2:14">
      <c r="B3" s="32"/>
      <c r="C3" s="8"/>
      <c r="D3" s="8"/>
      <c r="E3" s="33" t="s">
        <v>1741</v>
      </c>
      <c r="F3" s="34"/>
      <c r="G3" s="34"/>
      <c r="H3" s="34"/>
      <c r="I3" s="35"/>
      <c r="J3" s="33" t="s">
        <v>1742</v>
      </c>
      <c r="K3" s="34"/>
      <c r="L3" s="34"/>
      <c r="M3" s="34"/>
      <c r="N3" s="35"/>
    </row>
    <row r="4" ht="30.75" spans="2:14">
      <c r="B4" s="36"/>
      <c r="C4" s="11"/>
      <c r="D4" s="11"/>
      <c r="E4" s="11" t="s">
        <v>21</v>
      </c>
      <c r="F4" s="37">
        <f>'06.30, 07.30, &amp; 12.00'!F4</f>
        <v>46252</v>
      </c>
      <c r="G4" s="38">
        <f>F4-1</f>
        <v>46251</v>
      </c>
      <c r="H4" s="38">
        <f>G4-1</f>
        <v>46250</v>
      </c>
      <c r="I4" s="11" t="s">
        <v>1728</v>
      </c>
      <c r="J4" s="11" t="s">
        <v>23</v>
      </c>
      <c r="K4" s="37">
        <f>F4</f>
        <v>46252</v>
      </c>
      <c r="L4" s="38">
        <f>K4-1</f>
        <v>46251</v>
      </c>
      <c r="M4" s="38">
        <f>L4-1</f>
        <v>46250</v>
      </c>
      <c r="N4" s="11" t="s">
        <v>1728</v>
      </c>
    </row>
    <row r="5" ht="15.75" spans="2:14">
      <c r="B5" s="39" t="s">
        <v>1729</v>
      </c>
      <c r="C5" s="40" t="s">
        <v>1730</v>
      </c>
      <c r="D5" s="40" t="s">
        <v>100</v>
      </c>
      <c r="E5" s="41">
        <v>0.99</v>
      </c>
      <c r="F5" s="42">
        <v>0.993026730865017</v>
      </c>
      <c r="G5" s="42">
        <v>0.993456549190678</v>
      </c>
      <c r="H5" s="42">
        <v>0.989237929028505</v>
      </c>
      <c r="I5" s="42">
        <v>0.98972223171607</v>
      </c>
      <c r="J5" s="43">
        <v>0.105261498981944</v>
      </c>
      <c r="K5" s="44">
        <v>0.0874680306905371</v>
      </c>
      <c r="L5" s="44">
        <v>0.0856353591160221</v>
      </c>
      <c r="M5" s="44">
        <v>0.0714285714285714</v>
      </c>
      <c r="N5" s="44">
        <v>0.0757407500883348</v>
      </c>
    </row>
    <row r="6" ht="15.75" spans="2:14">
      <c r="B6" s="45"/>
      <c r="C6" s="40" t="s">
        <v>212</v>
      </c>
      <c r="D6" s="40" t="s">
        <v>211</v>
      </c>
      <c r="E6" s="41">
        <v>0.99</v>
      </c>
      <c r="F6" s="42">
        <v>0.997892114592316</v>
      </c>
      <c r="G6" s="42">
        <v>0.959023328901245</v>
      </c>
      <c r="H6" s="42">
        <v>0.992340253981052</v>
      </c>
      <c r="I6" s="42">
        <v>0.992841645684899</v>
      </c>
      <c r="J6" s="43">
        <v>0.0719793575775068</v>
      </c>
      <c r="K6" s="44">
        <v>0.0570264765784114</v>
      </c>
      <c r="L6" s="44">
        <v>0.0722521137586472</v>
      </c>
      <c r="M6" s="44">
        <v>0.0425155004428698</v>
      </c>
      <c r="N6" s="44">
        <v>0.0583529411764706</v>
      </c>
    </row>
    <row r="7" ht="15.75" spans="2:14">
      <c r="B7" s="45"/>
      <c r="C7" s="40" t="s">
        <v>279</v>
      </c>
      <c r="D7" s="40" t="s">
        <v>261</v>
      </c>
      <c r="E7" s="41">
        <v>0.99</v>
      </c>
      <c r="F7" s="42">
        <v>0.9991608726924</v>
      </c>
      <c r="G7" s="42">
        <v>0.995242343146001</v>
      </c>
      <c r="H7" s="42">
        <v>0.993731193580742</v>
      </c>
      <c r="I7" s="42">
        <v>0.994754208704941</v>
      </c>
      <c r="J7" s="43">
        <v>0.0922287257019438</v>
      </c>
      <c r="K7" s="44">
        <v>0.0573593073593074</v>
      </c>
      <c r="L7" s="44">
        <v>0.16005291005291</v>
      </c>
      <c r="M7" s="44">
        <v>0.101666666666667</v>
      </c>
      <c r="N7" s="44">
        <v>0.0813050233039876</v>
      </c>
    </row>
    <row r="8" ht="15.75" spans="2:14">
      <c r="B8" s="46"/>
      <c r="C8" s="40" t="s">
        <v>1731</v>
      </c>
      <c r="D8" s="40" t="s">
        <v>351</v>
      </c>
      <c r="E8" s="41">
        <v>0.99</v>
      </c>
      <c r="F8" s="42">
        <v>0.998145859085291</v>
      </c>
      <c r="G8" s="42">
        <v>0.990672884743504</v>
      </c>
      <c r="H8" s="42">
        <v>0.994587280108254</v>
      </c>
      <c r="I8" s="42">
        <v>0.994094360438705</v>
      </c>
      <c r="J8" s="43">
        <v>0.0739852556983447</v>
      </c>
      <c r="K8" s="44">
        <v>0.0861486486486486</v>
      </c>
      <c r="L8" s="44">
        <v>0.0711206896551724</v>
      </c>
      <c r="M8" s="44">
        <v>0.0743405275779376</v>
      </c>
      <c r="N8" s="44">
        <v>0.049646009964164</v>
      </c>
    </row>
    <row r="9" ht="15.75" spans="2:14">
      <c r="B9" s="45"/>
      <c r="C9" s="40" t="s">
        <v>1732</v>
      </c>
      <c r="D9" s="40" t="s">
        <v>376</v>
      </c>
      <c r="E9" s="41">
        <v>0.99</v>
      </c>
      <c r="F9" s="42">
        <v>0.996556535161932</v>
      </c>
      <c r="G9" s="42">
        <v>0.995808134139707</v>
      </c>
      <c r="H9" s="42">
        <v>0.996628922119457</v>
      </c>
      <c r="I9" s="42">
        <v>0.995172698817057</v>
      </c>
      <c r="J9" s="43">
        <v>0.05</v>
      </c>
      <c r="K9" s="44">
        <v>0.0475632614807873</v>
      </c>
      <c r="L9" s="44">
        <v>0.0509116741652853</v>
      </c>
      <c r="M9" s="44">
        <v>0.0453492624649518</v>
      </c>
      <c r="N9" s="44">
        <v>0.0429349387005761</v>
      </c>
    </row>
    <row r="10" ht="15.75" spans="2:14">
      <c r="B10" s="45"/>
      <c r="C10" s="40" t="s">
        <v>836</v>
      </c>
      <c r="D10" s="40" t="s">
        <v>669</v>
      </c>
      <c r="E10" s="41">
        <v>0.99</v>
      </c>
      <c r="F10" s="42">
        <v>0.995242864296445</v>
      </c>
      <c r="G10" s="42">
        <v>0.991586668104843</v>
      </c>
      <c r="H10" s="42">
        <v>0.992368610511159</v>
      </c>
      <c r="I10" s="42">
        <v>0.989444930168926</v>
      </c>
      <c r="J10" s="43">
        <v>0.0810595228934205</v>
      </c>
      <c r="K10" s="44">
        <v>0.0515759312320917</v>
      </c>
      <c r="L10" s="44">
        <v>0.057403008709422</v>
      </c>
      <c r="M10" s="44">
        <v>0.046712288009521</v>
      </c>
      <c r="N10" s="44">
        <v>0.0421836956202881</v>
      </c>
    </row>
    <row r="11" ht="15.75" spans="2:14">
      <c r="B11" s="45"/>
      <c r="C11" s="40" t="s">
        <v>963</v>
      </c>
      <c r="D11" s="40" t="s">
        <v>928</v>
      </c>
      <c r="E11" s="41">
        <v>0.99</v>
      </c>
      <c r="F11" s="42">
        <v>0.99535747446611</v>
      </c>
      <c r="G11" s="42">
        <v>0.991330871729009</v>
      </c>
      <c r="H11" s="42">
        <v>0.9923273657289</v>
      </c>
      <c r="I11" s="42">
        <v>0.992272463652181</v>
      </c>
      <c r="J11" s="43">
        <v>0.0656418488929858</v>
      </c>
      <c r="K11" s="44">
        <v>0.0443714050944947</v>
      </c>
      <c r="L11" s="44">
        <v>0.0543478260869565</v>
      </c>
      <c r="M11" s="44">
        <v>0.0440494590417311</v>
      </c>
      <c r="N11" s="44">
        <v>0.0438569011966669</v>
      </c>
    </row>
    <row r="12" ht="15.75" spans="2:14">
      <c r="B12" s="45"/>
      <c r="C12" s="40" t="s">
        <v>1733</v>
      </c>
      <c r="D12" s="40" t="s">
        <v>1086</v>
      </c>
      <c r="E12" s="41">
        <v>0.99</v>
      </c>
      <c r="F12" s="42">
        <v>0.994808551155041</v>
      </c>
      <c r="G12" s="42">
        <v>0.992784571716582</v>
      </c>
      <c r="H12" s="42">
        <v>0.993471494724057</v>
      </c>
      <c r="I12" s="42">
        <v>0.993098351365013</v>
      </c>
      <c r="J12" s="43">
        <v>0.0721861525408278</v>
      </c>
      <c r="K12" s="44">
        <v>0.0363819384526891</v>
      </c>
      <c r="L12" s="44">
        <v>0.0364077669902913</v>
      </c>
      <c r="M12" s="44">
        <v>0.0353895649741223</v>
      </c>
      <c r="N12" s="44">
        <v>0.036428426807046</v>
      </c>
    </row>
    <row r="13" ht="15.75" spans="2:14">
      <c r="B13" s="45"/>
      <c r="C13" s="40" t="s">
        <v>1734</v>
      </c>
      <c r="D13" s="40" t="s">
        <v>1456</v>
      </c>
      <c r="E13" s="41">
        <v>0.99</v>
      </c>
      <c r="F13" s="42">
        <v>0.984514925373134</v>
      </c>
      <c r="G13" s="42">
        <v>0.991302667182064</v>
      </c>
      <c r="H13" s="42">
        <v>0.989830508474576</v>
      </c>
      <c r="I13" s="42">
        <v>0.988201555666134</v>
      </c>
      <c r="J13" s="43">
        <v>0.110069253262963</v>
      </c>
      <c r="K13" s="44">
        <v>0.110616656071202</v>
      </c>
      <c r="L13" s="44">
        <v>0.131233595800525</v>
      </c>
      <c r="M13" s="44">
        <v>0.10221465076661</v>
      </c>
      <c r="N13" s="44">
        <v>0.0968742247581245</v>
      </c>
    </row>
    <row r="14" ht="15.75" spans="2:14">
      <c r="B14" s="45"/>
      <c r="C14" s="40" t="s">
        <v>1735</v>
      </c>
      <c r="D14" s="40" t="s">
        <v>26</v>
      </c>
      <c r="E14" s="41">
        <v>0.99</v>
      </c>
      <c r="F14" s="42">
        <v>0.996742671009772</v>
      </c>
      <c r="G14" s="42">
        <v>0.993433203365483</v>
      </c>
      <c r="H14" s="42">
        <v>0.98375054896794</v>
      </c>
      <c r="I14" s="42">
        <v>0.991912661093696</v>
      </c>
      <c r="J14" s="43">
        <v>0.0872182100128262</v>
      </c>
      <c r="K14" s="44">
        <v>0.0640132669983416</v>
      </c>
      <c r="L14" s="44">
        <v>0.0734545454545455</v>
      </c>
      <c r="M14" s="44">
        <v>0.0661252900232019</v>
      </c>
      <c r="N14" s="44">
        <v>0.058282899819727</v>
      </c>
    </row>
    <row r="15" ht="15.75" spans="2:14">
      <c r="B15" s="47" t="s">
        <v>1716</v>
      </c>
      <c r="C15" s="48"/>
      <c r="D15" s="49"/>
      <c r="E15" s="50" t="s">
        <v>35</v>
      </c>
      <c r="F15" s="51">
        <v>0.995323107870254</v>
      </c>
      <c r="G15" s="51">
        <v>0.991488448113469</v>
      </c>
      <c r="H15" s="51">
        <v>0.992383731971334</v>
      </c>
      <c r="I15" s="51">
        <v>0.992532745997388</v>
      </c>
      <c r="J15" s="52" t="s">
        <v>35</v>
      </c>
      <c r="K15" s="51">
        <v>0.0593604599472483</v>
      </c>
      <c r="L15" s="51">
        <v>0.067401166558652</v>
      </c>
      <c r="M15" s="51">
        <v>0.0556812897225236</v>
      </c>
      <c r="N15" s="53">
        <v>0.054179194675938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70"/>
  <sheetViews>
    <sheetView workbookViewId="0">
      <selection activeCell="I15" sqref="I15"/>
    </sheetView>
  </sheetViews>
  <sheetFormatPr defaultColWidth="9" defaultRowHeight="15" outlineLevelCol="6"/>
  <cols>
    <col min="2" max="2" width="24.447619047619" customWidth="1"/>
    <col min="3" max="3" width="18.552380952381" customWidth="1"/>
    <col min="4" max="4" width="26.447619047619" customWidth="1"/>
    <col min="5" max="5" width="19.552380952381" customWidth="1"/>
    <col min="6" max="6" width="44.7809523809524" customWidth="1"/>
    <col min="7" max="7" width="23" customWidth="1"/>
  </cols>
  <sheetData>
    <row r="1" ht="15.75"/>
    <row r="2" spans="2:7">
      <c r="B2" s="1" t="s">
        <v>5</v>
      </c>
      <c r="C2" s="2" t="s">
        <v>7</v>
      </c>
      <c r="D2" s="3" t="s">
        <v>8</v>
      </c>
      <c r="E2" s="4" t="s">
        <v>1743</v>
      </c>
      <c r="F2" s="5" t="s">
        <v>1744</v>
      </c>
      <c r="G2" s="6"/>
    </row>
    <row r="3" spans="2:7">
      <c r="B3" s="7"/>
      <c r="C3" s="8"/>
      <c r="D3" s="9"/>
      <c r="E3" s="10"/>
      <c r="F3" s="10"/>
      <c r="G3" s="6"/>
    </row>
    <row r="4" ht="15.75" spans="2:7">
      <c r="B4" s="7"/>
      <c r="C4" s="11"/>
      <c r="D4" s="9"/>
      <c r="E4" s="10"/>
      <c r="F4" s="10"/>
      <c r="G4" s="6"/>
    </row>
    <row r="5" spans="2:7">
      <c r="B5" s="12" t="s">
        <v>24</v>
      </c>
      <c r="C5" s="13" t="s">
        <v>26</v>
      </c>
      <c r="D5" s="14" t="s">
        <v>27</v>
      </c>
      <c r="E5" s="15" t="s">
        <v>1745</v>
      </c>
      <c r="F5" s="16" t="str">
        <f>_xlfn.XLOOKUP(D5,[2]DP!$F:$F,[2]DP!$E:$E,"-")</f>
        <v>APRI NUR YUSUP</v>
      </c>
      <c r="G5" s="17"/>
    </row>
    <row r="6" spans="2:7">
      <c r="B6" s="18" t="s">
        <v>24</v>
      </c>
      <c r="C6" s="16" t="s">
        <v>26</v>
      </c>
      <c r="D6" s="19" t="s">
        <v>28</v>
      </c>
      <c r="E6" s="20" t="s">
        <v>1745</v>
      </c>
      <c r="F6" s="16" t="str">
        <f>_xlfn.XLOOKUP(D6,[2]DP!$F:$F,[2]DP!$E:$E,"-")</f>
        <v>RIZKY ADITYAWARMAN</v>
      </c>
      <c r="G6" s="21"/>
    </row>
    <row r="7" spans="2:7">
      <c r="B7" s="18" t="s">
        <v>24</v>
      </c>
      <c r="C7" s="16" t="s">
        <v>26</v>
      </c>
      <c r="D7" s="19" t="s">
        <v>29</v>
      </c>
      <c r="E7" s="20" t="s">
        <v>1722</v>
      </c>
      <c r="F7" s="16" t="str">
        <f>_xlfn.XLOOKUP(D7,[2]DP!$F:$F,[2]DP!$E:$E,"-")</f>
        <v>RUBBY ROCHMAN</v>
      </c>
      <c r="G7" s="21"/>
    </row>
    <row r="8" spans="2:7">
      <c r="B8" s="18" t="s">
        <v>24</v>
      </c>
      <c r="C8" s="16" t="s">
        <v>26</v>
      </c>
      <c r="D8" s="19" t="s">
        <v>30</v>
      </c>
      <c r="E8" s="20" t="s">
        <v>1722</v>
      </c>
      <c r="F8" s="16" t="str">
        <f>_xlfn.XLOOKUP(D8,[2]DP!$F:$F,[2]DP!$E:$E,"-")</f>
        <v>ARDY KRISNANTO</v>
      </c>
      <c r="G8" s="21"/>
    </row>
    <row r="9" spans="2:7">
      <c r="B9" s="18" t="s">
        <v>24</v>
      </c>
      <c r="C9" s="16" t="s">
        <v>26</v>
      </c>
      <c r="D9" s="19" t="s">
        <v>31</v>
      </c>
      <c r="E9" s="20" t="s">
        <v>1745</v>
      </c>
      <c r="F9" s="16" t="str">
        <f>_xlfn.XLOOKUP(D9,[2]DP!$F:$F,[2]DP!$E:$E,"-")</f>
        <v>RUBBY ROCHMAN</v>
      </c>
      <c r="G9" s="21"/>
    </row>
    <row r="10" spans="2:7">
      <c r="B10" s="18" t="s">
        <v>24</v>
      </c>
      <c r="C10" s="16" t="s">
        <v>26</v>
      </c>
      <c r="D10" s="19" t="s">
        <v>32</v>
      </c>
      <c r="E10" s="20" t="s">
        <v>1745</v>
      </c>
      <c r="F10" s="16" t="str">
        <f>_xlfn.XLOOKUP(D10,[2]DP!$F:$F,[2]DP!$E:$E,"-")</f>
        <v>HENLY KURNIAWAN</v>
      </c>
      <c r="G10" s="21"/>
    </row>
    <row r="11" spans="2:7">
      <c r="B11" s="18" t="s">
        <v>24</v>
      </c>
      <c r="C11" s="16" t="s">
        <v>26</v>
      </c>
      <c r="D11" s="19" t="s">
        <v>33</v>
      </c>
      <c r="E11" s="20" t="s">
        <v>1745</v>
      </c>
      <c r="F11" s="16" t="str">
        <f>_xlfn.XLOOKUP(D11,[2]DP!$F:$F,[2]DP!$E:$E,"-")</f>
        <v>RIZKY ADITYAWARMAN</v>
      </c>
      <c r="G11" s="21"/>
    </row>
    <row r="12" spans="2:7">
      <c r="B12" s="18" t="s">
        <v>24</v>
      </c>
      <c r="C12" s="16" t="s">
        <v>26</v>
      </c>
      <c r="D12" s="19" t="s">
        <v>34</v>
      </c>
      <c r="E12" s="20" t="s">
        <v>1722</v>
      </c>
      <c r="F12" s="16" t="str">
        <f>_xlfn.XLOOKUP(D12,[2]DP!$F:$F,[2]DP!$E:$E,"-")</f>
        <v>RUBBY ROCHMAN</v>
      </c>
      <c r="G12" s="21"/>
    </row>
    <row r="13" spans="2:7">
      <c r="B13" s="18" t="s">
        <v>24</v>
      </c>
      <c r="C13" s="16" t="s">
        <v>26</v>
      </c>
      <c r="D13" s="19" t="s">
        <v>36</v>
      </c>
      <c r="E13" s="20" t="s">
        <v>1722</v>
      </c>
      <c r="F13" s="16" t="str">
        <f>_xlfn.XLOOKUP(D13,[2]DP!$F:$F,[2]DP!$E:$E,"-")</f>
        <v>ALFIN WARDANA</v>
      </c>
      <c r="G13" s="21"/>
    </row>
    <row r="14" spans="2:7">
      <c r="B14" s="18" t="s">
        <v>24</v>
      </c>
      <c r="C14" s="16" t="s">
        <v>26</v>
      </c>
      <c r="D14" s="19" t="s">
        <v>37</v>
      </c>
      <c r="E14" s="20" t="s">
        <v>1722</v>
      </c>
      <c r="F14" s="16" t="str">
        <f>_xlfn.XLOOKUP(D14,[2]DP!$F:$F,[2]DP!$E:$E,"-")</f>
        <v>EKA PRATAMA BAHARA</v>
      </c>
      <c r="G14" s="21"/>
    </row>
    <row r="15" spans="2:7">
      <c r="B15" s="18" t="s">
        <v>24</v>
      </c>
      <c r="C15" s="16" t="s">
        <v>26</v>
      </c>
      <c r="D15" s="19" t="s">
        <v>38</v>
      </c>
      <c r="E15" s="20" t="s">
        <v>1745</v>
      </c>
      <c r="F15" s="16" t="str">
        <f>_xlfn.XLOOKUP(D15,[2]DP!$F:$F,[2]DP!$E:$E,"-")</f>
        <v>RENGGA SAPUTRA</v>
      </c>
      <c r="G15" s="21"/>
    </row>
    <row r="16" spans="2:7">
      <c r="B16" s="18" t="s">
        <v>24</v>
      </c>
      <c r="C16" s="16" t="s">
        <v>26</v>
      </c>
      <c r="D16" s="19" t="s">
        <v>39</v>
      </c>
      <c r="E16" s="20" t="s">
        <v>1722</v>
      </c>
      <c r="F16" s="16" t="str">
        <f>_xlfn.XLOOKUP(D16,[2]DP!$F:$F,[2]DP!$E:$E,"-")</f>
        <v>PAZRI FIRDAUS</v>
      </c>
      <c r="G16" s="21"/>
    </row>
    <row r="17" spans="2:7">
      <c r="B17" s="18" t="s">
        <v>24</v>
      </c>
      <c r="C17" s="16" t="s">
        <v>26</v>
      </c>
      <c r="D17" s="19" t="s">
        <v>40</v>
      </c>
      <c r="E17" s="20" t="s">
        <v>1745</v>
      </c>
      <c r="F17" s="16" t="str">
        <f>_xlfn.XLOOKUP(D17,[2]DP!$F:$F,[2]DP!$E:$E,"-")</f>
        <v>RENGGA SAPUTRA</v>
      </c>
      <c r="G17" s="21"/>
    </row>
    <row r="18" spans="2:7">
      <c r="B18" s="18" t="s">
        <v>24</v>
      </c>
      <c r="C18" s="16" t="s">
        <v>26</v>
      </c>
      <c r="D18" s="19" t="s">
        <v>41</v>
      </c>
      <c r="E18" s="20" t="s">
        <v>1745</v>
      </c>
      <c r="F18" s="16" t="str">
        <f>_xlfn.XLOOKUP(D18,[2]DP!$F:$F,[2]DP!$E:$E,"-")</f>
        <v>RENGGA SAPUTRA</v>
      </c>
      <c r="G18" s="21"/>
    </row>
    <row r="19" spans="2:7">
      <c r="B19" s="18" t="s">
        <v>24</v>
      </c>
      <c r="C19" s="16" t="s">
        <v>26</v>
      </c>
      <c r="D19" s="19" t="s">
        <v>42</v>
      </c>
      <c r="E19" s="20" t="s">
        <v>1745</v>
      </c>
      <c r="F19" s="16" t="str">
        <f>_xlfn.XLOOKUP(D19,[2]DP!$F:$F,[2]DP!$E:$E,"-")</f>
        <v>NUGROHO HARI KUNCAHYO</v>
      </c>
      <c r="G19" s="21"/>
    </row>
    <row r="20" spans="2:7">
      <c r="B20" s="18" t="s">
        <v>24</v>
      </c>
      <c r="C20" s="16" t="s">
        <v>26</v>
      </c>
      <c r="D20" s="19" t="s">
        <v>43</v>
      </c>
      <c r="E20" s="20" t="s">
        <v>1722</v>
      </c>
      <c r="F20" s="16" t="str">
        <f>_xlfn.XLOOKUP(D20,[2]DP!$F:$F,[2]DP!$E:$E,"-")</f>
        <v>AHMAD KAMAL</v>
      </c>
      <c r="G20" s="21"/>
    </row>
    <row r="21" spans="2:7">
      <c r="B21" s="18" t="s">
        <v>24</v>
      </c>
      <c r="C21" s="16" t="s">
        <v>26</v>
      </c>
      <c r="D21" s="19" t="s">
        <v>44</v>
      </c>
      <c r="E21" s="20" t="s">
        <v>1745</v>
      </c>
      <c r="F21" s="16" t="str">
        <f>_xlfn.XLOOKUP(D21,[2]DP!$F:$F,[2]DP!$E:$E,"-")</f>
        <v>QORI SEKENAWAN OSADI</v>
      </c>
      <c r="G21" s="21"/>
    </row>
    <row r="22" spans="2:7">
      <c r="B22" s="18" t="s">
        <v>24</v>
      </c>
      <c r="C22" s="16" t="s">
        <v>26</v>
      </c>
      <c r="D22" s="19" t="s">
        <v>45</v>
      </c>
      <c r="E22" s="20" t="s">
        <v>1722</v>
      </c>
      <c r="F22" s="16" t="str">
        <f>_xlfn.XLOOKUP(D22,[2]DP!$F:$F,[2]DP!$E:$E,"-")</f>
        <v>RIO PERMANNA WIJAYA</v>
      </c>
      <c r="G22" s="21"/>
    </row>
    <row r="23" spans="2:7">
      <c r="B23" s="18" t="s">
        <v>24</v>
      </c>
      <c r="C23" s="16" t="s">
        <v>26</v>
      </c>
      <c r="D23" s="19" t="s">
        <v>46</v>
      </c>
      <c r="E23" s="20" t="s">
        <v>1722</v>
      </c>
      <c r="F23" s="16" t="str">
        <f>_xlfn.XLOOKUP(D23,[2]DP!$F:$F,[2]DP!$E:$E,"-")</f>
        <v>PAMUJI RYAN ANDRIANTO</v>
      </c>
      <c r="G23" s="21"/>
    </row>
    <row r="24" spans="2:7">
      <c r="B24" s="18" t="s">
        <v>24</v>
      </c>
      <c r="C24" s="16" t="s">
        <v>26</v>
      </c>
      <c r="D24" s="19" t="s">
        <v>47</v>
      </c>
      <c r="E24" s="20" t="s">
        <v>1745</v>
      </c>
      <c r="F24" s="16" t="str">
        <f>_xlfn.XLOOKUP(D24,[2]DP!$F:$F,[2]DP!$E:$E,"-")</f>
        <v>ARDY SASMOYO</v>
      </c>
      <c r="G24" s="21"/>
    </row>
    <row r="25" spans="2:7">
      <c r="B25" s="18" t="s">
        <v>24</v>
      </c>
      <c r="C25" s="16" t="s">
        <v>26</v>
      </c>
      <c r="D25" s="19" t="s">
        <v>48</v>
      </c>
      <c r="E25" s="20" t="s">
        <v>1745</v>
      </c>
      <c r="F25" s="16" t="str">
        <f>_xlfn.XLOOKUP(D25,[2]DP!$F:$F,[2]DP!$E:$E,"-")</f>
        <v>HENDRI ADITYA</v>
      </c>
      <c r="G25" s="21"/>
    </row>
    <row r="26" spans="2:7">
      <c r="B26" s="18" t="s">
        <v>24</v>
      </c>
      <c r="C26" s="16" t="s">
        <v>26</v>
      </c>
      <c r="D26" s="19" t="s">
        <v>49</v>
      </c>
      <c r="E26" s="20" t="s">
        <v>1722</v>
      </c>
      <c r="F26" s="16" t="str">
        <f>_xlfn.XLOOKUP(D26,[2]DP!$F:$F,[2]DP!$E:$E,"-")</f>
        <v>YODY EVANDER LODEWIJK N.</v>
      </c>
      <c r="G26" s="21"/>
    </row>
    <row r="27" spans="2:7">
      <c r="B27" s="18" t="s">
        <v>24</v>
      </c>
      <c r="C27" s="16" t="s">
        <v>26</v>
      </c>
      <c r="D27" s="19" t="s">
        <v>50</v>
      </c>
      <c r="E27" s="20" t="s">
        <v>1722</v>
      </c>
      <c r="F27" s="16" t="str">
        <f>_xlfn.XLOOKUP(D27,[2]DP!$F:$F,[2]DP!$E:$E,"-")</f>
        <v>HUSEIN AL IDRUS ANHAR</v>
      </c>
      <c r="G27" s="21"/>
    </row>
    <row r="28" spans="2:7">
      <c r="B28" s="18" t="s">
        <v>24</v>
      </c>
      <c r="C28" s="16" t="s">
        <v>26</v>
      </c>
      <c r="D28" s="19" t="s">
        <v>51</v>
      </c>
      <c r="E28" s="20" t="s">
        <v>1722</v>
      </c>
      <c r="F28" s="16" t="str">
        <f>_xlfn.XLOOKUP(D28,[2]DP!$F:$F,[2]DP!$E:$E,"-")</f>
        <v>NOVENDRA ALDI MUHAMMAD</v>
      </c>
      <c r="G28" s="21"/>
    </row>
    <row r="29" spans="2:7">
      <c r="B29" s="18" t="s">
        <v>24</v>
      </c>
      <c r="C29" s="16" t="s">
        <v>26</v>
      </c>
      <c r="D29" s="19" t="s">
        <v>52</v>
      </c>
      <c r="E29" s="20" t="s">
        <v>1745</v>
      </c>
      <c r="F29" s="16" t="str">
        <f>_xlfn.XLOOKUP(D29,[2]DP!$F:$F,[2]DP!$E:$E,"-")</f>
        <v>YODY EVANDER LODEWIJK N.</v>
      </c>
      <c r="G29" s="21"/>
    </row>
    <row r="30" spans="2:7">
      <c r="B30" s="18" t="s">
        <v>24</v>
      </c>
      <c r="C30" s="16" t="s">
        <v>26</v>
      </c>
      <c r="D30" s="19" t="s">
        <v>53</v>
      </c>
      <c r="E30" s="20" t="s">
        <v>1722</v>
      </c>
      <c r="F30" s="16" t="str">
        <f>_xlfn.XLOOKUP(D30,[2]DP!$F:$F,[2]DP!$E:$E,"-")</f>
        <v>MUHAMAD FAISAL</v>
      </c>
      <c r="G30" s="21"/>
    </row>
    <row r="31" spans="2:7">
      <c r="B31" s="18" t="s">
        <v>24</v>
      </c>
      <c r="C31" s="16" t="s">
        <v>26</v>
      </c>
      <c r="D31" s="19" t="s">
        <v>54</v>
      </c>
      <c r="E31" s="20" t="s">
        <v>1745</v>
      </c>
      <c r="F31" s="16" t="str">
        <f>_xlfn.XLOOKUP(D31,[2]DP!$F:$F,[2]DP!$E:$E,"-")</f>
        <v>ROYMAN</v>
      </c>
      <c r="G31" s="21"/>
    </row>
    <row r="32" spans="2:7">
      <c r="B32" s="18" t="s">
        <v>24</v>
      </c>
      <c r="C32" s="16" t="s">
        <v>26</v>
      </c>
      <c r="D32" s="19" t="s">
        <v>55</v>
      </c>
      <c r="E32" s="20" t="s">
        <v>1722</v>
      </c>
      <c r="F32" s="16" t="str">
        <f>_xlfn.XLOOKUP(D32,[2]DP!$F:$F,[2]DP!$E:$E,"-")</f>
        <v>MAHMUD H</v>
      </c>
      <c r="G32" s="21"/>
    </row>
    <row r="33" spans="2:7">
      <c r="B33" s="18" t="s">
        <v>24</v>
      </c>
      <c r="C33" s="16" t="s">
        <v>26</v>
      </c>
      <c r="D33" s="19" t="s">
        <v>56</v>
      </c>
      <c r="E33" s="20" t="s">
        <v>1722</v>
      </c>
      <c r="F33" s="16" t="str">
        <f>_xlfn.XLOOKUP(D33,[2]DP!$F:$F,[2]DP!$E:$E,"-")</f>
        <v>ARMAN SURYADI</v>
      </c>
      <c r="G33" s="21"/>
    </row>
    <row r="34" spans="2:7">
      <c r="B34" s="18" t="s">
        <v>24</v>
      </c>
      <c r="C34" s="16" t="s">
        <v>26</v>
      </c>
      <c r="D34" s="19" t="s">
        <v>57</v>
      </c>
      <c r="E34" s="20" t="s">
        <v>1722</v>
      </c>
      <c r="F34" s="16" t="str">
        <f>_xlfn.XLOOKUP(D34,[2]DP!$F:$F,[2]DP!$E:$E,"-")</f>
        <v>TADIN SAPUTRA</v>
      </c>
      <c r="G34" s="21"/>
    </row>
    <row r="35" spans="2:7">
      <c r="B35" s="18" t="s">
        <v>24</v>
      </c>
      <c r="C35" s="16" t="s">
        <v>26</v>
      </c>
      <c r="D35" s="19" t="s">
        <v>58</v>
      </c>
      <c r="E35" s="20" t="s">
        <v>1722</v>
      </c>
      <c r="F35" s="16" t="str">
        <f>_xlfn.XLOOKUP(D35,[2]DP!$F:$F,[2]DP!$E:$E,"-")</f>
        <v>SATRIO KESIT WICAKSONO</v>
      </c>
      <c r="G35" s="21"/>
    </row>
    <row r="36" spans="2:7">
      <c r="B36" s="18" t="s">
        <v>24</v>
      </c>
      <c r="C36" s="16" t="s">
        <v>26</v>
      </c>
      <c r="D36" s="19" t="s">
        <v>59</v>
      </c>
      <c r="E36" s="20" t="s">
        <v>1745</v>
      </c>
      <c r="F36" s="16" t="str">
        <f>_xlfn.XLOOKUP(D36,[2]DP!$F:$F,[2]DP!$E:$E,"-")</f>
        <v>MUHAMMAD IQBAL</v>
      </c>
      <c r="G36" s="21"/>
    </row>
    <row r="37" spans="2:7">
      <c r="B37" s="18" t="s">
        <v>24</v>
      </c>
      <c r="C37" s="16" t="s">
        <v>26</v>
      </c>
      <c r="D37" s="19" t="s">
        <v>60</v>
      </c>
      <c r="E37" s="20" t="s">
        <v>1722</v>
      </c>
      <c r="F37" s="16" t="str">
        <f>_xlfn.XLOOKUP(D37,[2]DP!$F:$F,[2]DP!$E:$E,"-")</f>
        <v>PAZRIN HIDAYAT</v>
      </c>
      <c r="G37" s="21"/>
    </row>
    <row r="38" spans="2:7">
      <c r="B38" s="18" t="s">
        <v>24</v>
      </c>
      <c r="C38" s="16" t="s">
        <v>26</v>
      </c>
      <c r="D38" s="19" t="s">
        <v>61</v>
      </c>
      <c r="E38" s="20" t="s">
        <v>1722</v>
      </c>
      <c r="F38" s="16" t="str">
        <f>_xlfn.XLOOKUP(D38,[2]DP!$F:$F,[2]DP!$E:$E,"-")</f>
        <v>LILIS INDRA WATI</v>
      </c>
      <c r="G38" s="21"/>
    </row>
    <row r="39" spans="2:7">
      <c r="B39" s="18" t="s">
        <v>24</v>
      </c>
      <c r="C39" s="16" t="s">
        <v>26</v>
      </c>
      <c r="D39" s="19" t="s">
        <v>62</v>
      </c>
      <c r="E39" s="20" t="s">
        <v>1722</v>
      </c>
      <c r="F39" s="16" t="str">
        <f>_xlfn.XLOOKUP(D39,[2]DP!$F:$F,[2]DP!$E:$E,"-")</f>
        <v>FIRMAN SYAHPUTRA</v>
      </c>
      <c r="G39" s="21"/>
    </row>
    <row r="40" spans="2:7">
      <c r="B40" s="18" t="s">
        <v>24</v>
      </c>
      <c r="C40" s="16" t="s">
        <v>26</v>
      </c>
      <c r="D40" s="19" t="s">
        <v>63</v>
      </c>
      <c r="E40" s="20" t="s">
        <v>1722</v>
      </c>
      <c r="F40" s="16" t="str">
        <f>_xlfn.XLOOKUP(D40,[2]DP!$F:$F,[2]DP!$E:$E,"-")</f>
        <v>RIDWAN ALDIANSYAH</v>
      </c>
      <c r="G40" s="21"/>
    </row>
    <row r="41" spans="2:7">
      <c r="B41" s="18" t="s">
        <v>24</v>
      </c>
      <c r="C41" s="16" t="s">
        <v>26</v>
      </c>
      <c r="D41" s="19" t="s">
        <v>64</v>
      </c>
      <c r="E41" s="20" t="s">
        <v>1745</v>
      </c>
      <c r="F41" s="16" t="str">
        <f>_xlfn.XLOOKUP(D41,[2]DP!$F:$F,[2]DP!$E:$E,"-")</f>
        <v>SAMSU RIJAL</v>
      </c>
      <c r="G41" s="21"/>
    </row>
    <row r="42" spans="2:7">
      <c r="B42" s="18" t="s">
        <v>24</v>
      </c>
      <c r="C42" s="16" t="s">
        <v>26</v>
      </c>
      <c r="D42" s="19" t="s">
        <v>65</v>
      </c>
      <c r="E42" s="20" t="s">
        <v>1745</v>
      </c>
      <c r="F42" s="16" t="str">
        <f>_xlfn.XLOOKUP(D42,[2]DP!$F:$F,[2]DP!$E:$E,"-")</f>
        <v>RAKA FAHRIZKI</v>
      </c>
      <c r="G42" s="21"/>
    </row>
    <row r="43" spans="2:7">
      <c r="B43" s="18" t="s">
        <v>24</v>
      </c>
      <c r="C43" s="16" t="s">
        <v>26</v>
      </c>
      <c r="D43" s="19" t="s">
        <v>66</v>
      </c>
      <c r="E43" s="20" t="s">
        <v>1745</v>
      </c>
      <c r="F43" s="16" t="str">
        <f>_xlfn.XLOOKUP(D43,[2]DP!$F:$F,[2]DP!$E:$E,"-")</f>
        <v>NUR KHUSJANANTO</v>
      </c>
      <c r="G43" s="21"/>
    </row>
    <row r="44" spans="2:7">
      <c r="B44" s="18" t="s">
        <v>24</v>
      </c>
      <c r="C44" s="16" t="s">
        <v>26</v>
      </c>
      <c r="D44" s="19" t="s">
        <v>67</v>
      </c>
      <c r="E44" s="20" t="s">
        <v>1745</v>
      </c>
      <c r="F44" s="16" t="str">
        <f>_xlfn.XLOOKUP(D44,[2]DP!$F:$F,[2]DP!$E:$E,"-")</f>
        <v>LUKMAN NULHAKIM</v>
      </c>
      <c r="G44" s="21"/>
    </row>
    <row r="45" spans="2:7">
      <c r="B45" s="18" t="s">
        <v>24</v>
      </c>
      <c r="C45" s="16" t="s">
        <v>26</v>
      </c>
      <c r="D45" s="19" t="s">
        <v>68</v>
      </c>
      <c r="E45" s="20" t="s">
        <v>1745</v>
      </c>
      <c r="F45" s="16" t="str">
        <f>_xlfn.XLOOKUP(D45,[2]DP!$F:$F,[2]DP!$E:$E,"-")</f>
        <v>SAMSU RIJAL</v>
      </c>
      <c r="G45" s="21"/>
    </row>
    <row r="46" spans="2:7">
      <c r="B46" s="18" t="s">
        <v>24</v>
      </c>
      <c r="C46" s="16" t="s">
        <v>26</v>
      </c>
      <c r="D46" s="19" t="s">
        <v>69</v>
      </c>
      <c r="E46" s="20" t="s">
        <v>1722</v>
      </c>
      <c r="F46" s="16" t="str">
        <f>_xlfn.XLOOKUP(D46,[2]DP!$F:$F,[2]DP!$E:$E,"-")</f>
        <v>MUHAMMAD MUGHNIL LABIB</v>
      </c>
      <c r="G46" s="21"/>
    </row>
    <row r="47" spans="2:7">
      <c r="B47" s="18" t="s">
        <v>24</v>
      </c>
      <c r="C47" s="16" t="s">
        <v>26</v>
      </c>
      <c r="D47" s="19" t="s">
        <v>70</v>
      </c>
      <c r="E47" s="20" t="s">
        <v>1722</v>
      </c>
      <c r="F47" s="16" t="str">
        <f>_xlfn.XLOOKUP(D47,[2]DP!$F:$F,[2]DP!$E:$E,"-")</f>
        <v>RANDI PRIHARTONO</v>
      </c>
      <c r="G47" s="21"/>
    </row>
    <row r="48" spans="2:7">
      <c r="B48" s="18" t="s">
        <v>24</v>
      </c>
      <c r="C48" s="16" t="s">
        <v>26</v>
      </c>
      <c r="D48" s="19" t="s">
        <v>71</v>
      </c>
      <c r="E48" s="20" t="s">
        <v>1722</v>
      </c>
      <c r="F48" s="16" t="str">
        <f>_xlfn.XLOOKUP(D48,[2]DP!$F:$F,[2]DP!$E:$E,"-")</f>
        <v>PRAMU SINTO</v>
      </c>
      <c r="G48" s="21"/>
    </row>
    <row r="49" spans="2:7">
      <c r="B49" s="18" t="s">
        <v>24</v>
      </c>
      <c r="C49" s="16" t="s">
        <v>26</v>
      </c>
      <c r="D49" s="19" t="s">
        <v>72</v>
      </c>
      <c r="E49" s="20" t="s">
        <v>1745</v>
      </c>
      <c r="F49" s="16" t="str">
        <f>_xlfn.XLOOKUP(D49,[2]DP!$F:$F,[2]DP!$E:$E,"-")</f>
        <v>RAFLI FEBRIANSYAH</v>
      </c>
      <c r="G49" s="21"/>
    </row>
    <row r="50" spans="2:7">
      <c r="B50" s="18" t="s">
        <v>24</v>
      </c>
      <c r="C50" s="16" t="s">
        <v>26</v>
      </c>
      <c r="D50" s="19" t="s">
        <v>73</v>
      </c>
      <c r="E50" s="20" t="s">
        <v>1745</v>
      </c>
      <c r="F50" s="16" t="str">
        <f>_xlfn.XLOOKUP(D50,[2]DP!$F:$F,[2]DP!$E:$E,"-")</f>
        <v>DIRA CANA</v>
      </c>
      <c r="G50" s="21"/>
    </row>
    <row r="51" spans="2:7">
      <c r="B51" s="18" t="s">
        <v>24</v>
      </c>
      <c r="C51" s="16" t="s">
        <v>26</v>
      </c>
      <c r="D51" s="19" t="s">
        <v>74</v>
      </c>
      <c r="E51" s="20" t="s">
        <v>1745</v>
      </c>
      <c r="F51" s="16" t="str">
        <f>_xlfn.XLOOKUP(D51,[2]DP!$F:$F,[2]DP!$E:$E,"-")</f>
        <v>DIRA CANA</v>
      </c>
      <c r="G51" s="21"/>
    </row>
    <row r="52" spans="2:7">
      <c r="B52" s="18" t="s">
        <v>24</v>
      </c>
      <c r="C52" s="16" t="s">
        <v>26</v>
      </c>
      <c r="D52" s="19" t="s">
        <v>75</v>
      </c>
      <c r="E52" s="20" t="s">
        <v>1722</v>
      </c>
      <c r="F52" s="16" t="str">
        <f>_xlfn.XLOOKUP(D52,[2]DP!$F:$F,[2]DP!$E:$E,"-")</f>
        <v>NOTO IRAWAN</v>
      </c>
      <c r="G52" s="21"/>
    </row>
    <row r="53" spans="2:7">
      <c r="B53" s="18" t="s">
        <v>24</v>
      </c>
      <c r="C53" s="16" t="s">
        <v>26</v>
      </c>
      <c r="D53" s="19" t="s">
        <v>76</v>
      </c>
      <c r="E53" s="20" t="s">
        <v>1745</v>
      </c>
      <c r="F53" s="16" t="str">
        <f>_xlfn.XLOOKUP(D53,[2]DP!$F:$F,[2]DP!$E:$E,"-")</f>
        <v>RENDI ANDIRA</v>
      </c>
      <c r="G53" s="21"/>
    </row>
    <row r="54" spans="2:7">
      <c r="B54" s="18" t="s">
        <v>24</v>
      </c>
      <c r="C54" s="16" t="s">
        <v>26</v>
      </c>
      <c r="D54" s="19" t="s">
        <v>77</v>
      </c>
      <c r="E54" s="20" t="s">
        <v>1745</v>
      </c>
      <c r="F54" s="16" t="str">
        <f>_xlfn.XLOOKUP(D54,[2]DP!$F:$F,[2]DP!$E:$E,"-")</f>
        <v>RAFLI FEBRIANSYAH</v>
      </c>
      <c r="G54" s="21"/>
    </row>
    <row r="55" spans="2:7">
      <c r="B55" s="18" t="s">
        <v>24</v>
      </c>
      <c r="C55" s="16" t="s">
        <v>26</v>
      </c>
      <c r="D55" s="19" t="s">
        <v>78</v>
      </c>
      <c r="E55" s="20" t="s">
        <v>1722</v>
      </c>
      <c r="F55" s="16" t="str">
        <f>_xlfn.XLOOKUP(D55,[2]DP!$F:$F,[2]DP!$E:$E,"-")</f>
        <v>VINNY LESTARI</v>
      </c>
      <c r="G55" s="21"/>
    </row>
    <row r="56" spans="2:7">
      <c r="B56" s="18" t="s">
        <v>24</v>
      </c>
      <c r="C56" s="16" t="s">
        <v>26</v>
      </c>
      <c r="D56" s="19" t="s">
        <v>79</v>
      </c>
      <c r="E56" s="20" t="s">
        <v>1745</v>
      </c>
      <c r="F56" s="16" t="str">
        <f>_xlfn.XLOOKUP(D56,[2]DP!$F:$F,[2]DP!$E:$E,"-")</f>
        <v>MIRZA NURUL FAJAR AHMAD</v>
      </c>
      <c r="G56" s="21"/>
    </row>
    <row r="57" spans="2:7">
      <c r="B57" s="18" t="s">
        <v>24</v>
      </c>
      <c r="C57" s="16" t="s">
        <v>26</v>
      </c>
      <c r="D57" s="19" t="s">
        <v>80</v>
      </c>
      <c r="E57" s="20" t="s">
        <v>1745</v>
      </c>
      <c r="F57" s="16" t="str">
        <f>_xlfn.XLOOKUP(D57,[2]DP!$F:$F,[2]DP!$E:$E,"-")</f>
        <v>FAJAR NUR MAULANA</v>
      </c>
      <c r="G57" s="21"/>
    </row>
    <row r="58" spans="2:7">
      <c r="B58" s="18" t="s">
        <v>24</v>
      </c>
      <c r="C58" s="16" t="s">
        <v>26</v>
      </c>
      <c r="D58" s="19" t="s">
        <v>82</v>
      </c>
      <c r="E58" s="20" t="s">
        <v>1722</v>
      </c>
      <c r="F58" s="16" t="str">
        <f>_xlfn.XLOOKUP(D58,[2]DP!$F:$F,[2]DP!$E:$E,"-")</f>
        <v>TRI ASMA INDRA SAPUTRA</v>
      </c>
      <c r="G58" s="21"/>
    </row>
    <row r="59" spans="2:7">
      <c r="B59" s="18" t="s">
        <v>24</v>
      </c>
      <c r="C59" s="16" t="s">
        <v>26</v>
      </c>
      <c r="D59" s="19" t="s">
        <v>83</v>
      </c>
      <c r="E59" s="20" t="s">
        <v>1722</v>
      </c>
      <c r="F59" s="16" t="str">
        <f>_xlfn.XLOOKUP(D59,[2]DP!$F:$F,[2]DP!$E:$E,"-")</f>
        <v>DAYU CANDRA ISHAK</v>
      </c>
      <c r="G59" s="21"/>
    </row>
    <row r="60" spans="2:7">
      <c r="B60" s="18" t="s">
        <v>24</v>
      </c>
      <c r="C60" s="16" t="s">
        <v>26</v>
      </c>
      <c r="D60" s="19" t="s">
        <v>84</v>
      </c>
      <c r="E60" s="20" t="s">
        <v>1745</v>
      </c>
      <c r="F60" s="16" t="str">
        <f>_xlfn.XLOOKUP(D60,[2]DP!$F:$F,[2]DP!$E:$E,"-")</f>
        <v>DZULFIQAR SADDAM PRAKOSO</v>
      </c>
      <c r="G60" s="21"/>
    </row>
    <row r="61" spans="2:7">
      <c r="B61" s="18" t="s">
        <v>24</v>
      </c>
      <c r="C61" s="16" t="s">
        <v>26</v>
      </c>
      <c r="D61" s="19" t="s">
        <v>85</v>
      </c>
      <c r="E61" s="20" t="s">
        <v>1722</v>
      </c>
      <c r="F61" s="16" t="str">
        <f>_xlfn.XLOOKUP(D61,[2]DP!$F:$F,[2]DP!$E:$E,"-")</f>
        <v>BRIAN DANIEL</v>
      </c>
      <c r="G61" s="21"/>
    </row>
    <row r="62" spans="2:7">
      <c r="B62" s="18" t="s">
        <v>24</v>
      </c>
      <c r="C62" s="16" t="s">
        <v>26</v>
      </c>
      <c r="D62" s="19" t="s">
        <v>86</v>
      </c>
      <c r="E62" s="20" t="s">
        <v>1745</v>
      </c>
      <c r="F62" s="16" t="str">
        <f>_xlfn.XLOOKUP(D62,[2]DP!$F:$F,[2]DP!$E:$E,"-")</f>
        <v>ANJAR MAULANA</v>
      </c>
      <c r="G62" s="21"/>
    </row>
    <row r="63" spans="2:7">
      <c r="B63" s="18" t="s">
        <v>24</v>
      </c>
      <c r="C63" s="16" t="s">
        <v>26</v>
      </c>
      <c r="D63" s="19" t="s">
        <v>87</v>
      </c>
      <c r="E63" s="20" t="s">
        <v>1745</v>
      </c>
      <c r="F63" s="16" t="str">
        <f>_xlfn.XLOOKUP(D63,[2]DP!$F:$F,[2]DP!$E:$E,"-")</f>
        <v>REZA PRATAMA PUTRA</v>
      </c>
      <c r="G63" s="21"/>
    </row>
    <row r="64" spans="2:7">
      <c r="B64" s="18" t="s">
        <v>24</v>
      </c>
      <c r="C64" s="16" t="s">
        <v>26</v>
      </c>
      <c r="D64" s="19" t="s">
        <v>88</v>
      </c>
      <c r="E64" s="20" t="s">
        <v>1722</v>
      </c>
      <c r="F64" s="16" t="str">
        <f>_xlfn.XLOOKUP(D64,[2]DP!$F:$F,[2]DP!$E:$E,"-")</f>
        <v>SALEH</v>
      </c>
      <c r="G64" s="21"/>
    </row>
    <row r="65" spans="2:7">
      <c r="B65" s="18" t="s">
        <v>24</v>
      </c>
      <c r="C65" s="16" t="s">
        <v>26</v>
      </c>
      <c r="D65" s="19" t="s">
        <v>89</v>
      </c>
      <c r="E65" s="20" t="s">
        <v>1722</v>
      </c>
      <c r="F65" s="16" t="str">
        <f>_xlfn.XLOOKUP(D65,[2]DP!$F:$F,[2]DP!$E:$E,"-")</f>
        <v>IKHSAN ALIF AL MI' ROJ</v>
      </c>
      <c r="G65" s="21"/>
    </row>
    <row r="66" spans="2:7">
      <c r="B66" s="18" t="s">
        <v>24</v>
      </c>
      <c r="C66" s="16" t="s">
        <v>26</v>
      </c>
      <c r="D66" s="19" t="s">
        <v>90</v>
      </c>
      <c r="E66" s="20" t="s">
        <v>1745</v>
      </c>
      <c r="F66" s="16" t="str">
        <f>_xlfn.XLOOKUP(D66,[2]DP!$F:$F,[2]DP!$E:$E,"-")</f>
        <v>MOHAMAD IRVAN</v>
      </c>
      <c r="G66" s="21"/>
    </row>
    <row r="67" spans="2:7">
      <c r="B67" s="18" t="s">
        <v>24</v>
      </c>
      <c r="C67" s="16" t="s">
        <v>26</v>
      </c>
      <c r="D67" s="19" t="s">
        <v>91</v>
      </c>
      <c r="E67" s="20" t="s">
        <v>1745</v>
      </c>
      <c r="F67" s="16" t="str">
        <f>_xlfn.XLOOKUP(D67,[2]DP!$F:$F,[2]DP!$E:$E,"-")</f>
        <v>DWI PUTRO WARDOYO WIDODO</v>
      </c>
      <c r="G67" s="21"/>
    </row>
    <row r="68" spans="2:7">
      <c r="B68" s="18" t="s">
        <v>24</v>
      </c>
      <c r="C68" s="16" t="s">
        <v>26</v>
      </c>
      <c r="D68" s="19" t="s">
        <v>92</v>
      </c>
      <c r="E68" s="20" t="s">
        <v>1745</v>
      </c>
      <c r="F68" s="16" t="str">
        <f>_xlfn.XLOOKUP(D68,[2]DP!$F:$F,[2]DP!$E:$E,"-")</f>
        <v>OPI PAJAR IRAWAN</v>
      </c>
      <c r="G68" s="21"/>
    </row>
    <row r="69" spans="2:7">
      <c r="B69" s="18" t="s">
        <v>24</v>
      </c>
      <c r="C69" s="16" t="s">
        <v>26</v>
      </c>
      <c r="D69" s="19" t="s">
        <v>93</v>
      </c>
      <c r="E69" s="20" t="s">
        <v>1745</v>
      </c>
      <c r="F69" s="16" t="str">
        <f>_xlfn.XLOOKUP(D69,[2]DP!$F:$F,[2]DP!$E:$E,"-")</f>
        <v>KUAT PRAYITNO</v>
      </c>
      <c r="G69" s="21"/>
    </row>
    <row r="70" spans="2:7">
      <c r="B70" s="18" t="s">
        <v>24</v>
      </c>
      <c r="C70" s="16" t="s">
        <v>26</v>
      </c>
      <c r="D70" s="19" t="s">
        <v>94</v>
      </c>
      <c r="E70" s="20" t="s">
        <v>1745</v>
      </c>
      <c r="F70" s="16" t="str">
        <f>_xlfn.XLOOKUP(D70,[2]DP!$F:$F,[2]DP!$E:$E,"-")</f>
        <v>AGUNG RESTU MUSTAQIM</v>
      </c>
      <c r="G70" s="21"/>
    </row>
    <row r="71" spans="2:7">
      <c r="B71" s="18" t="s">
        <v>24</v>
      </c>
      <c r="C71" s="16" t="s">
        <v>26</v>
      </c>
      <c r="D71" s="19" t="s">
        <v>95</v>
      </c>
      <c r="E71" s="20" t="s">
        <v>1745</v>
      </c>
      <c r="F71" s="16" t="str">
        <f>_xlfn.XLOOKUP(D71,[2]DP!$F:$F,[2]DP!$E:$E,"-")</f>
        <v>MUHAMMAD SALISGIA</v>
      </c>
      <c r="G71" s="21"/>
    </row>
    <row r="72" spans="2:7">
      <c r="B72" s="18" t="s">
        <v>24</v>
      </c>
      <c r="C72" s="16" t="s">
        <v>26</v>
      </c>
      <c r="D72" s="19" t="s">
        <v>96</v>
      </c>
      <c r="E72" s="20" t="s">
        <v>1745</v>
      </c>
      <c r="F72" s="16" t="str">
        <f>_xlfn.XLOOKUP(D72,[2]DP!$F:$F,[2]DP!$E:$E,"-")</f>
        <v>FADHILLAH NURRACHMAN S</v>
      </c>
      <c r="G72" s="21"/>
    </row>
    <row r="73" spans="2:7">
      <c r="B73" s="18" t="s">
        <v>24</v>
      </c>
      <c r="C73" s="16" t="s">
        <v>26</v>
      </c>
      <c r="D73" s="19" t="s">
        <v>97</v>
      </c>
      <c r="E73" s="20" t="s">
        <v>1722</v>
      </c>
      <c r="F73" s="16" t="str">
        <f>_xlfn.XLOOKUP(D73,[2]DP!$F:$F,[2]DP!$E:$E,"-")</f>
        <v>FADHILLAH NURRACHMAN S</v>
      </c>
      <c r="G73" s="21"/>
    </row>
    <row r="74" spans="2:7">
      <c r="B74" s="18" t="s">
        <v>24</v>
      </c>
      <c r="C74" s="16" t="s">
        <v>26</v>
      </c>
      <c r="D74" s="19" t="s">
        <v>98</v>
      </c>
      <c r="E74" s="20" t="s">
        <v>1722</v>
      </c>
      <c r="F74" s="16" t="str">
        <f>_xlfn.XLOOKUP(D74,[2]DP!$F:$F,[2]DP!$E:$E,"-")</f>
        <v>AGUNG RESTU MUSTAQIM</v>
      </c>
      <c r="G74" s="21"/>
    </row>
    <row r="75" spans="2:7">
      <c r="B75" s="18" t="s">
        <v>99</v>
      </c>
      <c r="C75" s="16" t="s">
        <v>100</v>
      </c>
      <c r="D75" s="19" t="s">
        <v>101</v>
      </c>
      <c r="E75" s="20" t="s">
        <v>1745</v>
      </c>
      <c r="F75" s="16" t="str">
        <f>_xlfn.XLOOKUP(D75,'[3]DROP POINT AKTIF'!$B:$B,'[3]DROP POINT AKTIF'!$F:$F,"-")</f>
        <v>NIAMULLAH</v>
      </c>
      <c r="G75" s="21"/>
    </row>
    <row r="76" spans="2:7">
      <c r="B76" s="18" t="s">
        <v>99</v>
      </c>
      <c r="C76" s="16" t="s">
        <v>100</v>
      </c>
      <c r="D76" s="19" t="s">
        <v>102</v>
      </c>
      <c r="E76" s="20" t="s">
        <v>1745</v>
      </c>
      <c r="F76" s="16" t="str">
        <f>_xlfn.XLOOKUP(D76,'[3]DROP POINT AKTIF'!$B:$B,'[3]DROP POINT AKTIF'!$F:$F,"-")</f>
        <v>TEGUH ISWANTO</v>
      </c>
      <c r="G76" s="21"/>
    </row>
    <row r="77" spans="2:7">
      <c r="B77" s="18" t="s">
        <v>99</v>
      </c>
      <c r="C77" s="16" t="s">
        <v>100</v>
      </c>
      <c r="D77" s="19" t="s">
        <v>103</v>
      </c>
      <c r="E77" s="20" t="s">
        <v>1745</v>
      </c>
      <c r="F77" s="16" t="str">
        <f>_xlfn.XLOOKUP(D77,'[3]DROP POINT AKTIF'!$B:$B,'[3]DROP POINT AKTIF'!$F:$F,"-")</f>
        <v>RAMADANIALDI</v>
      </c>
      <c r="G77" s="21"/>
    </row>
    <row r="78" spans="2:7">
      <c r="B78" s="18" t="s">
        <v>99</v>
      </c>
      <c r="C78" s="16" t="s">
        <v>100</v>
      </c>
      <c r="D78" s="19" t="s">
        <v>104</v>
      </c>
      <c r="E78" s="20" t="s">
        <v>1745</v>
      </c>
      <c r="F78" s="16" t="str">
        <f>_xlfn.XLOOKUP(D78,'[3]DROP POINT AKTIF'!$B:$B,'[3]DROP POINT AKTIF'!$F:$F,"-")</f>
        <v>DEDE JUNA</v>
      </c>
      <c r="G78" s="21"/>
    </row>
    <row r="79" spans="2:7">
      <c r="B79" s="18" t="s">
        <v>99</v>
      </c>
      <c r="C79" s="16" t="s">
        <v>100</v>
      </c>
      <c r="D79" s="19" t="s">
        <v>105</v>
      </c>
      <c r="E79" s="20" t="s">
        <v>1745</v>
      </c>
      <c r="F79" s="16" t="str">
        <f>_xlfn.XLOOKUP(D79,'[3]DROP POINT AKTIF'!$B:$B,'[3]DROP POINT AKTIF'!$F:$F,"-")</f>
        <v>MOCH. JAJULI FAHMI</v>
      </c>
      <c r="G79" s="21"/>
    </row>
    <row r="80" spans="2:7">
      <c r="B80" s="18" t="s">
        <v>99</v>
      </c>
      <c r="C80" s="16" t="s">
        <v>100</v>
      </c>
      <c r="D80" s="19" t="s">
        <v>106</v>
      </c>
      <c r="E80" s="20" t="s">
        <v>1722</v>
      </c>
      <c r="F80" s="16" t="str">
        <f>_xlfn.XLOOKUP(D80,'[3]DROP POINT AKTIF'!$B:$B,'[3]DROP POINT AKTIF'!$F:$F,"-")</f>
        <v>ARIS HERMAWAN</v>
      </c>
      <c r="G80" s="21"/>
    </row>
    <row r="81" spans="2:7">
      <c r="B81" s="18" t="s">
        <v>99</v>
      </c>
      <c r="C81" s="16" t="s">
        <v>100</v>
      </c>
      <c r="D81" s="19" t="s">
        <v>107</v>
      </c>
      <c r="E81" s="20" t="s">
        <v>1722</v>
      </c>
      <c r="F81" s="16" t="str">
        <f>_xlfn.XLOOKUP(D81,'[3]DROP POINT AKTIF'!$B:$B,'[3]DROP POINT AKTIF'!$F:$F,"-")</f>
        <v>IBNU FADILLAH</v>
      </c>
      <c r="G81" s="21"/>
    </row>
    <row r="82" spans="2:7">
      <c r="B82" s="18" t="s">
        <v>99</v>
      </c>
      <c r="C82" s="16" t="s">
        <v>100</v>
      </c>
      <c r="D82" s="19" t="s">
        <v>108</v>
      </c>
      <c r="E82" s="20" t="s">
        <v>1722</v>
      </c>
      <c r="F82" s="16" t="str">
        <f>_xlfn.XLOOKUP(D82,'[3]DROP POINT AKTIF'!$B:$B,'[3]DROP POINT AKTIF'!$F:$F,"-")</f>
        <v>MOHAMAD JUNAEDI FIRMANSYAH</v>
      </c>
      <c r="G82" s="21"/>
    </row>
    <row r="83" spans="2:7">
      <c r="B83" s="18" t="s">
        <v>99</v>
      </c>
      <c r="C83" s="16" t="s">
        <v>100</v>
      </c>
      <c r="D83" s="19" t="s">
        <v>109</v>
      </c>
      <c r="E83" s="20" t="s">
        <v>1722</v>
      </c>
      <c r="F83" s="16" t="str">
        <f>_xlfn.XLOOKUP(D83,'[3]DROP POINT AKTIF'!$B:$B,'[3]DROP POINT AKTIF'!$F:$F,"-")</f>
        <v>MOCH. JAJULI FAHMI</v>
      </c>
      <c r="G83" s="21"/>
    </row>
    <row r="84" spans="2:7">
      <c r="B84" s="18" t="s">
        <v>99</v>
      </c>
      <c r="C84" s="16" t="s">
        <v>100</v>
      </c>
      <c r="D84" s="19" t="s">
        <v>110</v>
      </c>
      <c r="E84" s="20" t="s">
        <v>1722</v>
      </c>
      <c r="F84" s="16" t="str">
        <f>_xlfn.XLOOKUP(D84,'[3]DROP POINT AKTIF'!$B:$B,'[3]DROP POINT AKTIF'!$F:$F,"-")</f>
        <v>HANDOKO</v>
      </c>
      <c r="G84" s="21"/>
    </row>
    <row r="85" spans="2:7">
      <c r="B85" s="18" t="s">
        <v>99</v>
      </c>
      <c r="C85" s="16" t="s">
        <v>100</v>
      </c>
      <c r="D85" s="19" t="s">
        <v>111</v>
      </c>
      <c r="E85" s="20" t="s">
        <v>1722</v>
      </c>
      <c r="F85" s="16" t="str">
        <f>_xlfn.XLOOKUP(D85,'[3]DROP POINT AKTIF'!$B:$B,'[3]DROP POINT AKTIF'!$F:$F,"-")</f>
        <v>MOHAMAD KAHIS</v>
      </c>
      <c r="G85" s="21"/>
    </row>
    <row r="86" spans="2:7">
      <c r="B86" s="18" t="s">
        <v>99</v>
      </c>
      <c r="C86" s="16" t="s">
        <v>100</v>
      </c>
      <c r="D86" s="19" t="s">
        <v>112</v>
      </c>
      <c r="E86" s="20" t="s">
        <v>1722</v>
      </c>
      <c r="F86" s="16" t="str">
        <f>_xlfn.XLOOKUP(D86,'[3]DROP POINT AKTIF'!$B:$B,'[3]DROP POINT AKTIF'!$F:$F,"-")</f>
        <v>CATUR MAY ANDRIAN</v>
      </c>
      <c r="G86" s="21"/>
    </row>
    <row r="87" spans="2:7">
      <c r="B87" s="18" t="s">
        <v>99</v>
      </c>
      <c r="C87" s="16" t="s">
        <v>100</v>
      </c>
      <c r="D87" s="19" t="s">
        <v>113</v>
      </c>
      <c r="E87" s="20" t="s">
        <v>1722</v>
      </c>
      <c r="F87" s="16" t="str">
        <f>_xlfn.XLOOKUP(D87,'[3]DROP POINT AKTIF'!$B:$B,'[3]DROP POINT AKTIF'!$F:$F,"-")</f>
        <v>NOVA ANDRIANTO</v>
      </c>
      <c r="G87" s="21"/>
    </row>
    <row r="88" spans="2:7">
      <c r="B88" s="18" t="s">
        <v>99</v>
      </c>
      <c r="C88" s="16" t="s">
        <v>100</v>
      </c>
      <c r="D88" s="19" t="s">
        <v>114</v>
      </c>
      <c r="E88" s="20" t="s">
        <v>1722</v>
      </c>
      <c r="F88" s="16" t="str">
        <f>_xlfn.XLOOKUP(D88,'[3]DROP POINT AKTIF'!$B:$B,'[3]DROP POINT AKTIF'!$F:$F,"-")</f>
        <v>NOVA ANDRIANTO</v>
      </c>
      <c r="G88" s="21"/>
    </row>
    <row r="89" spans="2:7">
      <c r="B89" s="18" t="s">
        <v>99</v>
      </c>
      <c r="C89" s="16" t="s">
        <v>100</v>
      </c>
      <c r="D89" s="19" t="s">
        <v>115</v>
      </c>
      <c r="E89" s="20" t="s">
        <v>1745</v>
      </c>
      <c r="F89" s="16" t="str">
        <f>_xlfn.XLOOKUP(D89,'[3]DROP POINT AKTIF'!$B:$B,'[3]DROP POINT AKTIF'!$F:$F,"-")</f>
        <v>MUHAMAD WILDAN</v>
      </c>
      <c r="G89" s="21"/>
    </row>
    <row r="90" spans="2:7">
      <c r="B90" s="18" t="s">
        <v>99</v>
      </c>
      <c r="C90" s="16" t="s">
        <v>100</v>
      </c>
      <c r="D90" s="19" t="s">
        <v>116</v>
      </c>
      <c r="E90" s="20" t="s">
        <v>1745</v>
      </c>
      <c r="F90" s="16" t="str">
        <f>_xlfn.XLOOKUP(D90,'[3]DROP POINT AKTIF'!$B:$B,'[3]DROP POINT AKTIF'!$F:$F,"-")</f>
        <v>MUHAMMAD LUTFI</v>
      </c>
      <c r="G90" s="21"/>
    </row>
    <row r="91" spans="2:7">
      <c r="B91" s="18" t="s">
        <v>99</v>
      </c>
      <c r="C91" s="16" t="s">
        <v>100</v>
      </c>
      <c r="D91" s="19" t="s">
        <v>117</v>
      </c>
      <c r="E91" s="20" t="s">
        <v>1722</v>
      </c>
      <c r="F91" s="16" t="str">
        <f>_xlfn.XLOOKUP(D91,'[3]DROP POINT AKTIF'!$B:$B,'[3]DROP POINT AKTIF'!$F:$F,"-")</f>
        <v>DHIAS WIKRAMA ATMAJA</v>
      </c>
      <c r="G91" s="21"/>
    </row>
    <row r="92" spans="2:7">
      <c r="B92" s="18" t="s">
        <v>99</v>
      </c>
      <c r="C92" s="16" t="s">
        <v>100</v>
      </c>
      <c r="D92" s="19" t="s">
        <v>118</v>
      </c>
      <c r="E92" s="20" t="s">
        <v>1722</v>
      </c>
      <c r="F92" s="16" t="str">
        <f>_xlfn.XLOOKUP(D92,'[3]DROP POINT AKTIF'!$B:$B,'[3]DROP POINT AKTIF'!$F:$F,"-")</f>
        <v>ANDI WIDIARTO</v>
      </c>
      <c r="G92" s="21"/>
    </row>
    <row r="93" spans="2:7">
      <c r="B93" s="18" t="s">
        <v>99</v>
      </c>
      <c r="C93" s="16" t="s">
        <v>100</v>
      </c>
      <c r="D93" s="19" t="s">
        <v>119</v>
      </c>
      <c r="E93" s="20" t="s">
        <v>1722</v>
      </c>
      <c r="F93" s="16" t="str">
        <f>_xlfn.XLOOKUP(D93,'[3]DROP POINT AKTIF'!$B:$B,'[3]DROP POINT AKTIF'!$F:$F,"-")</f>
        <v>SARYONO</v>
      </c>
      <c r="G93" s="21"/>
    </row>
    <row r="94" spans="2:7">
      <c r="B94" s="18" t="s">
        <v>99</v>
      </c>
      <c r="C94" s="16" t="s">
        <v>100</v>
      </c>
      <c r="D94" s="19" t="s">
        <v>120</v>
      </c>
      <c r="E94" s="20" t="s">
        <v>1722</v>
      </c>
      <c r="F94" s="16" t="str">
        <f>_xlfn.XLOOKUP(D94,'[3]DROP POINT AKTIF'!$B:$B,'[3]DROP POINT AKTIF'!$F:$F,"-")</f>
        <v>ANGGATIO</v>
      </c>
      <c r="G94" s="21"/>
    </row>
    <row r="95" spans="2:7">
      <c r="B95" s="18" t="s">
        <v>99</v>
      </c>
      <c r="C95" s="16" t="s">
        <v>100</v>
      </c>
      <c r="D95" s="19" t="s">
        <v>121</v>
      </c>
      <c r="E95" s="20" t="s">
        <v>1722</v>
      </c>
      <c r="F95" s="16" t="str">
        <f>_xlfn.XLOOKUP(D95,'[3]DROP POINT AKTIF'!$B:$B,'[3]DROP POINT AKTIF'!$F:$F,"-")</f>
        <v>MUHAMMAD RIFKI</v>
      </c>
      <c r="G95" s="21"/>
    </row>
    <row r="96" spans="2:7">
      <c r="B96" s="18" t="s">
        <v>99</v>
      </c>
      <c r="C96" s="16" t="s">
        <v>100</v>
      </c>
      <c r="D96" s="19" t="s">
        <v>122</v>
      </c>
      <c r="E96" s="20" t="s">
        <v>1722</v>
      </c>
      <c r="F96" s="16" t="str">
        <f>_xlfn.XLOOKUP(D96,'[3]DROP POINT AKTIF'!$B:$B,'[3]DROP POINT AKTIF'!$F:$F,"-")</f>
        <v>SUPYAN SAURI</v>
      </c>
      <c r="G96" s="21"/>
    </row>
    <row r="97" spans="2:7">
      <c r="B97" s="18" t="s">
        <v>99</v>
      </c>
      <c r="C97" s="16" t="s">
        <v>100</v>
      </c>
      <c r="D97" s="19" t="s">
        <v>123</v>
      </c>
      <c r="E97" s="20" t="s">
        <v>1722</v>
      </c>
      <c r="F97" s="16" t="str">
        <f>_xlfn.XLOOKUP(D97,'[3]DROP POINT AKTIF'!$B:$B,'[3]DROP POINT AKTIF'!$F:$F,"-")</f>
        <v>-</v>
      </c>
      <c r="G97" s="21"/>
    </row>
    <row r="98" spans="2:7">
      <c r="B98" s="18" t="s">
        <v>99</v>
      </c>
      <c r="C98" s="16" t="s">
        <v>100</v>
      </c>
      <c r="D98" s="19" t="s">
        <v>124</v>
      </c>
      <c r="E98" s="20" t="s">
        <v>1745</v>
      </c>
      <c r="F98" s="16" t="str">
        <f>_xlfn.XLOOKUP(D98,'[3]DROP POINT AKTIF'!$B:$B,'[3]DROP POINT AKTIF'!$F:$F,"-")</f>
        <v>YUSTRIZA ENDISYA</v>
      </c>
      <c r="G98" s="21"/>
    </row>
    <row r="99" spans="2:7">
      <c r="B99" s="18" t="s">
        <v>99</v>
      </c>
      <c r="C99" s="16" t="s">
        <v>100</v>
      </c>
      <c r="D99" s="19" t="s">
        <v>126</v>
      </c>
      <c r="E99" s="20" t="s">
        <v>1745</v>
      </c>
      <c r="F99" s="16" t="str">
        <f>_xlfn.XLOOKUP(D99,'[3]DROP POINT AKTIF'!$B:$B,'[3]DROP POINT AKTIF'!$F:$F,"-")</f>
        <v>YUSTRIZA ENDISYA</v>
      </c>
      <c r="G99" s="21"/>
    </row>
    <row r="100" spans="2:7">
      <c r="B100" s="18" t="s">
        <v>99</v>
      </c>
      <c r="C100" s="16" t="s">
        <v>100</v>
      </c>
      <c r="D100" s="19" t="s">
        <v>127</v>
      </c>
      <c r="E100" s="20" t="s">
        <v>1745</v>
      </c>
      <c r="F100" s="16" t="str">
        <f>_xlfn.XLOOKUP(D100,'[3]DROP POINT AKTIF'!$B:$B,'[3]DROP POINT AKTIF'!$F:$F,"-")</f>
        <v>ARIF SETIANTO</v>
      </c>
      <c r="G100" s="21"/>
    </row>
    <row r="101" spans="2:7">
      <c r="B101" s="18" t="s">
        <v>99</v>
      </c>
      <c r="C101" s="16" t="s">
        <v>100</v>
      </c>
      <c r="D101" s="19" t="s">
        <v>128</v>
      </c>
      <c r="E101" s="20" t="s">
        <v>1722</v>
      </c>
      <c r="F101" s="16" t="str">
        <f>_xlfn.XLOOKUP(D101,'[3]DROP POINT AKTIF'!$B:$B,'[3]DROP POINT AKTIF'!$F:$F,"-")</f>
        <v>ALFAN AZIZ</v>
      </c>
      <c r="G101" s="21"/>
    </row>
    <row r="102" spans="2:7">
      <c r="B102" s="18" t="s">
        <v>99</v>
      </c>
      <c r="C102" s="16" t="s">
        <v>100</v>
      </c>
      <c r="D102" s="19" t="s">
        <v>129</v>
      </c>
      <c r="E102" s="20" t="s">
        <v>1722</v>
      </c>
      <c r="F102" s="16" t="str">
        <f>_xlfn.XLOOKUP(D102,'[3]DROP POINT AKTIF'!$B:$B,'[3]DROP POINT AKTIF'!$F:$F,"-")</f>
        <v>NUZUL</v>
      </c>
      <c r="G102" s="21"/>
    </row>
    <row r="103" spans="2:7">
      <c r="B103" s="18" t="s">
        <v>99</v>
      </c>
      <c r="C103" s="16" t="s">
        <v>100</v>
      </c>
      <c r="D103" s="19" t="s">
        <v>130</v>
      </c>
      <c r="E103" s="20" t="s">
        <v>1745</v>
      </c>
      <c r="F103" s="16" t="str">
        <f>_xlfn.XLOOKUP(D103,'[3]DROP POINT AKTIF'!$B:$B,'[3]DROP POINT AKTIF'!$F:$F,"-")</f>
        <v>KOMARUDIN</v>
      </c>
      <c r="G103" s="21"/>
    </row>
    <row r="104" spans="2:7">
      <c r="B104" s="18" t="s">
        <v>99</v>
      </c>
      <c r="C104" s="16" t="s">
        <v>100</v>
      </c>
      <c r="D104" s="19" t="s">
        <v>131</v>
      </c>
      <c r="E104" s="20" t="s">
        <v>1745</v>
      </c>
      <c r="F104" s="16" t="str">
        <f>_xlfn.XLOOKUP(D104,'[3]DROP POINT AKTIF'!$B:$B,'[3]DROP POINT AKTIF'!$F:$F,"-")</f>
        <v>TEGAR PRAKOSO</v>
      </c>
      <c r="G104" s="21"/>
    </row>
    <row r="105" spans="2:7">
      <c r="B105" s="18" t="s">
        <v>99</v>
      </c>
      <c r="C105" s="16" t="s">
        <v>100</v>
      </c>
      <c r="D105" s="19" t="s">
        <v>132</v>
      </c>
      <c r="E105" s="20" t="s">
        <v>1722</v>
      </c>
      <c r="F105" s="16" t="str">
        <f>_xlfn.XLOOKUP(D105,'[3]DROP POINT AKTIF'!$B:$B,'[3]DROP POINT AKTIF'!$F:$F,"-")</f>
        <v>KOMARUDIN</v>
      </c>
      <c r="G105" s="21"/>
    </row>
    <row r="106" spans="2:7">
      <c r="B106" s="18" t="s">
        <v>99</v>
      </c>
      <c r="C106" s="16" t="s">
        <v>100</v>
      </c>
      <c r="D106" s="19" t="s">
        <v>133</v>
      </c>
      <c r="E106" s="20" t="s">
        <v>1745</v>
      </c>
      <c r="F106" s="16" t="str">
        <f>_xlfn.XLOOKUP(D106,'[3]DROP POINT AKTIF'!$B:$B,'[3]DROP POINT AKTIF'!$F:$F,"-")</f>
        <v>ARIEF SOFYAN</v>
      </c>
      <c r="G106" s="21"/>
    </row>
    <row r="107" spans="2:7">
      <c r="B107" s="18" t="s">
        <v>99</v>
      </c>
      <c r="C107" s="16" t="s">
        <v>100</v>
      </c>
      <c r="D107" s="19" t="s">
        <v>134</v>
      </c>
      <c r="E107" s="20" t="s">
        <v>1745</v>
      </c>
      <c r="F107" s="16" t="str">
        <f>_xlfn.XLOOKUP(D107,'[3]DROP POINT AKTIF'!$B:$B,'[3]DROP POINT AKTIF'!$F:$F,"-")</f>
        <v>YUSTRIZA ENDISYA</v>
      </c>
      <c r="G107" s="21"/>
    </row>
    <row r="108" spans="2:7">
      <c r="B108" s="18" t="s">
        <v>99</v>
      </c>
      <c r="C108" s="16" t="s">
        <v>100</v>
      </c>
      <c r="D108" s="19" t="s">
        <v>135</v>
      </c>
      <c r="E108" s="20" t="s">
        <v>1745</v>
      </c>
      <c r="F108" s="16" t="str">
        <f>_xlfn.XLOOKUP(D108,'[3]DROP POINT AKTIF'!$B:$B,'[3]DROP POINT AKTIF'!$F:$F,"-")</f>
        <v>SYAHRUL RAMDANI</v>
      </c>
      <c r="G108" s="21"/>
    </row>
    <row r="109" spans="2:7">
      <c r="B109" s="18" t="s">
        <v>99</v>
      </c>
      <c r="C109" s="16" t="s">
        <v>100</v>
      </c>
      <c r="D109" s="19" t="s">
        <v>136</v>
      </c>
      <c r="E109" s="20" t="s">
        <v>1745</v>
      </c>
      <c r="F109" s="16" t="str">
        <f>_xlfn.XLOOKUP(D109,'[3]DROP POINT AKTIF'!$B:$B,'[3]DROP POINT AKTIF'!$F:$F,"-")</f>
        <v>ANDRI ATMAJA</v>
      </c>
      <c r="G109" s="21"/>
    </row>
    <row r="110" spans="2:7">
      <c r="B110" s="18" t="s">
        <v>99</v>
      </c>
      <c r="C110" s="16" t="s">
        <v>100</v>
      </c>
      <c r="D110" s="19" t="s">
        <v>137</v>
      </c>
      <c r="E110" s="20" t="s">
        <v>1722</v>
      </c>
      <c r="F110" s="16" t="str">
        <f>_xlfn.XLOOKUP(D110,'[3]DROP POINT AKTIF'!$B:$B,'[3]DROP POINT AKTIF'!$F:$F,"-")</f>
        <v>MUCHTAR NUR RAMDAN (AAM)</v>
      </c>
      <c r="G110" s="21"/>
    </row>
    <row r="111" spans="2:7">
      <c r="B111" s="18" t="s">
        <v>99</v>
      </c>
      <c r="C111" s="16" t="s">
        <v>100</v>
      </c>
      <c r="D111" s="19" t="s">
        <v>138</v>
      </c>
      <c r="E111" s="20" t="s">
        <v>1745</v>
      </c>
      <c r="F111" s="16" t="str">
        <f>_xlfn.XLOOKUP(D111,'[3]DROP POINT AKTIF'!$B:$B,'[3]DROP POINT AKTIF'!$F:$F,"-")</f>
        <v>MUHAMAD DEDENG</v>
      </c>
      <c r="G111" s="21"/>
    </row>
    <row r="112" spans="2:7">
      <c r="B112" s="18" t="s">
        <v>99</v>
      </c>
      <c r="C112" s="16" t="s">
        <v>100</v>
      </c>
      <c r="D112" s="19" t="s">
        <v>139</v>
      </c>
      <c r="E112" s="20" t="s">
        <v>1745</v>
      </c>
      <c r="F112" s="16" t="str">
        <f>_xlfn.XLOOKUP(D112,'[3]DROP POINT AKTIF'!$B:$B,'[3]DROP POINT AKTIF'!$F:$F,"-")</f>
        <v>DEDI KUMAEDI</v>
      </c>
      <c r="G112" s="21"/>
    </row>
    <row r="113" spans="2:7">
      <c r="B113" s="18" t="s">
        <v>99</v>
      </c>
      <c r="C113" s="16" t="s">
        <v>100</v>
      </c>
      <c r="D113" s="19" t="s">
        <v>140</v>
      </c>
      <c r="E113" s="20" t="s">
        <v>1745</v>
      </c>
      <c r="F113" s="16" t="str">
        <f>_xlfn.XLOOKUP(D113,'[3]DROP POINT AKTIF'!$B:$B,'[3]DROP POINT AKTIF'!$F:$F,"-")</f>
        <v>AMDI MUBAROK</v>
      </c>
      <c r="G113" s="21"/>
    </row>
    <row r="114" spans="2:7">
      <c r="B114" s="18" t="s">
        <v>99</v>
      </c>
      <c r="C114" s="16" t="s">
        <v>100</v>
      </c>
      <c r="D114" s="19" t="s">
        <v>141</v>
      </c>
      <c r="E114" s="20" t="s">
        <v>1745</v>
      </c>
      <c r="F114" s="16" t="str">
        <f>_xlfn.XLOOKUP(D114,'[3]DROP POINT AKTIF'!$B:$B,'[3]DROP POINT AKTIF'!$F:$F,"-")</f>
        <v>MOCH MATIN</v>
      </c>
      <c r="G114" s="21"/>
    </row>
    <row r="115" spans="2:7">
      <c r="B115" s="18" t="s">
        <v>99</v>
      </c>
      <c r="C115" s="16" t="s">
        <v>100</v>
      </c>
      <c r="D115" s="19" t="s">
        <v>142</v>
      </c>
      <c r="E115" s="20" t="s">
        <v>1745</v>
      </c>
      <c r="F115" s="16" t="str">
        <f>_xlfn.XLOOKUP(D115,'[3]DROP POINT AKTIF'!$B:$B,'[3]DROP POINT AKTIF'!$F:$F,"-")</f>
        <v>JUHANDI</v>
      </c>
      <c r="G115" s="21"/>
    </row>
    <row r="116" spans="2:7">
      <c r="B116" s="18" t="s">
        <v>99</v>
      </c>
      <c r="C116" s="16" t="s">
        <v>100</v>
      </c>
      <c r="D116" s="19" t="s">
        <v>143</v>
      </c>
      <c r="E116" s="20" t="s">
        <v>1745</v>
      </c>
      <c r="F116" s="16" t="str">
        <f>_xlfn.XLOOKUP(D116,'[3]DROP POINT AKTIF'!$B:$B,'[3]DROP POINT AKTIF'!$F:$F,"-")</f>
        <v>AZAT SUDRAJAT</v>
      </c>
      <c r="G116" s="21"/>
    </row>
    <row r="117" spans="2:7">
      <c r="B117" s="18" t="s">
        <v>99</v>
      </c>
      <c r="C117" s="16" t="s">
        <v>100</v>
      </c>
      <c r="D117" s="19" t="s">
        <v>144</v>
      </c>
      <c r="E117" s="20" t="s">
        <v>1745</v>
      </c>
      <c r="F117" s="16" t="str">
        <f>_xlfn.XLOOKUP(D117,'[3]DROP POINT AKTIF'!$B:$B,'[3]DROP POINT AKTIF'!$F:$F,"-")</f>
        <v>ROHMAN</v>
      </c>
      <c r="G117" s="21"/>
    </row>
    <row r="118" spans="2:7">
      <c r="B118" s="18" t="s">
        <v>99</v>
      </c>
      <c r="C118" s="16" t="s">
        <v>100</v>
      </c>
      <c r="D118" s="19" t="s">
        <v>145</v>
      </c>
      <c r="E118" s="20" t="s">
        <v>1745</v>
      </c>
      <c r="F118" s="16" t="str">
        <f>_xlfn.XLOOKUP(D118,'[3]DROP POINT AKTIF'!$B:$B,'[3]DROP POINT AKTIF'!$F:$F,"-")</f>
        <v>DEDI KUMAEDI</v>
      </c>
      <c r="G118" s="21"/>
    </row>
    <row r="119" spans="2:7">
      <c r="B119" s="18" t="s">
        <v>99</v>
      </c>
      <c r="C119" s="16" t="s">
        <v>100</v>
      </c>
      <c r="D119" s="19" t="s">
        <v>146</v>
      </c>
      <c r="E119" s="20" t="s">
        <v>1745</v>
      </c>
      <c r="F119" s="16" t="str">
        <f>_xlfn.XLOOKUP(D119,'[3]DROP POINT AKTIF'!$B:$B,'[3]DROP POINT AKTIF'!$F:$F,"-")</f>
        <v>WAHYUDIN</v>
      </c>
      <c r="G119" s="21"/>
    </row>
    <row r="120" spans="2:7">
      <c r="B120" s="18" t="s">
        <v>99</v>
      </c>
      <c r="C120" s="16" t="s">
        <v>100</v>
      </c>
      <c r="D120" s="19" t="s">
        <v>147</v>
      </c>
      <c r="E120" s="20" t="s">
        <v>1745</v>
      </c>
      <c r="F120" s="16" t="str">
        <f>_xlfn.XLOOKUP(D120,'[3]DROP POINT AKTIF'!$B:$B,'[3]DROP POINT AKTIF'!$F:$F,"-")</f>
        <v>WAHYUDIN</v>
      </c>
      <c r="G120" s="21"/>
    </row>
    <row r="121" spans="2:7">
      <c r="B121" s="18" t="s">
        <v>99</v>
      </c>
      <c r="C121" s="16" t="s">
        <v>100</v>
      </c>
      <c r="D121" s="19" t="s">
        <v>148</v>
      </c>
      <c r="E121" s="20" t="s">
        <v>1745</v>
      </c>
      <c r="F121" s="16" t="str">
        <f>_xlfn.XLOOKUP(D121,'[3]DROP POINT AKTIF'!$B:$B,'[3]DROP POINT AKTIF'!$F:$F,"-")</f>
        <v>IRIYANTO</v>
      </c>
      <c r="G121" s="21"/>
    </row>
    <row r="122" spans="2:7">
      <c r="B122" s="18" t="s">
        <v>99</v>
      </c>
      <c r="C122" s="16" t="s">
        <v>100</v>
      </c>
      <c r="D122" s="19" t="s">
        <v>149</v>
      </c>
      <c r="E122" s="20" t="s">
        <v>1745</v>
      </c>
      <c r="F122" s="16" t="str">
        <f>_xlfn.XLOOKUP(D122,'[3]DROP POINT AKTIF'!$B:$B,'[3]DROP POINT AKTIF'!$F:$F,"-")</f>
        <v>ADIT PURNADILATA</v>
      </c>
      <c r="G122" s="21"/>
    </row>
    <row r="123" spans="2:7">
      <c r="B123" s="18" t="s">
        <v>99</v>
      </c>
      <c r="C123" s="16" t="s">
        <v>100</v>
      </c>
      <c r="D123" s="19" t="s">
        <v>150</v>
      </c>
      <c r="E123" s="20" t="s">
        <v>1745</v>
      </c>
      <c r="F123" s="16" t="str">
        <f>_xlfn.XLOOKUP(D123,'[3]DROP POINT AKTIF'!$B:$B,'[3]DROP POINT AKTIF'!$F:$F,"-")</f>
        <v>ROBI FARLI</v>
      </c>
      <c r="G123" s="21"/>
    </row>
    <row r="124" spans="2:7">
      <c r="B124" s="18" t="s">
        <v>99</v>
      </c>
      <c r="C124" s="16" t="s">
        <v>100</v>
      </c>
      <c r="D124" s="19" t="s">
        <v>151</v>
      </c>
      <c r="E124" s="20" t="s">
        <v>1745</v>
      </c>
      <c r="F124" s="16" t="str">
        <f>_xlfn.XLOOKUP(D124,'[3]DROP POINT AKTIF'!$B:$B,'[3]DROP POINT AKTIF'!$F:$F,"-")</f>
        <v>WAHYUDIN</v>
      </c>
      <c r="G124" s="21"/>
    </row>
    <row r="125" spans="2:7">
      <c r="B125" s="18" t="s">
        <v>99</v>
      </c>
      <c r="C125" s="16" t="s">
        <v>100</v>
      </c>
      <c r="D125" s="19" t="s">
        <v>152</v>
      </c>
      <c r="E125" s="20" t="s">
        <v>1745</v>
      </c>
      <c r="F125" s="16" t="str">
        <f>_xlfn.XLOOKUP(D125,'[3]DROP POINT AKTIF'!$B:$B,'[3]DROP POINT AKTIF'!$F:$F,"-")</f>
        <v>ROBI FARLI</v>
      </c>
      <c r="G125" s="21"/>
    </row>
    <row r="126" spans="2:7">
      <c r="B126" s="18" t="s">
        <v>99</v>
      </c>
      <c r="C126" s="16" t="s">
        <v>100</v>
      </c>
      <c r="D126" s="19" t="s">
        <v>153</v>
      </c>
      <c r="E126" s="20" t="s">
        <v>1745</v>
      </c>
      <c r="F126" s="16" t="str">
        <f>_xlfn.XLOOKUP(D126,'[3]DROP POINT AKTIF'!$B:$B,'[3]DROP POINT AKTIF'!$F:$F,"-")</f>
        <v>ROBI FARLI</v>
      </c>
      <c r="G126" s="21"/>
    </row>
    <row r="127" spans="2:7">
      <c r="B127" s="18" t="s">
        <v>99</v>
      </c>
      <c r="C127" s="16" t="s">
        <v>100</v>
      </c>
      <c r="D127" s="19" t="s">
        <v>154</v>
      </c>
      <c r="E127" s="20" t="s">
        <v>1745</v>
      </c>
      <c r="F127" s="16" t="str">
        <f>_xlfn.XLOOKUP(D127,'[3]DROP POINT AKTIF'!$B:$B,'[3]DROP POINT AKTIF'!$F:$F,"-")</f>
        <v>AMDI MUBAROK</v>
      </c>
      <c r="G127" s="21"/>
    </row>
    <row r="128" spans="2:7">
      <c r="B128" s="18" t="s">
        <v>99</v>
      </c>
      <c r="C128" s="16" t="s">
        <v>100</v>
      </c>
      <c r="D128" s="19" t="s">
        <v>155</v>
      </c>
      <c r="E128" s="20" t="s">
        <v>1745</v>
      </c>
      <c r="F128" s="16" t="str">
        <f>_xlfn.XLOOKUP(D128,'[3]DROP POINT AKTIF'!$B:$B,'[3]DROP POINT AKTIF'!$F:$F,"-")</f>
        <v>MOCH MATIN</v>
      </c>
      <c r="G128" s="21"/>
    </row>
    <row r="129" spans="2:7">
      <c r="B129" s="18" t="s">
        <v>99</v>
      </c>
      <c r="C129" s="16" t="s">
        <v>100</v>
      </c>
      <c r="D129" s="19" t="s">
        <v>156</v>
      </c>
      <c r="E129" s="20" t="s">
        <v>1745</v>
      </c>
      <c r="F129" s="16" t="str">
        <f>_xlfn.XLOOKUP(D129,'[3]DROP POINT AKTIF'!$B:$B,'[3]DROP POINT AKTIF'!$F:$F,"-")</f>
        <v>FAHRI PRATAMA</v>
      </c>
      <c r="G129" s="21"/>
    </row>
    <row r="130" spans="2:7">
      <c r="B130" s="18" t="s">
        <v>99</v>
      </c>
      <c r="C130" s="16" t="s">
        <v>100</v>
      </c>
      <c r="D130" s="19" t="s">
        <v>157</v>
      </c>
      <c r="E130" s="20" t="s">
        <v>1745</v>
      </c>
      <c r="F130" s="16" t="str">
        <f>_xlfn.XLOOKUP(D130,'[3]DROP POINT AKTIF'!$B:$B,'[3]DROP POINT AKTIF'!$F:$F,"-")</f>
        <v>MUHAMAD DEDENG</v>
      </c>
      <c r="G130" s="21"/>
    </row>
    <row r="131" spans="2:7">
      <c r="B131" s="18" t="s">
        <v>99</v>
      </c>
      <c r="C131" s="16" t="s">
        <v>100</v>
      </c>
      <c r="D131" s="19" t="s">
        <v>158</v>
      </c>
      <c r="E131" s="20" t="s">
        <v>1745</v>
      </c>
      <c r="F131" s="16" t="str">
        <f>_xlfn.XLOOKUP(D131,'[3]DROP POINT AKTIF'!$B:$B,'[3]DROP POINT AKTIF'!$F:$F,"-")</f>
        <v>ADIT PURNADILATA</v>
      </c>
      <c r="G131" s="21"/>
    </row>
    <row r="132" spans="2:7">
      <c r="B132" s="18" t="s">
        <v>99</v>
      </c>
      <c r="C132" s="16" t="s">
        <v>100</v>
      </c>
      <c r="D132" s="19" t="s">
        <v>159</v>
      </c>
      <c r="E132" s="20" t="s">
        <v>1745</v>
      </c>
      <c r="F132" s="16" t="str">
        <f>_xlfn.XLOOKUP(D132,'[3]DROP POINT AKTIF'!$B:$B,'[3]DROP POINT AKTIF'!$F:$F,"-")</f>
        <v>ROHMAN</v>
      </c>
      <c r="G132" s="21"/>
    </row>
    <row r="133" spans="2:7">
      <c r="B133" s="18" t="s">
        <v>99</v>
      </c>
      <c r="C133" s="16" t="s">
        <v>100</v>
      </c>
      <c r="D133" s="19" t="s">
        <v>160</v>
      </c>
      <c r="E133" s="20" t="s">
        <v>1745</v>
      </c>
      <c r="F133" s="16" t="str">
        <f>_xlfn.XLOOKUP(D133,'[3]DROP POINT AKTIF'!$B:$B,'[3]DROP POINT AKTIF'!$F:$F,"-")</f>
        <v>DEDI KUMAEDI</v>
      </c>
      <c r="G133" s="21"/>
    </row>
    <row r="134" spans="2:7">
      <c r="B134" s="18" t="s">
        <v>99</v>
      </c>
      <c r="C134" s="16" t="s">
        <v>100</v>
      </c>
      <c r="D134" s="19" t="s">
        <v>161</v>
      </c>
      <c r="E134" s="20" t="s">
        <v>1745</v>
      </c>
      <c r="F134" s="16" t="str">
        <f>_xlfn.XLOOKUP(D134,'[3]DROP POINT AKTIF'!$B:$B,'[3]DROP POINT AKTIF'!$F:$F,"-")</f>
        <v>HENDRA SAPUTRA</v>
      </c>
      <c r="G134" s="21"/>
    </row>
    <row r="135" spans="2:7">
      <c r="B135" s="18" t="s">
        <v>99</v>
      </c>
      <c r="C135" s="16" t="s">
        <v>100</v>
      </c>
      <c r="D135" s="19" t="s">
        <v>162</v>
      </c>
      <c r="E135" s="20" t="s">
        <v>1745</v>
      </c>
      <c r="F135" s="16" t="str">
        <f>_xlfn.XLOOKUP(D135,'[3]DROP POINT AKTIF'!$B:$B,'[3]DROP POINT AKTIF'!$F:$F,"-")</f>
        <v>AHMAD SUHENDI</v>
      </c>
      <c r="G135" s="21"/>
    </row>
    <row r="136" spans="2:7">
      <c r="B136" s="18" t="s">
        <v>99</v>
      </c>
      <c r="C136" s="16" t="s">
        <v>100</v>
      </c>
      <c r="D136" s="19" t="s">
        <v>163</v>
      </c>
      <c r="E136" s="20" t="s">
        <v>1745</v>
      </c>
      <c r="F136" s="16" t="str">
        <f>_xlfn.XLOOKUP(D136,'[3]DROP POINT AKTIF'!$B:$B,'[3]DROP POINT AKTIF'!$F:$F,"-")</f>
        <v>MUHAMMAD USUP</v>
      </c>
      <c r="G136" s="21"/>
    </row>
    <row r="137" spans="2:7">
      <c r="B137" s="18" t="s">
        <v>99</v>
      </c>
      <c r="C137" s="16" t="s">
        <v>100</v>
      </c>
      <c r="D137" s="19" t="s">
        <v>164</v>
      </c>
      <c r="E137" s="20" t="s">
        <v>1745</v>
      </c>
      <c r="F137" s="16" t="str">
        <f>_xlfn.XLOOKUP(D137,'[3]DROP POINT AKTIF'!$B:$B,'[3]DROP POINT AKTIF'!$F:$F,"-")</f>
        <v>ZAKARIA MAHMUD</v>
      </c>
      <c r="G137" s="21"/>
    </row>
    <row r="138" spans="2:7">
      <c r="B138" s="18" t="s">
        <v>99</v>
      </c>
      <c r="C138" s="16" t="s">
        <v>100</v>
      </c>
      <c r="D138" s="19" t="s">
        <v>165</v>
      </c>
      <c r="E138" s="20" t="s">
        <v>1745</v>
      </c>
      <c r="F138" s="16" t="str">
        <f>_xlfn.XLOOKUP(D138,'[3]DROP POINT AKTIF'!$B:$B,'[3]DROP POINT AKTIF'!$F:$F,"-")</f>
        <v>ADE MUKLIS</v>
      </c>
      <c r="G138" s="21"/>
    </row>
    <row r="139" spans="2:7">
      <c r="B139" s="18" t="s">
        <v>99</v>
      </c>
      <c r="C139" s="16" t="s">
        <v>100</v>
      </c>
      <c r="D139" s="19" t="s">
        <v>166</v>
      </c>
      <c r="E139" s="20" t="s">
        <v>1745</v>
      </c>
      <c r="F139" s="16" t="str">
        <f>_xlfn.XLOOKUP(D139,'[3]DROP POINT AKTIF'!$B:$B,'[3]DROP POINT AKTIF'!$F:$F,"-")</f>
        <v>WIDODO</v>
      </c>
      <c r="G139" s="21"/>
    </row>
    <row r="140" spans="2:7">
      <c r="B140" s="18" t="s">
        <v>99</v>
      </c>
      <c r="C140" s="16" t="s">
        <v>100</v>
      </c>
      <c r="D140" s="19" t="s">
        <v>167</v>
      </c>
      <c r="E140" s="20" t="s">
        <v>1745</v>
      </c>
      <c r="F140" s="16" t="str">
        <f>_xlfn.XLOOKUP(D140,'[3]DROP POINT AKTIF'!$B:$B,'[3]DROP POINT AKTIF'!$F:$F,"-")</f>
        <v>MUHAMAD HAMDAN</v>
      </c>
      <c r="G140" s="21"/>
    </row>
    <row r="141" spans="2:7">
      <c r="B141" s="18" t="s">
        <v>99</v>
      </c>
      <c r="C141" s="16" t="s">
        <v>100</v>
      </c>
      <c r="D141" s="19" t="s">
        <v>168</v>
      </c>
      <c r="E141" s="20" t="s">
        <v>1745</v>
      </c>
      <c r="F141" s="16" t="str">
        <f>_xlfn.XLOOKUP(D141,'[3]DROP POINT AKTIF'!$B:$B,'[3]DROP POINT AKTIF'!$F:$F,"-")</f>
        <v>MUHAMAD LUTFI SUHENDAR</v>
      </c>
      <c r="G141" s="21"/>
    </row>
    <row r="142" spans="2:7">
      <c r="B142" s="18" t="s">
        <v>99</v>
      </c>
      <c r="C142" s="16" t="s">
        <v>100</v>
      </c>
      <c r="D142" s="19" t="s">
        <v>169</v>
      </c>
      <c r="E142" s="20" t="s">
        <v>1745</v>
      </c>
      <c r="F142" s="16" t="str">
        <f>_xlfn.XLOOKUP(D142,'[3]DROP POINT AKTIF'!$B:$B,'[3]DROP POINT AKTIF'!$F:$F,"-")</f>
        <v>MELI ROMLI</v>
      </c>
      <c r="G142" s="21"/>
    </row>
    <row r="143" spans="2:7">
      <c r="B143" s="18" t="s">
        <v>99</v>
      </c>
      <c r="C143" s="16" t="s">
        <v>100</v>
      </c>
      <c r="D143" s="19" t="s">
        <v>170</v>
      </c>
      <c r="E143" s="20" t="s">
        <v>1745</v>
      </c>
      <c r="F143" s="16" t="str">
        <f>_xlfn.XLOOKUP(D143,'[3]DROP POINT AKTIF'!$B:$B,'[3]DROP POINT AKTIF'!$F:$F,"-")</f>
        <v>RIKIYANSAH</v>
      </c>
      <c r="G143" s="21"/>
    </row>
    <row r="144" spans="2:7">
      <c r="B144" s="18" t="s">
        <v>99</v>
      </c>
      <c r="C144" s="16" t="s">
        <v>100</v>
      </c>
      <c r="D144" s="19" t="s">
        <v>171</v>
      </c>
      <c r="E144" s="20" t="s">
        <v>1745</v>
      </c>
      <c r="F144" s="16" t="str">
        <f>_xlfn.XLOOKUP(D144,'[3]DROP POINT AKTIF'!$B:$B,'[3]DROP POINT AKTIF'!$F:$F,"-")</f>
        <v>SUHENDRIK</v>
      </c>
      <c r="G144" s="21"/>
    </row>
    <row r="145" spans="2:7">
      <c r="B145" s="18" t="s">
        <v>99</v>
      </c>
      <c r="C145" s="16" t="s">
        <v>100</v>
      </c>
      <c r="D145" s="19" t="s">
        <v>172</v>
      </c>
      <c r="E145" s="20" t="s">
        <v>1745</v>
      </c>
      <c r="F145" s="16" t="str">
        <f>_xlfn.XLOOKUP(D145,'[3]DROP POINT AKTIF'!$B:$B,'[3]DROP POINT AKTIF'!$F:$F,"-")</f>
        <v>MUHAMAD FICQIH</v>
      </c>
      <c r="G145" s="21"/>
    </row>
    <row r="146" spans="2:7">
      <c r="B146" s="18" t="s">
        <v>99</v>
      </c>
      <c r="C146" s="16" t="s">
        <v>100</v>
      </c>
      <c r="D146" s="19" t="s">
        <v>173</v>
      </c>
      <c r="E146" s="20" t="s">
        <v>1745</v>
      </c>
      <c r="F146" s="16" t="str">
        <f>_xlfn.XLOOKUP(D146,'[3]DROP POINT AKTIF'!$B:$B,'[3]DROP POINT AKTIF'!$F:$F,"-")</f>
        <v>RIKIYANSAH</v>
      </c>
      <c r="G146" s="21"/>
    </row>
    <row r="147" spans="2:7">
      <c r="B147" s="18" t="s">
        <v>99</v>
      </c>
      <c r="C147" s="16" t="s">
        <v>100</v>
      </c>
      <c r="D147" s="19" t="s">
        <v>174</v>
      </c>
      <c r="E147" s="20" t="s">
        <v>1722</v>
      </c>
      <c r="F147" s="16" t="str">
        <f>_xlfn.XLOOKUP(D147,'[3]DROP POINT AKTIF'!$B:$B,'[3]DROP POINT AKTIF'!$F:$F,"-")</f>
        <v>-</v>
      </c>
      <c r="G147" s="21"/>
    </row>
    <row r="148" spans="2:7">
      <c r="B148" s="18" t="s">
        <v>99</v>
      </c>
      <c r="C148" s="16" t="s">
        <v>100</v>
      </c>
      <c r="D148" s="19" t="s">
        <v>175</v>
      </c>
      <c r="E148" s="20" t="s">
        <v>1745</v>
      </c>
      <c r="F148" s="16" t="str">
        <f>_xlfn.XLOOKUP(D148,'[3]DROP POINT AKTIF'!$B:$B,'[3]DROP POINT AKTIF'!$F:$F,"-")</f>
        <v>MOHAMAD TOPAN BERI FIRMAN</v>
      </c>
      <c r="G148" s="21"/>
    </row>
    <row r="149" spans="2:7">
      <c r="B149" s="18" t="s">
        <v>99</v>
      </c>
      <c r="C149" s="16" t="s">
        <v>100</v>
      </c>
      <c r="D149" s="19" t="s">
        <v>176</v>
      </c>
      <c r="E149" s="20" t="s">
        <v>1745</v>
      </c>
      <c r="F149" s="16" t="str">
        <f>_xlfn.XLOOKUP(D149,'[3]DROP POINT AKTIF'!$B:$B,'[3]DROP POINT AKTIF'!$F:$F,"-")</f>
        <v>DIRGAHAYU</v>
      </c>
      <c r="G149" s="21"/>
    </row>
    <row r="150" spans="2:7">
      <c r="B150" s="18" t="s">
        <v>99</v>
      </c>
      <c r="C150" s="16" t="s">
        <v>100</v>
      </c>
      <c r="D150" s="19" t="s">
        <v>177</v>
      </c>
      <c r="E150" s="20" t="s">
        <v>1722</v>
      </c>
      <c r="F150" s="16" t="str">
        <f>_xlfn.XLOOKUP(D150,'[3]DROP POINT AKTIF'!$B:$B,'[3]DROP POINT AKTIF'!$F:$F,"-")</f>
        <v>MUHAMMAD BAGUS PRATAMA</v>
      </c>
      <c r="G150" s="21"/>
    </row>
    <row r="151" spans="2:7">
      <c r="B151" s="18" t="s">
        <v>99</v>
      </c>
      <c r="C151" s="16" t="s">
        <v>100</v>
      </c>
      <c r="D151" s="19" t="s">
        <v>178</v>
      </c>
      <c r="E151" s="20" t="s">
        <v>1745</v>
      </c>
      <c r="F151" s="16" t="str">
        <f>_xlfn.XLOOKUP(D151,'[3]DROP POINT AKTIF'!$B:$B,'[3]DROP POINT AKTIF'!$F:$F,"-")</f>
        <v>SYAMSURI</v>
      </c>
      <c r="G151" s="21"/>
    </row>
    <row r="152" spans="2:7">
      <c r="B152" s="18" t="s">
        <v>99</v>
      </c>
      <c r="C152" s="16" t="s">
        <v>100</v>
      </c>
      <c r="D152" s="19" t="s">
        <v>179</v>
      </c>
      <c r="E152" s="20" t="s">
        <v>1722</v>
      </c>
      <c r="F152" s="16" t="str">
        <f>_xlfn.XLOOKUP(D152,'[3]DROP POINT AKTIF'!$B:$B,'[3]DROP POINT AKTIF'!$F:$F,"-")</f>
        <v>FAUZUL HUSNAN</v>
      </c>
      <c r="G152" s="21"/>
    </row>
    <row r="153" spans="2:7">
      <c r="B153" s="18" t="s">
        <v>99</v>
      </c>
      <c r="C153" s="16" t="s">
        <v>100</v>
      </c>
      <c r="D153" s="19" t="s">
        <v>180</v>
      </c>
      <c r="E153" s="20" t="s">
        <v>1722</v>
      </c>
      <c r="F153" s="16" t="str">
        <f>_xlfn.XLOOKUP(D153,'[3]DROP POINT AKTIF'!$B:$B,'[3]DROP POINT AKTIF'!$F:$F,"-")</f>
        <v>NUR YOYO GUNARA</v>
      </c>
      <c r="G153" s="21"/>
    </row>
    <row r="154" spans="2:7">
      <c r="B154" s="18" t="s">
        <v>99</v>
      </c>
      <c r="C154" s="16" t="s">
        <v>100</v>
      </c>
      <c r="D154" s="19" t="s">
        <v>181</v>
      </c>
      <c r="E154" s="20" t="s">
        <v>1722</v>
      </c>
      <c r="F154" s="16" t="str">
        <f>_xlfn.XLOOKUP(D154,'[3]DROP POINT AKTIF'!$B:$B,'[3]DROP POINT AKTIF'!$F:$F,"-")</f>
        <v>SANDI IRAWAN</v>
      </c>
      <c r="G154" s="21"/>
    </row>
    <row r="155" spans="2:7">
      <c r="B155" s="18" t="s">
        <v>99</v>
      </c>
      <c r="C155" s="16" t="s">
        <v>100</v>
      </c>
      <c r="D155" s="19" t="s">
        <v>182</v>
      </c>
      <c r="E155" s="20" t="s">
        <v>1722</v>
      </c>
      <c r="F155" s="16" t="str">
        <f>_xlfn.XLOOKUP(D155,'[3]DROP POINT AKTIF'!$B:$B,'[3]DROP POINT AKTIF'!$F:$F,"-")</f>
        <v>AHMAD NURYAMAN</v>
      </c>
      <c r="G155" s="21"/>
    </row>
    <row r="156" spans="2:7">
      <c r="B156" s="18" t="s">
        <v>99</v>
      </c>
      <c r="C156" s="16" t="s">
        <v>100</v>
      </c>
      <c r="D156" s="19" t="s">
        <v>183</v>
      </c>
      <c r="E156" s="20" t="s">
        <v>1722</v>
      </c>
      <c r="F156" s="16" t="str">
        <f>_xlfn.XLOOKUP(D156,'[3]DROP POINT AKTIF'!$B:$B,'[3]DROP POINT AKTIF'!$F:$F,"-")</f>
        <v>AHMAD RONI SAFRONI</v>
      </c>
      <c r="G156" s="21"/>
    </row>
    <row r="157" spans="2:7">
      <c r="B157" s="18" t="s">
        <v>99</v>
      </c>
      <c r="C157" s="16" t="s">
        <v>100</v>
      </c>
      <c r="D157" s="19" t="s">
        <v>184</v>
      </c>
      <c r="E157" s="20" t="s">
        <v>1722</v>
      </c>
      <c r="F157" s="16" t="str">
        <f>_xlfn.XLOOKUP(D157,'[3]DROP POINT AKTIF'!$B:$B,'[3]DROP POINT AKTIF'!$F:$F,"-")</f>
        <v>DWI ADI SUTRISNO</v>
      </c>
      <c r="G157" s="21"/>
    </row>
    <row r="158" spans="2:7">
      <c r="B158" s="18" t="s">
        <v>99</v>
      </c>
      <c r="C158" s="16" t="s">
        <v>100</v>
      </c>
      <c r="D158" s="19" t="s">
        <v>185</v>
      </c>
      <c r="E158" s="20" t="s">
        <v>1745</v>
      </c>
      <c r="F158" s="16" t="str">
        <f>_xlfn.XLOOKUP(D158,'[3]DROP POINT AKTIF'!$B:$B,'[3]DROP POINT AKTIF'!$F:$F,"-")</f>
        <v>SAEPI</v>
      </c>
      <c r="G158" s="21"/>
    </row>
    <row r="159" spans="2:7">
      <c r="B159" s="18" t="s">
        <v>99</v>
      </c>
      <c r="C159" s="16" t="s">
        <v>100</v>
      </c>
      <c r="D159" s="19" t="s">
        <v>186</v>
      </c>
      <c r="E159" s="20" t="s">
        <v>1722</v>
      </c>
      <c r="F159" s="16" t="str">
        <f>_xlfn.XLOOKUP(D159,'[3]DROP POINT AKTIF'!$B:$B,'[3]DROP POINT AKTIF'!$F:$F,"-")</f>
        <v>EKO PURNAWAN SUHERI</v>
      </c>
      <c r="G159" s="21"/>
    </row>
    <row r="160" spans="2:7">
      <c r="B160" s="18" t="s">
        <v>99</v>
      </c>
      <c r="C160" s="16" t="s">
        <v>100</v>
      </c>
      <c r="D160" s="19" t="s">
        <v>187</v>
      </c>
      <c r="E160" s="20" t="s">
        <v>1745</v>
      </c>
      <c r="F160" s="16" t="str">
        <f>_xlfn.XLOOKUP(D160,'[3]DROP POINT AKTIF'!$B:$B,'[3]DROP POINT AKTIF'!$F:$F,"-")</f>
        <v>AZIS BACHTIAR</v>
      </c>
      <c r="G160" s="21"/>
    </row>
    <row r="161" spans="2:7">
      <c r="B161" s="18" t="s">
        <v>99</v>
      </c>
      <c r="C161" s="16" t="s">
        <v>100</v>
      </c>
      <c r="D161" s="19" t="s">
        <v>188</v>
      </c>
      <c r="E161" s="20" t="s">
        <v>1722</v>
      </c>
      <c r="F161" s="16" t="str">
        <f>_xlfn.XLOOKUP(D161,'[3]DROP POINT AKTIF'!$B:$B,'[3]DROP POINT AKTIF'!$F:$F,"-")</f>
        <v>AHMAD RONI SAFRONI</v>
      </c>
      <c r="G161" s="21"/>
    </row>
    <row r="162" spans="2:7">
      <c r="B162" s="18" t="s">
        <v>99</v>
      </c>
      <c r="C162" s="16" t="s">
        <v>100</v>
      </c>
      <c r="D162" s="19" t="s">
        <v>189</v>
      </c>
      <c r="E162" s="20" t="s">
        <v>1745</v>
      </c>
      <c r="F162" s="16" t="str">
        <f>_xlfn.XLOOKUP(D162,'[3]DROP POINT AKTIF'!$B:$B,'[3]DROP POINT AKTIF'!$F:$F,"-")</f>
        <v>NURDIN</v>
      </c>
      <c r="G162" s="21"/>
    </row>
    <row r="163" spans="2:7">
      <c r="B163" s="18" t="s">
        <v>99</v>
      </c>
      <c r="C163" s="16" t="s">
        <v>100</v>
      </c>
      <c r="D163" s="19" t="s">
        <v>190</v>
      </c>
      <c r="E163" s="20" t="s">
        <v>1745</v>
      </c>
      <c r="F163" s="16" t="str">
        <f>_xlfn.XLOOKUP(D163,'[3]DROP POINT AKTIF'!$B:$B,'[3]DROP POINT AKTIF'!$F:$F,"-")</f>
        <v>SYAMSURI</v>
      </c>
      <c r="G163" s="21"/>
    </row>
    <row r="164" spans="2:7">
      <c r="B164" s="18" t="s">
        <v>99</v>
      </c>
      <c r="C164" s="16" t="s">
        <v>100</v>
      </c>
      <c r="D164" s="19" t="s">
        <v>191</v>
      </c>
      <c r="E164" s="20" t="s">
        <v>1722</v>
      </c>
      <c r="F164" s="16" t="str">
        <f>_xlfn.XLOOKUP(D164,'[3]DROP POINT AKTIF'!$B:$B,'[3]DROP POINT AKTIF'!$F:$F,"-")</f>
        <v>MULYADI</v>
      </c>
      <c r="G164" s="21"/>
    </row>
    <row r="165" spans="2:7">
      <c r="B165" s="18" t="s">
        <v>99</v>
      </c>
      <c r="C165" s="16" t="s">
        <v>100</v>
      </c>
      <c r="D165" s="19" t="s">
        <v>192</v>
      </c>
      <c r="E165" s="20" t="s">
        <v>1722</v>
      </c>
      <c r="F165" s="16" t="str">
        <f>_xlfn.XLOOKUP(D165,'[3]DROP POINT AKTIF'!$B:$B,'[3]DROP POINT AKTIF'!$F:$F,"-")</f>
        <v>ISHAK DISTANSYAH</v>
      </c>
      <c r="G165" s="21"/>
    </row>
    <row r="166" spans="2:7">
      <c r="B166" s="18" t="s">
        <v>99</v>
      </c>
      <c r="C166" s="16" t="s">
        <v>100</v>
      </c>
      <c r="D166" s="19" t="s">
        <v>193</v>
      </c>
      <c r="E166" s="20" t="s">
        <v>1722</v>
      </c>
      <c r="F166" s="16" t="str">
        <f>_xlfn.XLOOKUP(D166,'[3]DROP POINT AKTIF'!$B:$B,'[3]DROP POINT AKTIF'!$F:$F,"-")</f>
        <v>SOFYAN DWI SAPUTRA</v>
      </c>
      <c r="G166" s="21"/>
    </row>
    <row r="167" spans="2:7">
      <c r="B167" s="18" t="s">
        <v>99</v>
      </c>
      <c r="C167" s="16" t="s">
        <v>100</v>
      </c>
      <c r="D167" s="19" t="s">
        <v>194</v>
      </c>
      <c r="E167" s="20" t="s">
        <v>1722</v>
      </c>
      <c r="F167" s="16" t="str">
        <f>_xlfn.XLOOKUP(D167,'[3]DROP POINT AKTIF'!$B:$B,'[3]DROP POINT AKTIF'!$F:$F,"-")</f>
        <v>ADITYA</v>
      </c>
      <c r="G167" s="21"/>
    </row>
    <row r="168" spans="2:7">
      <c r="B168" s="18" t="s">
        <v>99</v>
      </c>
      <c r="C168" s="16" t="s">
        <v>100</v>
      </c>
      <c r="D168" s="19" t="s">
        <v>195</v>
      </c>
      <c r="E168" s="20" t="s">
        <v>1722</v>
      </c>
      <c r="F168" s="16" t="str">
        <f>_xlfn.XLOOKUP(D168,'[3]DROP POINT AKTIF'!$B:$B,'[3]DROP POINT AKTIF'!$F:$F,"-")</f>
        <v>ERIK</v>
      </c>
      <c r="G168" s="21"/>
    </row>
    <row r="169" spans="2:7">
      <c r="B169" s="18" t="s">
        <v>99</v>
      </c>
      <c r="C169" s="16" t="s">
        <v>100</v>
      </c>
      <c r="D169" s="19" t="s">
        <v>196</v>
      </c>
      <c r="E169" s="20" t="s">
        <v>1745</v>
      </c>
      <c r="F169" s="16" t="str">
        <f>_xlfn.XLOOKUP(D169,'[3]DROP POINT AKTIF'!$B:$B,'[3]DROP POINT AKTIF'!$F:$F,"-")</f>
        <v>DONI ANGGARA</v>
      </c>
      <c r="G169" s="21"/>
    </row>
    <row r="170" spans="2:7">
      <c r="B170" s="18" t="s">
        <v>99</v>
      </c>
      <c r="C170" s="16" t="s">
        <v>100</v>
      </c>
      <c r="D170" s="19" t="s">
        <v>197</v>
      </c>
      <c r="E170" s="20" t="s">
        <v>1745</v>
      </c>
      <c r="F170" s="16" t="str">
        <f>_xlfn.XLOOKUP(D170,'[3]DROP POINT AKTIF'!$B:$B,'[3]DROP POINT AKTIF'!$F:$F,"-")</f>
        <v>IQBAL PURWANDI</v>
      </c>
      <c r="G170" s="21"/>
    </row>
    <row r="171" spans="2:7">
      <c r="B171" s="18" t="s">
        <v>99</v>
      </c>
      <c r="C171" s="16" t="s">
        <v>100</v>
      </c>
      <c r="D171" s="19" t="s">
        <v>198</v>
      </c>
      <c r="E171" s="20" t="s">
        <v>1722</v>
      </c>
      <c r="F171" s="16" t="str">
        <f>_xlfn.XLOOKUP(D171,'[3]DROP POINT AKTIF'!$B:$B,'[3]DROP POINT AKTIF'!$F:$F,"-")</f>
        <v>ALIZHAR</v>
      </c>
      <c r="G171" s="21"/>
    </row>
    <row r="172" spans="2:7">
      <c r="B172" s="18" t="s">
        <v>99</v>
      </c>
      <c r="C172" s="16" t="s">
        <v>100</v>
      </c>
      <c r="D172" s="19" t="s">
        <v>199</v>
      </c>
      <c r="E172" s="20" t="s">
        <v>1745</v>
      </c>
      <c r="F172" s="16" t="str">
        <f>_xlfn.XLOOKUP(D172,'[3]DROP POINT AKTIF'!$B:$B,'[3]DROP POINT AKTIF'!$F:$F,"-")</f>
        <v>HERI LISTIANTO</v>
      </c>
      <c r="G172" s="21"/>
    </row>
    <row r="173" spans="2:7">
      <c r="B173" s="18" t="s">
        <v>99</v>
      </c>
      <c r="C173" s="16" t="s">
        <v>100</v>
      </c>
      <c r="D173" s="19" t="s">
        <v>200</v>
      </c>
      <c r="E173" s="20" t="s">
        <v>1722</v>
      </c>
      <c r="F173" s="16" t="str">
        <f>_xlfn.XLOOKUP(D173,'[3]DROP POINT AKTIF'!$B:$B,'[3]DROP POINT AKTIF'!$F:$F,"-")</f>
        <v>DEDEN</v>
      </c>
      <c r="G173" s="21"/>
    </row>
    <row r="174" spans="2:7">
      <c r="B174" s="18" t="s">
        <v>99</v>
      </c>
      <c r="C174" s="16" t="s">
        <v>100</v>
      </c>
      <c r="D174" s="19" t="s">
        <v>201</v>
      </c>
      <c r="E174" s="20" t="s">
        <v>1745</v>
      </c>
      <c r="F174" s="16" t="str">
        <f>_xlfn.XLOOKUP(D174,'[3]DROP POINT AKTIF'!$B:$B,'[3]DROP POINT AKTIF'!$F:$F,"-")</f>
        <v>JIDAN ALFARIZQI</v>
      </c>
      <c r="G174" s="21"/>
    </row>
    <row r="175" spans="2:7">
      <c r="B175" s="18" t="s">
        <v>99</v>
      </c>
      <c r="C175" s="16" t="s">
        <v>100</v>
      </c>
      <c r="D175" s="19" t="s">
        <v>202</v>
      </c>
      <c r="E175" s="20" t="s">
        <v>1722</v>
      </c>
      <c r="F175" s="16" t="str">
        <f>_xlfn.XLOOKUP(D175,'[3]DROP POINT AKTIF'!$B:$B,'[3]DROP POINT AKTIF'!$F:$F,"-")</f>
        <v>-</v>
      </c>
      <c r="G175" s="21"/>
    </row>
    <row r="176" spans="2:7">
      <c r="B176" s="18" t="s">
        <v>99</v>
      </c>
      <c r="C176" s="16" t="s">
        <v>100</v>
      </c>
      <c r="D176" s="19" t="s">
        <v>203</v>
      </c>
      <c r="E176" s="20" t="s">
        <v>1745</v>
      </c>
      <c r="F176" s="16" t="str">
        <f>_xlfn.XLOOKUP(D176,'[3]DROP POINT AKTIF'!$B:$B,'[3]DROP POINT AKTIF'!$F:$F,"-")</f>
        <v>ADI IKUN</v>
      </c>
      <c r="G176" s="21"/>
    </row>
    <row r="177" spans="2:7">
      <c r="B177" s="18" t="s">
        <v>99</v>
      </c>
      <c r="C177" s="16" t="s">
        <v>100</v>
      </c>
      <c r="D177" s="19" t="s">
        <v>204</v>
      </c>
      <c r="E177" s="20" t="s">
        <v>1745</v>
      </c>
      <c r="F177" s="16" t="str">
        <f>_xlfn.XLOOKUP(D177,'[3]DROP POINT AKTIF'!$B:$B,'[3]DROP POINT AKTIF'!$F:$F,"-")</f>
        <v>LEGIYONO</v>
      </c>
      <c r="G177" s="21"/>
    </row>
    <row r="178" spans="2:7">
      <c r="B178" s="18" t="s">
        <v>99</v>
      </c>
      <c r="C178" s="16" t="s">
        <v>100</v>
      </c>
      <c r="D178" s="19" t="s">
        <v>205</v>
      </c>
      <c r="E178" s="20" t="s">
        <v>1745</v>
      </c>
      <c r="F178" s="16" t="str">
        <f>_xlfn.XLOOKUP(D178,'[3]DROP POINT AKTIF'!$B:$B,'[3]DROP POINT AKTIF'!$F:$F,"-")</f>
        <v>JALALUDIN</v>
      </c>
      <c r="G178" s="21"/>
    </row>
    <row r="179" spans="2:7">
      <c r="B179" s="18" t="s">
        <v>99</v>
      </c>
      <c r="C179" s="16" t="s">
        <v>100</v>
      </c>
      <c r="D179" s="19" t="s">
        <v>206</v>
      </c>
      <c r="E179" s="20" t="s">
        <v>1722</v>
      </c>
      <c r="F179" s="16" t="str">
        <f>_xlfn.XLOOKUP(D179,'[3]DROP POINT AKTIF'!$B:$B,'[3]DROP POINT AKTIF'!$F:$F,"-")</f>
        <v>SEPTIAN</v>
      </c>
      <c r="G179" s="21"/>
    </row>
    <row r="180" spans="2:7">
      <c r="B180" s="18" t="s">
        <v>99</v>
      </c>
      <c r="C180" s="16" t="s">
        <v>100</v>
      </c>
      <c r="D180" s="19" t="s">
        <v>207</v>
      </c>
      <c r="E180" s="20" t="s">
        <v>1722</v>
      </c>
      <c r="F180" s="16" t="str">
        <f>_xlfn.XLOOKUP(D180,'[3]DROP POINT AKTIF'!$B:$B,'[3]DROP POINT AKTIF'!$F:$F,"-")</f>
        <v>MUHAMMAD PRASETYA</v>
      </c>
      <c r="G180" s="21"/>
    </row>
    <row r="181" spans="2:7">
      <c r="B181" s="18" t="s">
        <v>99</v>
      </c>
      <c r="C181" s="16" t="s">
        <v>100</v>
      </c>
      <c r="D181" s="19" t="s">
        <v>208</v>
      </c>
      <c r="E181" s="20" t="s">
        <v>1722</v>
      </c>
      <c r="F181" s="16" t="str">
        <f>_xlfn.XLOOKUP(D181,'[3]DROP POINT AKTIF'!$B:$B,'[3]DROP POINT AKTIF'!$F:$F,"-")</f>
        <v>SANUSI</v>
      </c>
      <c r="G181" s="21"/>
    </row>
    <row r="182" spans="2:7">
      <c r="B182" s="18" t="s">
        <v>99</v>
      </c>
      <c r="C182" s="16" t="s">
        <v>100</v>
      </c>
      <c r="D182" s="19" t="s">
        <v>209</v>
      </c>
      <c r="E182" s="20" t="s">
        <v>1722</v>
      </c>
      <c r="F182" s="16" t="str">
        <f>_xlfn.XLOOKUP(D182,'[3]DROP POINT AKTIF'!$B:$B,'[3]DROP POINT AKTIF'!$F:$F,"-")</f>
        <v>-</v>
      </c>
      <c r="G182" s="21"/>
    </row>
    <row r="183" spans="2:7">
      <c r="B183" s="18" t="s">
        <v>210</v>
      </c>
      <c r="C183" s="16" t="s">
        <v>211</v>
      </c>
      <c r="D183" s="19" t="s">
        <v>212</v>
      </c>
      <c r="E183" s="20" t="s">
        <v>1722</v>
      </c>
      <c r="F183" s="16" t="str">
        <f>_xlfn.XLOOKUP(D183,'[4]DROP POINT BEKASI'!$B:$B,'[4]DROP POINT BEKASI'!$E:$E,"-")</f>
        <v>ERLANGGA ISMADYA PUTRA</v>
      </c>
      <c r="G183" s="21"/>
    </row>
    <row r="184" spans="2:7">
      <c r="B184" s="18" t="s">
        <v>210</v>
      </c>
      <c r="C184" s="16" t="s">
        <v>211</v>
      </c>
      <c r="D184" s="19" t="s">
        <v>213</v>
      </c>
      <c r="E184" s="20" t="s">
        <v>1745</v>
      </c>
      <c r="F184" s="16" t="str">
        <f>_xlfn.XLOOKUP(D184,'[4]DROP POINT BEKASI'!$B:$B,'[4]DROP POINT BEKASI'!$E:$E,"-")</f>
        <v>RICHSON FAHMI</v>
      </c>
      <c r="G184" s="21"/>
    </row>
    <row r="185" spans="2:7">
      <c r="B185" s="18" t="s">
        <v>210</v>
      </c>
      <c r="C185" s="16" t="s">
        <v>211</v>
      </c>
      <c r="D185" s="19" t="s">
        <v>214</v>
      </c>
      <c r="E185" s="20" t="s">
        <v>1745</v>
      </c>
      <c r="F185" s="16" t="str">
        <f>_xlfn.XLOOKUP(D185,'[4]DROP POINT BEKASI'!$B:$B,'[4]DROP POINT BEKASI'!$E:$E,"-")</f>
        <v>TITO ASWIN KARIM</v>
      </c>
      <c r="G185" s="21"/>
    </row>
    <row r="186" spans="2:7">
      <c r="B186" s="18" t="s">
        <v>210</v>
      </c>
      <c r="C186" s="16" t="s">
        <v>211</v>
      </c>
      <c r="D186" s="19" t="s">
        <v>215</v>
      </c>
      <c r="E186" s="20" t="s">
        <v>1745</v>
      </c>
      <c r="F186" s="16" t="str">
        <f>_xlfn.XLOOKUP(D186,'[4]DROP POINT BEKASI'!$B:$B,'[4]DROP POINT BEKASI'!$E:$E,"-")</f>
        <v>AHMAD RIQBAL</v>
      </c>
      <c r="G186" s="21"/>
    </row>
    <row r="187" spans="2:7">
      <c r="B187" s="18" t="s">
        <v>210</v>
      </c>
      <c r="C187" s="16" t="s">
        <v>211</v>
      </c>
      <c r="D187" s="19" t="s">
        <v>216</v>
      </c>
      <c r="E187" s="20" t="s">
        <v>1722</v>
      </c>
      <c r="F187" s="16" t="str">
        <f>_xlfn.XLOOKUP(D187,'[4]DROP POINT BEKASI'!$B:$B,'[4]DROP POINT BEKASI'!$E:$E,"-")</f>
        <v>NURROHIM</v>
      </c>
      <c r="G187" s="21"/>
    </row>
    <row r="188" spans="2:7">
      <c r="B188" s="18" t="s">
        <v>210</v>
      </c>
      <c r="C188" s="16" t="s">
        <v>211</v>
      </c>
      <c r="D188" s="19" t="s">
        <v>217</v>
      </c>
      <c r="E188" s="20" t="s">
        <v>1745</v>
      </c>
      <c r="F188" s="16" t="str">
        <f>_xlfn.XLOOKUP(D188,'[4]DROP POINT BEKASI'!$B:$B,'[4]DROP POINT BEKASI'!$E:$E,"-")</f>
        <v>ACHMAD MAZIRI</v>
      </c>
      <c r="G188" s="21"/>
    </row>
    <row r="189" spans="2:7">
      <c r="B189" s="18" t="s">
        <v>210</v>
      </c>
      <c r="C189" s="16" t="s">
        <v>211</v>
      </c>
      <c r="D189" s="19" t="s">
        <v>218</v>
      </c>
      <c r="E189" s="20" t="s">
        <v>1745</v>
      </c>
      <c r="F189" s="16" t="str">
        <f>_xlfn.XLOOKUP(D189,'[4]DROP POINT BEKASI'!$B:$B,'[4]DROP POINT BEKASI'!$E:$E,"-")</f>
        <v>SUTISNA</v>
      </c>
      <c r="G189" s="21"/>
    </row>
    <row r="190" spans="2:7">
      <c r="B190" s="18" t="s">
        <v>210</v>
      </c>
      <c r="C190" s="16" t="s">
        <v>211</v>
      </c>
      <c r="D190" s="19" t="s">
        <v>219</v>
      </c>
      <c r="E190" s="20" t="s">
        <v>1745</v>
      </c>
      <c r="F190" s="16" t="str">
        <f>_xlfn.XLOOKUP(D190,'[4]DROP POINT BEKASI'!$B:$B,'[4]DROP POINT BEKASI'!$E:$E,"-")</f>
        <v>FAHMI AL JUFRY</v>
      </c>
      <c r="G190" s="21"/>
    </row>
    <row r="191" spans="2:7">
      <c r="B191" s="18" t="s">
        <v>210</v>
      </c>
      <c r="C191" s="16" t="s">
        <v>211</v>
      </c>
      <c r="D191" s="19" t="s">
        <v>220</v>
      </c>
      <c r="E191" s="20" t="s">
        <v>1745</v>
      </c>
      <c r="F191" s="16" t="str">
        <f>_xlfn.XLOOKUP(D191,'[4]DROP POINT BEKASI'!$B:$B,'[4]DROP POINT BEKASI'!$E:$E,"-")</f>
        <v>YOGA WARDANA</v>
      </c>
      <c r="G191" s="21"/>
    </row>
    <row r="192" spans="2:7">
      <c r="B192" s="18" t="s">
        <v>210</v>
      </c>
      <c r="C192" s="16" t="s">
        <v>211</v>
      </c>
      <c r="D192" s="19" t="s">
        <v>221</v>
      </c>
      <c r="E192" s="20" t="s">
        <v>1745</v>
      </c>
      <c r="F192" s="16" t="str">
        <f>_xlfn.XLOOKUP(D192,'[4]DROP POINT BEKASI'!$B:$B,'[4]DROP POINT BEKASI'!$E:$E,"-")</f>
        <v>ANGGA KUSUMA</v>
      </c>
      <c r="G192" s="21"/>
    </row>
    <row r="193" spans="2:7">
      <c r="B193" s="18" t="s">
        <v>210</v>
      </c>
      <c r="C193" s="16" t="s">
        <v>211</v>
      </c>
      <c r="D193" s="19" t="s">
        <v>222</v>
      </c>
      <c r="E193" s="20" t="s">
        <v>1722</v>
      </c>
      <c r="F193" s="16" t="str">
        <f>_xlfn.XLOOKUP(D193,'[4]DROP POINT BEKASI'!$B:$B,'[4]DROP POINT BEKASI'!$E:$E,"-")</f>
        <v>ALI IBRAHIM</v>
      </c>
      <c r="G193" s="21"/>
    </row>
    <row r="194" spans="2:7">
      <c r="B194" s="18" t="s">
        <v>210</v>
      </c>
      <c r="C194" s="16" t="s">
        <v>211</v>
      </c>
      <c r="D194" s="19" t="s">
        <v>223</v>
      </c>
      <c r="E194" s="20" t="s">
        <v>1722</v>
      </c>
      <c r="F194" s="16" t="str">
        <f>_xlfn.XLOOKUP(D194,'[4]DROP POINT BEKASI'!$B:$B,'[4]DROP POINT BEKASI'!$E:$E,"-")</f>
        <v>ACHMAD MAULANA PUTRA</v>
      </c>
      <c r="G194" s="21"/>
    </row>
    <row r="195" spans="2:7">
      <c r="B195" s="18" t="s">
        <v>210</v>
      </c>
      <c r="C195" s="16" t="s">
        <v>211</v>
      </c>
      <c r="D195" s="19" t="s">
        <v>224</v>
      </c>
      <c r="E195" s="20" t="s">
        <v>1722</v>
      </c>
      <c r="F195" s="16" t="str">
        <f>_xlfn.XLOOKUP(D195,'[4]DROP POINT BEKASI'!$B:$B,'[4]DROP POINT BEKASI'!$E:$E,"-")</f>
        <v>ANNISAA NURULHUDA WAHIDIN</v>
      </c>
      <c r="G195" s="21"/>
    </row>
    <row r="196" spans="2:7">
      <c r="B196" s="18" t="s">
        <v>210</v>
      </c>
      <c r="C196" s="16" t="s">
        <v>211</v>
      </c>
      <c r="D196" s="19" t="s">
        <v>225</v>
      </c>
      <c r="E196" s="20" t="s">
        <v>1745</v>
      </c>
      <c r="F196" s="16" t="str">
        <f>_xlfn.XLOOKUP(D196,'[4]DROP POINT BEKASI'!$B:$B,'[4]DROP POINT BEKASI'!$E:$E,"-")</f>
        <v>DIDIT JAMALUDIN</v>
      </c>
      <c r="G196" s="21"/>
    </row>
    <row r="197" spans="2:7">
      <c r="B197" s="18" t="s">
        <v>210</v>
      </c>
      <c r="C197" s="16" t="s">
        <v>211</v>
      </c>
      <c r="D197" s="19" t="s">
        <v>226</v>
      </c>
      <c r="E197" s="20" t="s">
        <v>1745</v>
      </c>
      <c r="F197" s="16" t="str">
        <f>_xlfn.XLOOKUP(D197,'[4]DROP POINT BEKASI'!$B:$B,'[4]DROP POINT BEKASI'!$E:$E,"-")</f>
        <v>RENDY DIRGANTARA</v>
      </c>
      <c r="G197" s="21"/>
    </row>
    <row r="198" spans="2:7">
      <c r="B198" s="18" t="s">
        <v>210</v>
      </c>
      <c r="C198" s="16" t="s">
        <v>211</v>
      </c>
      <c r="D198" s="19" t="s">
        <v>227</v>
      </c>
      <c r="E198" s="20" t="s">
        <v>1745</v>
      </c>
      <c r="F198" s="16" t="str">
        <f>_xlfn.XLOOKUP(D198,'[4]DROP POINT BEKASI'!$B:$B,'[4]DROP POINT BEKASI'!$E:$E,"-")</f>
        <v>FAUZI AKBAR</v>
      </c>
      <c r="G198" s="21"/>
    </row>
    <row r="199" spans="2:7">
      <c r="B199" s="18" t="s">
        <v>210</v>
      </c>
      <c r="C199" s="16" t="s">
        <v>211</v>
      </c>
      <c r="D199" s="19" t="s">
        <v>228</v>
      </c>
      <c r="E199" s="20" t="s">
        <v>1745</v>
      </c>
      <c r="F199" s="16" t="str">
        <f>_xlfn.XLOOKUP(D199,'[4]DROP POINT BEKASI'!$B:$B,'[4]DROP POINT BEKASI'!$E:$E,"-")</f>
        <v>FACHRUDIN</v>
      </c>
      <c r="G199" s="21"/>
    </row>
    <row r="200" spans="2:7">
      <c r="B200" s="18" t="s">
        <v>210</v>
      </c>
      <c r="C200" s="16" t="s">
        <v>211</v>
      </c>
      <c r="D200" s="19" t="s">
        <v>229</v>
      </c>
      <c r="E200" s="20" t="s">
        <v>1745</v>
      </c>
      <c r="F200" s="16" t="str">
        <f>_xlfn.XLOOKUP(D200,'[4]DROP POINT BEKASI'!$B:$B,'[4]DROP POINT BEKASI'!$E:$E,"-")</f>
        <v>FAJAR SAPUTRA NOVEBRYANTO</v>
      </c>
      <c r="G200" s="21"/>
    </row>
    <row r="201" spans="2:7">
      <c r="B201" s="18" t="s">
        <v>210</v>
      </c>
      <c r="C201" s="16" t="s">
        <v>211</v>
      </c>
      <c r="D201" s="19" t="s">
        <v>230</v>
      </c>
      <c r="E201" s="20" t="s">
        <v>1745</v>
      </c>
      <c r="F201" s="16" t="str">
        <f>_xlfn.XLOOKUP(D201,'[4]DROP POINT BEKASI'!$B:$B,'[4]DROP POINT BEKASI'!$E:$E,"-")</f>
        <v>KHOIRUL ANWAR</v>
      </c>
      <c r="G201" s="21"/>
    </row>
    <row r="202" spans="2:7">
      <c r="B202" s="18" t="s">
        <v>210</v>
      </c>
      <c r="C202" s="16" t="s">
        <v>211</v>
      </c>
      <c r="D202" s="19" t="s">
        <v>231</v>
      </c>
      <c r="E202" s="20" t="s">
        <v>1745</v>
      </c>
      <c r="F202" s="16" t="str">
        <f>_xlfn.XLOOKUP(D202,'[4]DROP POINT BEKASI'!$B:$B,'[4]DROP POINT BEKASI'!$E:$E,"-")</f>
        <v>DENI PERMANA</v>
      </c>
      <c r="G202" s="21"/>
    </row>
    <row r="203" spans="2:7">
      <c r="B203" s="18" t="s">
        <v>210</v>
      </c>
      <c r="C203" s="16" t="s">
        <v>211</v>
      </c>
      <c r="D203" s="19" t="s">
        <v>232</v>
      </c>
      <c r="E203" s="20" t="s">
        <v>1722</v>
      </c>
      <c r="F203" s="16" t="str">
        <f>_xlfn.XLOOKUP(D203,'[4]DROP POINT BEKASI'!$B:$B,'[4]DROP POINT BEKASI'!$E:$E,"-")</f>
        <v>AROFIQ WALHIDAYAT</v>
      </c>
      <c r="G203" s="21"/>
    </row>
    <row r="204" spans="2:7">
      <c r="B204" s="18" t="s">
        <v>210</v>
      </c>
      <c r="C204" s="16" t="s">
        <v>211</v>
      </c>
      <c r="D204" s="19" t="s">
        <v>233</v>
      </c>
      <c r="E204" s="20" t="s">
        <v>1722</v>
      </c>
      <c r="F204" s="16" t="str">
        <f>_xlfn.XLOOKUP(D204,'[4]DROP POINT BEKASI'!$B:$B,'[4]DROP POINT BEKASI'!$E:$E,"-")</f>
        <v>AAN SUPRATMAN</v>
      </c>
      <c r="G204" s="21"/>
    </row>
    <row r="205" spans="2:7">
      <c r="B205" s="18" t="s">
        <v>210</v>
      </c>
      <c r="C205" s="16" t="s">
        <v>211</v>
      </c>
      <c r="D205" s="19" t="s">
        <v>234</v>
      </c>
      <c r="E205" s="20" t="s">
        <v>1722</v>
      </c>
      <c r="F205" s="16" t="str">
        <f>_xlfn.XLOOKUP(D205,'[4]DROP POINT BEKASI'!$B:$B,'[4]DROP POINT BEKASI'!$E:$E,"-")</f>
        <v>JHENIS ATHA NANDA</v>
      </c>
      <c r="G205" s="21"/>
    </row>
    <row r="206" spans="2:7">
      <c r="B206" s="18" t="s">
        <v>210</v>
      </c>
      <c r="C206" s="16" t="s">
        <v>211</v>
      </c>
      <c r="D206" s="19" t="s">
        <v>235</v>
      </c>
      <c r="E206" s="20" t="s">
        <v>1722</v>
      </c>
      <c r="F206" s="16" t="str">
        <f>_xlfn.XLOOKUP(D206,'[4]DROP POINT BEKASI'!$B:$B,'[4]DROP POINT BEKASI'!$E:$E,"-")</f>
        <v>SELAMET DARSIYO</v>
      </c>
      <c r="G206" s="21"/>
    </row>
    <row r="207" spans="2:7">
      <c r="B207" s="18" t="s">
        <v>210</v>
      </c>
      <c r="C207" s="16" t="s">
        <v>211</v>
      </c>
      <c r="D207" s="19" t="s">
        <v>236</v>
      </c>
      <c r="E207" s="20" t="s">
        <v>1722</v>
      </c>
      <c r="F207" s="16" t="str">
        <f>_xlfn.XLOOKUP(D207,'[4]DROP POINT BEKASI'!$B:$B,'[4]DROP POINT BEKASI'!$E:$E,"-")</f>
        <v>NANDA ARIS WANDI</v>
      </c>
      <c r="G207" s="21"/>
    </row>
    <row r="208" spans="2:7">
      <c r="B208" s="18" t="s">
        <v>210</v>
      </c>
      <c r="C208" s="16" t="s">
        <v>211</v>
      </c>
      <c r="D208" s="19" t="s">
        <v>237</v>
      </c>
      <c r="E208" s="20" t="s">
        <v>1745</v>
      </c>
      <c r="F208" s="16" t="str">
        <f>_xlfn.XLOOKUP(D208,'[4]DROP POINT BEKASI'!$B:$B,'[4]DROP POINT BEKASI'!$E:$E,"-")</f>
        <v>IHWAN RAMADHAN</v>
      </c>
      <c r="G208" s="21"/>
    </row>
    <row r="209" spans="2:7">
      <c r="B209" s="18" t="s">
        <v>210</v>
      </c>
      <c r="C209" s="16" t="s">
        <v>211</v>
      </c>
      <c r="D209" s="19" t="s">
        <v>238</v>
      </c>
      <c r="E209" s="20" t="s">
        <v>1722</v>
      </c>
      <c r="F209" s="16" t="str">
        <f>_xlfn.XLOOKUP(D209,'[4]DROP POINT BEKASI'!$B:$B,'[4]DROP POINT BEKASI'!$E:$E,"-")</f>
        <v>APRIYANTO</v>
      </c>
      <c r="G209" s="21"/>
    </row>
    <row r="210" spans="2:7">
      <c r="B210" s="18" t="s">
        <v>210</v>
      </c>
      <c r="C210" s="16" t="s">
        <v>211</v>
      </c>
      <c r="D210" s="19" t="s">
        <v>239</v>
      </c>
      <c r="E210" s="20" t="s">
        <v>1745</v>
      </c>
      <c r="F210" s="16" t="str">
        <f>_xlfn.XLOOKUP(D210,'[4]DROP POINT BEKASI'!$B:$B,'[4]DROP POINT BEKASI'!$E:$E,"-")</f>
        <v>ANDI RACHMANSYAH</v>
      </c>
      <c r="G210" s="21"/>
    </row>
    <row r="211" spans="2:7">
      <c r="B211" s="18" t="s">
        <v>210</v>
      </c>
      <c r="C211" s="16" t="s">
        <v>211</v>
      </c>
      <c r="D211" s="19" t="s">
        <v>240</v>
      </c>
      <c r="E211" s="20" t="s">
        <v>1745</v>
      </c>
      <c r="F211" s="16" t="str">
        <f>_xlfn.XLOOKUP(D211,'[4]DROP POINT BEKASI'!$B:$B,'[4]DROP POINT BEKASI'!$E:$E,"-")</f>
        <v>SARYONO</v>
      </c>
      <c r="G211" s="21"/>
    </row>
    <row r="212" spans="2:7">
      <c r="B212" s="18" t="s">
        <v>210</v>
      </c>
      <c r="C212" s="16" t="s">
        <v>211</v>
      </c>
      <c r="D212" s="19" t="s">
        <v>241</v>
      </c>
      <c r="E212" s="20" t="s">
        <v>1745</v>
      </c>
      <c r="F212" s="16" t="str">
        <f>_xlfn.XLOOKUP(D212,'[4]DROP POINT BEKASI'!$B:$B,'[4]DROP POINT BEKASI'!$E:$E,"-")</f>
        <v>ARI SABANDI</v>
      </c>
      <c r="G212" s="21"/>
    </row>
    <row r="213" spans="2:7">
      <c r="B213" s="18" t="s">
        <v>210</v>
      </c>
      <c r="C213" s="16" t="s">
        <v>211</v>
      </c>
      <c r="D213" s="19" t="s">
        <v>242</v>
      </c>
      <c r="E213" s="20" t="s">
        <v>1722</v>
      </c>
      <c r="F213" s="16" t="str">
        <f>_xlfn.XLOOKUP(D213,'[4]DROP POINT BEKASI'!$B:$B,'[4]DROP POINT BEKASI'!$E:$E,"-")</f>
        <v>FAHMI</v>
      </c>
      <c r="G213" s="21"/>
    </row>
    <row r="214" spans="2:7">
      <c r="B214" s="18" t="s">
        <v>210</v>
      </c>
      <c r="C214" s="16" t="s">
        <v>211</v>
      </c>
      <c r="D214" s="19" t="s">
        <v>243</v>
      </c>
      <c r="E214" s="20" t="s">
        <v>1722</v>
      </c>
      <c r="F214" s="16" t="str">
        <f>_xlfn.XLOOKUP(D214,'[4]DROP POINT BEKASI'!$B:$B,'[4]DROP POINT BEKASI'!$E:$E,"-")</f>
        <v>NOVA ANDRIANTO</v>
      </c>
      <c r="G214" s="21"/>
    </row>
    <row r="215" spans="2:7">
      <c r="B215" s="18" t="s">
        <v>210</v>
      </c>
      <c r="C215" s="16" t="s">
        <v>211</v>
      </c>
      <c r="D215" s="19" t="s">
        <v>244</v>
      </c>
      <c r="E215" s="20" t="s">
        <v>1722</v>
      </c>
      <c r="F215" s="16" t="str">
        <f>_xlfn.XLOOKUP(D215,'[4]DROP POINT BEKASI'!$B:$B,'[4]DROP POINT BEKASI'!$E:$E,"-")</f>
        <v>AGUNG HARTANTO</v>
      </c>
      <c r="G215" s="21"/>
    </row>
    <row r="216" spans="2:7">
      <c r="B216" s="18" t="s">
        <v>210</v>
      </c>
      <c r="C216" s="16" t="s">
        <v>211</v>
      </c>
      <c r="D216" s="19" t="s">
        <v>245</v>
      </c>
      <c r="E216" s="20" t="s">
        <v>1722</v>
      </c>
      <c r="F216" s="16" t="str">
        <f>_xlfn.XLOOKUP(D216,'[4]DROP POINT BEKASI'!$B:$B,'[4]DROP POINT BEKASI'!$E:$E,"-")</f>
        <v>SAFRIN PRIGIYANTO</v>
      </c>
      <c r="G216" s="21"/>
    </row>
    <row r="217" spans="2:7">
      <c r="B217" s="18" t="s">
        <v>210</v>
      </c>
      <c r="C217" s="16" t="s">
        <v>211</v>
      </c>
      <c r="D217" s="19" t="s">
        <v>246</v>
      </c>
      <c r="E217" s="20" t="s">
        <v>1745</v>
      </c>
      <c r="F217" s="16" t="str">
        <f>_xlfn.XLOOKUP(D217,'[4]DROP POINT BEKASI'!$B:$B,'[4]DROP POINT BEKASI'!$E:$E,"-")</f>
        <v>KHAIRUL WILDAN UMAM</v>
      </c>
      <c r="G217" s="21"/>
    </row>
    <row r="218" spans="2:7">
      <c r="B218" s="18" t="s">
        <v>210</v>
      </c>
      <c r="C218" s="16" t="s">
        <v>211</v>
      </c>
      <c r="D218" s="19" t="s">
        <v>247</v>
      </c>
      <c r="E218" s="20" t="s">
        <v>1745</v>
      </c>
      <c r="F218" s="16" t="str">
        <f>_xlfn.XLOOKUP(D218,'[4]DROP POINT BEKASI'!$B:$B,'[4]DROP POINT BEKASI'!$E:$E,"-")</f>
        <v>AEP BOIS</v>
      </c>
      <c r="G218" s="21"/>
    </row>
    <row r="219" spans="2:7">
      <c r="B219" s="18" t="s">
        <v>210</v>
      </c>
      <c r="C219" s="16" t="s">
        <v>211</v>
      </c>
      <c r="D219" s="19" t="s">
        <v>248</v>
      </c>
      <c r="E219" s="20" t="s">
        <v>1745</v>
      </c>
      <c r="F219" s="16" t="str">
        <f>_xlfn.XLOOKUP(D219,'[4]DROP POINT BEKASI'!$B:$B,'[4]DROP POINT BEKASI'!$E:$E,"-")</f>
        <v>FIRDAUS</v>
      </c>
      <c r="G219" s="21"/>
    </row>
    <row r="220" spans="2:7">
      <c r="B220" s="18" t="s">
        <v>210</v>
      </c>
      <c r="C220" s="16" t="s">
        <v>211</v>
      </c>
      <c r="D220" s="19" t="s">
        <v>249</v>
      </c>
      <c r="E220" s="20" t="s">
        <v>1745</v>
      </c>
      <c r="F220" s="16" t="str">
        <f>_xlfn.XLOOKUP(D220,'[4]DROP POINT BEKASI'!$B:$B,'[4]DROP POINT BEKASI'!$E:$E,"-")</f>
        <v>ZAKI RACHMADI NASUTION</v>
      </c>
      <c r="G220" s="21"/>
    </row>
    <row r="221" spans="2:7">
      <c r="B221" s="18" t="s">
        <v>210</v>
      </c>
      <c r="C221" s="16" t="s">
        <v>211</v>
      </c>
      <c r="D221" s="19" t="s">
        <v>250</v>
      </c>
      <c r="E221" s="20" t="s">
        <v>1722</v>
      </c>
      <c r="F221" s="16" t="str">
        <f>_xlfn.XLOOKUP(D221,'[4]DROP POINT BEKASI'!$B:$B,'[4]DROP POINT BEKASI'!$E:$E,"-")</f>
        <v>MUKHAMAD NOFANA ABDULLAH</v>
      </c>
      <c r="G221" s="21"/>
    </row>
    <row r="222" spans="2:7">
      <c r="B222" s="18" t="s">
        <v>210</v>
      </c>
      <c r="C222" s="16" t="s">
        <v>211</v>
      </c>
      <c r="D222" s="19" t="s">
        <v>251</v>
      </c>
      <c r="E222" s="20" t="s">
        <v>1745</v>
      </c>
      <c r="F222" s="16" t="str">
        <f>_xlfn.XLOOKUP(D222,'[4]DROP POINT BEKASI'!$B:$B,'[4]DROP POINT BEKASI'!$E:$E,"-")</f>
        <v>TIDAK ADA</v>
      </c>
      <c r="G222" s="21"/>
    </row>
    <row r="223" spans="2:7">
      <c r="B223" s="18" t="s">
        <v>210</v>
      </c>
      <c r="C223" s="16" t="s">
        <v>211</v>
      </c>
      <c r="D223" s="19" t="s">
        <v>252</v>
      </c>
      <c r="E223" s="20" t="s">
        <v>1745</v>
      </c>
      <c r="F223" s="16" t="str">
        <f>_xlfn.XLOOKUP(D223,'[4]DROP POINT BEKASI'!$B:$B,'[4]DROP POINT BEKASI'!$E:$E,"-")</f>
        <v>KIKIH RIJKI APNUR CAHYA</v>
      </c>
      <c r="G223" s="21"/>
    </row>
    <row r="224" spans="2:7">
      <c r="B224" s="18" t="s">
        <v>210</v>
      </c>
      <c r="C224" s="16" t="s">
        <v>211</v>
      </c>
      <c r="D224" s="19" t="s">
        <v>253</v>
      </c>
      <c r="E224" s="20" t="s">
        <v>1722</v>
      </c>
      <c r="F224" s="16" t="str">
        <f>_xlfn.XLOOKUP(D224,'[4]DROP POINT BEKASI'!$B:$B,'[4]DROP POINT BEKASI'!$E:$E,"-")</f>
        <v>HARRI SWANDI NAINGGOLAN</v>
      </c>
      <c r="G224" s="21"/>
    </row>
    <row r="225" spans="2:7">
      <c r="B225" s="18" t="s">
        <v>210</v>
      </c>
      <c r="C225" s="16" t="s">
        <v>211</v>
      </c>
      <c r="D225" s="19" t="s">
        <v>254</v>
      </c>
      <c r="E225" s="20" t="s">
        <v>1745</v>
      </c>
      <c r="F225" s="16" t="str">
        <f>_xlfn.XLOOKUP(D225,'[4]DROP POINT BEKASI'!$B:$B,'[4]DROP POINT BEKASI'!$E:$E,"-")</f>
        <v>IRFAN FAUZI</v>
      </c>
      <c r="G225" s="21"/>
    </row>
    <row r="226" spans="2:7">
      <c r="B226" s="18" t="s">
        <v>210</v>
      </c>
      <c r="C226" s="16" t="s">
        <v>211</v>
      </c>
      <c r="D226" s="19" t="s">
        <v>255</v>
      </c>
      <c r="E226" s="20" t="s">
        <v>1722</v>
      </c>
      <c r="F226" s="16" t="str">
        <f>_xlfn.XLOOKUP(D226,'[4]DROP POINT BEKASI'!$B:$B,'[4]DROP POINT BEKASI'!$E:$E,"-")</f>
        <v>M DAFIT SUHERLI</v>
      </c>
      <c r="G226" s="21"/>
    </row>
    <row r="227" spans="2:7">
      <c r="B227" s="18" t="s">
        <v>210</v>
      </c>
      <c r="C227" s="16" t="s">
        <v>211</v>
      </c>
      <c r="D227" s="19" t="s">
        <v>256</v>
      </c>
      <c r="E227" s="20" t="s">
        <v>1745</v>
      </c>
      <c r="F227" s="16" t="str">
        <f>_xlfn.XLOOKUP(D227,'[4]DROP POINT BEKASI'!$B:$B,'[4]DROP POINT BEKASI'!$E:$E,"-")</f>
        <v>DENI SETIAWAN</v>
      </c>
      <c r="G227" s="21"/>
    </row>
    <row r="228" spans="2:7">
      <c r="B228" s="18" t="s">
        <v>210</v>
      </c>
      <c r="C228" s="16" t="s">
        <v>211</v>
      </c>
      <c r="D228" s="19" t="s">
        <v>257</v>
      </c>
      <c r="E228" s="20" t="s">
        <v>1722</v>
      </c>
      <c r="F228" s="16" t="str">
        <f>_xlfn.XLOOKUP(D228,'[4]DROP POINT BEKASI'!$B:$B,'[4]DROP POINT BEKASI'!$E:$E,"-")</f>
        <v>IRZAN EFRIANSYAH</v>
      </c>
      <c r="G228" s="21"/>
    </row>
    <row r="229" spans="2:7">
      <c r="B229" s="18" t="s">
        <v>210</v>
      </c>
      <c r="C229" s="16" t="s">
        <v>211</v>
      </c>
      <c r="D229" s="19" t="s">
        <v>258</v>
      </c>
      <c r="E229" s="20" t="s">
        <v>1745</v>
      </c>
      <c r="F229" s="16" t="str">
        <f>_xlfn.XLOOKUP(D229,'[4]DROP POINT BEKASI'!$B:$B,'[4]DROP POINT BEKASI'!$E:$E,"-")</f>
        <v>FITRAH TEGAR RAMADHAN</v>
      </c>
      <c r="G229" s="21"/>
    </row>
    <row r="230" spans="2:7">
      <c r="B230" s="18" t="s">
        <v>210</v>
      </c>
      <c r="C230" s="16" t="s">
        <v>211</v>
      </c>
      <c r="D230" s="19" t="s">
        <v>259</v>
      </c>
      <c r="E230" s="20" t="s">
        <v>1745</v>
      </c>
      <c r="F230" s="16" t="str">
        <f>_xlfn.XLOOKUP(D230,'[4]DROP POINT BEKASI'!$B:$B,'[4]DROP POINT BEKASI'!$E:$E,"-")</f>
        <v>SARIFPUDIN</v>
      </c>
      <c r="G230" s="21"/>
    </row>
    <row r="231" spans="2:7">
      <c r="B231" s="18" t="s">
        <v>260</v>
      </c>
      <c r="C231" s="16" t="s">
        <v>261</v>
      </c>
      <c r="D231" s="19" t="s">
        <v>262</v>
      </c>
      <c r="E231" s="20" t="s">
        <v>1722</v>
      </c>
      <c r="F231" s="16" t="str">
        <f>_xlfn.XLOOKUP(D231,[5]Sheet1!$B:$B,[5]Sheet1!$E:$E,"-")</f>
        <v>AHMAD TOFIK YULFIKAR</v>
      </c>
      <c r="G231" s="21"/>
    </row>
    <row r="232" spans="2:7">
      <c r="B232" s="18" t="s">
        <v>260</v>
      </c>
      <c r="C232" s="16" t="s">
        <v>261</v>
      </c>
      <c r="D232" s="19" t="s">
        <v>263</v>
      </c>
      <c r="E232" s="20" t="s">
        <v>1722</v>
      </c>
      <c r="F232" s="16" t="str">
        <f>_xlfn.XLOOKUP(D232,[5]Sheet1!$B:$B,[5]Sheet1!$E:$E,"-")</f>
        <v>AHMAD TOFIK YULFIKAR</v>
      </c>
      <c r="G232" s="21"/>
    </row>
    <row r="233" spans="2:7">
      <c r="B233" s="18" t="s">
        <v>260</v>
      </c>
      <c r="C233" s="16" t="s">
        <v>261</v>
      </c>
      <c r="D233" s="19" t="s">
        <v>264</v>
      </c>
      <c r="E233" s="20" t="s">
        <v>1722</v>
      </c>
      <c r="F233" s="16" t="str">
        <f>_xlfn.XLOOKUP(D233,[5]Sheet1!$B:$B,[5]Sheet1!$E:$E,"-")</f>
        <v>AHMAD TOFIK YULFIKAR</v>
      </c>
      <c r="G233" s="21"/>
    </row>
    <row r="234" spans="2:7">
      <c r="B234" s="18" t="s">
        <v>260</v>
      </c>
      <c r="C234" s="16" t="s">
        <v>261</v>
      </c>
      <c r="D234" s="19" t="s">
        <v>265</v>
      </c>
      <c r="E234" s="20" t="s">
        <v>1722</v>
      </c>
      <c r="F234" s="16" t="str">
        <f>_xlfn.XLOOKUP(D234,[5]Sheet1!$B:$B,[5]Sheet1!$E:$E,"-")</f>
        <v>AHMAD TOFIK YULFIKAR</v>
      </c>
      <c r="G234" s="21"/>
    </row>
    <row r="235" spans="2:7">
      <c r="B235" s="18" t="s">
        <v>260</v>
      </c>
      <c r="C235" s="16" t="s">
        <v>261</v>
      </c>
      <c r="D235" s="19" t="s">
        <v>266</v>
      </c>
      <c r="E235" s="20" t="s">
        <v>1722</v>
      </c>
      <c r="F235" s="16" t="str">
        <f>_xlfn.XLOOKUP(D235,[5]Sheet1!$B:$B,[5]Sheet1!$E:$E,"-")</f>
        <v>AHMAD TOFIK YULFIKAR</v>
      </c>
      <c r="G235" s="21"/>
    </row>
    <row r="236" spans="2:7">
      <c r="B236" s="18" t="s">
        <v>260</v>
      </c>
      <c r="C236" s="16" t="s">
        <v>261</v>
      </c>
      <c r="D236" s="19" t="s">
        <v>267</v>
      </c>
      <c r="E236" s="20" t="s">
        <v>1745</v>
      </c>
      <c r="F236" s="16" t="str">
        <f>_xlfn.XLOOKUP(D236,[5]Sheet1!$B:$B,[5]Sheet1!$E:$E,"-")</f>
        <v>AHMAD TOFIK YULFIKAR</v>
      </c>
      <c r="G236" s="21"/>
    </row>
    <row r="237" spans="2:7">
      <c r="B237" s="18" t="s">
        <v>260</v>
      </c>
      <c r="C237" s="16" t="s">
        <v>261</v>
      </c>
      <c r="D237" s="19" t="s">
        <v>268</v>
      </c>
      <c r="E237" s="20" t="s">
        <v>1722</v>
      </c>
      <c r="F237" s="16" t="str">
        <f>_xlfn.XLOOKUP(D237,[5]Sheet1!$B:$B,[5]Sheet1!$E:$E,"-")</f>
        <v>AHMAD TOFIK YULFIKAR</v>
      </c>
      <c r="G237" s="21"/>
    </row>
    <row r="238" spans="2:7">
      <c r="B238" s="18" t="s">
        <v>260</v>
      </c>
      <c r="C238" s="16" t="s">
        <v>261</v>
      </c>
      <c r="D238" s="19" t="s">
        <v>269</v>
      </c>
      <c r="E238" s="20" t="s">
        <v>1722</v>
      </c>
      <c r="F238" s="16" t="str">
        <f>_xlfn.XLOOKUP(D238,[5]Sheet1!$B:$B,[5]Sheet1!$E:$E,"-")</f>
        <v>AHMAD TOFIK YULFIKAR</v>
      </c>
      <c r="G238" s="21"/>
    </row>
    <row r="239" spans="2:7">
      <c r="B239" s="18" t="s">
        <v>260</v>
      </c>
      <c r="C239" s="16" t="s">
        <v>261</v>
      </c>
      <c r="D239" s="19" t="s">
        <v>270</v>
      </c>
      <c r="E239" s="20" t="s">
        <v>1722</v>
      </c>
      <c r="F239" s="16" t="str">
        <f>_xlfn.XLOOKUP(D239,[5]Sheet1!$B:$B,[5]Sheet1!$E:$E,"-")</f>
        <v>AHMAD TOFIK YULFIKAR</v>
      </c>
      <c r="G239" s="21"/>
    </row>
    <row r="240" spans="2:7">
      <c r="B240" s="18" t="s">
        <v>260</v>
      </c>
      <c r="C240" s="16" t="s">
        <v>261</v>
      </c>
      <c r="D240" s="19" t="s">
        <v>271</v>
      </c>
      <c r="E240" s="20" t="s">
        <v>1745</v>
      </c>
      <c r="F240" s="16" t="str">
        <f>_xlfn.XLOOKUP(D240,[5]Sheet1!$B:$B,[5]Sheet1!$E:$E,"-")</f>
        <v>AHMAD TOFIK YULFIKAR</v>
      </c>
      <c r="G240" s="21"/>
    </row>
    <row r="241" spans="2:7">
      <c r="B241" s="18" t="s">
        <v>260</v>
      </c>
      <c r="C241" s="16" t="s">
        <v>261</v>
      </c>
      <c r="D241" s="19" t="s">
        <v>272</v>
      </c>
      <c r="E241" s="20" t="s">
        <v>1745</v>
      </c>
      <c r="F241" s="16" t="str">
        <f>_xlfn.XLOOKUP(D241,[5]Sheet1!$B:$B,[5]Sheet1!$E:$E,"-")</f>
        <v>AHMAD TOFIK YULFIKAR</v>
      </c>
      <c r="G241" s="21"/>
    </row>
    <row r="242" spans="2:7">
      <c r="B242" s="18" t="s">
        <v>260</v>
      </c>
      <c r="C242" s="16" t="s">
        <v>261</v>
      </c>
      <c r="D242" s="19" t="s">
        <v>273</v>
      </c>
      <c r="E242" s="20" t="s">
        <v>1745</v>
      </c>
      <c r="F242" s="16" t="str">
        <f>_xlfn.XLOOKUP(D242,[5]Sheet1!$B:$B,[5]Sheet1!$E:$E,"-")</f>
        <v>AHMAD TOFIK YULFIKAR</v>
      </c>
      <c r="G242" s="21"/>
    </row>
    <row r="243" spans="2:7">
      <c r="B243" s="18" t="s">
        <v>260</v>
      </c>
      <c r="C243" s="16" t="s">
        <v>261</v>
      </c>
      <c r="D243" s="19" t="s">
        <v>274</v>
      </c>
      <c r="E243" s="20" t="s">
        <v>1745</v>
      </c>
      <c r="F243" s="16" t="str">
        <f>_xlfn.XLOOKUP(D243,[5]Sheet1!$B:$B,[5]Sheet1!$E:$E,"-")</f>
        <v>AHMAD TOFIK YULFIKAR</v>
      </c>
      <c r="G243" s="21"/>
    </row>
    <row r="244" spans="2:7">
      <c r="B244" s="18" t="s">
        <v>260</v>
      </c>
      <c r="C244" s="16" t="s">
        <v>261</v>
      </c>
      <c r="D244" s="19" t="s">
        <v>275</v>
      </c>
      <c r="E244" s="20" t="s">
        <v>1745</v>
      </c>
      <c r="F244" s="16" t="str">
        <f>_xlfn.XLOOKUP(D244,[5]Sheet1!$B:$B,[5]Sheet1!$E:$E,"-")</f>
        <v>AHMAD TOFIK YULFIKAR</v>
      </c>
      <c r="G244" s="21"/>
    </row>
    <row r="245" spans="2:7">
      <c r="B245" s="18" t="s">
        <v>260</v>
      </c>
      <c r="C245" s="16" t="s">
        <v>261</v>
      </c>
      <c r="D245" s="19" t="s">
        <v>276</v>
      </c>
      <c r="E245" s="20" t="s">
        <v>1722</v>
      </c>
      <c r="F245" s="16" t="str">
        <f>_xlfn.XLOOKUP(D245,[5]Sheet1!$B:$B,[5]Sheet1!$E:$E,"-")</f>
        <v>FALDY FEDIANSYAH</v>
      </c>
      <c r="G245" s="21"/>
    </row>
    <row r="246" spans="2:7">
      <c r="B246" s="18" t="s">
        <v>260</v>
      </c>
      <c r="C246" s="16" t="s">
        <v>261</v>
      </c>
      <c r="D246" s="19" t="s">
        <v>277</v>
      </c>
      <c r="E246" s="20" t="s">
        <v>1722</v>
      </c>
      <c r="F246" s="16" t="str">
        <f>_xlfn.XLOOKUP(D246,[5]Sheet1!$B:$B,[5]Sheet1!$E:$E,"-")</f>
        <v>FALDY FEDIANSYAH</v>
      </c>
      <c r="G246" s="21"/>
    </row>
    <row r="247" spans="2:7">
      <c r="B247" s="18" t="s">
        <v>260</v>
      </c>
      <c r="C247" s="16" t="s">
        <v>261</v>
      </c>
      <c r="D247" s="19" t="s">
        <v>278</v>
      </c>
      <c r="E247" s="20" t="s">
        <v>1722</v>
      </c>
      <c r="F247" s="16" t="str">
        <f>_xlfn.XLOOKUP(D247,[5]Sheet1!$B:$B,[5]Sheet1!$E:$E,"-")</f>
        <v>FALDY FEDIANSYAH</v>
      </c>
      <c r="G247" s="21"/>
    </row>
    <row r="248" spans="2:7">
      <c r="B248" s="18" t="s">
        <v>260</v>
      </c>
      <c r="C248" s="16" t="s">
        <v>261</v>
      </c>
      <c r="D248" s="19" t="s">
        <v>279</v>
      </c>
      <c r="E248" s="20" t="s">
        <v>1722</v>
      </c>
      <c r="F248" s="16" t="str">
        <f>_xlfn.XLOOKUP(D248,[5]Sheet1!$B:$B,[5]Sheet1!$E:$E,"-")</f>
        <v>FALDY FEDIANSYAH</v>
      </c>
      <c r="G248" s="21"/>
    </row>
    <row r="249" spans="2:7">
      <c r="B249" s="18" t="s">
        <v>260</v>
      </c>
      <c r="C249" s="16" t="s">
        <v>261</v>
      </c>
      <c r="D249" s="19" t="s">
        <v>280</v>
      </c>
      <c r="E249" s="20" t="s">
        <v>1722</v>
      </c>
      <c r="F249" s="16" t="str">
        <f>_xlfn.XLOOKUP(D249,[5]Sheet1!$B:$B,[5]Sheet1!$E:$E,"-")</f>
        <v>FALDY FEDIANSYAH</v>
      </c>
      <c r="G249" s="21"/>
    </row>
    <row r="250" spans="2:7">
      <c r="B250" s="18" t="s">
        <v>260</v>
      </c>
      <c r="C250" s="16" t="s">
        <v>261</v>
      </c>
      <c r="D250" s="19" t="s">
        <v>281</v>
      </c>
      <c r="E250" s="20" t="s">
        <v>1745</v>
      </c>
      <c r="F250" s="16" t="str">
        <f>_xlfn.XLOOKUP(D250,[5]Sheet1!$B:$B,[5]Sheet1!$E:$E,"-")</f>
        <v>FALDY FEDIANSYAH</v>
      </c>
      <c r="G250" s="21"/>
    </row>
    <row r="251" spans="2:7">
      <c r="B251" s="18" t="s">
        <v>260</v>
      </c>
      <c r="C251" s="16" t="s">
        <v>261</v>
      </c>
      <c r="D251" s="19" t="s">
        <v>282</v>
      </c>
      <c r="E251" s="20" t="s">
        <v>1745</v>
      </c>
      <c r="F251" s="16" t="str">
        <f>_xlfn.XLOOKUP(D251,[5]Sheet1!$B:$B,[5]Sheet1!$E:$E,"-")</f>
        <v>FALDY FEDIANSYAH</v>
      </c>
      <c r="G251" s="21"/>
    </row>
    <row r="252" spans="2:7">
      <c r="B252" s="18" t="s">
        <v>260</v>
      </c>
      <c r="C252" s="16" t="s">
        <v>261</v>
      </c>
      <c r="D252" s="19" t="s">
        <v>283</v>
      </c>
      <c r="E252" s="20" t="s">
        <v>1745</v>
      </c>
      <c r="F252" s="16" t="str">
        <f>_xlfn.XLOOKUP(D252,[5]Sheet1!$B:$B,[5]Sheet1!$E:$E,"-")</f>
        <v>FALDY FEDIANSYAH</v>
      </c>
      <c r="G252" s="21"/>
    </row>
    <row r="253" spans="2:7">
      <c r="B253" s="18" t="s">
        <v>260</v>
      </c>
      <c r="C253" s="16" t="s">
        <v>261</v>
      </c>
      <c r="D253" s="19" t="s">
        <v>284</v>
      </c>
      <c r="E253" s="20" t="s">
        <v>1745</v>
      </c>
      <c r="F253" s="16" t="str">
        <f>_xlfn.XLOOKUP(D253,[5]Sheet1!$B:$B,[5]Sheet1!$E:$E,"-")</f>
        <v>FALDY FEDIANSYAH</v>
      </c>
      <c r="G253" s="21"/>
    </row>
    <row r="254" spans="2:7">
      <c r="B254" s="18" t="s">
        <v>260</v>
      </c>
      <c r="C254" s="16" t="s">
        <v>261</v>
      </c>
      <c r="D254" s="19" t="s">
        <v>285</v>
      </c>
      <c r="E254" s="20" t="s">
        <v>1745</v>
      </c>
      <c r="F254" s="16" t="str">
        <f>_xlfn.XLOOKUP(D254,[5]Sheet1!$B:$B,[5]Sheet1!$E:$E,"-")</f>
        <v>FALDY FEDIANSYAH</v>
      </c>
      <c r="G254" s="21"/>
    </row>
    <row r="255" spans="2:7">
      <c r="B255" s="18" t="s">
        <v>260</v>
      </c>
      <c r="C255" s="16" t="s">
        <v>261</v>
      </c>
      <c r="D255" s="19" t="s">
        <v>286</v>
      </c>
      <c r="E255" s="20" t="s">
        <v>1745</v>
      </c>
      <c r="F255" s="16" t="str">
        <f>_xlfn.XLOOKUP(D255,[5]Sheet1!$B:$B,[5]Sheet1!$E:$E,"-")</f>
        <v>FALDY FEDIANSYAH</v>
      </c>
      <c r="G255" s="21"/>
    </row>
    <row r="256" spans="2:7">
      <c r="B256" s="18" t="s">
        <v>260</v>
      </c>
      <c r="C256" s="16" t="s">
        <v>261</v>
      </c>
      <c r="D256" s="19" t="s">
        <v>287</v>
      </c>
      <c r="E256" s="20" t="s">
        <v>1745</v>
      </c>
      <c r="F256" s="16" t="str">
        <f>_xlfn.XLOOKUP(D256,[5]Sheet1!$B:$B,[5]Sheet1!$E:$E,"-")</f>
        <v>FALDY FEDIANSYAH</v>
      </c>
      <c r="G256" s="21"/>
    </row>
    <row r="257" spans="2:7">
      <c r="B257" s="18" t="s">
        <v>260</v>
      </c>
      <c r="C257" s="16" t="s">
        <v>261</v>
      </c>
      <c r="D257" s="19" t="s">
        <v>288</v>
      </c>
      <c r="E257" s="20" t="s">
        <v>1745</v>
      </c>
      <c r="F257" s="16" t="str">
        <f>_xlfn.XLOOKUP(D257,[5]Sheet1!$B:$B,[5]Sheet1!$E:$E,"-")</f>
        <v>FALDY FEDIANSYAH</v>
      </c>
      <c r="G257" s="21"/>
    </row>
    <row r="258" spans="2:7">
      <c r="B258" s="18" t="s">
        <v>260</v>
      </c>
      <c r="C258" s="16" t="s">
        <v>261</v>
      </c>
      <c r="D258" s="19" t="s">
        <v>289</v>
      </c>
      <c r="E258" s="20" t="s">
        <v>1745</v>
      </c>
      <c r="F258" s="16" t="str">
        <f>_xlfn.XLOOKUP(D258,[5]Sheet1!$B:$B,[5]Sheet1!$E:$E,"-")</f>
        <v>FALDY FEDIANSYAH</v>
      </c>
      <c r="G258" s="21"/>
    </row>
    <row r="259" spans="2:7">
      <c r="B259" s="18" t="s">
        <v>260</v>
      </c>
      <c r="C259" s="16" t="s">
        <v>261</v>
      </c>
      <c r="D259" s="19" t="s">
        <v>290</v>
      </c>
      <c r="E259" s="20" t="s">
        <v>1722</v>
      </c>
      <c r="F259" s="16" t="str">
        <f>_xlfn.XLOOKUP(D259,[5]Sheet1!$B:$B,[5]Sheet1!$E:$E,"-")</f>
        <v>FALDY FEDIANSYAH</v>
      </c>
      <c r="G259" s="21"/>
    </row>
    <row r="260" spans="2:7">
      <c r="B260" s="18" t="s">
        <v>260</v>
      </c>
      <c r="C260" s="16" t="s">
        <v>261</v>
      </c>
      <c r="D260" s="19" t="s">
        <v>291</v>
      </c>
      <c r="E260" s="20" t="s">
        <v>1722</v>
      </c>
      <c r="F260" s="16" t="str">
        <f>_xlfn.XLOOKUP(D260,[5]Sheet1!$B:$B,[5]Sheet1!$E:$E,"-")</f>
        <v>FALDY FEDIANSYAH</v>
      </c>
      <c r="G260" s="21"/>
    </row>
    <row r="261" spans="2:7">
      <c r="B261" s="18" t="s">
        <v>260</v>
      </c>
      <c r="C261" s="16" t="s">
        <v>261</v>
      </c>
      <c r="D261" s="19" t="s">
        <v>292</v>
      </c>
      <c r="E261" s="20" t="s">
        <v>1722</v>
      </c>
      <c r="F261" s="16" t="str">
        <f>_xlfn.XLOOKUP(D261,[5]Sheet1!$B:$B,[5]Sheet1!$E:$E,"-")</f>
        <v>FALDY FEDIANSYAH</v>
      </c>
      <c r="G261" s="21"/>
    </row>
    <row r="262" spans="2:7">
      <c r="B262" s="18" t="s">
        <v>260</v>
      </c>
      <c r="C262" s="16" t="s">
        <v>261</v>
      </c>
      <c r="D262" s="19" t="s">
        <v>293</v>
      </c>
      <c r="E262" s="20" t="s">
        <v>1745</v>
      </c>
      <c r="F262" s="16" t="str">
        <f>_xlfn.XLOOKUP(D262,[5]Sheet1!$B:$B,[5]Sheet1!$E:$E,"-")</f>
        <v>FALDY FEDIANSYAH</v>
      </c>
      <c r="G262" s="21"/>
    </row>
    <row r="263" spans="2:7">
      <c r="B263" s="18" t="s">
        <v>260</v>
      </c>
      <c r="C263" s="16" t="s">
        <v>261</v>
      </c>
      <c r="D263" s="19" t="s">
        <v>294</v>
      </c>
      <c r="E263" s="20" t="s">
        <v>1722</v>
      </c>
      <c r="F263" s="16" t="str">
        <f>_xlfn.XLOOKUP(D263,[5]Sheet1!$B:$B,[5]Sheet1!$E:$E,"-")</f>
        <v>HERI SUSANTO</v>
      </c>
      <c r="G263" s="21"/>
    </row>
    <row r="264" spans="2:7">
      <c r="B264" s="18" t="s">
        <v>260</v>
      </c>
      <c r="C264" s="16" t="s">
        <v>261</v>
      </c>
      <c r="D264" s="19" t="s">
        <v>295</v>
      </c>
      <c r="E264" s="20" t="s">
        <v>1722</v>
      </c>
      <c r="F264" s="16" t="str">
        <f>_xlfn.XLOOKUP(D264,[5]Sheet1!$B:$B,[5]Sheet1!$E:$E,"-")</f>
        <v>HERI SUSANTO</v>
      </c>
      <c r="G264" s="21"/>
    </row>
    <row r="265" spans="2:7">
      <c r="B265" s="18" t="s">
        <v>260</v>
      </c>
      <c r="C265" s="16" t="s">
        <v>261</v>
      </c>
      <c r="D265" s="19" t="s">
        <v>296</v>
      </c>
      <c r="E265" s="20" t="s">
        <v>1722</v>
      </c>
      <c r="F265" s="16" t="str">
        <f>_xlfn.XLOOKUP(D265,[5]Sheet1!$B:$B,[5]Sheet1!$E:$E,"-")</f>
        <v>HERI SUSANTO</v>
      </c>
      <c r="G265" s="21"/>
    </row>
    <row r="266" spans="2:7">
      <c r="B266" s="18" t="s">
        <v>260</v>
      </c>
      <c r="C266" s="16" t="s">
        <v>261</v>
      </c>
      <c r="D266" s="19" t="s">
        <v>297</v>
      </c>
      <c r="E266" s="20" t="s">
        <v>1722</v>
      </c>
      <c r="F266" s="16" t="str">
        <f>_xlfn.XLOOKUP(D266,[5]Sheet1!$B:$B,[5]Sheet1!$E:$E,"-")</f>
        <v>HERI SUSANTO</v>
      </c>
      <c r="G266" s="21"/>
    </row>
    <row r="267" spans="2:7">
      <c r="B267" s="18" t="s">
        <v>260</v>
      </c>
      <c r="C267" s="16" t="s">
        <v>261</v>
      </c>
      <c r="D267" s="19" t="s">
        <v>298</v>
      </c>
      <c r="E267" s="20" t="s">
        <v>1722</v>
      </c>
      <c r="F267" s="16" t="str">
        <f>_xlfn.XLOOKUP(D267,[5]Sheet1!$B:$B,[5]Sheet1!$E:$E,"-")</f>
        <v>HERI SUSANTO</v>
      </c>
      <c r="G267" s="21"/>
    </row>
    <row r="268" spans="2:7">
      <c r="B268" s="18" t="s">
        <v>260</v>
      </c>
      <c r="C268" s="16" t="s">
        <v>261</v>
      </c>
      <c r="D268" s="19" t="s">
        <v>299</v>
      </c>
      <c r="E268" s="20" t="s">
        <v>1722</v>
      </c>
      <c r="F268" s="16" t="str">
        <f>_xlfn.XLOOKUP(D268,[5]Sheet1!$B:$B,[5]Sheet1!$E:$E,"-")</f>
        <v>HERI SUSANTO</v>
      </c>
      <c r="G268" s="21"/>
    </row>
    <row r="269" spans="2:7">
      <c r="B269" s="18" t="s">
        <v>260</v>
      </c>
      <c r="C269" s="16" t="s">
        <v>261</v>
      </c>
      <c r="D269" s="19" t="s">
        <v>300</v>
      </c>
      <c r="E269" s="20" t="s">
        <v>1722</v>
      </c>
      <c r="F269" s="16" t="str">
        <f>_xlfn.XLOOKUP(D269,[5]Sheet1!$B:$B,[5]Sheet1!$E:$E,"-")</f>
        <v>HERI SUSANTO</v>
      </c>
      <c r="G269" s="21"/>
    </row>
    <row r="270" spans="2:7">
      <c r="B270" s="18" t="s">
        <v>260</v>
      </c>
      <c r="C270" s="16" t="s">
        <v>261</v>
      </c>
      <c r="D270" s="19" t="s">
        <v>301</v>
      </c>
      <c r="E270" s="20" t="s">
        <v>1722</v>
      </c>
      <c r="F270" s="16" t="str">
        <f>_xlfn.XLOOKUP(D270,[5]Sheet1!$B:$B,[5]Sheet1!$E:$E,"-")</f>
        <v>HERI SUSANTO</v>
      </c>
      <c r="G270" s="21"/>
    </row>
    <row r="271" spans="2:7">
      <c r="B271" s="18" t="s">
        <v>260</v>
      </c>
      <c r="C271" s="16" t="s">
        <v>261</v>
      </c>
      <c r="D271" s="19" t="s">
        <v>302</v>
      </c>
      <c r="E271" s="20" t="s">
        <v>1722</v>
      </c>
      <c r="F271" s="16" t="str">
        <f>_xlfn.XLOOKUP(D271,[5]Sheet1!$B:$B,[5]Sheet1!$E:$E,"-")</f>
        <v>HERI SUSANTO</v>
      </c>
      <c r="G271" s="21"/>
    </row>
    <row r="272" spans="2:7">
      <c r="B272" s="18" t="s">
        <v>260</v>
      </c>
      <c r="C272" s="16" t="s">
        <v>261</v>
      </c>
      <c r="D272" s="19" t="s">
        <v>303</v>
      </c>
      <c r="E272" s="20" t="s">
        <v>1722</v>
      </c>
      <c r="F272" s="16" t="str">
        <f>_xlfn.XLOOKUP(D272,[5]Sheet1!$B:$B,[5]Sheet1!$E:$E,"-")</f>
        <v>HERI SUSANTO</v>
      </c>
      <c r="G272" s="21"/>
    </row>
    <row r="273" spans="2:7">
      <c r="B273" s="18" t="s">
        <v>260</v>
      </c>
      <c r="C273" s="16" t="s">
        <v>261</v>
      </c>
      <c r="D273" s="19" t="s">
        <v>304</v>
      </c>
      <c r="E273" s="20" t="s">
        <v>1722</v>
      </c>
      <c r="F273" s="16" t="str">
        <f>_xlfn.XLOOKUP(D273,[5]Sheet1!$B:$B,[5]Sheet1!$E:$E,"-")</f>
        <v>HERI SUSANTO</v>
      </c>
      <c r="G273" s="21"/>
    </row>
    <row r="274" spans="2:7">
      <c r="B274" s="18" t="s">
        <v>260</v>
      </c>
      <c r="C274" s="16" t="s">
        <v>261</v>
      </c>
      <c r="D274" s="19" t="s">
        <v>305</v>
      </c>
      <c r="E274" s="20" t="s">
        <v>1745</v>
      </c>
      <c r="F274" s="16" t="str">
        <f>_xlfn.XLOOKUP(D274,[5]Sheet1!$B:$B,[5]Sheet1!$E:$E,"-")</f>
        <v>HERI SUSANTO</v>
      </c>
      <c r="G274" s="21"/>
    </row>
    <row r="275" spans="2:7">
      <c r="B275" s="18" t="s">
        <v>260</v>
      </c>
      <c r="C275" s="16" t="s">
        <v>261</v>
      </c>
      <c r="D275" s="19" t="s">
        <v>306</v>
      </c>
      <c r="E275" s="20" t="s">
        <v>1745</v>
      </c>
      <c r="F275" s="16" t="str">
        <f>_xlfn.XLOOKUP(D275,[5]Sheet1!$B:$B,[5]Sheet1!$E:$E,"-")</f>
        <v>HERI SUSANTO</v>
      </c>
      <c r="G275" s="21"/>
    </row>
    <row r="276" spans="2:7">
      <c r="B276" s="18" t="s">
        <v>260</v>
      </c>
      <c r="C276" s="16" t="s">
        <v>261</v>
      </c>
      <c r="D276" s="19" t="s">
        <v>307</v>
      </c>
      <c r="E276" s="20" t="s">
        <v>1722</v>
      </c>
      <c r="F276" s="16" t="str">
        <f>_xlfn.XLOOKUP(D276,[5]Sheet1!$B:$B,[5]Sheet1!$E:$E,"-")</f>
        <v>HERI SUSANTO</v>
      </c>
      <c r="G276" s="21"/>
    </row>
    <row r="277" spans="2:7">
      <c r="B277" s="18" t="s">
        <v>260</v>
      </c>
      <c r="C277" s="16" t="s">
        <v>261</v>
      </c>
      <c r="D277" s="19" t="s">
        <v>308</v>
      </c>
      <c r="E277" s="20" t="s">
        <v>1722</v>
      </c>
      <c r="F277" s="16" t="str">
        <f>_xlfn.XLOOKUP(D277,[5]Sheet1!$B:$B,[5]Sheet1!$E:$E,"-")</f>
        <v>NOVIAN</v>
      </c>
      <c r="G277" s="21"/>
    </row>
    <row r="278" spans="2:7">
      <c r="B278" s="18" t="s">
        <v>260</v>
      </c>
      <c r="C278" s="16" t="s">
        <v>261</v>
      </c>
      <c r="D278" s="19" t="s">
        <v>309</v>
      </c>
      <c r="E278" s="20" t="s">
        <v>1722</v>
      </c>
      <c r="F278" s="16" t="str">
        <f>_xlfn.XLOOKUP(D278,[5]Sheet1!$B:$B,[5]Sheet1!$E:$E,"-")</f>
        <v>NOVIAN</v>
      </c>
      <c r="G278" s="21"/>
    </row>
    <row r="279" spans="2:7">
      <c r="B279" s="18" t="s">
        <v>260</v>
      </c>
      <c r="C279" s="16" t="s">
        <v>261</v>
      </c>
      <c r="D279" s="19" t="s">
        <v>310</v>
      </c>
      <c r="E279" s="20" t="s">
        <v>1722</v>
      </c>
      <c r="F279" s="16" t="str">
        <f>_xlfn.XLOOKUP(D279,[5]Sheet1!$B:$B,[5]Sheet1!$E:$E,"-")</f>
        <v>NOVIAN</v>
      </c>
      <c r="G279" s="21"/>
    </row>
    <row r="280" spans="2:7">
      <c r="B280" s="18" t="s">
        <v>260</v>
      </c>
      <c r="C280" s="16" t="s">
        <v>261</v>
      </c>
      <c r="D280" s="19" t="s">
        <v>311</v>
      </c>
      <c r="E280" s="20" t="s">
        <v>1722</v>
      </c>
      <c r="F280" s="16" t="str">
        <f>_xlfn.XLOOKUP(D280,[5]Sheet1!$B:$B,[5]Sheet1!$E:$E,"-")</f>
        <v>NOVIAN</v>
      </c>
      <c r="G280" s="21"/>
    </row>
    <row r="281" spans="2:7">
      <c r="B281" s="18" t="s">
        <v>260</v>
      </c>
      <c r="C281" s="16" t="s">
        <v>261</v>
      </c>
      <c r="D281" s="19" t="s">
        <v>312</v>
      </c>
      <c r="E281" s="20" t="s">
        <v>1722</v>
      </c>
      <c r="F281" s="16" t="str">
        <f>_xlfn.XLOOKUP(D281,[5]Sheet1!$B:$B,[5]Sheet1!$E:$E,"-")</f>
        <v>NOVIAN</v>
      </c>
      <c r="G281" s="21"/>
    </row>
    <row r="282" spans="2:7">
      <c r="B282" s="18" t="s">
        <v>260</v>
      </c>
      <c r="C282" s="16" t="s">
        <v>261</v>
      </c>
      <c r="D282" s="19" t="s">
        <v>313</v>
      </c>
      <c r="E282" s="20" t="s">
        <v>1722</v>
      </c>
      <c r="F282" s="16" t="str">
        <f>_xlfn.XLOOKUP(D282,[5]Sheet1!$B:$B,[5]Sheet1!$E:$E,"-")</f>
        <v>NOVIAN</v>
      </c>
      <c r="G282" s="21"/>
    </row>
    <row r="283" spans="2:7">
      <c r="B283" s="18" t="s">
        <v>260</v>
      </c>
      <c r="C283" s="16" t="s">
        <v>261</v>
      </c>
      <c r="D283" s="19" t="s">
        <v>314</v>
      </c>
      <c r="E283" s="20" t="s">
        <v>1722</v>
      </c>
      <c r="F283" s="16" t="str">
        <f>_xlfn.XLOOKUP(D283,[5]Sheet1!$B:$B,[5]Sheet1!$E:$E,"-")</f>
        <v>NOVIAN</v>
      </c>
      <c r="G283" s="21"/>
    </row>
    <row r="284" spans="2:7">
      <c r="B284" s="18" t="s">
        <v>260</v>
      </c>
      <c r="C284" s="16" t="s">
        <v>261</v>
      </c>
      <c r="D284" s="19" t="s">
        <v>315</v>
      </c>
      <c r="E284" s="20" t="s">
        <v>1745</v>
      </c>
      <c r="F284" s="16" t="str">
        <f>_xlfn.XLOOKUP(D284,[5]Sheet1!$B:$B,[5]Sheet1!$E:$E,"-")</f>
        <v>NOVIAN</v>
      </c>
      <c r="G284" s="21"/>
    </row>
    <row r="285" spans="2:7">
      <c r="B285" s="18" t="s">
        <v>260</v>
      </c>
      <c r="C285" s="16" t="s">
        <v>261</v>
      </c>
      <c r="D285" s="19" t="s">
        <v>316</v>
      </c>
      <c r="E285" s="20" t="s">
        <v>1745</v>
      </c>
      <c r="F285" s="16" t="str">
        <f>_xlfn.XLOOKUP(D285,[5]Sheet1!$B:$B,[5]Sheet1!$E:$E,"-")</f>
        <v>NOVIAN</v>
      </c>
      <c r="G285" s="21"/>
    </row>
    <row r="286" spans="2:7">
      <c r="B286" s="18" t="s">
        <v>260</v>
      </c>
      <c r="C286" s="16" t="s">
        <v>261</v>
      </c>
      <c r="D286" s="19" t="s">
        <v>317</v>
      </c>
      <c r="E286" s="20" t="s">
        <v>1745</v>
      </c>
      <c r="F286" s="16" t="str">
        <f>_xlfn.XLOOKUP(D286,[5]Sheet1!$B:$B,[5]Sheet1!$E:$E,"-")</f>
        <v>NOVIAN</v>
      </c>
      <c r="G286" s="21"/>
    </row>
    <row r="287" spans="2:7">
      <c r="B287" s="18" t="s">
        <v>260</v>
      </c>
      <c r="C287" s="16" t="s">
        <v>261</v>
      </c>
      <c r="D287" s="19" t="s">
        <v>318</v>
      </c>
      <c r="E287" s="20" t="s">
        <v>1745</v>
      </c>
      <c r="F287" s="16" t="str">
        <f>_xlfn.XLOOKUP(D287,[5]Sheet1!$B:$B,[5]Sheet1!$E:$E,"-")</f>
        <v>NOVIAN</v>
      </c>
      <c r="G287" s="21"/>
    </row>
    <row r="288" spans="2:7">
      <c r="B288" s="18" t="s">
        <v>260</v>
      </c>
      <c r="C288" s="16" t="s">
        <v>261</v>
      </c>
      <c r="D288" s="19" t="s">
        <v>319</v>
      </c>
      <c r="E288" s="20" t="s">
        <v>1745</v>
      </c>
      <c r="F288" s="16" t="str">
        <f>_xlfn.XLOOKUP(D288,[5]Sheet1!$B:$B,[5]Sheet1!$E:$E,"-")</f>
        <v>NOVIAN</v>
      </c>
      <c r="G288" s="21"/>
    </row>
    <row r="289" spans="2:7">
      <c r="B289" s="18" t="s">
        <v>260</v>
      </c>
      <c r="C289" s="16" t="s">
        <v>261</v>
      </c>
      <c r="D289" s="19" t="s">
        <v>320</v>
      </c>
      <c r="E289" s="20" t="s">
        <v>1722</v>
      </c>
      <c r="F289" s="16" t="str">
        <f>_xlfn.XLOOKUP(D289,[5]Sheet1!$B:$B,[5]Sheet1!$E:$E,"-")</f>
        <v>NOVIAN</v>
      </c>
      <c r="G289" s="21"/>
    </row>
    <row r="290" spans="2:7">
      <c r="B290" s="18" t="s">
        <v>260</v>
      </c>
      <c r="C290" s="16" t="s">
        <v>261</v>
      </c>
      <c r="D290" s="19" t="s">
        <v>321</v>
      </c>
      <c r="E290" s="20" t="s">
        <v>1722</v>
      </c>
      <c r="F290" s="16" t="str">
        <f>_xlfn.XLOOKUP(D290,[5]Sheet1!$B:$B,[5]Sheet1!$E:$E,"-")</f>
        <v>M PAREZA NOVIK</v>
      </c>
      <c r="G290" s="21"/>
    </row>
    <row r="291" spans="2:7">
      <c r="B291" s="18" t="s">
        <v>260</v>
      </c>
      <c r="C291" s="16" t="s">
        <v>261</v>
      </c>
      <c r="D291" s="19" t="s">
        <v>322</v>
      </c>
      <c r="E291" s="20" t="s">
        <v>1722</v>
      </c>
      <c r="F291" s="16" t="str">
        <f>_xlfn.XLOOKUP(D291,[5]Sheet1!$B:$B,[5]Sheet1!$E:$E,"-")</f>
        <v>M PAREZA NOVIK</v>
      </c>
      <c r="G291" s="21"/>
    </row>
    <row r="292" spans="2:7">
      <c r="B292" s="18" t="s">
        <v>260</v>
      </c>
      <c r="C292" s="16" t="s">
        <v>261</v>
      </c>
      <c r="D292" s="19" t="s">
        <v>323</v>
      </c>
      <c r="E292" s="20" t="s">
        <v>1722</v>
      </c>
      <c r="F292" s="16" t="str">
        <f>_xlfn.XLOOKUP(D292,[5]Sheet1!$B:$B,[5]Sheet1!$E:$E,"-")</f>
        <v>M PAREZA NOVIK</v>
      </c>
      <c r="G292" s="21"/>
    </row>
    <row r="293" spans="2:7">
      <c r="B293" s="18" t="s">
        <v>260</v>
      </c>
      <c r="C293" s="16" t="s">
        <v>261</v>
      </c>
      <c r="D293" s="19" t="s">
        <v>324</v>
      </c>
      <c r="E293" s="20" t="s">
        <v>1722</v>
      </c>
      <c r="F293" s="16" t="str">
        <f>_xlfn.XLOOKUP(D293,[5]Sheet1!$B:$B,[5]Sheet1!$E:$E,"-")</f>
        <v>M PAREZA NOVIK</v>
      </c>
      <c r="G293" s="21"/>
    </row>
    <row r="294" spans="2:7">
      <c r="B294" s="18" t="s">
        <v>260</v>
      </c>
      <c r="C294" s="16" t="s">
        <v>261</v>
      </c>
      <c r="D294" s="19" t="s">
        <v>325</v>
      </c>
      <c r="E294" s="20" t="s">
        <v>1722</v>
      </c>
      <c r="F294" s="16" t="str">
        <f>_xlfn.XLOOKUP(D294,[5]Sheet1!$B:$B,[5]Sheet1!$E:$E,"-")</f>
        <v>M PAREZA NOVIK</v>
      </c>
      <c r="G294" s="21"/>
    </row>
    <row r="295" spans="2:7">
      <c r="B295" s="18" t="s">
        <v>260</v>
      </c>
      <c r="C295" s="16" t="s">
        <v>261</v>
      </c>
      <c r="D295" s="19" t="s">
        <v>326</v>
      </c>
      <c r="E295" s="20" t="s">
        <v>1745</v>
      </c>
      <c r="F295" s="16" t="str">
        <f>_xlfn.XLOOKUP(D295,[5]Sheet1!$B:$B,[5]Sheet1!$E:$E,"-")</f>
        <v>M PAREZA NOVIK</v>
      </c>
      <c r="G295" s="21"/>
    </row>
    <row r="296" spans="2:7">
      <c r="B296" s="18" t="s">
        <v>260</v>
      </c>
      <c r="C296" s="16" t="s">
        <v>261</v>
      </c>
      <c r="D296" s="19" t="s">
        <v>327</v>
      </c>
      <c r="E296" s="20" t="s">
        <v>1745</v>
      </c>
      <c r="F296" s="16" t="str">
        <f>_xlfn.XLOOKUP(D296,[5]Sheet1!$B:$B,[5]Sheet1!$E:$E,"-")</f>
        <v>M PAREZA NOVIK</v>
      </c>
      <c r="G296" s="21"/>
    </row>
    <row r="297" spans="2:7">
      <c r="B297" s="18" t="s">
        <v>260</v>
      </c>
      <c r="C297" s="16" t="s">
        <v>261</v>
      </c>
      <c r="D297" s="19" t="s">
        <v>328</v>
      </c>
      <c r="E297" s="20" t="s">
        <v>1745</v>
      </c>
      <c r="F297" s="16" t="str">
        <f>_xlfn.XLOOKUP(D297,[5]Sheet1!$B:$B,[5]Sheet1!$E:$E,"-")</f>
        <v>M PAREZA NOVIK</v>
      </c>
      <c r="G297" s="21"/>
    </row>
    <row r="298" spans="2:7">
      <c r="B298" s="18" t="s">
        <v>260</v>
      </c>
      <c r="C298" s="16" t="s">
        <v>261</v>
      </c>
      <c r="D298" s="19" t="s">
        <v>329</v>
      </c>
      <c r="E298" s="20" t="s">
        <v>1745</v>
      </c>
      <c r="F298" s="16" t="str">
        <f>_xlfn.XLOOKUP(D298,[5]Sheet1!$B:$B,[5]Sheet1!$E:$E,"-")</f>
        <v>M PAREZA NOVIK</v>
      </c>
      <c r="G298" s="21"/>
    </row>
    <row r="299" spans="2:7">
      <c r="B299" s="18" t="s">
        <v>260</v>
      </c>
      <c r="C299" s="16" t="s">
        <v>261</v>
      </c>
      <c r="D299" s="19" t="s">
        <v>330</v>
      </c>
      <c r="E299" s="20" t="s">
        <v>1745</v>
      </c>
      <c r="F299" s="16" t="str">
        <f>_xlfn.XLOOKUP(D299,[5]Sheet1!$B:$B,[5]Sheet1!$E:$E,"-")</f>
        <v>M PAREZA NOVIK</v>
      </c>
      <c r="G299" s="21"/>
    </row>
    <row r="300" spans="2:7">
      <c r="B300" s="18" t="s">
        <v>260</v>
      </c>
      <c r="C300" s="16" t="s">
        <v>261</v>
      </c>
      <c r="D300" s="19" t="s">
        <v>331</v>
      </c>
      <c r="E300" s="20" t="s">
        <v>1722</v>
      </c>
      <c r="F300" s="16" t="str">
        <f>_xlfn.XLOOKUP(D300,[5]Sheet1!$B:$B,[5]Sheet1!$E:$E,"-")</f>
        <v>M PAREZA NOVIK</v>
      </c>
      <c r="G300" s="21"/>
    </row>
    <row r="301" spans="2:7">
      <c r="B301" s="18" t="s">
        <v>260</v>
      </c>
      <c r="C301" s="16" t="s">
        <v>261</v>
      </c>
      <c r="D301" s="19" t="s">
        <v>332</v>
      </c>
      <c r="E301" s="20" t="s">
        <v>1722</v>
      </c>
      <c r="F301" s="16" t="str">
        <f>_xlfn.XLOOKUP(D301,[5]Sheet1!$B:$B,[5]Sheet1!$E:$E,"-")</f>
        <v>M PAREZA NOVIK</v>
      </c>
      <c r="G301" s="21"/>
    </row>
    <row r="302" spans="2:7">
      <c r="B302" s="18" t="s">
        <v>260</v>
      </c>
      <c r="C302" s="16" t="s">
        <v>261</v>
      </c>
      <c r="D302" s="19" t="s">
        <v>333</v>
      </c>
      <c r="E302" s="20" t="s">
        <v>1745</v>
      </c>
      <c r="F302" s="16" t="str">
        <f>_xlfn.XLOOKUP(D302,[5]Sheet1!$B:$B,[5]Sheet1!$E:$E,"-")</f>
        <v>M PAREZA NOVIK</v>
      </c>
      <c r="G302" s="21"/>
    </row>
    <row r="303" spans="2:7">
      <c r="B303" s="18" t="s">
        <v>260</v>
      </c>
      <c r="C303" s="16" t="s">
        <v>261</v>
      </c>
      <c r="D303" s="19" t="s">
        <v>334</v>
      </c>
      <c r="E303" s="20" t="s">
        <v>1722</v>
      </c>
      <c r="F303" s="16" t="str">
        <f>_xlfn.XLOOKUP(D303,[5]Sheet1!$B:$B,[5]Sheet1!$E:$E,"-")</f>
        <v>M PAREZA NOVIK</v>
      </c>
      <c r="G303" s="21"/>
    </row>
    <row r="304" spans="2:7">
      <c r="B304" s="18" t="s">
        <v>260</v>
      </c>
      <c r="C304" s="16" t="s">
        <v>261</v>
      </c>
      <c r="D304" s="19" t="s">
        <v>335</v>
      </c>
      <c r="E304" s="20" t="s">
        <v>1722</v>
      </c>
      <c r="F304" s="16" t="str">
        <f>_xlfn.XLOOKUP(D304,[5]Sheet1!$B:$B,[5]Sheet1!$E:$E,"-")</f>
        <v>WIN KARYADI H P</v>
      </c>
      <c r="G304" s="21"/>
    </row>
    <row r="305" spans="2:7">
      <c r="B305" s="18" t="s">
        <v>260</v>
      </c>
      <c r="C305" s="16" t="s">
        <v>261</v>
      </c>
      <c r="D305" s="19" t="s">
        <v>336</v>
      </c>
      <c r="E305" s="20" t="s">
        <v>1722</v>
      </c>
      <c r="F305" s="16" t="str">
        <f>_xlfn.XLOOKUP(D305,[5]Sheet1!$B:$B,[5]Sheet1!$E:$E,"-")</f>
        <v>WIN KARYADI H P</v>
      </c>
      <c r="G305" s="21"/>
    </row>
    <row r="306" spans="2:7">
      <c r="B306" s="18" t="s">
        <v>260</v>
      </c>
      <c r="C306" s="16" t="s">
        <v>261</v>
      </c>
      <c r="D306" s="19" t="s">
        <v>337</v>
      </c>
      <c r="E306" s="20" t="s">
        <v>1722</v>
      </c>
      <c r="F306" s="16" t="str">
        <f>_xlfn.XLOOKUP(D306,[5]Sheet1!$B:$B,[5]Sheet1!$E:$E,"-")</f>
        <v>WIN KARYADI H P</v>
      </c>
      <c r="G306" s="21"/>
    </row>
    <row r="307" spans="2:7">
      <c r="B307" s="18" t="s">
        <v>260</v>
      </c>
      <c r="C307" s="16" t="s">
        <v>261</v>
      </c>
      <c r="D307" s="19" t="s">
        <v>338</v>
      </c>
      <c r="E307" s="20" t="s">
        <v>1722</v>
      </c>
      <c r="F307" s="16" t="str">
        <f>_xlfn.XLOOKUP(D307,[5]Sheet1!$B:$B,[5]Sheet1!$E:$E,"-")</f>
        <v>WIN KARYADI H P</v>
      </c>
      <c r="G307" s="21"/>
    </row>
    <row r="308" spans="2:7">
      <c r="B308" s="18" t="s">
        <v>260</v>
      </c>
      <c r="C308" s="16" t="s">
        <v>261</v>
      </c>
      <c r="D308" s="19" t="s">
        <v>339</v>
      </c>
      <c r="E308" s="20" t="s">
        <v>1722</v>
      </c>
      <c r="F308" s="16" t="str">
        <f>_xlfn.XLOOKUP(D308,[5]Sheet1!$B:$B,[5]Sheet1!$E:$E,"-")</f>
        <v>WIN KARYADI H P</v>
      </c>
      <c r="G308" s="21"/>
    </row>
    <row r="309" spans="2:7">
      <c r="B309" s="18" t="s">
        <v>260</v>
      </c>
      <c r="C309" s="16" t="s">
        <v>261</v>
      </c>
      <c r="D309" s="19" t="s">
        <v>340</v>
      </c>
      <c r="E309" s="20" t="s">
        <v>1745</v>
      </c>
      <c r="F309" s="16" t="str">
        <f>_xlfn.XLOOKUP(D309,[5]Sheet1!$B:$B,[5]Sheet1!$E:$E,"-")</f>
        <v>WIN KARYADI H P</v>
      </c>
      <c r="G309" s="21"/>
    </row>
    <row r="310" spans="2:7">
      <c r="B310" s="18" t="s">
        <v>260</v>
      </c>
      <c r="C310" s="16" t="s">
        <v>261</v>
      </c>
      <c r="D310" s="19" t="s">
        <v>341</v>
      </c>
      <c r="E310" s="20" t="s">
        <v>1745</v>
      </c>
      <c r="F310" s="16" t="str">
        <f>_xlfn.XLOOKUP(D310,[5]Sheet1!$B:$B,[5]Sheet1!$E:$E,"-")</f>
        <v>WIN KARYADI H P</v>
      </c>
      <c r="G310" s="21"/>
    </row>
    <row r="311" spans="2:7">
      <c r="B311" s="18" t="s">
        <v>260</v>
      </c>
      <c r="C311" s="16" t="s">
        <v>261</v>
      </c>
      <c r="D311" s="19" t="s">
        <v>342</v>
      </c>
      <c r="E311" s="20" t="s">
        <v>1745</v>
      </c>
      <c r="F311" s="16" t="str">
        <f>_xlfn.XLOOKUP(D311,[5]Sheet1!$B:$B,[5]Sheet1!$E:$E,"-")</f>
        <v>WIN KARYADI H P</v>
      </c>
      <c r="G311" s="21"/>
    </row>
    <row r="312" spans="2:7">
      <c r="B312" s="18" t="s">
        <v>260</v>
      </c>
      <c r="C312" s="16" t="s">
        <v>261</v>
      </c>
      <c r="D312" s="19" t="s">
        <v>343</v>
      </c>
      <c r="E312" s="20" t="s">
        <v>1745</v>
      </c>
      <c r="F312" s="16" t="str">
        <f>_xlfn.XLOOKUP(D312,[5]Sheet1!$B:$B,[5]Sheet1!$E:$E,"-")</f>
        <v>WIN KARYADI H P</v>
      </c>
      <c r="G312" s="21"/>
    </row>
    <row r="313" spans="2:7">
      <c r="B313" s="18" t="s">
        <v>260</v>
      </c>
      <c r="C313" s="16" t="s">
        <v>261</v>
      </c>
      <c r="D313" s="19" t="s">
        <v>344</v>
      </c>
      <c r="E313" s="20" t="s">
        <v>1745</v>
      </c>
      <c r="F313" s="16" t="str">
        <f>_xlfn.XLOOKUP(D313,[5]Sheet1!$B:$B,[5]Sheet1!$E:$E,"-")</f>
        <v>WIN KARYADI H P</v>
      </c>
      <c r="G313" s="21"/>
    </row>
    <row r="314" spans="2:7">
      <c r="B314" s="18" t="s">
        <v>260</v>
      </c>
      <c r="C314" s="16" t="s">
        <v>261</v>
      </c>
      <c r="D314" s="19" t="s">
        <v>345</v>
      </c>
      <c r="E314" s="20" t="s">
        <v>1722</v>
      </c>
      <c r="F314" s="16" t="str">
        <f>_xlfn.XLOOKUP(D314,[5]Sheet1!$B:$B,[5]Sheet1!$E:$E,"-")</f>
        <v>WIN KARYADI H P</v>
      </c>
      <c r="G314" s="21"/>
    </row>
    <row r="315" spans="2:7">
      <c r="B315" s="18" t="s">
        <v>260</v>
      </c>
      <c r="C315" s="16" t="s">
        <v>261</v>
      </c>
      <c r="D315" s="19" t="s">
        <v>346</v>
      </c>
      <c r="E315" s="20" t="s">
        <v>1745</v>
      </c>
      <c r="F315" s="16" t="str">
        <f>_xlfn.XLOOKUP(D315,[5]Sheet1!$B:$B,[5]Sheet1!$E:$E,"-")</f>
        <v>WIN KARYADI H P</v>
      </c>
      <c r="G315" s="21"/>
    </row>
    <row r="316" spans="2:7">
      <c r="B316" s="18" t="s">
        <v>260</v>
      </c>
      <c r="C316" s="16" t="s">
        <v>261</v>
      </c>
      <c r="D316" s="19" t="s">
        <v>347</v>
      </c>
      <c r="E316" s="20" t="s">
        <v>1745</v>
      </c>
      <c r="F316" s="16" t="str">
        <f>_xlfn.XLOOKUP(D316,[5]Sheet1!$B:$B,[5]Sheet1!$E:$E,"-")</f>
        <v>WIN KARYADI H P</v>
      </c>
      <c r="G316" s="21"/>
    </row>
    <row r="317" spans="2:7">
      <c r="B317" s="18" t="s">
        <v>260</v>
      </c>
      <c r="C317" s="16" t="s">
        <v>261</v>
      </c>
      <c r="D317" s="19" t="s">
        <v>348</v>
      </c>
      <c r="E317" s="20" t="s">
        <v>1745</v>
      </c>
      <c r="F317" s="16" t="str">
        <f>_xlfn.XLOOKUP(D317,[5]Sheet1!$B:$B,[5]Sheet1!$E:$E,"-")</f>
        <v>WIN KARYADI H P</v>
      </c>
      <c r="G317" s="21"/>
    </row>
    <row r="318" spans="2:7">
      <c r="B318" s="18" t="s">
        <v>260</v>
      </c>
      <c r="C318" s="16" t="s">
        <v>261</v>
      </c>
      <c r="D318" s="19" t="s">
        <v>349</v>
      </c>
      <c r="E318" s="20" t="s">
        <v>1745</v>
      </c>
      <c r="F318" s="16" t="str">
        <f>_xlfn.XLOOKUP(D318,[5]Sheet1!$B:$B,[5]Sheet1!$E:$E,"-")</f>
        <v>WIN KARYADI H P</v>
      </c>
      <c r="G318" s="21"/>
    </row>
    <row r="319" spans="2:7">
      <c r="B319" s="18" t="s">
        <v>350</v>
      </c>
      <c r="C319" s="16" t="s">
        <v>351</v>
      </c>
      <c r="D319" s="19" t="s">
        <v>352</v>
      </c>
      <c r="E319" s="20" t="s">
        <v>1722</v>
      </c>
      <c r="F319" s="16" t="s">
        <v>1746</v>
      </c>
      <c r="G319" s="21"/>
    </row>
    <row r="320" spans="2:7">
      <c r="B320" s="18" t="s">
        <v>350</v>
      </c>
      <c r="C320" s="16" t="s">
        <v>351</v>
      </c>
      <c r="D320" s="19" t="s">
        <v>353</v>
      </c>
      <c r="E320" s="20" t="s">
        <v>1722</v>
      </c>
      <c r="F320" s="16"/>
      <c r="G320" s="21"/>
    </row>
    <row r="321" spans="2:7">
      <c r="B321" s="18" t="s">
        <v>350</v>
      </c>
      <c r="C321" s="16" t="s">
        <v>351</v>
      </c>
      <c r="D321" s="19" t="s">
        <v>354</v>
      </c>
      <c r="E321" s="20" t="s">
        <v>1722</v>
      </c>
      <c r="F321" s="16" t="s">
        <v>1747</v>
      </c>
      <c r="G321" s="21"/>
    </row>
    <row r="322" spans="2:7">
      <c r="B322" s="18" t="s">
        <v>350</v>
      </c>
      <c r="C322" s="16" t="s">
        <v>351</v>
      </c>
      <c r="D322" s="19" t="s">
        <v>355</v>
      </c>
      <c r="E322" s="20" t="s">
        <v>1722</v>
      </c>
      <c r="F322" s="16"/>
      <c r="G322" s="21"/>
    </row>
    <row r="323" spans="2:7">
      <c r="B323" s="18" t="s">
        <v>350</v>
      </c>
      <c r="C323" s="16" t="s">
        <v>351</v>
      </c>
      <c r="D323" s="19" t="s">
        <v>356</v>
      </c>
      <c r="E323" s="20" t="s">
        <v>1722</v>
      </c>
      <c r="F323" s="16" t="s">
        <v>1748</v>
      </c>
      <c r="G323" s="21"/>
    </row>
    <row r="324" spans="2:7">
      <c r="B324" s="18" t="s">
        <v>350</v>
      </c>
      <c r="C324" s="16" t="s">
        <v>351</v>
      </c>
      <c r="D324" s="19" t="s">
        <v>357</v>
      </c>
      <c r="E324" s="20" t="s">
        <v>1722</v>
      </c>
      <c r="F324" s="16" t="s">
        <v>1749</v>
      </c>
      <c r="G324" s="21"/>
    </row>
    <row r="325" spans="2:7">
      <c r="B325" s="18" t="s">
        <v>350</v>
      </c>
      <c r="C325" s="16" t="s">
        <v>351</v>
      </c>
      <c r="D325" s="19" t="s">
        <v>358</v>
      </c>
      <c r="E325" s="20" t="s">
        <v>1722</v>
      </c>
      <c r="F325" s="16" t="s">
        <v>1749</v>
      </c>
      <c r="G325" s="21"/>
    </row>
    <row r="326" spans="2:7">
      <c r="B326" s="18" t="s">
        <v>350</v>
      </c>
      <c r="C326" s="16" t="s">
        <v>351</v>
      </c>
      <c r="D326" s="19" t="s">
        <v>359</v>
      </c>
      <c r="E326" s="20" t="s">
        <v>1722</v>
      </c>
      <c r="F326" s="16" t="s">
        <v>1750</v>
      </c>
      <c r="G326" s="21"/>
    </row>
    <row r="327" spans="2:7">
      <c r="B327" s="18" t="s">
        <v>350</v>
      </c>
      <c r="C327" s="16" t="s">
        <v>351</v>
      </c>
      <c r="D327" s="19" t="s">
        <v>360</v>
      </c>
      <c r="E327" s="20" t="s">
        <v>1722</v>
      </c>
      <c r="F327" s="16" t="s">
        <v>1751</v>
      </c>
      <c r="G327" s="21"/>
    </row>
    <row r="328" spans="2:7">
      <c r="B328" s="18" t="s">
        <v>350</v>
      </c>
      <c r="C328" s="16" t="s">
        <v>351</v>
      </c>
      <c r="D328" s="19" t="s">
        <v>361</v>
      </c>
      <c r="E328" s="20" t="s">
        <v>1722</v>
      </c>
      <c r="F328" s="16" t="s">
        <v>1752</v>
      </c>
      <c r="G328" s="21"/>
    </row>
    <row r="329" spans="2:7">
      <c r="B329" s="18" t="s">
        <v>350</v>
      </c>
      <c r="C329" s="16" t="s">
        <v>351</v>
      </c>
      <c r="D329" s="19" t="s">
        <v>362</v>
      </c>
      <c r="E329" s="20" t="s">
        <v>1722</v>
      </c>
      <c r="F329" s="16" t="s">
        <v>1753</v>
      </c>
      <c r="G329" s="21"/>
    </row>
    <row r="330" spans="2:7">
      <c r="B330" s="18" t="s">
        <v>350</v>
      </c>
      <c r="C330" s="16" t="s">
        <v>351</v>
      </c>
      <c r="D330" s="19" t="s">
        <v>363</v>
      </c>
      <c r="E330" s="20" t="s">
        <v>1722</v>
      </c>
      <c r="F330" s="16" t="s">
        <v>1754</v>
      </c>
      <c r="G330" s="21"/>
    </row>
    <row r="331" spans="2:7">
      <c r="B331" s="18" t="s">
        <v>350</v>
      </c>
      <c r="C331" s="16" t="s">
        <v>351</v>
      </c>
      <c r="D331" s="19" t="s">
        <v>364</v>
      </c>
      <c r="E331" s="20" t="s">
        <v>1722</v>
      </c>
      <c r="F331" s="16" t="s">
        <v>1754</v>
      </c>
      <c r="G331" s="21"/>
    </row>
    <row r="332" spans="2:7">
      <c r="B332" s="18" t="s">
        <v>350</v>
      </c>
      <c r="C332" s="16" t="s">
        <v>351</v>
      </c>
      <c r="D332" s="19" t="s">
        <v>365</v>
      </c>
      <c r="E332" s="20" t="s">
        <v>1722</v>
      </c>
      <c r="F332" s="16" t="s">
        <v>1755</v>
      </c>
      <c r="G332" s="21"/>
    </row>
    <row r="333" spans="2:7">
      <c r="B333" s="18" t="s">
        <v>350</v>
      </c>
      <c r="C333" s="16" t="s">
        <v>351</v>
      </c>
      <c r="D333" s="19" t="s">
        <v>366</v>
      </c>
      <c r="E333" s="20" t="s">
        <v>1722</v>
      </c>
      <c r="F333" s="16" t="s">
        <v>1755</v>
      </c>
      <c r="G333" s="21"/>
    </row>
    <row r="334" spans="2:7">
      <c r="B334" s="18" t="s">
        <v>350</v>
      </c>
      <c r="C334" s="16" t="s">
        <v>351</v>
      </c>
      <c r="D334" s="19" t="s">
        <v>367</v>
      </c>
      <c r="E334" s="20" t="s">
        <v>1722</v>
      </c>
      <c r="F334" s="16" t="s">
        <v>1756</v>
      </c>
      <c r="G334" s="21"/>
    </row>
    <row r="335" spans="2:7">
      <c r="B335" s="18" t="s">
        <v>350</v>
      </c>
      <c r="C335" s="16" t="s">
        <v>351</v>
      </c>
      <c r="D335" s="19" t="s">
        <v>368</v>
      </c>
      <c r="E335" s="20" t="s">
        <v>1722</v>
      </c>
      <c r="F335" s="16" t="s">
        <v>1756</v>
      </c>
      <c r="G335" s="21"/>
    </row>
    <row r="336" spans="2:7">
      <c r="B336" s="18" t="s">
        <v>350</v>
      </c>
      <c r="C336" s="16" t="s">
        <v>351</v>
      </c>
      <c r="D336" s="19" t="s">
        <v>369</v>
      </c>
      <c r="E336" s="20" t="s">
        <v>1722</v>
      </c>
      <c r="F336" s="16" t="s">
        <v>1757</v>
      </c>
      <c r="G336" s="21"/>
    </row>
    <row r="337" spans="2:7">
      <c r="B337" s="18" t="s">
        <v>350</v>
      </c>
      <c r="C337" s="16" t="s">
        <v>351</v>
      </c>
      <c r="D337" s="19" t="s">
        <v>370</v>
      </c>
      <c r="E337" s="20" t="s">
        <v>1745</v>
      </c>
      <c r="F337" s="16" t="s">
        <v>1758</v>
      </c>
      <c r="G337" s="21"/>
    </row>
    <row r="338" spans="2:7">
      <c r="B338" s="18" t="s">
        <v>350</v>
      </c>
      <c r="C338" s="16" t="s">
        <v>351</v>
      </c>
      <c r="D338" s="19" t="s">
        <v>371</v>
      </c>
      <c r="E338" s="20" t="s">
        <v>1745</v>
      </c>
      <c r="F338" s="16" t="s">
        <v>1759</v>
      </c>
      <c r="G338" s="21"/>
    </row>
    <row r="339" spans="2:7">
      <c r="B339" s="18" t="s">
        <v>350</v>
      </c>
      <c r="C339" s="16" t="s">
        <v>351</v>
      </c>
      <c r="D339" s="19" t="s">
        <v>372</v>
      </c>
      <c r="E339" s="20" t="s">
        <v>1745</v>
      </c>
      <c r="F339" s="16" t="s">
        <v>1760</v>
      </c>
      <c r="G339" s="21"/>
    </row>
    <row r="340" spans="2:7">
      <c r="B340" s="18" t="s">
        <v>350</v>
      </c>
      <c r="C340" s="16" t="s">
        <v>351</v>
      </c>
      <c r="D340" s="19" t="s">
        <v>373</v>
      </c>
      <c r="E340" s="20" t="s">
        <v>1745</v>
      </c>
      <c r="F340" s="16" t="s">
        <v>1761</v>
      </c>
      <c r="G340" s="21"/>
    </row>
    <row r="341" spans="2:7">
      <c r="B341" s="18" t="s">
        <v>350</v>
      </c>
      <c r="C341" s="16" t="s">
        <v>351</v>
      </c>
      <c r="D341" s="19" t="s">
        <v>374</v>
      </c>
      <c r="E341" s="20" t="s">
        <v>1722</v>
      </c>
      <c r="F341" s="16" t="s">
        <v>1762</v>
      </c>
      <c r="G341" s="21"/>
    </row>
    <row r="342" spans="2:7">
      <c r="B342" s="22" t="s">
        <v>375</v>
      </c>
      <c r="C342" s="23" t="s">
        <v>376</v>
      </c>
      <c r="D342" s="24" t="s">
        <v>377</v>
      </c>
      <c r="E342" s="25" t="s">
        <v>1722</v>
      </c>
      <c r="F342" s="16" t="str">
        <f>_xlfn.XLOOKUP(D342,[6]Sheet1!$C:$C,[6]Sheet1!$F:$F,"-")</f>
        <v>Adang Suhara</v>
      </c>
      <c r="G342" s="21"/>
    </row>
    <row r="343" spans="2:7">
      <c r="B343" s="22" t="s">
        <v>375</v>
      </c>
      <c r="C343" s="23" t="s">
        <v>376</v>
      </c>
      <c r="D343" s="24" t="s">
        <v>378</v>
      </c>
      <c r="E343" s="25" t="s">
        <v>1722</v>
      </c>
      <c r="F343" s="16" t="str">
        <f>_xlfn.XLOOKUP(D343,[6]Sheet1!$C:$C,[6]Sheet1!$F:$F,"-")</f>
        <v>Aries Yudie Ahmadi, S.Kesos</v>
      </c>
      <c r="G343" s="21"/>
    </row>
    <row r="344" spans="2:7">
      <c r="B344" s="22" t="s">
        <v>375</v>
      </c>
      <c r="C344" s="23" t="s">
        <v>376</v>
      </c>
      <c r="D344" s="24" t="s">
        <v>379</v>
      </c>
      <c r="E344" s="25" t="s">
        <v>1722</v>
      </c>
      <c r="F344" s="16" t="str">
        <f>_xlfn.XLOOKUP(D344,[6]Sheet1!$C:$C,[6]Sheet1!$F:$F,"-")</f>
        <v>Budi Mulyana</v>
      </c>
      <c r="G344" s="21"/>
    </row>
    <row r="345" spans="2:7">
      <c r="B345" s="22" t="s">
        <v>375</v>
      </c>
      <c r="C345" s="23" t="s">
        <v>376</v>
      </c>
      <c r="D345" s="24" t="s">
        <v>380</v>
      </c>
      <c r="E345" s="25" t="s">
        <v>1722</v>
      </c>
      <c r="F345" s="16" t="str">
        <f>_xlfn.XLOOKUP(D345,[6]Sheet1!$C:$C,[6]Sheet1!$F:$F,"-")</f>
        <v>Deni Fathurrohman</v>
      </c>
      <c r="G345" s="21"/>
    </row>
    <row r="346" spans="2:7">
      <c r="B346" s="22" t="s">
        <v>375</v>
      </c>
      <c r="C346" s="23" t="s">
        <v>376</v>
      </c>
      <c r="D346" s="24" t="s">
        <v>381</v>
      </c>
      <c r="E346" s="25" t="s">
        <v>1722</v>
      </c>
      <c r="F346" s="16" t="str">
        <f>_xlfn.XLOOKUP(D346,[6]Sheet1!$C:$C,[6]Sheet1!$F:$F,"-")</f>
        <v>Didi Supriadi</v>
      </c>
      <c r="G346" s="21"/>
    </row>
    <row r="347" spans="2:7">
      <c r="B347" s="22" t="s">
        <v>375</v>
      </c>
      <c r="C347" s="23" t="s">
        <v>376</v>
      </c>
      <c r="D347" s="24" t="s">
        <v>382</v>
      </c>
      <c r="E347" s="25" t="s">
        <v>1722</v>
      </c>
      <c r="F347" s="16" t="str">
        <f>_xlfn.XLOOKUP(D347,[6]Sheet1!$C:$C,[6]Sheet1!$F:$F,"-")</f>
        <v>Dudin Joharudin</v>
      </c>
      <c r="G347" s="21"/>
    </row>
    <row r="348" spans="2:7">
      <c r="B348" s="22" t="s">
        <v>375</v>
      </c>
      <c r="C348" s="23" t="s">
        <v>376</v>
      </c>
      <c r="D348" s="24" t="s">
        <v>383</v>
      </c>
      <c r="E348" s="25" t="s">
        <v>1722</v>
      </c>
      <c r="F348" s="16" t="str">
        <f>_xlfn.XLOOKUP(D348,[6]Sheet1!$C:$C,[6]Sheet1!$F:$F,"-")</f>
        <v>Hikmat Maulana</v>
      </c>
      <c r="G348" s="21"/>
    </row>
    <row r="349" spans="2:7">
      <c r="B349" s="22" t="s">
        <v>375</v>
      </c>
      <c r="C349" s="23" t="s">
        <v>376</v>
      </c>
      <c r="D349" s="24" t="s">
        <v>384</v>
      </c>
      <c r="E349" s="25" t="s">
        <v>1722</v>
      </c>
      <c r="F349" s="16" t="str">
        <f>_xlfn.XLOOKUP(D349,[6]Sheet1!$C:$C,[6]Sheet1!$F:$F,"-")</f>
        <v>Iqbal Permana</v>
      </c>
      <c r="G349" s="21"/>
    </row>
    <row r="350" spans="2:7">
      <c r="B350" s="22" t="s">
        <v>375</v>
      </c>
      <c r="C350" s="23" t="s">
        <v>376</v>
      </c>
      <c r="D350" s="24" t="s">
        <v>385</v>
      </c>
      <c r="E350" s="25" t="s">
        <v>1722</v>
      </c>
      <c r="F350" s="16" t="str">
        <f>_xlfn.XLOOKUP(D350,[6]Sheet1!$C:$C,[6]Sheet1!$F:$F,"-")</f>
        <v>Nana suryana</v>
      </c>
      <c r="G350" s="21"/>
    </row>
    <row r="351" spans="2:7">
      <c r="B351" s="22" t="s">
        <v>375</v>
      </c>
      <c r="C351" s="23" t="s">
        <v>376</v>
      </c>
      <c r="D351" s="24" t="s">
        <v>386</v>
      </c>
      <c r="E351" s="25" t="s">
        <v>1722</v>
      </c>
      <c r="F351" s="16" t="str">
        <f>_xlfn.XLOOKUP(D351,[6]Sheet1!$C:$C,[6]Sheet1!$F:$F,"-")</f>
        <v>Paryono</v>
      </c>
      <c r="G351" s="21"/>
    </row>
    <row r="352" spans="2:7">
      <c r="B352" s="22" t="s">
        <v>375</v>
      </c>
      <c r="C352" s="23" t="s">
        <v>376</v>
      </c>
      <c r="D352" s="24" t="s">
        <v>387</v>
      </c>
      <c r="E352" s="25" t="s">
        <v>1722</v>
      </c>
      <c r="F352" s="16" t="str">
        <f>_xlfn.XLOOKUP(D352,[6]Sheet1!$C:$C,[6]Sheet1!$F:$F,"-")</f>
        <v>Vichi Ramadhan</v>
      </c>
      <c r="G352" s="21"/>
    </row>
    <row r="353" spans="2:7">
      <c r="B353" s="22" t="s">
        <v>375</v>
      </c>
      <c r="C353" s="23" t="s">
        <v>376</v>
      </c>
      <c r="D353" s="24" t="s">
        <v>388</v>
      </c>
      <c r="E353" s="25" t="s">
        <v>1722</v>
      </c>
      <c r="F353" s="16" t="str">
        <f>_xlfn.XLOOKUP(D353,[6]Sheet1!$C:$C,[6]Sheet1!$F:$F,"-")</f>
        <v>Yandi Cahyadi, SE</v>
      </c>
      <c r="G353" s="21"/>
    </row>
    <row r="354" spans="2:7">
      <c r="B354" s="22" t="s">
        <v>375</v>
      </c>
      <c r="C354" s="23" t="s">
        <v>376</v>
      </c>
      <c r="D354" s="24" t="s">
        <v>389</v>
      </c>
      <c r="E354" s="25" t="s">
        <v>1722</v>
      </c>
      <c r="F354" s="16" t="str">
        <f>_xlfn.XLOOKUP(D354,[6]Sheet1!$C:$C,[6]Sheet1!$F:$F,"-")</f>
        <v>-</v>
      </c>
      <c r="G354" s="21"/>
    </row>
    <row r="355" spans="2:7">
      <c r="B355" s="22" t="s">
        <v>375</v>
      </c>
      <c r="C355" s="23" t="s">
        <v>376</v>
      </c>
      <c r="D355" s="24" t="s">
        <v>390</v>
      </c>
      <c r="E355" s="25" t="s">
        <v>1745</v>
      </c>
      <c r="F355" s="16" t="str">
        <f>_xlfn.XLOOKUP(D355,[6]Sheet1!$C:$C,[6]Sheet1!$F:$F,"-")</f>
        <v>Bayu Triguna Putra</v>
      </c>
      <c r="G355" s="21"/>
    </row>
    <row r="356" spans="2:7">
      <c r="B356" s="22" t="s">
        <v>375</v>
      </c>
      <c r="C356" s="23" t="s">
        <v>376</v>
      </c>
      <c r="D356" s="24" t="s">
        <v>391</v>
      </c>
      <c r="E356" s="25" t="s">
        <v>1745</v>
      </c>
      <c r="F356" s="16" t="str">
        <f>_xlfn.XLOOKUP(D356,[6]Sheet1!$C:$C,[6]Sheet1!$F:$F,"-")</f>
        <v>Dadan Maulana</v>
      </c>
      <c r="G356" s="21"/>
    </row>
    <row r="357" spans="2:7">
      <c r="B357" s="22" t="s">
        <v>375</v>
      </c>
      <c r="C357" s="23" t="s">
        <v>376</v>
      </c>
      <c r="D357" s="24" t="s">
        <v>392</v>
      </c>
      <c r="E357" s="25" t="s">
        <v>1745</v>
      </c>
      <c r="F357" s="16" t="str">
        <f>_xlfn.XLOOKUP(D357,[6]Sheet1!$C:$C,[6]Sheet1!$F:$F,"-")</f>
        <v>Dandi Pardamean Nababan</v>
      </c>
      <c r="G357" s="21"/>
    </row>
    <row r="358" spans="2:7">
      <c r="B358" s="22" t="s">
        <v>375</v>
      </c>
      <c r="C358" s="23" t="s">
        <v>376</v>
      </c>
      <c r="D358" s="24" t="s">
        <v>393</v>
      </c>
      <c r="E358" s="25" t="s">
        <v>1745</v>
      </c>
      <c r="F358" s="16" t="str">
        <f>_xlfn.XLOOKUP(D358,[6]Sheet1!$C:$C,[6]Sheet1!$F:$F,"-")</f>
        <v>Danis</v>
      </c>
      <c r="G358" s="21"/>
    </row>
    <row r="359" spans="2:7">
      <c r="B359" s="22" t="s">
        <v>375</v>
      </c>
      <c r="C359" s="23" t="s">
        <v>376</v>
      </c>
      <c r="D359" s="24" t="s">
        <v>394</v>
      </c>
      <c r="E359" s="25" t="s">
        <v>1745</v>
      </c>
      <c r="F359" s="16" t="str">
        <f>_xlfn.XLOOKUP(D359,[6]Sheet1!$C:$C,[6]Sheet1!$F:$F,"-")</f>
        <v>Dicki Prayoga Irawan</v>
      </c>
      <c r="G359" s="21"/>
    </row>
    <row r="360" spans="2:7">
      <c r="B360" s="22" t="s">
        <v>375</v>
      </c>
      <c r="C360" s="23" t="s">
        <v>376</v>
      </c>
      <c r="D360" s="24" t="s">
        <v>395</v>
      </c>
      <c r="E360" s="25" t="s">
        <v>1745</v>
      </c>
      <c r="F360" s="16" t="str">
        <f>_xlfn.XLOOKUP(D360,[6]Sheet1!$C:$C,[6]Sheet1!$F:$F,"-")</f>
        <v>Eka Setiawan</v>
      </c>
      <c r="G360" s="21"/>
    </row>
    <row r="361" spans="2:7">
      <c r="B361" s="22" t="s">
        <v>375</v>
      </c>
      <c r="C361" s="23" t="s">
        <v>376</v>
      </c>
      <c r="D361" s="24" t="s">
        <v>396</v>
      </c>
      <c r="E361" s="25" t="s">
        <v>1745</v>
      </c>
      <c r="F361" s="16" t="str">
        <f>_xlfn.XLOOKUP(D361,[6]Sheet1!$C:$C,[6]Sheet1!$F:$F,"-")</f>
        <v>Luki Hardiyana</v>
      </c>
      <c r="G361" s="21"/>
    </row>
    <row r="362" spans="2:7">
      <c r="B362" s="22" t="s">
        <v>375</v>
      </c>
      <c r="C362" s="23" t="s">
        <v>376</v>
      </c>
      <c r="D362" s="24" t="s">
        <v>397</v>
      </c>
      <c r="E362" s="25" t="s">
        <v>1722</v>
      </c>
      <c r="F362" s="16" t="str">
        <f>_xlfn.XLOOKUP(D362,[6]Sheet1!$C:$C,[6]Sheet1!$F:$F,"-")</f>
        <v>Ade Ahmad Sail</v>
      </c>
      <c r="G362" s="21"/>
    </row>
    <row r="363" spans="2:7">
      <c r="B363" s="22" t="s">
        <v>375</v>
      </c>
      <c r="C363" s="23" t="s">
        <v>376</v>
      </c>
      <c r="D363" s="24" t="s">
        <v>398</v>
      </c>
      <c r="E363" s="25" t="s">
        <v>1722</v>
      </c>
      <c r="F363" s="16" t="str">
        <f>_xlfn.XLOOKUP(D363,[6]Sheet1!$C:$C,[6]Sheet1!$F:$F,"-")</f>
        <v>Dicki Setiawan</v>
      </c>
      <c r="G363" s="21"/>
    </row>
    <row r="364" spans="2:7">
      <c r="B364" s="22" t="s">
        <v>375</v>
      </c>
      <c r="C364" s="23" t="s">
        <v>376</v>
      </c>
      <c r="D364" s="24" t="s">
        <v>399</v>
      </c>
      <c r="E364" s="25" t="s">
        <v>1722</v>
      </c>
      <c r="F364" s="16" t="str">
        <f>_xlfn.XLOOKUP(D364,[6]Sheet1!$C:$C,[6]Sheet1!$F:$F,"-")</f>
        <v>Elvan Ihdinansyah Setiawan</v>
      </c>
      <c r="G364" s="21"/>
    </row>
    <row r="365" spans="2:7">
      <c r="B365" s="22" t="s">
        <v>375</v>
      </c>
      <c r="C365" s="23" t="s">
        <v>376</v>
      </c>
      <c r="D365" s="24" t="s">
        <v>400</v>
      </c>
      <c r="E365" s="25" t="s">
        <v>1722</v>
      </c>
      <c r="F365" s="16" t="str">
        <f>_xlfn.XLOOKUP(D365,[6]Sheet1!$C:$C,[6]Sheet1!$F:$F,"-")</f>
        <v>Febri Maulana</v>
      </c>
      <c r="G365" s="21"/>
    </row>
    <row r="366" spans="2:7">
      <c r="B366" s="22" t="s">
        <v>375</v>
      </c>
      <c r="C366" s="23" t="s">
        <v>376</v>
      </c>
      <c r="D366" s="24" t="s">
        <v>401</v>
      </c>
      <c r="E366" s="25" t="s">
        <v>1722</v>
      </c>
      <c r="F366" s="16" t="str">
        <f>_xlfn.XLOOKUP(D366,[6]Sheet1!$C:$C,[6]Sheet1!$F:$F,"-")</f>
        <v>Heri Kuswanto, S.Pd.</v>
      </c>
      <c r="G366" s="21"/>
    </row>
    <row r="367" spans="2:7">
      <c r="B367" s="22" t="s">
        <v>375</v>
      </c>
      <c r="C367" s="23" t="s">
        <v>376</v>
      </c>
      <c r="D367" s="24" t="s">
        <v>402</v>
      </c>
      <c r="E367" s="25" t="s">
        <v>1722</v>
      </c>
      <c r="F367" s="16" t="str">
        <f>_xlfn.XLOOKUP(D367,[6]Sheet1!$C:$C,[6]Sheet1!$F:$F,"-")</f>
        <v>Iqbal Aulia Rachman</v>
      </c>
      <c r="G367" s="21"/>
    </row>
    <row r="368" spans="2:7">
      <c r="B368" s="22" t="s">
        <v>375</v>
      </c>
      <c r="C368" s="23" t="s">
        <v>376</v>
      </c>
      <c r="D368" s="24" t="s">
        <v>403</v>
      </c>
      <c r="E368" s="25" t="s">
        <v>1722</v>
      </c>
      <c r="F368" s="16" t="str">
        <f>_xlfn.XLOOKUP(D368,[6]Sheet1!$C:$C,[6]Sheet1!$F:$F,"-")</f>
        <v>Muhamad Adit Nurcita</v>
      </c>
      <c r="G368" s="21"/>
    </row>
    <row r="369" spans="2:7">
      <c r="B369" s="22" t="s">
        <v>375</v>
      </c>
      <c r="C369" s="23" t="s">
        <v>376</v>
      </c>
      <c r="D369" s="24" t="s">
        <v>404</v>
      </c>
      <c r="E369" s="25" t="s">
        <v>1722</v>
      </c>
      <c r="F369" s="16" t="str">
        <f>_xlfn.XLOOKUP(D369,[6]Sheet1!$C:$C,[6]Sheet1!$F:$F,"-")</f>
        <v>Nur Fajar Abiyanto</v>
      </c>
      <c r="G369" s="21"/>
    </row>
    <row r="370" spans="2:7">
      <c r="B370" s="22" t="s">
        <v>375</v>
      </c>
      <c r="C370" s="23" t="s">
        <v>376</v>
      </c>
      <c r="D370" s="24" t="s">
        <v>405</v>
      </c>
      <c r="E370" s="25" t="s">
        <v>1722</v>
      </c>
      <c r="F370" s="16" t="str">
        <f>_xlfn.XLOOKUP(D370,[6]Sheet1!$C:$C,[6]Sheet1!$F:$F,"-")</f>
        <v>Romi Ajromi</v>
      </c>
      <c r="G370" s="21"/>
    </row>
    <row r="371" spans="2:7">
      <c r="B371" s="22" t="s">
        <v>375</v>
      </c>
      <c r="C371" s="23" t="s">
        <v>376</v>
      </c>
      <c r="D371" s="24" t="s">
        <v>406</v>
      </c>
      <c r="E371" s="25" t="s">
        <v>1722</v>
      </c>
      <c r="F371" s="16" t="str">
        <f>_xlfn.XLOOKUP(D371,[6]Sheet1!$C:$C,[6]Sheet1!$F:$F,"-")</f>
        <v>Sigit Prastio</v>
      </c>
      <c r="G371" s="21"/>
    </row>
    <row r="372" spans="2:7">
      <c r="B372" s="22" t="s">
        <v>375</v>
      </c>
      <c r="C372" s="23" t="s">
        <v>376</v>
      </c>
      <c r="D372" s="24" t="s">
        <v>407</v>
      </c>
      <c r="E372" s="25" t="s">
        <v>1722</v>
      </c>
      <c r="F372" s="16" t="str">
        <f>_xlfn.XLOOKUP(D372,[6]Sheet1!$C:$C,[6]Sheet1!$F:$F,"-")</f>
        <v>Yogi Faturahman</v>
      </c>
      <c r="G372" s="21"/>
    </row>
    <row r="373" spans="2:7">
      <c r="B373" s="22" t="s">
        <v>375</v>
      </c>
      <c r="C373" s="23" t="s">
        <v>376</v>
      </c>
      <c r="D373" s="24" t="s">
        <v>408</v>
      </c>
      <c r="E373" s="25" t="s">
        <v>1722</v>
      </c>
      <c r="F373" s="16" t="str">
        <f>_xlfn.XLOOKUP(D373,[6]Sheet1!$C:$C,[6]Sheet1!$F:$F,"-")</f>
        <v>Zaini Miftah</v>
      </c>
      <c r="G373" s="21"/>
    </row>
    <row r="374" spans="2:7">
      <c r="B374" s="22" t="s">
        <v>375</v>
      </c>
      <c r="C374" s="23" t="s">
        <v>376</v>
      </c>
      <c r="D374" s="24" t="s">
        <v>409</v>
      </c>
      <c r="E374" s="25" t="s">
        <v>1722</v>
      </c>
      <c r="F374" s="16" t="str">
        <f>_xlfn.XLOOKUP(D374,[6]Sheet1!$C:$C,[6]Sheet1!$F:$F,"-")</f>
        <v>Dian Wunandar</v>
      </c>
      <c r="G374" s="21"/>
    </row>
    <row r="375" spans="2:7">
      <c r="B375" s="22" t="s">
        <v>375</v>
      </c>
      <c r="C375" s="23" t="s">
        <v>376</v>
      </c>
      <c r="D375" s="24" t="s">
        <v>410</v>
      </c>
      <c r="E375" s="25" t="s">
        <v>1745</v>
      </c>
      <c r="F375" s="16" t="str">
        <f>_xlfn.XLOOKUP(D375,[6]Sheet1!$C:$C,[6]Sheet1!$F:$F,"-")</f>
        <v>Adam Supriatna</v>
      </c>
      <c r="G375" s="21"/>
    </row>
    <row r="376" spans="2:7">
      <c r="B376" s="22" t="s">
        <v>375</v>
      </c>
      <c r="C376" s="23" t="s">
        <v>376</v>
      </c>
      <c r="D376" s="24" t="s">
        <v>411</v>
      </c>
      <c r="E376" s="25" t="s">
        <v>1745</v>
      </c>
      <c r="F376" s="16" t="str">
        <f>_xlfn.XLOOKUP(D376,[6]Sheet1!$C:$C,[6]Sheet1!$F:$F,"-")</f>
        <v>Adi Firmansyah</v>
      </c>
      <c r="G376" s="21"/>
    </row>
    <row r="377" spans="2:7">
      <c r="B377" s="22" t="s">
        <v>375</v>
      </c>
      <c r="C377" s="23" t="s">
        <v>376</v>
      </c>
      <c r="D377" s="24" t="s">
        <v>412</v>
      </c>
      <c r="E377" s="25" t="s">
        <v>1745</v>
      </c>
      <c r="F377" s="16" t="str">
        <f>_xlfn.XLOOKUP(D377,[6]Sheet1!$C:$C,[6]Sheet1!$F:$F,"-")</f>
        <v>Adi Firmansyah</v>
      </c>
      <c r="G377" s="21"/>
    </row>
    <row r="378" spans="2:7">
      <c r="B378" s="22" t="s">
        <v>375</v>
      </c>
      <c r="C378" s="23" t="s">
        <v>376</v>
      </c>
      <c r="D378" s="24" t="s">
        <v>413</v>
      </c>
      <c r="E378" s="25" t="s">
        <v>1745</v>
      </c>
      <c r="F378" s="16" t="str">
        <f>_xlfn.XLOOKUP(D378,[6]Sheet1!$C:$C,[6]Sheet1!$F:$F,"-")</f>
        <v>Andri Henriyana</v>
      </c>
      <c r="G378" s="21"/>
    </row>
    <row r="379" spans="2:7">
      <c r="B379" s="22" t="s">
        <v>375</v>
      </c>
      <c r="C379" s="23" t="s">
        <v>376</v>
      </c>
      <c r="D379" s="24" t="s">
        <v>414</v>
      </c>
      <c r="E379" s="25" t="s">
        <v>1745</v>
      </c>
      <c r="F379" s="16" t="str">
        <f>_xlfn.XLOOKUP(D379,[6]Sheet1!$C:$C,[6]Sheet1!$F:$F,"-")</f>
        <v>Dedi Martin</v>
      </c>
      <c r="G379" s="21"/>
    </row>
    <row r="380" spans="2:7">
      <c r="B380" s="22" t="s">
        <v>375</v>
      </c>
      <c r="C380" s="23" t="s">
        <v>376</v>
      </c>
      <c r="D380" s="24" t="s">
        <v>415</v>
      </c>
      <c r="E380" s="25" t="s">
        <v>1745</v>
      </c>
      <c r="F380" s="16" t="str">
        <f>_xlfn.XLOOKUP(D380,[6]Sheet1!$C:$C,[6]Sheet1!$F:$F,"-")</f>
        <v>Deni Jaelani</v>
      </c>
      <c r="G380" s="21"/>
    </row>
    <row r="381" spans="2:7">
      <c r="B381" s="22" t="s">
        <v>375</v>
      </c>
      <c r="C381" s="23" t="s">
        <v>376</v>
      </c>
      <c r="D381" s="24" t="s">
        <v>416</v>
      </c>
      <c r="E381" s="25" t="s">
        <v>1745</v>
      </c>
      <c r="F381" s="16" t="str">
        <f>_xlfn.XLOOKUP(D381,[6]Sheet1!$C:$C,[6]Sheet1!$F:$F,"-")</f>
        <v>Edwin Iskandar</v>
      </c>
      <c r="G381" s="21"/>
    </row>
    <row r="382" spans="2:7">
      <c r="B382" s="22" t="s">
        <v>375</v>
      </c>
      <c r="C382" s="23" t="s">
        <v>376</v>
      </c>
      <c r="D382" s="24" t="s">
        <v>417</v>
      </c>
      <c r="E382" s="25" t="s">
        <v>1745</v>
      </c>
      <c r="F382" s="16" t="str">
        <f>_xlfn.XLOOKUP(D382,[6]Sheet1!$C:$C,[6]Sheet1!$F:$F,"-")</f>
        <v>Hasan Bisri</v>
      </c>
      <c r="G382" s="21"/>
    </row>
    <row r="383" spans="2:7">
      <c r="B383" s="22" t="s">
        <v>375</v>
      </c>
      <c r="C383" s="23" t="s">
        <v>376</v>
      </c>
      <c r="D383" s="24" t="s">
        <v>418</v>
      </c>
      <c r="E383" s="25" t="s">
        <v>1745</v>
      </c>
      <c r="F383" s="16" t="str">
        <f>_xlfn.XLOOKUP(D383,[6]Sheet1!$C:$C,[6]Sheet1!$F:$F,"-")</f>
        <v>Ichsan Purnama</v>
      </c>
      <c r="G383" s="21"/>
    </row>
    <row r="384" spans="2:7">
      <c r="B384" s="22" t="s">
        <v>375</v>
      </c>
      <c r="C384" s="23" t="s">
        <v>376</v>
      </c>
      <c r="D384" s="24" t="s">
        <v>419</v>
      </c>
      <c r="E384" s="25" t="s">
        <v>1745</v>
      </c>
      <c r="F384" s="16" t="str">
        <f>_xlfn.XLOOKUP(D384,[6]Sheet1!$C:$C,[6]Sheet1!$F:$F,"-")</f>
        <v>Kemal Nurjaman</v>
      </c>
      <c r="G384" s="21"/>
    </row>
    <row r="385" spans="2:7">
      <c r="B385" s="22" t="s">
        <v>375</v>
      </c>
      <c r="C385" s="23" t="s">
        <v>376</v>
      </c>
      <c r="D385" s="24" t="s">
        <v>420</v>
      </c>
      <c r="E385" s="25" t="s">
        <v>1745</v>
      </c>
      <c r="F385" s="16" t="str">
        <f>_xlfn.XLOOKUP(D385,[6]Sheet1!$C:$C,[6]Sheet1!$F:$F,"-")</f>
        <v>Lyusi Fathan Mubiena</v>
      </c>
      <c r="G385" s="21"/>
    </row>
    <row r="386" spans="2:7">
      <c r="B386" s="22" t="s">
        <v>375</v>
      </c>
      <c r="C386" s="23" t="s">
        <v>376</v>
      </c>
      <c r="D386" s="24" t="s">
        <v>421</v>
      </c>
      <c r="E386" s="25" t="s">
        <v>1745</v>
      </c>
      <c r="F386" s="16" t="str">
        <f>_xlfn.XLOOKUP(D386,[6]Sheet1!$C:$C,[6]Sheet1!$F:$F,"-")</f>
        <v>Maulana Hisbulloh</v>
      </c>
      <c r="G386" s="21"/>
    </row>
    <row r="387" spans="2:7">
      <c r="B387" s="22" t="s">
        <v>375</v>
      </c>
      <c r="C387" s="23" t="s">
        <v>376</v>
      </c>
      <c r="D387" s="24" t="s">
        <v>422</v>
      </c>
      <c r="E387" s="25" t="s">
        <v>1745</v>
      </c>
      <c r="F387" s="16" t="str">
        <f>_xlfn.XLOOKUP(D387,[6]Sheet1!$C:$C,[6]Sheet1!$F:$F,"-")</f>
        <v>Muhamad Ikhsan</v>
      </c>
      <c r="G387" s="21"/>
    </row>
    <row r="388" spans="2:7">
      <c r="B388" s="22" t="s">
        <v>375</v>
      </c>
      <c r="C388" s="23" t="s">
        <v>376</v>
      </c>
      <c r="D388" s="24" t="s">
        <v>423</v>
      </c>
      <c r="E388" s="25" t="s">
        <v>1745</v>
      </c>
      <c r="F388" s="16" t="str">
        <f>_xlfn.XLOOKUP(D388,[6]Sheet1!$C:$C,[6]Sheet1!$F:$F,"-")</f>
        <v>Neri Hidayat</v>
      </c>
      <c r="G388" s="21"/>
    </row>
    <row r="389" spans="2:7">
      <c r="B389" s="22" t="s">
        <v>375</v>
      </c>
      <c r="C389" s="23" t="s">
        <v>376</v>
      </c>
      <c r="D389" s="24" t="s">
        <v>424</v>
      </c>
      <c r="E389" s="25" t="s">
        <v>1745</v>
      </c>
      <c r="F389" s="16" t="str">
        <f>_xlfn.XLOOKUP(D389,[6]Sheet1!$C:$C,[6]Sheet1!$F:$F,"-")</f>
        <v>Regi Firmansyah</v>
      </c>
      <c r="G389" s="21"/>
    </row>
    <row r="390" spans="2:7">
      <c r="B390" s="22" t="s">
        <v>375</v>
      </c>
      <c r="C390" s="23" t="s">
        <v>376</v>
      </c>
      <c r="D390" s="24" t="s">
        <v>425</v>
      </c>
      <c r="E390" s="25" t="s">
        <v>1745</v>
      </c>
      <c r="F390" s="16" t="str">
        <f>_xlfn.XLOOKUP(D390,[6]Sheet1!$C:$C,[6]Sheet1!$F:$F,"-")</f>
        <v>Rifki Shafik Fadillah</v>
      </c>
      <c r="G390" s="21"/>
    </row>
    <row r="391" spans="2:7">
      <c r="B391" s="22" t="s">
        <v>375</v>
      </c>
      <c r="C391" s="23" t="s">
        <v>376</v>
      </c>
      <c r="D391" s="24" t="s">
        <v>426</v>
      </c>
      <c r="E391" s="25" t="s">
        <v>1745</v>
      </c>
      <c r="F391" s="16" t="str">
        <f>_xlfn.XLOOKUP(D391,[6]Sheet1!$C:$C,[6]Sheet1!$F:$F,"-")</f>
        <v>Rifki Shafik Fadillah</v>
      </c>
      <c r="G391" s="21"/>
    </row>
    <row r="392" spans="2:7">
      <c r="B392" s="22" t="s">
        <v>375</v>
      </c>
      <c r="C392" s="23" t="s">
        <v>376</v>
      </c>
      <c r="D392" s="24" t="s">
        <v>427</v>
      </c>
      <c r="E392" s="25" t="s">
        <v>1745</v>
      </c>
      <c r="F392" s="16" t="str">
        <f>_xlfn.XLOOKUP(D392,[6]Sheet1!$C:$C,[6]Sheet1!$F:$F,"-")</f>
        <v>Robi Ta'dim Nurdiansyah</v>
      </c>
      <c r="G392" s="21"/>
    </row>
    <row r="393" spans="2:7">
      <c r="B393" s="22" t="s">
        <v>375</v>
      </c>
      <c r="C393" s="23" t="s">
        <v>376</v>
      </c>
      <c r="D393" s="24" t="s">
        <v>428</v>
      </c>
      <c r="E393" s="25" t="s">
        <v>1745</v>
      </c>
      <c r="F393" s="16" t="str">
        <f>_xlfn.XLOOKUP(D393,[6]Sheet1!$C:$C,[6]Sheet1!$F:$F,"-")</f>
        <v>Rosi Riswanto</v>
      </c>
      <c r="G393" s="21"/>
    </row>
    <row r="394" spans="2:7">
      <c r="B394" s="22" t="s">
        <v>375</v>
      </c>
      <c r="C394" s="23" t="s">
        <v>376</v>
      </c>
      <c r="D394" s="24" t="s">
        <v>429</v>
      </c>
      <c r="E394" s="25" t="s">
        <v>1745</v>
      </c>
      <c r="F394" s="16" t="str">
        <f>_xlfn.XLOOKUP(D394,[6]Sheet1!$C:$C,[6]Sheet1!$F:$F,"-")</f>
        <v>Sayu Mulhasyim</v>
      </c>
      <c r="G394" s="21"/>
    </row>
    <row r="395" spans="2:7">
      <c r="B395" s="22" t="s">
        <v>375</v>
      </c>
      <c r="C395" s="23" t="s">
        <v>376</v>
      </c>
      <c r="D395" s="24" t="s">
        <v>430</v>
      </c>
      <c r="E395" s="25" t="s">
        <v>1745</v>
      </c>
      <c r="F395" s="16" t="str">
        <f>_xlfn.XLOOKUP(D395,[6]Sheet1!$C:$C,[6]Sheet1!$F:$F,"-")</f>
        <v>Syahrul Abu Bakar</v>
      </c>
      <c r="G395" s="21"/>
    </row>
    <row r="396" spans="2:7">
      <c r="B396" s="22" t="s">
        <v>375</v>
      </c>
      <c r="C396" s="23" t="s">
        <v>376</v>
      </c>
      <c r="D396" s="24" t="s">
        <v>431</v>
      </c>
      <c r="E396" s="25" t="s">
        <v>1745</v>
      </c>
      <c r="F396" s="16" t="str">
        <f>_xlfn.XLOOKUP(D396,[6]Sheet1!$C:$C,[6]Sheet1!$F:$F,"-")</f>
        <v>Undang Ramdani</v>
      </c>
      <c r="G396" s="21"/>
    </row>
    <row r="397" spans="2:7">
      <c r="B397" s="22" t="s">
        <v>375</v>
      </c>
      <c r="C397" s="23" t="s">
        <v>376</v>
      </c>
      <c r="D397" s="24" t="s">
        <v>432</v>
      </c>
      <c r="E397" s="25" t="s">
        <v>1745</v>
      </c>
      <c r="F397" s="16" t="str">
        <f>_xlfn.XLOOKUP(D397,[6]Sheet1!$C:$C,[6]Sheet1!$F:$F,"-")</f>
        <v>Undang Ramdani</v>
      </c>
      <c r="G397" s="21"/>
    </row>
    <row r="398" spans="2:7">
      <c r="B398" s="22" t="s">
        <v>375</v>
      </c>
      <c r="C398" s="23" t="s">
        <v>376</v>
      </c>
      <c r="D398" s="24" t="s">
        <v>433</v>
      </c>
      <c r="E398" s="25" t="s">
        <v>1745</v>
      </c>
      <c r="F398" s="16" t="str">
        <f>_xlfn.XLOOKUP(D398,[6]Sheet1!$C:$C,[6]Sheet1!$F:$F,"-")</f>
        <v>Usep kamaludin</v>
      </c>
      <c r="G398" s="21"/>
    </row>
    <row r="399" spans="2:7">
      <c r="B399" s="22" t="s">
        <v>375</v>
      </c>
      <c r="C399" s="23" t="s">
        <v>376</v>
      </c>
      <c r="D399" s="24" t="s">
        <v>434</v>
      </c>
      <c r="E399" s="25" t="s">
        <v>1745</v>
      </c>
      <c r="F399" s="16" t="str">
        <f>_xlfn.XLOOKUP(D399,[6]Sheet1!$C:$C,[6]Sheet1!$F:$F,"-")</f>
        <v>Ade Rahmat</v>
      </c>
      <c r="G399" s="21"/>
    </row>
    <row r="400" spans="2:7">
      <c r="B400" s="22" t="s">
        <v>375</v>
      </c>
      <c r="C400" s="23" t="s">
        <v>376</v>
      </c>
      <c r="D400" s="24" t="s">
        <v>435</v>
      </c>
      <c r="E400" s="25" t="s">
        <v>1745</v>
      </c>
      <c r="F400" s="16" t="str">
        <f>_xlfn.XLOOKUP(D400,[6]Sheet1!$C:$C,[6]Sheet1!$F:$F,"-")</f>
        <v>Anas Nazal Huda</v>
      </c>
      <c r="G400" s="21"/>
    </row>
    <row r="401" spans="2:7">
      <c r="B401" s="22" t="s">
        <v>375</v>
      </c>
      <c r="C401" s="23" t="s">
        <v>376</v>
      </c>
      <c r="D401" s="24" t="s">
        <v>436</v>
      </c>
      <c r="E401" s="25" t="s">
        <v>1745</v>
      </c>
      <c r="F401" s="16" t="str">
        <f>_xlfn.XLOOKUP(D401,[6]Sheet1!$C:$C,[6]Sheet1!$F:$F,"-")</f>
        <v>Andi Herdiansyah</v>
      </c>
      <c r="G401" s="21"/>
    </row>
    <row r="402" spans="2:7">
      <c r="B402" s="22" t="s">
        <v>375</v>
      </c>
      <c r="C402" s="23" t="s">
        <v>376</v>
      </c>
      <c r="D402" s="24" t="s">
        <v>437</v>
      </c>
      <c r="E402" s="25" t="s">
        <v>1745</v>
      </c>
      <c r="F402" s="16" t="str">
        <f>_xlfn.XLOOKUP(D402,[6]Sheet1!$C:$C,[6]Sheet1!$F:$F,"-")</f>
        <v>Andi Saeful Rahman</v>
      </c>
      <c r="G402" s="21"/>
    </row>
    <row r="403" spans="2:7">
      <c r="B403" s="22" t="s">
        <v>375</v>
      </c>
      <c r="C403" s="23" t="s">
        <v>376</v>
      </c>
      <c r="D403" s="24" t="s">
        <v>438</v>
      </c>
      <c r="E403" s="25" t="s">
        <v>1745</v>
      </c>
      <c r="F403" s="16" t="str">
        <f>_xlfn.XLOOKUP(D403,[6]Sheet1!$C:$C,[6]Sheet1!$F:$F,"-")</f>
        <v>Asep Romli</v>
      </c>
      <c r="G403" s="21"/>
    </row>
    <row r="404" spans="2:7">
      <c r="B404" s="22" t="s">
        <v>375</v>
      </c>
      <c r="C404" s="23" t="s">
        <v>376</v>
      </c>
      <c r="D404" s="24" t="s">
        <v>439</v>
      </c>
      <c r="E404" s="25" t="s">
        <v>1745</v>
      </c>
      <c r="F404" s="16" t="str">
        <f>_xlfn.XLOOKUP(D404,[6]Sheet1!$C:$C,[6]Sheet1!$F:$F,"-")</f>
        <v>Dani Alvin</v>
      </c>
      <c r="G404" s="21"/>
    </row>
    <row r="405" spans="2:7">
      <c r="B405" s="22" t="s">
        <v>375</v>
      </c>
      <c r="C405" s="23" t="s">
        <v>376</v>
      </c>
      <c r="D405" s="24" t="s">
        <v>440</v>
      </c>
      <c r="E405" s="25" t="s">
        <v>1745</v>
      </c>
      <c r="F405" s="16" t="str">
        <f>_xlfn.XLOOKUP(D405,[6]Sheet1!$C:$C,[6]Sheet1!$F:$F,"-")</f>
        <v>Denira Novalita</v>
      </c>
      <c r="G405" s="21"/>
    </row>
    <row r="406" spans="2:7">
      <c r="B406" s="22" t="s">
        <v>375</v>
      </c>
      <c r="C406" s="23" t="s">
        <v>376</v>
      </c>
      <c r="D406" s="24" t="s">
        <v>441</v>
      </c>
      <c r="E406" s="25" t="s">
        <v>1745</v>
      </c>
      <c r="F406" s="16" t="str">
        <f>_xlfn.XLOOKUP(D406,[6]Sheet1!$C:$C,[6]Sheet1!$F:$F,"-")</f>
        <v>Dionofan Kurnia Pratama</v>
      </c>
      <c r="G406" s="21"/>
    </row>
    <row r="407" spans="2:7">
      <c r="B407" s="22" t="s">
        <v>375</v>
      </c>
      <c r="C407" s="23" t="s">
        <v>376</v>
      </c>
      <c r="D407" s="24" t="s">
        <v>442</v>
      </c>
      <c r="E407" s="25" t="s">
        <v>1745</v>
      </c>
      <c r="F407" s="16" t="str">
        <f>_xlfn.XLOOKUP(D407,[6]Sheet1!$C:$C,[6]Sheet1!$F:$F,"-")</f>
        <v>Faisal Maisandi</v>
      </c>
      <c r="G407" s="21"/>
    </row>
    <row r="408" spans="2:7">
      <c r="B408" s="22" t="s">
        <v>375</v>
      </c>
      <c r="C408" s="23" t="s">
        <v>376</v>
      </c>
      <c r="D408" s="24" t="s">
        <v>443</v>
      </c>
      <c r="E408" s="25" t="s">
        <v>1745</v>
      </c>
      <c r="F408" s="16" t="str">
        <f>_xlfn.XLOOKUP(D408,[6]Sheet1!$C:$C,[6]Sheet1!$F:$F,"-")</f>
        <v>Ilham Achmad Muhadzir</v>
      </c>
      <c r="G408" s="21"/>
    </row>
    <row r="409" spans="2:7">
      <c r="B409" s="22" t="s">
        <v>375</v>
      </c>
      <c r="C409" s="23" t="s">
        <v>376</v>
      </c>
      <c r="D409" s="24" t="s">
        <v>444</v>
      </c>
      <c r="E409" s="25" t="s">
        <v>1745</v>
      </c>
      <c r="F409" s="16" t="str">
        <f>_xlfn.XLOOKUP(D409,[6]Sheet1!$C:$C,[6]Sheet1!$F:$F,"-")</f>
        <v>Mario Aditya Firmansyah</v>
      </c>
      <c r="G409" s="21"/>
    </row>
    <row r="410" spans="2:7">
      <c r="B410" s="22" t="s">
        <v>375</v>
      </c>
      <c r="C410" s="23" t="s">
        <v>376</v>
      </c>
      <c r="D410" s="24" t="s">
        <v>445</v>
      </c>
      <c r="E410" s="25" t="s">
        <v>1745</v>
      </c>
      <c r="F410" s="16" t="str">
        <f>_xlfn.XLOOKUP(D410,[6]Sheet1!$C:$C,[6]Sheet1!$F:$F,"-")</f>
        <v>Muhammad Salim Riyadul Gupron</v>
      </c>
      <c r="G410" s="21"/>
    </row>
    <row r="411" spans="2:7">
      <c r="B411" s="22" t="s">
        <v>375</v>
      </c>
      <c r="C411" s="23" t="s">
        <v>376</v>
      </c>
      <c r="D411" s="24" t="s">
        <v>446</v>
      </c>
      <c r="E411" s="25" t="s">
        <v>1745</v>
      </c>
      <c r="F411" s="16" t="str">
        <f>_xlfn.XLOOKUP(D411,[6]Sheet1!$C:$C,[6]Sheet1!$F:$F,"-")</f>
        <v>Novi Septriani</v>
      </c>
      <c r="G411" s="21"/>
    </row>
    <row r="412" spans="2:7">
      <c r="B412" s="22" t="s">
        <v>375</v>
      </c>
      <c r="C412" s="23" t="s">
        <v>376</v>
      </c>
      <c r="D412" s="24" t="s">
        <v>447</v>
      </c>
      <c r="E412" s="25" t="s">
        <v>1745</v>
      </c>
      <c r="F412" s="16" t="str">
        <f>_xlfn.XLOOKUP(D412,[6]Sheet1!$C:$C,[6]Sheet1!$F:$F,"-")</f>
        <v>Rizky Zidan Haris Muharomi</v>
      </c>
      <c r="G412" s="21"/>
    </row>
    <row r="413" spans="2:7">
      <c r="B413" s="22" t="s">
        <v>375</v>
      </c>
      <c r="C413" s="23" t="s">
        <v>376</v>
      </c>
      <c r="D413" s="24" t="s">
        <v>448</v>
      </c>
      <c r="E413" s="25" t="s">
        <v>1745</v>
      </c>
      <c r="F413" s="16" t="str">
        <f>_xlfn.XLOOKUP(D413,[6]Sheet1!$C:$C,[6]Sheet1!$F:$F,"-")</f>
        <v>Sendi Moh Rahayu</v>
      </c>
      <c r="G413" s="21"/>
    </row>
    <row r="414" spans="2:7">
      <c r="B414" s="22" t="s">
        <v>375</v>
      </c>
      <c r="C414" s="23" t="s">
        <v>376</v>
      </c>
      <c r="D414" s="24" t="s">
        <v>449</v>
      </c>
      <c r="E414" s="25" t="s">
        <v>1745</v>
      </c>
      <c r="F414" s="16" t="str">
        <f>_xlfn.XLOOKUP(D414,[6]Sheet1!$C:$C,[6]Sheet1!$F:$F,"-")</f>
        <v>Soni</v>
      </c>
      <c r="G414" s="21"/>
    </row>
    <row r="415" spans="2:7">
      <c r="B415" s="22" t="s">
        <v>375</v>
      </c>
      <c r="C415" s="23" t="s">
        <v>376</v>
      </c>
      <c r="D415" s="24" t="s">
        <v>450</v>
      </c>
      <c r="E415" s="25" t="s">
        <v>1745</v>
      </c>
      <c r="F415" s="16" t="str">
        <f>_xlfn.XLOOKUP(D415,[6]Sheet1!$C:$C,[6]Sheet1!$F:$F,"-")</f>
        <v>Soni</v>
      </c>
      <c r="G415" s="21"/>
    </row>
    <row r="416" spans="2:7">
      <c r="B416" s="22" t="s">
        <v>375</v>
      </c>
      <c r="C416" s="23" t="s">
        <v>376</v>
      </c>
      <c r="D416" s="24" t="s">
        <v>451</v>
      </c>
      <c r="E416" s="25" t="s">
        <v>1745</v>
      </c>
      <c r="F416" s="16" t="str">
        <f>_xlfn.XLOOKUP(D416,[6]Sheet1!$C:$C,[6]Sheet1!$F:$F,"-")</f>
        <v>Syifa Agustian</v>
      </c>
      <c r="G416" s="21"/>
    </row>
    <row r="417" spans="2:7">
      <c r="B417" s="22" t="s">
        <v>375</v>
      </c>
      <c r="C417" s="23" t="s">
        <v>376</v>
      </c>
      <c r="D417" s="24" t="s">
        <v>452</v>
      </c>
      <c r="E417" s="25" t="s">
        <v>1745</v>
      </c>
      <c r="F417" s="16" t="str">
        <f>_xlfn.XLOOKUP(D417,[6]Sheet1!$C:$C,[6]Sheet1!$F:$F,"-")</f>
        <v>Ansor Fauzi Fadillah</v>
      </c>
      <c r="G417" s="21"/>
    </row>
    <row r="418" spans="2:7">
      <c r="B418" s="22" t="s">
        <v>375</v>
      </c>
      <c r="C418" s="23" t="s">
        <v>376</v>
      </c>
      <c r="D418" s="24" t="s">
        <v>453</v>
      </c>
      <c r="E418" s="25" t="s">
        <v>1745</v>
      </c>
      <c r="F418" s="16" t="str">
        <f>_xlfn.XLOOKUP(D418,[6]Sheet1!$C:$C,[6]Sheet1!$F:$F,"-")</f>
        <v>Ansor Fauzi Fadillah</v>
      </c>
      <c r="G418" s="21"/>
    </row>
    <row r="419" spans="2:7">
      <c r="B419" s="22" t="s">
        <v>375</v>
      </c>
      <c r="C419" s="23" t="s">
        <v>376</v>
      </c>
      <c r="D419" s="24" t="s">
        <v>454</v>
      </c>
      <c r="E419" s="25" t="s">
        <v>1745</v>
      </c>
      <c r="F419" s="16" t="str">
        <f>_xlfn.XLOOKUP(D419,[6]Sheet1!$C:$C,[6]Sheet1!$F:$F,"-")</f>
        <v>Ari Budaeri Addawami</v>
      </c>
      <c r="G419" s="21"/>
    </row>
    <row r="420" spans="2:7">
      <c r="B420" s="22" t="s">
        <v>375</v>
      </c>
      <c r="C420" s="23" t="s">
        <v>376</v>
      </c>
      <c r="D420" s="24" t="s">
        <v>455</v>
      </c>
      <c r="E420" s="25" t="s">
        <v>1745</v>
      </c>
      <c r="F420" s="16" t="str">
        <f>_xlfn.XLOOKUP(D420,[6]Sheet1!$C:$C,[6]Sheet1!$F:$F,"-")</f>
        <v>Aril Ardiansyah</v>
      </c>
      <c r="G420" s="21"/>
    </row>
    <row r="421" spans="2:7">
      <c r="B421" s="22" t="s">
        <v>375</v>
      </c>
      <c r="C421" s="23" t="s">
        <v>376</v>
      </c>
      <c r="D421" s="24" t="s">
        <v>456</v>
      </c>
      <c r="E421" s="25" t="s">
        <v>1745</v>
      </c>
      <c r="F421" s="16" t="str">
        <f>_xlfn.XLOOKUP(D421,[6]Sheet1!$C:$C,[6]Sheet1!$F:$F,"-")</f>
        <v>Asep</v>
      </c>
      <c r="G421" s="21"/>
    </row>
    <row r="422" spans="2:7">
      <c r="B422" s="22" t="s">
        <v>375</v>
      </c>
      <c r="C422" s="23" t="s">
        <v>376</v>
      </c>
      <c r="D422" s="24" t="s">
        <v>457</v>
      </c>
      <c r="E422" s="25" t="s">
        <v>1745</v>
      </c>
      <c r="F422" s="16" t="str">
        <f>_xlfn.XLOOKUP(D422,[6]Sheet1!$C:$C,[6]Sheet1!$F:$F,"-")</f>
        <v>Dede Asikin</v>
      </c>
      <c r="G422" s="21"/>
    </row>
    <row r="423" spans="2:7">
      <c r="B423" s="22" t="s">
        <v>375</v>
      </c>
      <c r="C423" s="23" t="s">
        <v>376</v>
      </c>
      <c r="D423" s="24" t="s">
        <v>458</v>
      </c>
      <c r="E423" s="25" t="s">
        <v>1745</v>
      </c>
      <c r="F423" s="16" t="str">
        <f>_xlfn.XLOOKUP(D423,[6]Sheet1!$C:$C,[6]Sheet1!$F:$F,"-")</f>
        <v>Fauzi Alimashyar</v>
      </c>
      <c r="G423" s="21"/>
    </row>
    <row r="424" spans="2:7">
      <c r="B424" s="22" t="s">
        <v>375</v>
      </c>
      <c r="C424" s="23" t="s">
        <v>376</v>
      </c>
      <c r="D424" s="24" t="s">
        <v>459</v>
      </c>
      <c r="E424" s="25" t="s">
        <v>1745</v>
      </c>
      <c r="F424" s="16" t="str">
        <f>_xlfn.XLOOKUP(D424,[6]Sheet1!$C:$C,[6]Sheet1!$F:$F,"-")</f>
        <v>Indra Rukmana</v>
      </c>
      <c r="G424" s="21"/>
    </row>
    <row r="425" spans="2:7">
      <c r="B425" s="22" t="s">
        <v>375</v>
      </c>
      <c r="C425" s="23" t="s">
        <v>376</v>
      </c>
      <c r="D425" s="24" t="s">
        <v>460</v>
      </c>
      <c r="E425" s="25" t="s">
        <v>1745</v>
      </c>
      <c r="F425" s="16" t="str">
        <f>_xlfn.XLOOKUP(D425,[6]Sheet1!$C:$C,[6]Sheet1!$F:$F,"-")</f>
        <v>Indra Rukmana</v>
      </c>
      <c r="G425" s="21"/>
    </row>
    <row r="426" spans="2:7">
      <c r="B426" s="22" t="s">
        <v>375</v>
      </c>
      <c r="C426" s="23" t="s">
        <v>376</v>
      </c>
      <c r="D426" s="24" t="s">
        <v>461</v>
      </c>
      <c r="E426" s="25" t="s">
        <v>1745</v>
      </c>
      <c r="F426" s="16" t="str">
        <f>_xlfn.XLOOKUP(D426,[6]Sheet1!$C:$C,[6]Sheet1!$F:$F,"-")</f>
        <v>Januar Egy Panjayu</v>
      </c>
      <c r="G426" s="21"/>
    </row>
    <row r="427" spans="2:7">
      <c r="B427" s="22" t="s">
        <v>375</v>
      </c>
      <c r="C427" s="23" t="s">
        <v>376</v>
      </c>
      <c r="D427" s="24" t="s">
        <v>462</v>
      </c>
      <c r="E427" s="25" t="s">
        <v>1745</v>
      </c>
      <c r="F427" s="16" t="str">
        <f>_xlfn.XLOOKUP(D427,[6]Sheet1!$C:$C,[6]Sheet1!$F:$F,"-")</f>
        <v>Khoeruman Sunjaya</v>
      </c>
      <c r="G427" s="21"/>
    </row>
    <row r="428" spans="2:7">
      <c r="B428" s="22" t="s">
        <v>375</v>
      </c>
      <c r="C428" s="23" t="s">
        <v>376</v>
      </c>
      <c r="D428" s="24" t="s">
        <v>463</v>
      </c>
      <c r="E428" s="25" t="s">
        <v>1745</v>
      </c>
      <c r="F428" s="16" t="str">
        <f>_xlfn.XLOOKUP(D428,[6]Sheet1!$C:$C,[6]Sheet1!$F:$F,"-")</f>
        <v>Muhammad Agung Maulidia</v>
      </c>
      <c r="G428" s="21"/>
    </row>
    <row r="429" spans="2:7">
      <c r="B429" s="22" t="s">
        <v>375</v>
      </c>
      <c r="C429" s="23" t="s">
        <v>376</v>
      </c>
      <c r="D429" s="24" t="s">
        <v>464</v>
      </c>
      <c r="E429" s="25" t="s">
        <v>1745</v>
      </c>
      <c r="F429" s="16" t="str">
        <f>_xlfn.XLOOKUP(D429,[6]Sheet1!$C:$C,[6]Sheet1!$F:$F,"-")</f>
        <v>Muhammad Bagus Rifa'i</v>
      </c>
      <c r="G429" s="21"/>
    </row>
    <row r="430" spans="2:7">
      <c r="B430" s="22" t="s">
        <v>375</v>
      </c>
      <c r="C430" s="23" t="s">
        <v>376</v>
      </c>
      <c r="D430" s="24" t="s">
        <v>465</v>
      </c>
      <c r="E430" s="25" t="s">
        <v>1745</v>
      </c>
      <c r="F430" s="16" t="str">
        <f>_xlfn.XLOOKUP(D430,[6]Sheet1!$C:$C,[6]Sheet1!$F:$F,"-")</f>
        <v>Muhammad Rusdiyanto Dinata</v>
      </c>
      <c r="G430" s="21"/>
    </row>
    <row r="431" spans="2:7">
      <c r="B431" s="22" t="s">
        <v>375</v>
      </c>
      <c r="C431" s="23" t="s">
        <v>376</v>
      </c>
      <c r="D431" s="24" t="s">
        <v>466</v>
      </c>
      <c r="E431" s="25" t="s">
        <v>1745</v>
      </c>
      <c r="F431" s="16" t="str">
        <f>_xlfn.XLOOKUP(D431,[6]Sheet1!$C:$C,[6]Sheet1!$F:$F,"-")</f>
        <v>Nur Maulana Hasan</v>
      </c>
      <c r="G431" s="21"/>
    </row>
    <row r="432" spans="2:7">
      <c r="B432" s="22" t="s">
        <v>375</v>
      </c>
      <c r="C432" s="23" t="s">
        <v>376</v>
      </c>
      <c r="D432" s="24" t="s">
        <v>467</v>
      </c>
      <c r="E432" s="25" t="s">
        <v>1745</v>
      </c>
      <c r="F432" s="16" t="str">
        <f>_xlfn.XLOOKUP(D432,[6]Sheet1!$C:$C,[6]Sheet1!$F:$F,"-")</f>
        <v>Reza Zaqiyuddin</v>
      </c>
      <c r="G432" s="21"/>
    </row>
    <row r="433" spans="2:7">
      <c r="B433" s="22" t="s">
        <v>375</v>
      </c>
      <c r="C433" s="23" t="s">
        <v>376</v>
      </c>
      <c r="D433" s="24" t="s">
        <v>468</v>
      </c>
      <c r="E433" s="25" t="s">
        <v>1745</v>
      </c>
      <c r="F433" s="16" t="str">
        <f>_xlfn.XLOOKUP(D433,[6]Sheet1!$C:$C,[6]Sheet1!$F:$F,"-")</f>
        <v>Reza Zaqiyuddin</v>
      </c>
      <c r="G433" s="21"/>
    </row>
    <row r="434" spans="2:7">
      <c r="B434" s="22" t="s">
        <v>375</v>
      </c>
      <c r="C434" s="23" t="s">
        <v>376</v>
      </c>
      <c r="D434" s="24" t="s">
        <v>469</v>
      </c>
      <c r="E434" s="25" t="s">
        <v>1745</v>
      </c>
      <c r="F434" s="16" t="str">
        <f>_xlfn.XLOOKUP(D434,[6]Sheet1!$C:$C,[6]Sheet1!$F:$F,"-")</f>
        <v>Toni Anwar</v>
      </c>
      <c r="G434" s="21"/>
    </row>
    <row r="435" spans="2:7">
      <c r="B435" s="22" t="s">
        <v>375</v>
      </c>
      <c r="C435" s="23" t="s">
        <v>376</v>
      </c>
      <c r="D435" s="24" t="s">
        <v>470</v>
      </c>
      <c r="E435" s="25" t="s">
        <v>1745</v>
      </c>
      <c r="F435" s="16" t="str">
        <f>_xlfn.XLOOKUP(D435,[6]Sheet1!$C:$C,[6]Sheet1!$F:$F,"-")</f>
        <v>Yandi Sutardi</v>
      </c>
      <c r="G435" s="21"/>
    </row>
    <row r="436" spans="2:7">
      <c r="B436" s="22" t="s">
        <v>375</v>
      </c>
      <c r="C436" s="23" t="s">
        <v>376</v>
      </c>
      <c r="D436" s="24" t="s">
        <v>471</v>
      </c>
      <c r="E436" s="25" t="s">
        <v>1745</v>
      </c>
      <c r="F436" s="16" t="str">
        <f>_xlfn.XLOOKUP(D436,[6]Sheet1!$C:$C,[6]Sheet1!$F:$F,"-")</f>
        <v>Zezen Zaenul Arip</v>
      </c>
      <c r="G436" s="21"/>
    </row>
    <row r="437" spans="2:7">
      <c r="B437" s="22" t="s">
        <v>375</v>
      </c>
      <c r="C437" s="23" t="s">
        <v>376</v>
      </c>
      <c r="D437" s="24" t="s">
        <v>472</v>
      </c>
      <c r="E437" s="25" t="s">
        <v>1745</v>
      </c>
      <c r="F437" s="16" t="str">
        <f>_xlfn.XLOOKUP(D437,[6]Sheet1!$C:$C,[6]Sheet1!$F:$F,"-")</f>
        <v>Andriana Susanto</v>
      </c>
      <c r="G437" s="21"/>
    </row>
    <row r="438" spans="2:7">
      <c r="B438" s="22" t="s">
        <v>375</v>
      </c>
      <c r="C438" s="23" t="s">
        <v>376</v>
      </c>
      <c r="D438" s="24" t="s">
        <v>473</v>
      </c>
      <c r="E438" s="25" t="s">
        <v>1745</v>
      </c>
      <c r="F438" s="16" t="str">
        <f>_xlfn.XLOOKUP(D438,[6]Sheet1!$C:$C,[6]Sheet1!$F:$F,"-")</f>
        <v>Danil Sutiarso</v>
      </c>
      <c r="G438" s="21"/>
    </row>
    <row r="439" spans="2:7">
      <c r="B439" s="22" t="s">
        <v>375</v>
      </c>
      <c r="C439" s="23" t="s">
        <v>376</v>
      </c>
      <c r="D439" s="24" t="s">
        <v>474</v>
      </c>
      <c r="E439" s="25" t="s">
        <v>1745</v>
      </c>
      <c r="F439" s="16" t="str">
        <f>_xlfn.XLOOKUP(D439,[6]Sheet1!$C:$C,[6]Sheet1!$F:$F,"-")</f>
        <v>Dindin Irawan</v>
      </c>
      <c r="G439" s="21"/>
    </row>
    <row r="440" spans="2:7">
      <c r="B440" s="22" t="s">
        <v>375</v>
      </c>
      <c r="C440" s="23" t="s">
        <v>376</v>
      </c>
      <c r="D440" s="24" t="s">
        <v>475</v>
      </c>
      <c r="E440" s="25" t="s">
        <v>1745</v>
      </c>
      <c r="F440" s="16" t="str">
        <f>_xlfn.XLOOKUP(D440,[6]Sheet1!$C:$C,[6]Sheet1!$F:$F,"-")</f>
        <v>Faiz Achmad Yasin</v>
      </c>
      <c r="G440" s="21"/>
    </row>
    <row r="441" spans="2:7">
      <c r="B441" s="22" t="s">
        <v>375</v>
      </c>
      <c r="C441" s="23" t="s">
        <v>376</v>
      </c>
      <c r="D441" s="24" t="s">
        <v>476</v>
      </c>
      <c r="E441" s="25" t="s">
        <v>1745</v>
      </c>
      <c r="F441" s="16" t="str">
        <f>_xlfn.XLOOKUP(D441,[6]Sheet1!$C:$C,[6]Sheet1!$F:$F,"-")</f>
        <v>Faiz Achmad Yasin</v>
      </c>
      <c r="G441" s="21"/>
    </row>
    <row r="442" spans="2:7">
      <c r="B442" s="22" t="s">
        <v>375</v>
      </c>
      <c r="C442" s="23" t="s">
        <v>376</v>
      </c>
      <c r="D442" s="24" t="s">
        <v>477</v>
      </c>
      <c r="E442" s="25" t="s">
        <v>1745</v>
      </c>
      <c r="F442" s="16" t="str">
        <f>_xlfn.XLOOKUP(D442,[6]Sheet1!$C:$C,[6]Sheet1!$F:$F,"-")</f>
        <v>Hari Pardian</v>
      </c>
      <c r="G442" s="21"/>
    </row>
    <row r="443" spans="2:7">
      <c r="B443" s="22" t="s">
        <v>375</v>
      </c>
      <c r="C443" s="23" t="s">
        <v>376</v>
      </c>
      <c r="D443" s="24" t="s">
        <v>478</v>
      </c>
      <c r="E443" s="25" t="s">
        <v>1745</v>
      </c>
      <c r="F443" s="16" t="str">
        <f>_xlfn.XLOOKUP(D443,[6]Sheet1!$C:$C,[6]Sheet1!$F:$F,"-")</f>
        <v>Herdi Kurniawan</v>
      </c>
      <c r="G443" s="21"/>
    </row>
    <row r="444" spans="2:7">
      <c r="B444" s="22" t="s">
        <v>375</v>
      </c>
      <c r="C444" s="23" t="s">
        <v>376</v>
      </c>
      <c r="D444" s="24" t="s">
        <v>479</v>
      </c>
      <c r="E444" s="25" t="s">
        <v>1745</v>
      </c>
      <c r="F444" s="16" t="str">
        <f>_xlfn.XLOOKUP(D444,[6]Sheet1!$C:$C,[6]Sheet1!$F:$F,"-")</f>
        <v>Ipan Pathurrahman</v>
      </c>
      <c r="G444" s="21"/>
    </row>
    <row r="445" spans="2:7">
      <c r="B445" s="22" t="s">
        <v>375</v>
      </c>
      <c r="C445" s="23" t="s">
        <v>376</v>
      </c>
      <c r="D445" s="24" t="s">
        <v>480</v>
      </c>
      <c r="E445" s="25" t="s">
        <v>1745</v>
      </c>
      <c r="F445" s="16" t="str">
        <f>_xlfn.XLOOKUP(D445,[6]Sheet1!$C:$C,[6]Sheet1!$F:$F,"-")</f>
        <v>Jamjam ramdani</v>
      </c>
      <c r="G445" s="21"/>
    </row>
    <row r="446" spans="2:7">
      <c r="B446" s="22" t="s">
        <v>375</v>
      </c>
      <c r="C446" s="23" t="s">
        <v>376</v>
      </c>
      <c r="D446" s="24" t="s">
        <v>481</v>
      </c>
      <c r="E446" s="25" t="s">
        <v>1745</v>
      </c>
      <c r="F446" s="16" t="str">
        <f>_xlfn.XLOOKUP(D446,[6]Sheet1!$C:$C,[6]Sheet1!$F:$F,"-")</f>
        <v>Muhammad Abdul Rozi</v>
      </c>
      <c r="G446" s="21"/>
    </row>
    <row r="447" spans="2:7">
      <c r="B447" s="22" t="s">
        <v>375</v>
      </c>
      <c r="C447" s="23" t="s">
        <v>376</v>
      </c>
      <c r="D447" s="24" t="s">
        <v>482</v>
      </c>
      <c r="E447" s="25" t="s">
        <v>1745</v>
      </c>
      <c r="F447" s="16" t="str">
        <f>_xlfn.XLOOKUP(D447,[6]Sheet1!$C:$C,[6]Sheet1!$F:$F,"-")</f>
        <v>Muhammad Abdul Rozi</v>
      </c>
      <c r="G447" s="21"/>
    </row>
    <row r="448" spans="2:7">
      <c r="B448" s="22" t="s">
        <v>375</v>
      </c>
      <c r="C448" s="23" t="s">
        <v>376</v>
      </c>
      <c r="D448" s="24" t="s">
        <v>483</v>
      </c>
      <c r="E448" s="25" t="s">
        <v>1745</v>
      </c>
      <c r="F448" s="16" t="str">
        <f>_xlfn.XLOOKUP(D448,[6]Sheet1!$C:$C,[6]Sheet1!$F:$F,"-")</f>
        <v>Ridwan Ginanjar</v>
      </c>
      <c r="G448" s="21"/>
    </row>
    <row r="449" spans="2:7">
      <c r="B449" s="22" t="s">
        <v>375</v>
      </c>
      <c r="C449" s="23" t="s">
        <v>376</v>
      </c>
      <c r="D449" s="24" t="s">
        <v>484</v>
      </c>
      <c r="E449" s="25" t="s">
        <v>1745</v>
      </c>
      <c r="F449" s="16" t="str">
        <f>_xlfn.XLOOKUP(D449,[6]Sheet1!$C:$C,[6]Sheet1!$F:$F,"-")</f>
        <v>Sandi Mutakin</v>
      </c>
      <c r="G449" s="21"/>
    </row>
    <row r="450" spans="2:7">
      <c r="B450" s="22" t="s">
        <v>375</v>
      </c>
      <c r="C450" s="23" t="s">
        <v>376</v>
      </c>
      <c r="D450" s="24" t="s">
        <v>485</v>
      </c>
      <c r="E450" s="25" t="s">
        <v>1745</v>
      </c>
      <c r="F450" s="16" t="str">
        <f>_xlfn.XLOOKUP(D450,[6]Sheet1!$C:$C,[6]Sheet1!$F:$F,"-")</f>
        <v>Sandra Cahya Permana</v>
      </c>
      <c r="G450" s="21"/>
    </row>
    <row r="451" spans="2:7">
      <c r="B451" s="22" t="s">
        <v>375</v>
      </c>
      <c r="C451" s="23" t="s">
        <v>376</v>
      </c>
      <c r="D451" s="24" t="s">
        <v>486</v>
      </c>
      <c r="E451" s="25" t="s">
        <v>1745</v>
      </c>
      <c r="F451" s="16" t="str">
        <f>_xlfn.XLOOKUP(D451,[6]Sheet1!$C:$C,[6]Sheet1!$F:$F,"-")</f>
        <v>Tresha Oktariana</v>
      </c>
      <c r="G451" s="21"/>
    </row>
    <row r="452" spans="2:7">
      <c r="B452" s="22" t="s">
        <v>375</v>
      </c>
      <c r="C452" s="23" t="s">
        <v>376</v>
      </c>
      <c r="D452" s="24" t="s">
        <v>487</v>
      </c>
      <c r="E452" s="25" t="s">
        <v>1745</v>
      </c>
      <c r="F452" s="16" t="str">
        <f>_xlfn.XLOOKUP(D452,[6]Sheet1!$C:$C,[6]Sheet1!$F:$F,"-")</f>
        <v>Akbar Rizki Mulyana</v>
      </c>
      <c r="G452" s="21"/>
    </row>
    <row r="453" spans="2:7">
      <c r="B453" s="22" t="s">
        <v>375</v>
      </c>
      <c r="C453" s="23" t="s">
        <v>376</v>
      </c>
      <c r="D453" s="24" t="s">
        <v>488</v>
      </c>
      <c r="E453" s="25" t="s">
        <v>1745</v>
      </c>
      <c r="F453" s="16" t="str">
        <f>_xlfn.XLOOKUP(D453,[6]Sheet1!$C:$C,[6]Sheet1!$F:$F,"-")</f>
        <v>Deni Purnama</v>
      </c>
      <c r="G453" s="21"/>
    </row>
    <row r="454" spans="2:7">
      <c r="B454" s="22" t="s">
        <v>375</v>
      </c>
      <c r="C454" s="23" t="s">
        <v>376</v>
      </c>
      <c r="D454" s="24" t="s">
        <v>489</v>
      </c>
      <c r="E454" s="25" t="s">
        <v>1745</v>
      </c>
      <c r="F454" s="16" t="str">
        <f>_xlfn.XLOOKUP(D454,[6]Sheet1!$C:$C,[6]Sheet1!$F:$F,"-")</f>
        <v>Dicky Aditia</v>
      </c>
      <c r="G454" s="21"/>
    </row>
    <row r="455" spans="2:7">
      <c r="B455" s="22" t="s">
        <v>375</v>
      </c>
      <c r="C455" s="23" t="s">
        <v>376</v>
      </c>
      <c r="D455" s="24" t="s">
        <v>490</v>
      </c>
      <c r="E455" s="25" t="s">
        <v>1745</v>
      </c>
      <c r="F455" s="16" t="str">
        <f>_xlfn.XLOOKUP(D455,[6]Sheet1!$C:$C,[6]Sheet1!$F:$F,"-")</f>
        <v>Fikri Nurhidayat</v>
      </c>
      <c r="G455" s="21"/>
    </row>
    <row r="456" spans="2:7">
      <c r="B456" s="22" t="s">
        <v>375</v>
      </c>
      <c r="C456" s="23" t="s">
        <v>376</v>
      </c>
      <c r="D456" s="24" t="s">
        <v>491</v>
      </c>
      <c r="E456" s="25" t="s">
        <v>1745</v>
      </c>
      <c r="F456" s="16" t="str">
        <f>_xlfn.XLOOKUP(D456,[6]Sheet1!$C:$C,[6]Sheet1!$F:$F,"-")</f>
        <v>Irfan Abdur Rochim</v>
      </c>
      <c r="G456" s="21"/>
    </row>
    <row r="457" spans="2:7">
      <c r="B457" s="22" t="s">
        <v>375</v>
      </c>
      <c r="C457" s="23" t="s">
        <v>376</v>
      </c>
      <c r="D457" s="24" t="s">
        <v>492</v>
      </c>
      <c r="E457" s="25" t="s">
        <v>1745</v>
      </c>
      <c r="F457" s="16" t="str">
        <f>_xlfn.XLOOKUP(D457,[6]Sheet1!$C:$C,[6]Sheet1!$F:$F,"-")</f>
        <v>Irfan Abdur Rochim</v>
      </c>
      <c r="G457" s="21"/>
    </row>
    <row r="458" spans="2:7">
      <c r="B458" s="22" t="s">
        <v>375</v>
      </c>
      <c r="C458" s="23" t="s">
        <v>376</v>
      </c>
      <c r="D458" s="24" t="s">
        <v>493</v>
      </c>
      <c r="E458" s="25" t="s">
        <v>1745</v>
      </c>
      <c r="F458" s="16" t="str">
        <f>_xlfn.XLOOKUP(D458,[6]Sheet1!$C:$C,[6]Sheet1!$F:$F,"-")</f>
        <v>Iyan Diana</v>
      </c>
      <c r="G458" s="21"/>
    </row>
    <row r="459" spans="2:7">
      <c r="B459" s="22" t="s">
        <v>375</v>
      </c>
      <c r="C459" s="23" t="s">
        <v>376</v>
      </c>
      <c r="D459" s="24" t="s">
        <v>494</v>
      </c>
      <c r="E459" s="25" t="s">
        <v>1745</v>
      </c>
      <c r="F459" s="16" t="str">
        <f>_xlfn.XLOOKUP(D459,[6]Sheet1!$C:$C,[6]Sheet1!$F:$F,"-")</f>
        <v>Nunu Nugraha</v>
      </c>
      <c r="G459" s="21"/>
    </row>
    <row r="460" spans="2:7">
      <c r="B460" s="22" t="s">
        <v>375</v>
      </c>
      <c r="C460" s="23" t="s">
        <v>376</v>
      </c>
      <c r="D460" s="24" t="s">
        <v>495</v>
      </c>
      <c r="E460" s="25" t="s">
        <v>1745</v>
      </c>
      <c r="F460" s="16" t="str">
        <f>_xlfn.XLOOKUP(D460,[6]Sheet1!$C:$C,[6]Sheet1!$F:$F,"-")</f>
        <v>Nuralamsah</v>
      </c>
      <c r="G460" s="21"/>
    </row>
    <row r="461" spans="2:7">
      <c r="B461" s="22" t="s">
        <v>375</v>
      </c>
      <c r="C461" s="23" t="s">
        <v>376</v>
      </c>
      <c r="D461" s="24" t="s">
        <v>496</v>
      </c>
      <c r="E461" s="25" t="s">
        <v>1745</v>
      </c>
      <c r="F461" s="16" t="str">
        <f>_xlfn.XLOOKUP(D461,[6]Sheet1!$C:$C,[6]Sheet1!$F:$F,"-")</f>
        <v>Opie Gustriana</v>
      </c>
      <c r="G461" s="21"/>
    </row>
    <row r="462" spans="2:7">
      <c r="B462" s="22" t="s">
        <v>375</v>
      </c>
      <c r="C462" s="23" t="s">
        <v>376</v>
      </c>
      <c r="D462" s="24" t="s">
        <v>497</v>
      </c>
      <c r="E462" s="25" t="s">
        <v>1745</v>
      </c>
      <c r="F462" s="16" t="str">
        <f>_xlfn.XLOOKUP(D462,[6]Sheet1!$C:$C,[6]Sheet1!$F:$F,"-")</f>
        <v>Opie Gustriana</v>
      </c>
      <c r="G462" s="21"/>
    </row>
    <row r="463" spans="2:7">
      <c r="B463" s="22" t="s">
        <v>375</v>
      </c>
      <c r="C463" s="23" t="s">
        <v>376</v>
      </c>
      <c r="D463" s="24" t="s">
        <v>498</v>
      </c>
      <c r="E463" s="25" t="s">
        <v>1745</v>
      </c>
      <c r="F463" s="16" t="str">
        <f>_xlfn.XLOOKUP(D463,[6]Sheet1!$C:$C,[6]Sheet1!$F:$F,"-")</f>
        <v>Rachman Setyadi</v>
      </c>
      <c r="G463" s="21"/>
    </row>
    <row r="464" spans="2:7">
      <c r="B464" s="22" t="s">
        <v>375</v>
      </c>
      <c r="C464" s="23" t="s">
        <v>376</v>
      </c>
      <c r="D464" s="24" t="s">
        <v>499</v>
      </c>
      <c r="E464" s="25" t="s">
        <v>1745</v>
      </c>
      <c r="F464" s="16" t="str">
        <f>_xlfn.XLOOKUP(D464,[6]Sheet1!$C:$C,[6]Sheet1!$F:$F,"-")</f>
        <v>Redi Heriadi</v>
      </c>
      <c r="G464" s="21"/>
    </row>
    <row r="465" spans="2:7">
      <c r="B465" s="22" t="s">
        <v>375</v>
      </c>
      <c r="C465" s="23" t="s">
        <v>376</v>
      </c>
      <c r="D465" s="24" t="s">
        <v>500</v>
      </c>
      <c r="E465" s="25" t="s">
        <v>1745</v>
      </c>
      <c r="F465" s="16" t="str">
        <f>_xlfn.XLOOKUP(D465,[6]Sheet1!$C:$C,[6]Sheet1!$F:$F,"-")</f>
        <v>Rizki Kurniawan Akbar</v>
      </c>
      <c r="G465" s="21"/>
    </row>
    <row r="466" spans="2:7">
      <c r="B466" s="22" t="s">
        <v>375</v>
      </c>
      <c r="C466" s="23" t="s">
        <v>376</v>
      </c>
      <c r="D466" s="24" t="s">
        <v>501</v>
      </c>
      <c r="E466" s="25" t="s">
        <v>1745</v>
      </c>
      <c r="F466" s="16" t="str">
        <f>_xlfn.XLOOKUP(D466,[6]Sheet1!$C:$C,[6]Sheet1!$F:$F,"-")</f>
        <v>Rizki Kurniawan Akbar</v>
      </c>
      <c r="G466" s="21"/>
    </row>
    <row r="467" spans="2:7">
      <c r="B467" s="22" t="s">
        <v>375</v>
      </c>
      <c r="C467" s="23" t="s">
        <v>376</v>
      </c>
      <c r="D467" s="24" t="s">
        <v>502</v>
      </c>
      <c r="E467" s="25" t="s">
        <v>1745</v>
      </c>
      <c r="F467" s="16" t="str">
        <f>_xlfn.XLOOKUP(D467,[6]Sheet1!$C:$C,[6]Sheet1!$F:$F,"-")</f>
        <v>Septian Nuralamsyah</v>
      </c>
      <c r="G467" s="21"/>
    </row>
    <row r="468" spans="2:7">
      <c r="B468" s="22" t="s">
        <v>375</v>
      </c>
      <c r="C468" s="23" t="s">
        <v>376</v>
      </c>
      <c r="D468" s="24" t="s">
        <v>503</v>
      </c>
      <c r="E468" s="25" t="s">
        <v>1745</v>
      </c>
      <c r="F468" s="16" t="str">
        <f>_xlfn.XLOOKUP(D468,[6]Sheet1!$C:$C,[6]Sheet1!$F:$F,"-")</f>
        <v>Widodo Iqbal Baharudin</v>
      </c>
      <c r="G468" s="21"/>
    </row>
    <row r="469" spans="2:7">
      <c r="B469" s="22" t="s">
        <v>375</v>
      </c>
      <c r="C469" s="23" t="s">
        <v>376</v>
      </c>
      <c r="D469" s="24" t="s">
        <v>504</v>
      </c>
      <c r="E469" s="25" t="s">
        <v>1745</v>
      </c>
      <c r="F469" s="16" t="str">
        <f>_xlfn.XLOOKUP(D469,[6]Sheet1!$C:$C,[6]Sheet1!$F:$F,"-")</f>
        <v>Akhmad Wildan Heryanto</v>
      </c>
      <c r="G469" s="21"/>
    </row>
    <row r="470" spans="2:7">
      <c r="B470" s="22" t="s">
        <v>375</v>
      </c>
      <c r="C470" s="23" t="s">
        <v>376</v>
      </c>
      <c r="D470" s="24" t="s">
        <v>505</v>
      </c>
      <c r="E470" s="25" t="s">
        <v>1745</v>
      </c>
      <c r="F470" s="16" t="str">
        <f>_xlfn.XLOOKUP(D470,[6]Sheet1!$C:$C,[6]Sheet1!$F:$F,"-")</f>
        <v>Akhmad Wildan Heryanto</v>
      </c>
      <c r="G470" s="21"/>
    </row>
    <row r="471" spans="2:7">
      <c r="B471" s="22" t="s">
        <v>375</v>
      </c>
      <c r="C471" s="23" t="s">
        <v>376</v>
      </c>
      <c r="D471" s="24" t="s">
        <v>506</v>
      </c>
      <c r="E471" s="25" t="s">
        <v>1745</v>
      </c>
      <c r="F471" s="16" t="str">
        <f>_xlfn.XLOOKUP(D471,[6]Sheet1!$C:$C,[6]Sheet1!$F:$F,"-")</f>
        <v>Dwiyanto</v>
      </c>
      <c r="G471" s="21"/>
    </row>
    <row r="472" spans="2:7">
      <c r="B472" s="22" t="s">
        <v>375</v>
      </c>
      <c r="C472" s="23" t="s">
        <v>376</v>
      </c>
      <c r="D472" s="24" t="s">
        <v>507</v>
      </c>
      <c r="E472" s="25" t="s">
        <v>1745</v>
      </c>
      <c r="F472" s="16" t="str">
        <f>_xlfn.XLOOKUP(D472,[6]Sheet1!$C:$C,[6]Sheet1!$F:$F,"-")</f>
        <v>Endang Rudi Rohana</v>
      </c>
      <c r="G472" s="21"/>
    </row>
    <row r="473" spans="2:7">
      <c r="B473" s="22" t="s">
        <v>375</v>
      </c>
      <c r="C473" s="23" t="s">
        <v>376</v>
      </c>
      <c r="D473" s="24" t="s">
        <v>508</v>
      </c>
      <c r="E473" s="25" t="s">
        <v>1745</v>
      </c>
      <c r="F473" s="16" t="str">
        <f>_xlfn.XLOOKUP(D473,[6]Sheet1!$C:$C,[6]Sheet1!$F:$F,"-")</f>
        <v>Endang Rudi Rohana</v>
      </c>
      <c r="G473" s="21"/>
    </row>
    <row r="474" spans="2:7">
      <c r="B474" s="22" t="s">
        <v>375</v>
      </c>
      <c r="C474" s="23" t="s">
        <v>376</v>
      </c>
      <c r="D474" s="24" t="s">
        <v>509</v>
      </c>
      <c r="E474" s="25" t="s">
        <v>1745</v>
      </c>
      <c r="F474" s="16" t="str">
        <f>_xlfn.XLOOKUP(D474,[6]Sheet1!$C:$C,[6]Sheet1!$F:$F,"-")</f>
        <v>Indra Nuryanto</v>
      </c>
      <c r="G474" s="21"/>
    </row>
    <row r="475" spans="2:7">
      <c r="B475" s="22" t="s">
        <v>375</v>
      </c>
      <c r="C475" s="23" t="s">
        <v>376</v>
      </c>
      <c r="D475" s="24" t="s">
        <v>510</v>
      </c>
      <c r="E475" s="25" t="s">
        <v>1745</v>
      </c>
      <c r="F475" s="16" t="str">
        <f>_xlfn.XLOOKUP(D475,[6]Sheet1!$C:$C,[6]Sheet1!$F:$F,"-")</f>
        <v>Mochamad Taofik</v>
      </c>
      <c r="G475" s="21"/>
    </row>
    <row r="476" spans="2:7">
      <c r="B476" s="22" t="s">
        <v>375</v>
      </c>
      <c r="C476" s="23" t="s">
        <v>376</v>
      </c>
      <c r="D476" s="24" t="s">
        <v>511</v>
      </c>
      <c r="E476" s="25" t="s">
        <v>1745</v>
      </c>
      <c r="F476" s="16" t="str">
        <f>_xlfn.XLOOKUP(D476,[6]Sheet1!$C:$C,[6]Sheet1!$F:$F,"-")</f>
        <v>Muhammad Iqbal</v>
      </c>
      <c r="G476" s="21"/>
    </row>
    <row r="477" spans="2:7">
      <c r="B477" s="22" t="s">
        <v>375</v>
      </c>
      <c r="C477" s="23" t="s">
        <v>376</v>
      </c>
      <c r="D477" s="24" t="s">
        <v>512</v>
      </c>
      <c r="E477" s="25" t="s">
        <v>1745</v>
      </c>
      <c r="F477" s="16" t="str">
        <f>_xlfn.XLOOKUP(D477,[6]Sheet1!$C:$C,[6]Sheet1!$F:$F,"-")</f>
        <v>Muhammad Ramdhan</v>
      </c>
      <c r="G477" s="21"/>
    </row>
    <row r="478" spans="2:7">
      <c r="B478" s="22" t="s">
        <v>375</v>
      </c>
      <c r="C478" s="23" t="s">
        <v>376</v>
      </c>
      <c r="D478" s="24" t="s">
        <v>513</v>
      </c>
      <c r="E478" s="25" t="s">
        <v>1745</v>
      </c>
      <c r="F478" s="16" t="str">
        <f>_xlfn.XLOOKUP(D478,[6]Sheet1!$C:$C,[6]Sheet1!$F:$F,"-")</f>
        <v>Muhammad Ramdhan</v>
      </c>
      <c r="G478" s="21"/>
    </row>
    <row r="479" spans="2:7">
      <c r="B479" s="22" t="s">
        <v>375</v>
      </c>
      <c r="C479" s="23" t="s">
        <v>376</v>
      </c>
      <c r="D479" s="24" t="s">
        <v>514</v>
      </c>
      <c r="E479" s="25" t="s">
        <v>1745</v>
      </c>
      <c r="F479" s="16" t="str">
        <f>_xlfn.XLOOKUP(D479,[6]Sheet1!$C:$C,[6]Sheet1!$F:$F,"-")</f>
        <v>Rudi Hermawan</v>
      </c>
      <c r="G479" s="21"/>
    </row>
    <row r="480" spans="2:7">
      <c r="B480" s="22" t="s">
        <v>375</v>
      </c>
      <c r="C480" s="23" t="s">
        <v>376</v>
      </c>
      <c r="D480" s="24" t="s">
        <v>515</v>
      </c>
      <c r="E480" s="25" t="s">
        <v>1745</v>
      </c>
      <c r="F480" s="16" t="str">
        <f>_xlfn.XLOOKUP(D480,[6]Sheet1!$C:$C,[6]Sheet1!$F:$F,"-")</f>
        <v>Shevina Shevriyana</v>
      </c>
      <c r="G480" s="21"/>
    </row>
    <row r="481" spans="2:7">
      <c r="B481" s="22" t="s">
        <v>375</v>
      </c>
      <c r="C481" s="23" t="s">
        <v>376</v>
      </c>
      <c r="D481" s="24" t="s">
        <v>516</v>
      </c>
      <c r="E481" s="25" t="s">
        <v>1745</v>
      </c>
      <c r="F481" s="16" t="str">
        <f>_xlfn.XLOOKUP(D481,[6]Sheet1!$C:$C,[6]Sheet1!$F:$F,"-")</f>
        <v>Abdul Azid</v>
      </c>
      <c r="G481" s="21"/>
    </row>
    <row r="482" spans="2:7">
      <c r="B482" s="22" t="s">
        <v>375</v>
      </c>
      <c r="C482" s="23" t="s">
        <v>376</v>
      </c>
      <c r="D482" s="24" t="s">
        <v>517</v>
      </c>
      <c r="E482" s="25" t="s">
        <v>1745</v>
      </c>
      <c r="F482" s="16" t="str">
        <f>_xlfn.XLOOKUP(D482,[6]Sheet1!$C:$C,[6]Sheet1!$F:$F,"-")</f>
        <v>Agung Problema Huda</v>
      </c>
      <c r="G482" s="21"/>
    </row>
    <row r="483" spans="2:7">
      <c r="B483" s="22" t="s">
        <v>375</v>
      </c>
      <c r="C483" s="23" t="s">
        <v>376</v>
      </c>
      <c r="D483" s="24" t="s">
        <v>518</v>
      </c>
      <c r="E483" s="25" t="s">
        <v>1745</v>
      </c>
      <c r="F483" s="16" t="str">
        <f>_xlfn.XLOOKUP(D483,[6]Sheet1!$C:$C,[6]Sheet1!$F:$F,"-")</f>
        <v>Aris Sopiana</v>
      </c>
      <c r="G483" s="21"/>
    </row>
    <row r="484" spans="2:7">
      <c r="B484" s="22" t="s">
        <v>375</v>
      </c>
      <c r="C484" s="23" t="s">
        <v>376</v>
      </c>
      <c r="D484" s="24" t="s">
        <v>519</v>
      </c>
      <c r="E484" s="25" t="s">
        <v>1745</v>
      </c>
      <c r="F484" s="16" t="str">
        <f>_xlfn.XLOOKUP(D484,[6]Sheet1!$C:$C,[6]Sheet1!$F:$F,"-")</f>
        <v>Bambang Hermanto</v>
      </c>
      <c r="G484" s="21"/>
    </row>
    <row r="485" spans="2:7">
      <c r="B485" s="22" t="s">
        <v>375</v>
      </c>
      <c r="C485" s="23" t="s">
        <v>376</v>
      </c>
      <c r="D485" s="24" t="s">
        <v>520</v>
      </c>
      <c r="E485" s="25" t="s">
        <v>1745</v>
      </c>
      <c r="F485" s="16" t="str">
        <f>_xlfn.XLOOKUP(D485,[6]Sheet1!$C:$C,[6]Sheet1!$F:$F,"-")</f>
        <v>Dani Mardani</v>
      </c>
      <c r="G485" s="21"/>
    </row>
    <row r="486" spans="2:7">
      <c r="B486" s="22" t="s">
        <v>375</v>
      </c>
      <c r="C486" s="23" t="s">
        <v>376</v>
      </c>
      <c r="D486" s="24" t="s">
        <v>521</v>
      </c>
      <c r="E486" s="25" t="s">
        <v>1745</v>
      </c>
      <c r="F486" s="16" t="str">
        <f>_xlfn.XLOOKUP(D486,[6]Sheet1!$C:$C,[6]Sheet1!$F:$F,"-")</f>
        <v>Decky Verdian</v>
      </c>
      <c r="G486" s="21"/>
    </row>
    <row r="487" spans="2:7">
      <c r="B487" s="22" t="s">
        <v>375</v>
      </c>
      <c r="C487" s="23" t="s">
        <v>376</v>
      </c>
      <c r="D487" s="24" t="s">
        <v>522</v>
      </c>
      <c r="E487" s="25" t="s">
        <v>1745</v>
      </c>
      <c r="F487" s="16" t="str">
        <f>_xlfn.XLOOKUP(D487,[6]Sheet1!$C:$C,[6]Sheet1!$F:$F,"-")</f>
        <v>Dodi Rikiyandi</v>
      </c>
      <c r="G487" s="21"/>
    </row>
    <row r="488" spans="2:7">
      <c r="B488" s="22" t="s">
        <v>375</v>
      </c>
      <c r="C488" s="23" t="s">
        <v>376</v>
      </c>
      <c r="D488" s="24" t="s">
        <v>523</v>
      </c>
      <c r="E488" s="25" t="s">
        <v>1745</v>
      </c>
      <c r="F488" s="16" t="str">
        <f>_xlfn.XLOOKUP(D488,[6]Sheet1!$C:$C,[6]Sheet1!$F:$F,"-")</f>
        <v>Fadhlan Zazmi Hilman</v>
      </c>
      <c r="G488" s="21"/>
    </row>
    <row r="489" spans="2:7">
      <c r="B489" s="22" t="s">
        <v>375</v>
      </c>
      <c r="C489" s="23" t="s">
        <v>376</v>
      </c>
      <c r="D489" s="24" t="s">
        <v>524</v>
      </c>
      <c r="E489" s="25" t="s">
        <v>1745</v>
      </c>
      <c r="F489" s="16" t="str">
        <f>_xlfn.XLOOKUP(D489,[6]Sheet1!$C:$C,[6]Sheet1!$F:$F,"-")</f>
        <v>Fadillah Pratama Putra</v>
      </c>
      <c r="G489" s="21"/>
    </row>
    <row r="490" spans="2:7">
      <c r="B490" s="22" t="s">
        <v>375</v>
      </c>
      <c r="C490" s="23" t="s">
        <v>376</v>
      </c>
      <c r="D490" s="24" t="s">
        <v>525</v>
      </c>
      <c r="E490" s="25" t="s">
        <v>1745</v>
      </c>
      <c r="F490" s="16" t="str">
        <f>_xlfn.XLOOKUP(D490,[6]Sheet1!$C:$C,[6]Sheet1!$F:$F,"-")</f>
        <v>Herdiansyah</v>
      </c>
      <c r="G490" s="21"/>
    </row>
    <row r="491" spans="2:7">
      <c r="B491" s="22" t="s">
        <v>375</v>
      </c>
      <c r="C491" s="23" t="s">
        <v>376</v>
      </c>
      <c r="D491" s="24" t="s">
        <v>526</v>
      </c>
      <c r="E491" s="25" t="s">
        <v>1745</v>
      </c>
      <c r="F491" s="16" t="str">
        <f>_xlfn.XLOOKUP(D491,[6]Sheet1!$C:$C,[6]Sheet1!$F:$F,"-")</f>
        <v>Heriyanto</v>
      </c>
      <c r="G491" s="21"/>
    </row>
    <row r="492" spans="2:7">
      <c r="B492" s="22" t="s">
        <v>375</v>
      </c>
      <c r="C492" s="23" t="s">
        <v>376</v>
      </c>
      <c r="D492" s="24" t="s">
        <v>527</v>
      </c>
      <c r="E492" s="25" t="s">
        <v>1745</v>
      </c>
      <c r="F492" s="16" t="str">
        <f>_xlfn.XLOOKUP(D492,[6]Sheet1!$C:$C,[6]Sheet1!$F:$F,"-")</f>
        <v>Indra Gunawan</v>
      </c>
      <c r="G492" s="21"/>
    </row>
    <row r="493" spans="2:7">
      <c r="B493" s="22" t="s">
        <v>375</v>
      </c>
      <c r="C493" s="23" t="s">
        <v>376</v>
      </c>
      <c r="D493" s="24" t="s">
        <v>528</v>
      </c>
      <c r="E493" s="25" t="s">
        <v>1745</v>
      </c>
      <c r="F493" s="16" t="str">
        <f>_xlfn.XLOOKUP(D493,[6]Sheet1!$C:$C,[6]Sheet1!$F:$F,"-")</f>
        <v>Jamaludin</v>
      </c>
      <c r="G493" s="21"/>
    </row>
    <row r="494" spans="2:7">
      <c r="B494" s="22" t="s">
        <v>375</v>
      </c>
      <c r="C494" s="23" t="s">
        <v>376</v>
      </c>
      <c r="D494" s="24" t="s">
        <v>529</v>
      </c>
      <c r="E494" s="25" t="s">
        <v>1745</v>
      </c>
      <c r="F494" s="16" t="str">
        <f>_xlfn.XLOOKUP(D494,[6]Sheet1!$C:$C,[6]Sheet1!$F:$F,"-")</f>
        <v>Jamaludin</v>
      </c>
      <c r="G494" s="21"/>
    </row>
    <row r="495" spans="2:7">
      <c r="B495" s="22" t="s">
        <v>375</v>
      </c>
      <c r="C495" s="23" t="s">
        <v>376</v>
      </c>
      <c r="D495" s="24" t="s">
        <v>530</v>
      </c>
      <c r="E495" s="25" t="s">
        <v>1745</v>
      </c>
      <c r="F495" s="16" t="str">
        <f>_xlfn.XLOOKUP(D495,[6]Sheet1!$C:$C,[6]Sheet1!$F:$F,"-")</f>
        <v>Muhammad Mahfudin</v>
      </c>
      <c r="G495" s="21"/>
    </row>
    <row r="496" spans="2:7">
      <c r="B496" s="22" t="s">
        <v>375</v>
      </c>
      <c r="C496" s="23" t="s">
        <v>376</v>
      </c>
      <c r="D496" s="24" t="s">
        <v>531</v>
      </c>
      <c r="E496" s="25" t="s">
        <v>1745</v>
      </c>
      <c r="F496" s="16" t="str">
        <f>_xlfn.XLOOKUP(D496,[6]Sheet1!$C:$C,[6]Sheet1!$F:$F,"-")</f>
        <v>Nondi Rismaya</v>
      </c>
      <c r="G496" s="21"/>
    </row>
    <row r="497" spans="2:7">
      <c r="B497" s="22" t="s">
        <v>375</v>
      </c>
      <c r="C497" s="23" t="s">
        <v>376</v>
      </c>
      <c r="D497" s="24" t="s">
        <v>532</v>
      </c>
      <c r="E497" s="25" t="s">
        <v>1745</v>
      </c>
      <c r="F497" s="16" t="str">
        <f>_xlfn.XLOOKUP(D497,[6]Sheet1!$C:$C,[6]Sheet1!$F:$F,"-")</f>
        <v>Rahmat Fauzi</v>
      </c>
      <c r="G497" s="21"/>
    </row>
    <row r="498" spans="2:7">
      <c r="B498" s="22" t="s">
        <v>375</v>
      </c>
      <c r="C498" s="23" t="s">
        <v>376</v>
      </c>
      <c r="D498" s="24" t="s">
        <v>533</v>
      </c>
      <c r="E498" s="25" t="s">
        <v>1745</v>
      </c>
      <c r="F498" s="16" t="str">
        <f>_xlfn.XLOOKUP(D498,[6]Sheet1!$C:$C,[6]Sheet1!$F:$F,"-")</f>
        <v>Reja Suherlan</v>
      </c>
      <c r="G498" s="21"/>
    </row>
    <row r="499" spans="2:7">
      <c r="B499" s="22" t="s">
        <v>375</v>
      </c>
      <c r="C499" s="23" t="s">
        <v>376</v>
      </c>
      <c r="D499" s="24" t="s">
        <v>534</v>
      </c>
      <c r="E499" s="25" t="s">
        <v>1745</v>
      </c>
      <c r="F499" s="16" t="str">
        <f>_xlfn.XLOOKUP(D499,[6]Sheet1!$C:$C,[6]Sheet1!$F:$F,"-")</f>
        <v>Reja Suherlan</v>
      </c>
      <c r="G499" s="21"/>
    </row>
    <row r="500" spans="2:7">
      <c r="B500" s="22" t="s">
        <v>375</v>
      </c>
      <c r="C500" s="23" t="s">
        <v>376</v>
      </c>
      <c r="D500" s="24" t="s">
        <v>535</v>
      </c>
      <c r="E500" s="25" t="s">
        <v>1745</v>
      </c>
      <c r="F500" s="16" t="str">
        <f>_xlfn.XLOOKUP(D500,[6]Sheet1!$C:$C,[6]Sheet1!$F:$F,"-")</f>
        <v>Rendi Muhamad</v>
      </c>
      <c r="G500" s="21"/>
    </row>
    <row r="501" spans="2:7">
      <c r="B501" s="22" t="s">
        <v>375</v>
      </c>
      <c r="C501" s="23" t="s">
        <v>376</v>
      </c>
      <c r="D501" s="24" t="s">
        <v>536</v>
      </c>
      <c r="E501" s="25" t="s">
        <v>1745</v>
      </c>
      <c r="F501" s="16" t="str">
        <f>_xlfn.XLOOKUP(D501,[6]Sheet1!$C:$C,[6]Sheet1!$F:$F,"-")</f>
        <v>Restu Sanjaya</v>
      </c>
      <c r="G501" s="21"/>
    </row>
    <row r="502" spans="2:7">
      <c r="B502" s="22" t="s">
        <v>375</v>
      </c>
      <c r="C502" s="23" t="s">
        <v>376</v>
      </c>
      <c r="D502" s="24" t="s">
        <v>537</v>
      </c>
      <c r="E502" s="25" t="s">
        <v>1745</v>
      </c>
      <c r="F502" s="16" t="str">
        <f>_xlfn.XLOOKUP(D502,[6]Sheet1!$C:$C,[6]Sheet1!$F:$F,"-")</f>
        <v>Saepul Bahri</v>
      </c>
      <c r="G502" s="21"/>
    </row>
    <row r="503" spans="2:7">
      <c r="B503" s="22" t="s">
        <v>375</v>
      </c>
      <c r="C503" s="23" t="s">
        <v>376</v>
      </c>
      <c r="D503" s="24" t="s">
        <v>538</v>
      </c>
      <c r="E503" s="25" t="s">
        <v>1745</v>
      </c>
      <c r="F503" s="16" t="str">
        <f>_xlfn.XLOOKUP(D503,[6]Sheet1!$C:$C,[6]Sheet1!$F:$F,"-")</f>
        <v>Saepul Iman</v>
      </c>
      <c r="G503" s="21"/>
    </row>
    <row r="504" spans="2:7">
      <c r="B504" s="22" t="s">
        <v>375</v>
      </c>
      <c r="C504" s="23" t="s">
        <v>376</v>
      </c>
      <c r="D504" s="24" t="s">
        <v>539</v>
      </c>
      <c r="E504" s="25" t="s">
        <v>1745</v>
      </c>
      <c r="F504" s="16" t="str">
        <f>_xlfn.XLOOKUP(D504,[6]Sheet1!$C:$C,[6]Sheet1!$F:$F,"-")</f>
        <v>Sandi Purnama</v>
      </c>
      <c r="G504" s="21"/>
    </row>
    <row r="505" spans="2:7">
      <c r="B505" s="22" t="s">
        <v>375</v>
      </c>
      <c r="C505" s="23" t="s">
        <v>376</v>
      </c>
      <c r="D505" s="24" t="s">
        <v>540</v>
      </c>
      <c r="E505" s="25" t="s">
        <v>1745</v>
      </c>
      <c r="F505" s="16" t="str">
        <f>_xlfn.XLOOKUP(D505,[6]Sheet1!$C:$C,[6]Sheet1!$F:$F,"-")</f>
        <v>Yandi Ramdani</v>
      </c>
      <c r="G505" s="21"/>
    </row>
    <row r="506" spans="2:7">
      <c r="B506" s="22" t="s">
        <v>375</v>
      </c>
      <c r="C506" s="23" t="s">
        <v>376</v>
      </c>
      <c r="D506" s="24" t="s">
        <v>541</v>
      </c>
      <c r="E506" s="25" t="s">
        <v>1745</v>
      </c>
      <c r="F506" s="16" t="str">
        <f>_xlfn.XLOOKUP(D506,[6]Sheet1!$C:$C,[6]Sheet1!$F:$F,"-")</f>
        <v>Yogi Iskandar</v>
      </c>
      <c r="G506" s="21"/>
    </row>
    <row r="507" spans="2:7">
      <c r="B507" s="22" t="s">
        <v>375</v>
      </c>
      <c r="C507" s="23" t="s">
        <v>376</v>
      </c>
      <c r="D507" s="24" t="s">
        <v>542</v>
      </c>
      <c r="E507" s="25" t="s">
        <v>1745</v>
      </c>
      <c r="F507" s="16" t="str">
        <f>_xlfn.XLOOKUP(D507,[6]Sheet1!$C:$C,[6]Sheet1!$F:$F,"-")</f>
        <v>Yogi Iskandar</v>
      </c>
      <c r="G507" s="21"/>
    </row>
    <row r="508" spans="2:7">
      <c r="B508" s="22" t="s">
        <v>375</v>
      </c>
      <c r="C508" s="23" t="s">
        <v>376</v>
      </c>
      <c r="D508" s="24" t="s">
        <v>543</v>
      </c>
      <c r="E508" s="25" t="s">
        <v>1745</v>
      </c>
      <c r="F508" s="16" t="str">
        <f>_xlfn.XLOOKUP(D508,[6]Sheet1!$C:$C,[6]Sheet1!$F:$F,"-")</f>
        <v>Yunus Abdul Lyi Sadjidin</v>
      </c>
      <c r="G508" s="21"/>
    </row>
    <row r="509" spans="2:7">
      <c r="B509" s="22" t="s">
        <v>375</v>
      </c>
      <c r="C509" s="23" t="s">
        <v>376</v>
      </c>
      <c r="D509" s="24" t="s">
        <v>544</v>
      </c>
      <c r="E509" s="25" t="s">
        <v>1722</v>
      </c>
      <c r="F509" s="16" t="str">
        <f>_xlfn.XLOOKUP(D509,[6]Sheet1!$C:$C,[6]Sheet1!$F:$F,"-")</f>
        <v>Ardi Rahman Suwandi</v>
      </c>
      <c r="G509" s="21"/>
    </row>
    <row r="510" spans="2:7">
      <c r="B510" s="22" t="s">
        <v>375</v>
      </c>
      <c r="C510" s="23" t="s">
        <v>376</v>
      </c>
      <c r="D510" s="24" t="s">
        <v>545</v>
      </c>
      <c r="E510" s="25" t="s">
        <v>1722</v>
      </c>
      <c r="F510" s="16" t="str">
        <f>_xlfn.XLOOKUP(D510,[6]Sheet1!$C:$C,[6]Sheet1!$F:$F,"-")</f>
        <v>Argam Maulana</v>
      </c>
      <c r="G510" s="21"/>
    </row>
    <row r="511" spans="2:7">
      <c r="B511" s="22" t="s">
        <v>375</v>
      </c>
      <c r="C511" s="23" t="s">
        <v>376</v>
      </c>
      <c r="D511" s="24" t="s">
        <v>546</v>
      </c>
      <c r="E511" s="25" t="s">
        <v>1722</v>
      </c>
      <c r="F511" s="16" t="str">
        <f>_xlfn.XLOOKUP(D511,[6]Sheet1!$C:$C,[6]Sheet1!$F:$F,"-")</f>
        <v>Ari Apriadi</v>
      </c>
      <c r="G511" s="21"/>
    </row>
    <row r="512" spans="2:7">
      <c r="B512" s="22" t="s">
        <v>375</v>
      </c>
      <c r="C512" s="23" t="s">
        <v>376</v>
      </c>
      <c r="D512" s="24" t="s">
        <v>547</v>
      </c>
      <c r="E512" s="25" t="s">
        <v>1722</v>
      </c>
      <c r="F512" s="16" t="str">
        <f>_xlfn.XLOOKUP(D512,[6]Sheet1!$C:$C,[6]Sheet1!$F:$F,"-")</f>
        <v>Ari Apriadi</v>
      </c>
      <c r="G512" s="21"/>
    </row>
    <row r="513" spans="2:7">
      <c r="B513" s="22" t="s">
        <v>375</v>
      </c>
      <c r="C513" s="23" t="s">
        <v>376</v>
      </c>
      <c r="D513" s="24" t="s">
        <v>548</v>
      </c>
      <c r="E513" s="25" t="s">
        <v>1722</v>
      </c>
      <c r="F513" s="16" t="str">
        <f>_xlfn.XLOOKUP(D513,[6]Sheet1!$C:$C,[6]Sheet1!$F:$F,"-")</f>
        <v>Caswin Aprianto</v>
      </c>
      <c r="G513" s="21"/>
    </row>
    <row r="514" spans="2:7">
      <c r="B514" s="22" t="s">
        <v>375</v>
      </c>
      <c r="C514" s="23" t="s">
        <v>376</v>
      </c>
      <c r="D514" s="24" t="s">
        <v>549</v>
      </c>
      <c r="E514" s="25" t="s">
        <v>1722</v>
      </c>
      <c r="F514" s="16" t="str">
        <f>_xlfn.XLOOKUP(D514,[6]Sheet1!$C:$C,[6]Sheet1!$F:$F,"-")</f>
        <v>Dede Rino Mailudin</v>
      </c>
      <c r="G514" s="21"/>
    </row>
    <row r="515" spans="2:7">
      <c r="B515" s="22" t="s">
        <v>375</v>
      </c>
      <c r="C515" s="23" t="s">
        <v>376</v>
      </c>
      <c r="D515" s="24" t="s">
        <v>550</v>
      </c>
      <c r="E515" s="25" t="s">
        <v>1722</v>
      </c>
      <c r="F515" s="16" t="str">
        <f>_xlfn.XLOOKUP(D515,[6]Sheet1!$C:$C,[6]Sheet1!$F:$F,"-")</f>
        <v>Deden Maulana</v>
      </c>
      <c r="G515" s="21"/>
    </row>
    <row r="516" spans="2:7">
      <c r="B516" s="22" t="s">
        <v>375</v>
      </c>
      <c r="C516" s="23" t="s">
        <v>376</v>
      </c>
      <c r="D516" s="24" t="s">
        <v>551</v>
      </c>
      <c r="E516" s="25" t="s">
        <v>1722</v>
      </c>
      <c r="F516" s="16" t="str">
        <f>_xlfn.XLOOKUP(D516,[6]Sheet1!$C:$C,[6]Sheet1!$F:$F,"-")</f>
        <v>Deden Maulana</v>
      </c>
      <c r="G516" s="21"/>
    </row>
    <row r="517" spans="2:7">
      <c r="B517" s="22" t="s">
        <v>375</v>
      </c>
      <c r="C517" s="23" t="s">
        <v>376</v>
      </c>
      <c r="D517" s="24" t="s">
        <v>552</v>
      </c>
      <c r="E517" s="25" t="s">
        <v>1722</v>
      </c>
      <c r="F517" s="16" t="str">
        <f>_xlfn.XLOOKUP(D517,[6]Sheet1!$C:$C,[6]Sheet1!$F:$F,"-")</f>
        <v>Deni Herdian</v>
      </c>
      <c r="G517" s="21"/>
    </row>
    <row r="518" spans="2:7">
      <c r="B518" s="22" t="s">
        <v>375</v>
      </c>
      <c r="C518" s="23" t="s">
        <v>376</v>
      </c>
      <c r="D518" s="24" t="s">
        <v>553</v>
      </c>
      <c r="E518" s="25" t="s">
        <v>1722</v>
      </c>
      <c r="F518" s="16" t="str">
        <f>_xlfn.XLOOKUP(D518,[6]Sheet1!$C:$C,[6]Sheet1!$F:$F,"-")</f>
        <v>Fikri Hidayatuloh</v>
      </c>
      <c r="G518" s="21"/>
    </row>
    <row r="519" spans="2:7">
      <c r="B519" s="22" t="s">
        <v>375</v>
      </c>
      <c r="C519" s="23" t="s">
        <v>376</v>
      </c>
      <c r="D519" s="24" t="s">
        <v>554</v>
      </c>
      <c r="E519" s="25" t="s">
        <v>1722</v>
      </c>
      <c r="F519" s="16" t="str">
        <f>_xlfn.XLOOKUP(D519,[6]Sheet1!$C:$C,[6]Sheet1!$F:$F,"-")</f>
        <v>Ilyas Roya</v>
      </c>
      <c r="G519" s="21"/>
    </row>
    <row r="520" spans="2:7">
      <c r="B520" s="22" t="s">
        <v>375</v>
      </c>
      <c r="C520" s="23" t="s">
        <v>376</v>
      </c>
      <c r="D520" s="24" t="s">
        <v>555</v>
      </c>
      <c r="E520" s="25" t="s">
        <v>1722</v>
      </c>
      <c r="F520" s="16" t="str">
        <f>_xlfn.XLOOKUP(D520,[6]Sheet1!$C:$C,[6]Sheet1!$F:$F,"-")</f>
        <v>Ilyas Roya</v>
      </c>
      <c r="G520" s="21"/>
    </row>
    <row r="521" spans="2:7">
      <c r="B521" s="22" t="s">
        <v>375</v>
      </c>
      <c r="C521" s="23" t="s">
        <v>376</v>
      </c>
      <c r="D521" s="24" t="s">
        <v>556</v>
      </c>
      <c r="E521" s="25" t="s">
        <v>1722</v>
      </c>
      <c r="F521" s="16" t="str">
        <f>_xlfn.XLOOKUP(D521,[6]Sheet1!$C:$C,[6]Sheet1!$F:$F,"-")</f>
        <v>Ilyas Roya</v>
      </c>
      <c r="G521" s="21"/>
    </row>
    <row r="522" spans="2:7">
      <c r="B522" s="22" t="s">
        <v>375</v>
      </c>
      <c r="C522" s="23" t="s">
        <v>376</v>
      </c>
      <c r="D522" s="24" t="s">
        <v>557</v>
      </c>
      <c r="E522" s="25" t="s">
        <v>1722</v>
      </c>
      <c r="F522" s="16" t="str">
        <f>_xlfn.XLOOKUP(D522,[6]Sheet1!$C:$C,[6]Sheet1!$F:$F,"-")</f>
        <v>Muhamad Alimudin</v>
      </c>
      <c r="G522" s="21"/>
    </row>
    <row r="523" spans="2:7">
      <c r="B523" s="22" t="s">
        <v>375</v>
      </c>
      <c r="C523" s="23" t="s">
        <v>376</v>
      </c>
      <c r="D523" s="24" t="s">
        <v>558</v>
      </c>
      <c r="E523" s="25" t="s">
        <v>1722</v>
      </c>
      <c r="F523" s="16" t="str">
        <f>_xlfn.XLOOKUP(D523,[6]Sheet1!$C:$C,[6]Sheet1!$F:$F,"-")</f>
        <v>Regy Permana</v>
      </c>
      <c r="G523" s="21"/>
    </row>
    <row r="524" spans="2:7">
      <c r="B524" s="22" t="s">
        <v>375</v>
      </c>
      <c r="C524" s="23" t="s">
        <v>376</v>
      </c>
      <c r="D524" s="24" t="s">
        <v>559</v>
      </c>
      <c r="E524" s="25" t="s">
        <v>1722</v>
      </c>
      <c r="F524" s="16" t="str">
        <f>_xlfn.XLOOKUP(D524,[6]Sheet1!$C:$C,[6]Sheet1!$F:$F,"-")</f>
        <v>Regy Permana</v>
      </c>
      <c r="G524" s="21"/>
    </row>
    <row r="525" spans="2:7">
      <c r="B525" s="22" t="s">
        <v>375</v>
      </c>
      <c r="C525" s="23" t="s">
        <v>376</v>
      </c>
      <c r="D525" s="24" t="s">
        <v>560</v>
      </c>
      <c r="E525" s="25" t="s">
        <v>1722</v>
      </c>
      <c r="F525" s="16" t="str">
        <f>_xlfn.XLOOKUP(D525,[6]Sheet1!$C:$C,[6]Sheet1!$F:$F,"-")</f>
        <v>Rijal</v>
      </c>
      <c r="G525" s="21"/>
    </row>
    <row r="526" spans="2:7">
      <c r="B526" s="22" t="s">
        <v>375</v>
      </c>
      <c r="C526" s="23" t="s">
        <v>376</v>
      </c>
      <c r="D526" s="24" t="s">
        <v>561</v>
      </c>
      <c r="E526" s="25" t="s">
        <v>1745</v>
      </c>
      <c r="F526" s="16" t="str">
        <f>_xlfn.XLOOKUP(D526,[6]Sheet1!$C:$C,[6]Sheet1!$F:$F,"-")</f>
        <v>Agustian Sholeh</v>
      </c>
      <c r="G526" s="21"/>
    </row>
    <row r="527" spans="2:7">
      <c r="B527" s="22" t="s">
        <v>375</v>
      </c>
      <c r="C527" s="23" t="s">
        <v>376</v>
      </c>
      <c r="D527" s="24" t="s">
        <v>562</v>
      </c>
      <c r="E527" s="25" t="s">
        <v>1745</v>
      </c>
      <c r="F527" s="16" t="str">
        <f>_xlfn.XLOOKUP(D527,[6]Sheet1!$C:$C,[6]Sheet1!$F:$F,"-")</f>
        <v>Billy Jenawi</v>
      </c>
      <c r="G527" s="21"/>
    </row>
    <row r="528" spans="2:7">
      <c r="B528" s="22" t="s">
        <v>375</v>
      </c>
      <c r="C528" s="23" t="s">
        <v>376</v>
      </c>
      <c r="D528" s="24" t="s">
        <v>563</v>
      </c>
      <c r="E528" s="25" t="s">
        <v>1745</v>
      </c>
      <c r="F528" s="16" t="str">
        <f>_xlfn.XLOOKUP(D528,[6]Sheet1!$C:$C,[6]Sheet1!$F:$F,"-")</f>
        <v>Budi Sunandar</v>
      </c>
      <c r="G528" s="21"/>
    </row>
    <row r="529" spans="2:7">
      <c r="B529" s="22" t="s">
        <v>375</v>
      </c>
      <c r="C529" s="23" t="s">
        <v>376</v>
      </c>
      <c r="D529" s="24" t="s">
        <v>564</v>
      </c>
      <c r="E529" s="25" t="s">
        <v>1745</v>
      </c>
      <c r="F529" s="16" t="str">
        <f>_xlfn.XLOOKUP(D529,[6]Sheet1!$C:$C,[6]Sheet1!$F:$F,"-")</f>
        <v>Dadan Darusman</v>
      </c>
      <c r="G529" s="21"/>
    </row>
    <row r="530" spans="2:7">
      <c r="B530" s="22" t="s">
        <v>375</v>
      </c>
      <c r="C530" s="23" t="s">
        <v>376</v>
      </c>
      <c r="D530" s="24" t="s">
        <v>565</v>
      </c>
      <c r="E530" s="25" t="s">
        <v>1745</v>
      </c>
      <c r="F530" s="16" t="str">
        <f>_xlfn.XLOOKUP(D530,[6]Sheet1!$C:$C,[6]Sheet1!$F:$F,"-")</f>
        <v>Dede Kurnia</v>
      </c>
      <c r="G530" s="21"/>
    </row>
    <row r="531" spans="2:7">
      <c r="B531" s="22" t="s">
        <v>375</v>
      </c>
      <c r="C531" s="23" t="s">
        <v>376</v>
      </c>
      <c r="D531" s="24" t="s">
        <v>566</v>
      </c>
      <c r="E531" s="25" t="s">
        <v>1745</v>
      </c>
      <c r="F531" s="16" t="str">
        <f>_xlfn.XLOOKUP(D531,[6]Sheet1!$C:$C,[6]Sheet1!$F:$F,"-")</f>
        <v>Faisal Malik</v>
      </c>
      <c r="G531" s="21"/>
    </row>
    <row r="532" spans="2:7">
      <c r="B532" s="22" t="s">
        <v>375</v>
      </c>
      <c r="C532" s="23" t="s">
        <v>376</v>
      </c>
      <c r="D532" s="24" t="s">
        <v>567</v>
      </c>
      <c r="E532" s="25" t="s">
        <v>1745</v>
      </c>
      <c r="F532" s="16" t="str">
        <f>_xlfn.XLOOKUP(D532,[6]Sheet1!$C:$C,[6]Sheet1!$F:$F,"-")</f>
        <v>Gilang Maulana Yusuf</v>
      </c>
      <c r="G532" s="21"/>
    </row>
    <row r="533" spans="2:7">
      <c r="B533" s="22" t="s">
        <v>375</v>
      </c>
      <c r="C533" s="23" t="s">
        <v>376</v>
      </c>
      <c r="D533" s="24" t="s">
        <v>568</v>
      </c>
      <c r="E533" s="25" t="s">
        <v>1745</v>
      </c>
      <c r="F533" s="16" t="str">
        <f>_xlfn.XLOOKUP(D533,[6]Sheet1!$C:$C,[6]Sheet1!$F:$F,"-")</f>
        <v>Harry Satria Rachman</v>
      </c>
      <c r="G533" s="21"/>
    </row>
    <row r="534" spans="2:7">
      <c r="B534" s="22" t="s">
        <v>375</v>
      </c>
      <c r="C534" s="23" t="s">
        <v>376</v>
      </c>
      <c r="D534" s="24" t="s">
        <v>569</v>
      </c>
      <c r="E534" s="25" t="s">
        <v>1745</v>
      </c>
      <c r="F534" s="16" t="str">
        <f>_xlfn.XLOOKUP(D534,[6]Sheet1!$C:$C,[6]Sheet1!$F:$F,"-")</f>
        <v>Iman Sulaeman</v>
      </c>
      <c r="G534" s="21"/>
    </row>
    <row r="535" spans="2:7">
      <c r="B535" s="22" t="s">
        <v>375</v>
      </c>
      <c r="C535" s="23" t="s">
        <v>376</v>
      </c>
      <c r="D535" s="24" t="s">
        <v>570</v>
      </c>
      <c r="E535" s="25" t="s">
        <v>1745</v>
      </c>
      <c r="F535" s="16" t="str">
        <f>_xlfn.XLOOKUP(D535,[6]Sheet1!$C:$C,[6]Sheet1!$F:$F,"-")</f>
        <v>Jamaludin Syah</v>
      </c>
      <c r="G535" s="21"/>
    </row>
    <row r="536" spans="2:7">
      <c r="B536" s="22" t="s">
        <v>375</v>
      </c>
      <c r="C536" s="23" t="s">
        <v>376</v>
      </c>
      <c r="D536" s="24" t="s">
        <v>571</v>
      </c>
      <c r="E536" s="25" t="s">
        <v>1745</v>
      </c>
      <c r="F536" s="16" t="str">
        <f>_xlfn.XLOOKUP(D536,[6]Sheet1!$C:$C,[6]Sheet1!$F:$F,"-")</f>
        <v>Kamaludin</v>
      </c>
      <c r="G536" s="21"/>
    </row>
    <row r="537" spans="2:7">
      <c r="B537" s="22" t="s">
        <v>375</v>
      </c>
      <c r="C537" s="23" t="s">
        <v>376</v>
      </c>
      <c r="D537" s="24" t="s">
        <v>572</v>
      </c>
      <c r="E537" s="25" t="s">
        <v>1745</v>
      </c>
      <c r="F537" s="16" t="str">
        <f>_xlfn.XLOOKUP(D537,[6]Sheet1!$C:$C,[6]Sheet1!$F:$F,"-")</f>
        <v>Muhamad Hendar Ali</v>
      </c>
      <c r="G537" s="21"/>
    </row>
    <row r="538" spans="2:7">
      <c r="B538" s="22" t="s">
        <v>375</v>
      </c>
      <c r="C538" s="23" t="s">
        <v>376</v>
      </c>
      <c r="D538" s="24" t="s">
        <v>573</v>
      </c>
      <c r="E538" s="25" t="s">
        <v>1745</v>
      </c>
      <c r="F538" s="16" t="str">
        <f>_xlfn.XLOOKUP(D538,[6]Sheet1!$C:$C,[6]Sheet1!$F:$F,"-")</f>
        <v>Muhammad Nurani Kholis</v>
      </c>
      <c r="G538" s="21"/>
    </row>
    <row r="539" spans="2:7">
      <c r="B539" s="22" t="s">
        <v>375</v>
      </c>
      <c r="C539" s="23" t="s">
        <v>376</v>
      </c>
      <c r="D539" s="24" t="s">
        <v>574</v>
      </c>
      <c r="E539" s="25" t="s">
        <v>1745</v>
      </c>
      <c r="F539" s="16" t="str">
        <f>_xlfn.XLOOKUP(D539,[6]Sheet1!$C:$C,[6]Sheet1!$F:$F,"-")</f>
        <v>Rahmat Efendi</v>
      </c>
      <c r="G539" s="21"/>
    </row>
    <row r="540" spans="2:7">
      <c r="B540" s="22" t="s">
        <v>375</v>
      </c>
      <c r="C540" s="23" t="s">
        <v>376</v>
      </c>
      <c r="D540" s="24" t="s">
        <v>575</v>
      </c>
      <c r="E540" s="25" t="s">
        <v>1745</v>
      </c>
      <c r="F540" s="16" t="str">
        <f>_xlfn.XLOOKUP(D540,[6]Sheet1!$C:$C,[6]Sheet1!$F:$F,"-")</f>
        <v>Ricky Nurdiansyah</v>
      </c>
      <c r="G540" s="21"/>
    </row>
    <row r="541" spans="2:7">
      <c r="B541" s="22" t="s">
        <v>375</v>
      </c>
      <c r="C541" s="23" t="s">
        <v>376</v>
      </c>
      <c r="D541" s="24" t="s">
        <v>576</v>
      </c>
      <c r="E541" s="25" t="s">
        <v>1745</v>
      </c>
      <c r="F541" s="16" t="str">
        <f>_xlfn.XLOOKUP(D541,[6]Sheet1!$C:$C,[6]Sheet1!$F:$F,"-")</f>
        <v>Tanto Taufik</v>
      </c>
      <c r="G541" s="21"/>
    </row>
    <row r="542" spans="2:7">
      <c r="B542" s="22" t="s">
        <v>375</v>
      </c>
      <c r="C542" s="23" t="s">
        <v>376</v>
      </c>
      <c r="D542" s="24" t="s">
        <v>577</v>
      </c>
      <c r="E542" s="25" t="s">
        <v>1745</v>
      </c>
      <c r="F542" s="16" t="str">
        <f>_xlfn.XLOOKUP(D542,[6]Sheet1!$C:$C,[6]Sheet1!$F:$F,"-")</f>
        <v>Tanto Taufik</v>
      </c>
      <c r="G542" s="21"/>
    </row>
    <row r="543" spans="2:7">
      <c r="B543" s="22" t="s">
        <v>375</v>
      </c>
      <c r="C543" s="23" t="s">
        <v>376</v>
      </c>
      <c r="D543" s="24" t="s">
        <v>578</v>
      </c>
      <c r="E543" s="25" t="s">
        <v>1745</v>
      </c>
      <c r="F543" s="16" t="str">
        <f>_xlfn.XLOOKUP(D543,[6]Sheet1!$C:$C,[6]Sheet1!$F:$F,"-")</f>
        <v>Ujang Andi</v>
      </c>
      <c r="G543" s="21"/>
    </row>
    <row r="544" spans="2:7">
      <c r="B544" s="22" t="s">
        <v>375</v>
      </c>
      <c r="C544" s="23" t="s">
        <v>376</v>
      </c>
      <c r="D544" s="24" t="s">
        <v>579</v>
      </c>
      <c r="E544" s="25" t="s">
        <v>1745</v>
      </c>
      <c r="F544" s="16" t="str">
        <f>_xlfn.XLOOKUP(D544,[6]Sheet1!$C:$C,[6]Sheet1!$F:$F,"-")</f>
        <v>Zam zam Mugni fadil</v>
      </c>
      <c r="G544" s="21"/>
    </row>
    <row r="545" spans="2:7">
      <c r="B545" s="22" t="s">
        <v>375</v>
      </c>
      <c r="C545" s="23" t="s">
        <v>376</v>
      </c>
      <c r="D545" s="24" t="s">
        <v>580</v>
      </c>
      <c r="E545" s="25" t="s">
        <v>1745</v>
      </c>
      <c r="F545" s="16" t="str">
        <f>_xlfn.XLOOKUP(D545,[6]Sheet1!$C:$C,[6]Sheet1!$F:$F,"-")</f>
        <v>Andy Risqi Pratama S</v>
      </c>
      <c r="G545" s="21"/>
    </row>
    <row r="546" spans="2:7">
      <c r="B546" s="22" t="s">
        <v>375</v>
      </c>
      <c r="C546" s="23" t="s">
        <v>376</v>
      </c>
      <c r="D546" s="24" t="s">
        <v>581</v>
      </c>
      <c r="E546" s="25" t="s">
        <v>1745</v>
      </c>
      <c r="F546" s="16" t="str">
        <f>_xlfn.XLOOKUP(D546,[6]Sheet1!$C:$C,[6]Sheet1!$F:$F,"-")</f>
        <v>Darwanto</v>
      </c>
      <c r="G546" s="21"/>
    </row>
    <row r="547" spans="2:7">
      <c r="B547" s="22" t="s">
        <v>375</v>
      </c>
      <c r="C547" s="23" t="s">
        <v>376</v>
      </c>
      <c r="D547" s="24" t="s">
        <v>582</v>
      </c>
      <c r="E547" s="25" t="s">
        <v>1745</v>
      </c>
      <c r="F547" s="16" t="str">
        <f>_xlfn.XLOOKUP(D547,[6]Sheet1!$C:$C,[6]Sheet1!$F:$F,"-")</f>
        <v>Deni Sukmana</v>
      </c>
      <c r="G547" s="21"/>
    </row>
    <row r="548" spans="2:7">
      <c r="B548" s="22" t="s">
        <v>375</v>
      </c>
      <c r="C548" s="23" t="s">
        <v>376</v>
      </c>
      <c r="D548" s="24" t="s">
        <v>583</v>
      </c>
      <c r="E548" s="25" t="s">
        <v>1745</v>
      </c>
      <c r="F548" s="16" t="str">
        <f>_xlfn.XLOOKUP(D548,[6]Sheet1!$C:$C,[6]Sheet1!$F:$F,"-")</f>
        <v>Hafiz Muhammad Siddiq</v>
      </c>
      <c r="G548" s="21"/>
    </row>
    <row r="549" spans="2:7">
      <c r="B549" s="22" t="s">
        <v>375</v>
      </c>
      <c r="C549" s="23" t="s">
        <v>376</v>
      </c>
      <c r="D549" s="24" t="s">
        <v>584</v>
      </c>
      <c r="E549" s="25" t="s">
        <v>1745</v>
      </c>
      <c r="F549" s="16" t="str">
        <f>_xlfn.XLOOKUP(D549,[6]Sheet1!$C:$C,[6]Sheet1!$F:$F,"-")</f>
        <v>Haliman Apriyadi</v>
      </c>
      <c r="G549" s="21"/>
    </row>
    <row r="550" spans="2:7">
      <c r="B550" s="22" t="s">
        <v>375</v>
      </c>
      <c r="C550" s="23" t="s">
        <v>376</v>
      </c>
      <c r="D550" s="24" t="s">
        <v>585</v>
      </c>
      <c r="E550" s="25" t="s">
        <v>1745</v>
      </c>
      <c r="F550" s="16" t="str">
        <f>_xlfn.XLOOKUP(D550,[6]Sheet1!$C:$C,[6]Sheet1!$F:$F,"-")</f>
        <v>Jejen Jaenudin</v>
      </c>
      <c r="G550" s="21"/>
    </row>
    <row r="551" spans="2:7">
      <c r="B551" s="22" t="s">
        <v>375</v>
      </c>
      <c r="C551" s="23" t="s">
        <v>376</v>
      </c>
      <c r="D551" s="24" t="s">
        <v>586</v>
      </c>
      <c r="E551" s="25" t="s">
        <v>1745</v>
      </c>
      <c r="F551" s="16" t="str">
        <f>_xlfn.XLOOKUP(D551,[6]Sheet1!$C:$C,[6]Sheet1!$F:$F,"-")</f>
        <v>M. Sanusi</v>
      </c>
      <c r="G551" s="21"/>
    </row>
    <row r="552" spans="2:7">
      <c r="B552" s="22" t="s">
        <v>375</v>
      </c>
      <c r="C552" s="23" t="s">
        <v>376</v>
      </c>
      <c r="D552" s="24" t="s">
        <v>587</v>
      </c>
      <c r="E552" s="25" t="s">
        <v>1745</v>
      </c>
      <c r="F552" s="16" t="str">
        <f>_xlfn.XLOOKUP(D552,[6]Sheet1!$C:$C,[6]Sheet1!$F:$F,"-")</f>
        <v>Muhamad Ali Assegap</v>
      </c>
      <c r="G552" s="21"/>
    </row>
    <row r="553" spans="2:7">
      <c r="B553" s="22" t="s">
        <v>375</v>
      </c>
      <c r="C553" s="23" t="s">
        <v>376</v>
      </c>
      <c r="D553" s="24" t="s">
        <v>588</v>
      </c>
      <c r="E553" s="25" t="s">
        <v>1745</v>
      </c>
      <c r="F553" s="16" t="str">
        <f>_xlfn.XLOOKUP(D553,[6]Sheet1!$C:$C,[6]Sheet1!$F:$F,"-")</f>
        <v>Muhamad Basir Gusfian</v>
      </c>
      <c r="G553" s="21"/>
    </row>
    <row r="554" spans="2:7">
      <c r="B554" s="22" t="s">
        <v>375</v>
      </c>
      <c r="C554" s="23" t="s">
        <v>376</v>
      </c>
      <c r="D554" s="24" t="s">
        <v>589</v>
      </c>
      <c r="E554" s="25" t="s">
        <v>1745</v>
      </c>
      <c r="F554" s="16" t="str">
        <f>_xlfn.XLOOKUP(D554,[6]Sheet1!$C:$C,[6]Sheet1!$F:$F,"-")</f>
        <v>Nanang Kosim</v>
      </c>
      <c r="G554" s="21"/>
    </row>
    <row r="555" spans="2:7">
      <c r="B555" s="22" t="s">
        <v>375</v>
      </c>
      <c r="C555" s="23" t="s">
        <v>376</v>
      </c>
      <c r="D555" s="24" t="s">
        <v>590</v>
      </c>
      <c r="E555" s="25" t="s">
        <v>1745</v>
      </c>
      <c r="F555" s="16" t="str">
        <f>_xlfn.XLOOKUP(D555,[6]Sheet1!$C:$C,[6]Sheet1!$F:$F,"-")</f>
        <v>Rahayu Akbar Permana</v>
      </c>
      <c r="G555" s="21"/>
    </row>
    <row r="556" spans="2:7">
      <c r="B556" s="22" t="s">
        <v>375</v>
      </c>
      <c r="C556" s="23" t="s">
        <v>376</v>
      </c>
      <c r="D556" s="24" t="s">
        <v>591</v>
      </c>
      <c r="E556" s="25" t="s">
        <v>1745</v>
      </c>
      <c r="F556" s="16" t="str">
        <f>_xlfn.XLOOKUP(D556,[6]Sheet1!$C:$C,[6]Sheet1!$F:$F,"-")</f>
        <v>Reza Cahya Jamaludin</v>
      </c>
      <c r="G556" s="21"/>
    </row>
    <row r="557" spans="2:7">
      <c r="B557" s="22" t="s">
        <v>375</v>
      </c>
      <c r="C557" s="23" t="s">
        <v>376</v>
      </c>
      <c r="D557" s="24" t="s">
        <v>592</v>
      </c>
      <c r="E557" s="25" t="s">
        <v>1745</v>
      </c>
      <c r="F557" s="16" t="str">
        <f>_xlfn.XLOOKUP(D557,[6]Sheet1!$C:$C,[6]Sheet1!$F:$F,"-")</f>
        <v>Rifki Satria Nasution</v>
      </c>
      <c r="G557" s="21"/>
    </row>
    <row r="558" spans="2:7">
      <c r="B558" s="22" t="s">
        <v>375</v>
      </c>
      <c r="C558" s="23" t="s">
        <v>376</v>
      </c>
      <c r="D558" s="24" t="s">
        <v>593</v>
      </c>
      <c r="E558" s="25" t="s">
        <v>1745</v>
      </c>
      <c r="F558" s="16" t="str">
        <f>_xlfn.XLOOKUP(D558,[6]Sheet1!$C:$C,[6]Sheet1!$F:$F,"-")</f>
        <v>Sarip Nurdin</v>
      </c>
      <c r="G558" s="21"/>
    </row>
    <row r="559" spans="2:7">
      <c r="B559" s="22" t="s">
        <v>375</v>
      </c>
      <c r="C559" s="23" t="s">
        <v>376</v>
      </c>
      <c r="D559" s="24" t="s">
        <v>594</v>
      </c>
      <c r="E559" s="25" t="s">
        <v>1745</v>
      </c>
      <c r="F559" s="16" t="str">
        <f>_xlfn.XLOOKUP(D559,[6]Sheet1!$C:$C,[6]Sheet1!$F:$F,"-")</f>
        <v>Suheri</v>
      </c>
      <c r="G559" s="21"/>
    </row>
    <row r="560" spans="2:7">
      <c r="B560" s="22" t="s">
        <v>375</v>
      </c>
      <c r="C560" s="23" t="s">
        <v>376</v>
      </c>
      <c r="D560" s="24" t="s">
        <v>595</v>
      </c>
      <c r="E560" s="25" t="s">
        <v>1745</v>
      </c>
      <c r="F560" s="16" t="str">
        <f>_xlfn.XLOOKUP(D560,[6]Sheet1!$C:$C,[6]Sheet1!$F:$F,"-")</f>
        <v>Yanuar Firmansyah</v>
      </c>
      <c r="G560" s="21"/>
    </row>
    <row r="561" spans="2:7">
      <c r="B561" s="22" t="s">
        <v>375</v>
      </c>
      <c r="C561" s="23" t="s">
        <v>376</v>
      </c>
      <c r="D561" s="24" t="s">
        <v>596</v>
      </c>
      <c r="E561" s="25" t="s">
        <v>1745</v>
      </c>
      <c r="F561" s="16" t="str">
        <f>_xlfn.XLOOKUP(D561,[6]Sheet1!$C:$C,[6]Sheet1!$F:$F,"-")</f>
        <v>Deden Ahmad Saepudin</v>
      </c>
      <c r="G561" s="21"/>
    </row>
    <row r="562" spans="2:7">
      <c r="B562" s="22" t="s">
        <v>375</v>
      </c>
      <c r="C562" s="23" t="s">
        <v>376</v>
      </c>
      <c r="D562" s="24" t="s">
        <v>597</v>
      </c>
      <c r="E562" s="25" t="s">
        <v>1745</v>
      </c>
      <c r="F562" s="16" t="str">
        <f>_xlfn.XLOOKUP(D562,[6]Sheet1!$C:$C,[6]Sheet1!$F:$F,"-")</f>
        <v>Raza Alfianzy</v>
      </c>
      <c r="G562" s="21"/>
    </row>
    <row r="563" spans="2:7">
      <c r="B563" s="22" t="s">
        <v>375</v>
      </c>
      <c r="C563" s="23" t="s">
        <v>376</v>
      </c>
      <c r="D563" s="24" t="s">
        <v>598</v>
      </c>
      <c r="E563" s="25" t="s">
        <v>1745</v>
      </c>
      <c r="F563" s="16" t="str">
        <f>_xlfn.XLOOKUP(D563,[6]Sheet1!$C:$C,[6]Sheet1!$F:$F,"-")</f>
        <v>Adi Viki, S.E</v>
      </c>
      <c r="G563" s="21"/>
    </row>
    <row r="564" spans="2:7">
      <c r="B564" s="22" t="s">
        <v>375</v>
      </c>
      <c r="C564" s="23" t="s">
        <v>376</v>
      </c>
      <c r="D564" s="24" t="s">
        <v>599</v>
      </c>
      <c r="E564" s="25" t="s">
        <v>1745</v>
      </c>
      <c r="F564" s="16" t="str">
        <f>_xlfn.XLOOKUP(D564,[6]Sheet1!$C:$C,[6]Sheet1!$F:$F,"-")</f>
        <v>Agung Maulana</v>
      </c>
      <c r="G564" s="21"/>
    </row>
    <row r="565" spans="2:7">
      <c r="B565" s="22" t="s">
        <v>375</v>
      </c>
      <c r="C565" s="23" t="s">
        <v>376</v>
      </c>
      <c r="D565" s="24" t="s">
        <v>600</v>
      </c>
      <c r="E565" s="25" t="s">
        <v>1745</v>
      </c>
      <c r="F565" s="16" t="str">
        <f>_xlfn.XLOOKUP(D565,[6]Sheet1!$C:$C,[6]Sheet1!$F:$F,"-")</f>
        <v>Agung Maulana</v>
      </c>
      <c r="G565" s="21"/>
    </row>
    <row r="566" spans="2:7">
      <c r="B566" s="22" t="s">
        <v>375</v>
      </c>
      <c r="C566" s="23" t="s">
        <v>376</v>
      </c>
      <c r="D566" s="24" t="s">
        <v>601</v>
      </c>
      <c r="E566" s="25" t="s">
        <v>1722</v>
      </c>
      <c r="F566" s="16" t="str">
        <f>_xlfn.XLOOKUP(D566,[6]Sheet1!$C:$C,[6]Sheet1!$F:$F,"-")</f>
        <v>Arief Firmansyah</v>
      </c>
      <c r="G566" s="21"/>
    </row>
    <row r="567" spans="2:7">
      <c r="B567" s="22" t="s">
        <v>375</v>
      </c>
      <c r="C567" s="23" t="s">
        <v>376</v>
      </c>
      <c r="D567" s="24" t="s">
        <v>602</v>
      </c>
      <c r="E567" s="25" t="s">
        <v>1745</v>
      </c>
      <c r="F567" s="16" t="str">
        <f>_xlfn.XLOOKUP(D567,[6]Sheet1!$C:$C,[6]Sheet1!$F:$F,"-")</f>
        <v>Ervan Budi Nugraha, S.Kom</v>
      </c>
      <c r="G567" s="21"/>
    </row>
    <row r="568" spans="2:7">
      <c r="B568" s="22" t="s">
        <v>375</v>
      </c>
      <c r="C568" s="23" t="s">
        <v>376</v>
      </c>
      <c r="D568" s="24" t="s">
        <v>603</v>
      </c>
      <c r="E568" s="25" t="s">
        <v>1745</v>
      </c>
      <c r="F568" s="16" t="str">
        <f>_xlfn.XLOOKUP(D568,[6]Sheet1!$C:$C,[6]Sheet1!$F:$F,"-")</f>
        <v>Ervan Budi Nugraha, S.Kom</v>
      </c>
      <c r="G568" s="21"/>
    </row>
    <row r="569" spans="2:7">
      <c r="B569" s="22" t="s">
        <v>375</v>
      </c>
      <c r="C569" s="23" t="s">
        <v>376</v>
      </c>
      <c r="D569" s="24" t="s">
        <v>604</v>
      </c>
      <c r="E569" s="25" t="s">
        <v>1745</v>
      </c>
      <c r="F569" s="16" t="str">
        <f>_xlfn.XLOOKUP(D569,[6]Sheet1!$C:$C,[6]Sheet1!$F:$F,"-")</f>
        <v>Fahrul Rizal</v>
      </c>
      <c r="G569" s="21"/>
    </row>
    <row r="570" spans="2:7">
      <c r="B570" s="22" t="s">
        <v>375</v>
      </c>
      <c r="C570" s="23" t="s">
        <v>376</v>
      </c>
      <c r="D570" s="24" t="s">
        <v>605</v>
      </c>
      <c r="E570" s="25" t="s">
        <v>1745</v>
      </c>
      <c r="F570" s="16" t="str">
        <f>_xlfn.XLOOKUP(D570,[6]Sheet1!$C:$C,[6]Sheet1!$F:$F,"-")</f>
        <v>Haggi Hermawan, S.Pd</v>
      </c>
      <c r="G570" s="21"/>
    </row>
    <row r="571" spans="2:7">
      <c r="B571" s="22" t="s">
        <v>375</v>
      </c>
      <c r="C571" s="23" t="s">
        <v>376</v>
      </c>
      <c r="D571" s="24" t="s">
        <v>606</v>
      </c>
      <c r="E571" s="25" t="s">
        <v>1745</v>
      </c>
      <c r="F571" s="16" t="str">
        <f>_xlfn.XLOOKUP(D571,[6]Sheet1!$C:$C,[6]Sheet1!$F:$F,"-")</f>
        <v>Irfan Anwar Musyadad, S.Pd</v>
      </c>
      <c r="G571" s="21"/>
    </row>
    <row r="572" spans="2:7">
      <c r="B572" s="22" t="s">
        <v>375</v>
      </c>
      <c r="C572" s="23" t="s">
        <v>376</v>
      </c>
      <c r="D572" s="24" t="s">
        <v>607</v>
      </c>
      <c r="E572" s="25" t="s">
        <v>1745</v>
      </c>
      <c r="F572" s="16" t="str">
        <f>_xlfn.XLOOKUP(D572,[6]Sheet1!$C:$C,[6]Sheet1!$F:$F,"-")</f>
        <v>Jenal Yusuf</v>
      </c>
      <c r="G572" s="21"/>
    </row>
    <row r="573" spans="2:7">
      <c r="B573" s="22" t="s">
        <v>375</v>
      </c>
      <c r="C573" s="23" t="s">
        <v>376</v>
      </c>
      <c r="D573" s="24" t="s">
        <v>608</v>
      </c>
      <c r="E573" s="25" t="s">
        <v>1722</v>
      </c>
      <c r="F573" s="16" t="str">
        <f>_xlfn.XLOOKUP(D573,[6]Sheet1!$C:$C,[6]Sheet1!$F:$F,"-")</f>
        <v>Jujun Juandi</v>
      </c>
      <c r="G573" s="21"/>
    </row>
    <row r="574" spans="2:7">
      <c r="B574" s="22" t="s">
        <v>375</v>
      </c>
      <c r="C574" s="23" t="s">
        <v>376</v>
      </c>
      <c r="D574" s="24" t="s">
        <v>609</v>
      </c>
      <c r="E574" s="25" t="s">
        <v>1745</v>
      </c>
      <c r="F574" s="16" t="str">
        <f>_xlfn.XLOOKUP(D574,[6]Sheet1!$C:$C,[6]Sheet1!$F:$F,"-")</f>
        <v>Mahrus Ali</v>
      </c>
      <c r="G574" s="21"/>
    </row>
    <row r="575" spans="2:7">
      <c r="B575" s="22" t="s">
        <v>375</v>
      </c>
      <c r="C575" s="23" t="s">
        <v>376</v>
      </c>
      <c r="D575" s="24" t="s">
        <v>610</v>
      </c>
      <c r="E575" s="25" t="s">
        <v>1745</v>
      </c>
      <c r="F575" s="16" t="str">
        <f>_xlfn.XLOOKUP(D575,[6]Sheet1!$C:$C,[6]Sheet1!$F:$F,"-")</f>
        <v>Mochamad Alvin Viery Pratama</v>
      </c>
      <c r="G575" s="21"/>
    </row>
    <row r="576" spans="2:7">
      <c r="B576" s="22" t="s">
        <v>375</v>
      </c>
      <c r="C576" s="23" t="s">
        <v>376</v>
      </c>
      <c r="D576" s="24" t="s">
        <v>611</v>
      </c>
      <c r="E576" s="25" t="s">
        <v>1745</v>
      </c>
      <c r="F576" s="16" t="str">
        <f>_xlfn.XLOOKUP(D576,[6]Sheet1!$C:$C,[6]Sheet1!$F:$F,"-")</f>
        <v>Peri Rakasiwi, S.kom</v>
      </c>
      <c r="G576" s="21"/>
    </row>
    <row r="577" spans="2:7">
      <c r="B577" s="22" t="s">
        <v>375</v>
      </c>
      <c r="C577" s="23" t="s">
        <v>376</v>
      </c>
      <c r="D577" s="24" t="s">
        <v>612</v>
      </c>
      <c r="E577" s="25" t="s">
        <v>1745</v>
      </c>
      <c r="F577" s="16" t="str">
        <f>_xlfn.XLOOKUP(D577,[6]Sheet1!$C:$C,[6]Sheet1!$F:$F,"-")</f>
        <v>Ricki Wahyudi</v>
      </c>
      <c r="G577" s="21"/>
    </row>
    <row r="578" spans="2:7">
      <c r="B578" s="22" t="s">
        <v>375</v>
      </c>
      <c r="C578" s="23" t="s">
        <v>376</v>
      </c>
      <c r="D578" s="24" t="s">
        <v>613</v>
      </c>
      <c r="E578" s="25" t="s">
        <v>1745</v>
      </c>
      <c r="F578" s="16" t="str">
        <f>_xlfn.XLOOKUP(D578,[6]Sheet1!$C:$C,[6]Sheet1!$F:$F,"-")</f>
        <v>Ridwan Muhammad Abdul Baqi</v>
      </c>
      <c r="G578" s="21"/>
    </row>
    <row r="579" spans="2:7">
      <c r="B579" s="22" t="s">
        <v>375</v>
      </c>
      <c r="C579" s="23" t="s">
        <v>376</v>
      </c>
      <c r="D579" s="24" t="s">
        <v>614</v>
      </c>
      <c r="E579" s="25" t="s">
        <v>1745</v>
      </c>
      <c r="F579" s="16" t="str">
        <f>_xlfn.XLOOKUP(D579,[6]Sheet1!$C:$C,[6]Sheet1!$F:$F,"-")</f>
        <v>Rio Gilang Prakasa</v>
      </c>
      <c r="G579" s="21"/>
    </row>
    <row r="580" spans="2:7">
      <c r="B580" s="22" t="s">
        <v>375</v>
      </c>
      <c r="C580" s="23" t="s">
        <v>376</v>
      </c>
      <c r="D580" s="24" t="s">
        <v>615</v>
      </c>
      <c r="E580" s="25" t="s">
        <v>1745</v>
      </c>
      <c r="F580" s="16" t="str">
        <f>_xlfn.XLOOKUP(D580,[6]Sheet1!$C:$C,[6]Sheet1!$F:$F,"-")</f>
        <v>Rizki Harmawan</v>
      </c>
      <c r="G580" s="21"/>
    </row>
    <row r="581" spans="2:7">
      <c r="B581" s="22" t="s">
        <v>375</v>
      </c>
      <c r="C581" s="23" t="s">
        <v>376</v>
      </c>
      <c r="D581" s="24" t="s">
        <v>616</v>
      </c>
      <c r="E581" s="25" t="s">
        <v>1745</v>
      </c>
      <c r="F581" s="16" t="str">
        <f>_xlfn.XLOOKUP(D581,[6]Sheet1!$C:$C,[6]Sheet1!$F:$F,"-")</f>
        <v>Sansan Riswandi</v>
      </c>
      <c r="G581" s="21"/>
    </row>
    <row r="582" spans="2:7">
      <c r="B582" s="22" t="s">
        <v>375</v>
      </c>
      <c r="C582" s="23" t="s">
        <v>376</v>
      </c>
      <c r="D582" s="24" t="s">
        <v>617</v>
      </c>
      <c r="E582" s="25" t="s">
        <v>1745</v>
      </c>
      <c r="F582" s="16" t="str">
        <f>_xlfn.XLOOKUP(D582,[6]Sheet1!$C:$C,[6]Sheet1!$F:$F,"-")</f>
        <v>Soni Setiadi</v>
      </c>
      <c r="G582" s="21"/>
    </row>
    <row r="583" spans="2:7">
      <c r="B583" s="22" t="s">
        <v>375</v>
      </c>
      <c r="C583" s="23" t="s">
        <v>376</v>
      </c>
      <c r="D583" s="24" t="s">
        <v>618</v>
      </c>
      <c r="E583" s="25" t="s">
        <v>1745</v>
      </c>
      <c r="F583" s="16" t="str">
        <f>_xlfn.XLOOKUP(D583,[6]Sheet1!$C:$C,[6]Sheet1!$F:$F,"-")</f>
        <v>Soni Solehhudin</v>
      </c>
      <c r="G583" s="21"/>
    </row>
    <row r="584" spans="2:7">
      <c r="B584" s="22" t="s">
        <v>375</v>
      </c>
      <c r="C584" s="23" t="s">
        <v>376</v>
      </c>
      <c r="D584" s="24" t="s">
        <v>619</v>
      </c>
      <c r="E584" s="25" t="s">
        <v>1745</v>
      </c>
      <c r="F584" s="16" t="str">
        <f>_xlfn.XLOOKUP(D584,[6]Sheet1!$C:$C,[6]Sheet1!$F:$F,"-")</f>
        <v>Yopha Azizulindar</v>
      </c>
      <c r="G584" s="21"/>
    </row>
    <row r="585" spans="2:7">
      <c r="B585" s="22" t="s">
        <v>375</v>
      </c>
      <c r="C585" s="23" t="s">
        <v>376</v>
      </c>
      <c r="D585" s="24" t="s">
        <v>620</v>
      </c>
      <c r="E585" s="25" t="s">
        <v>1745</v>
      </c>
      <c r="F585" s="16" t="str">
        <f>_xlfn.XLOOKUP(D585,[6]Sheet1!$C:$C,[6]Sheet1!$F:$F,"-")</f>
        <v>Adam Muhammad Ramdan</v>
      </c>
      <c r="G585" s="21"/>
    </row>
    <row r="586" spans="2:7">
      <c r="B586" s="22" t="s">
        <v>375</v>
      </c>
      <c r="C586" s="23" t="s">
        <v>376</v>
      </c>
      <c r="D586" s="24" t="s">
        <v>621</v>
      </c>
      <c r="E586" s="25" t="s">
        <v>1745</v>
      </c>
      <c r="F586" s="16" t="str">
        <f>_xlfn.XLOOKUP(D586,[6]Sheet1!$C:$C,[6]Sheet1!$F:$F,"-")</f>
        <v>Adi Hapri Perdiansyah</v>
      </c>
      <c r="G586" s="21"/>
    </row>
    <row r="587" spans="2:7">
      <c r="B587" s="22" t="s">
        <v>375</v>
      </c>
      <c r="C587" s="23" t="s">
        <v>376</v>
      </c>
      <c r="D587" s="24" t="s">
        <v>622</v>
      </c>
      <c r="E587" s="25" t="s">
        <v>1745</v>
      </c>
      <c r="F587" s="16" t="str">
        <f>_xlfn.XLOOKUP(D587,[6]Sheet1!$C:$C,[6]Sheet1!$F:$F,"-")</f>
        <v>Ahmad Misik Akyas Al-Kaesy</v>
      </c>
      <c r="G587" s="21"/>
    </row>
    <row r="588" spans="2:7">
      <c r="B588" s="22" t="s">
        <v>375</v>
      </c>
      <c r="C588" s="23" t="s">
        <v>376</v>
      </c>
      <c r="D588" s="24" t="s">
        <v>623</v>
      </c>
      <c r="E588" s="25" t="s">
        <v>1722</v>
      </c>
      <c r="F588" s="16" t="str">
        <f>_xlfn.XLOOKUP(D588,[6]Sheet1!$C:$C,[6]Sheet1!$F:$F,"-")</f>
        <v>Ahmad Misik Akyas Al-Kaesy</v>
      </c>
      <c r="G588" s="21"/>
    </row>
    <row r="589" spans="2:7">
      <c r="B589" s="22" t="s">
        <v>375</v>
      </c>
      <c r="C589" s="23" t="s">
        <v>376</v>
      </c>
      <c r="D589" s="24" t="s">
        <v>624</v>
      </c>
      <c r="E589" s="25" t="s">
        <v>1745</v>
      </c>
      <c r="F589" s="16" t="str">
        <f>_xlfn.XLOOKUP(D589,[6]Sheet1!$C:$C,[6]Sheet1!$F:$F,"-")</f>
        <v>Cecep Ramadhan Heryana</v>
      </c>
      <c r="G589" s="21"/>
    </row>
    <row r="590" spans="2:7">
      <c r="B590" s="22" t="s">
        <v>375</v>
      </c>
      <c r="C590" s="23" t="s">
        <v>376</v>
      </c>
      <c r="D590" s="24" t="s">
        <v>625</v>
      </c>
      <c r="E590" s="25" t="s">
        <v>1745</v>
      </c>
      <c r="F590" s="16" t="str">
        <f>_xlfn.XLOOKUP(D590,[6]Sheet1!$C:$C,[6]Sheet1!$F:$F,"-")</f>
        <v>Cucun Iryanto</v>
      </c>
      <c r="G590" s="21"/>
    </row>
    <row r="591" spans="2:7">
      <c r="B591" s="22" t="s">
        <v>375</v>
      </c>
      <c r="C591" s="23" t="s">
        <v>376</v>
      </c>
      <c r="D591" s="24" t="s">
        <v>626</v>
      </c>
      <c r="E591" s="25" t="s">
        <v>1745</v>
      </c>
      <c r="F591" s="16" t="str">
        <f>_xlfn.XLOOKUP(D591,[6]Sheet1!$C:$C,[6]Sheet1!$F:$F,"-")</f>
        <v>J. Hilmy Malik</v>
      </c>
      <c r="G591" s="21"/>
    </row>
    <row r="592" spans="2:7">
      <c r="B592" s="22" t="s">
        <v>375</v>
      </c>
      <c r="C592" s="23" t="s">
        <v>376</v>
      </c>
      <c r="D592" s="24" t="s">
        <v>627</v>
      </c>
      <c r="E592" s="25" t="s">
        <v>1745</v>
      </c>
      <c r="F592" s="16" t="str">
        <f>_xlfn.XLOOKUP(D592,[6]Sheet1!$C:$C,[6]Sheet1!$F:$F,"-")</f>
        <v>Mochamad Wildan Fahddino</v>
      </c>
      <c r="G592" s="21"/>
    </row>
    <row r="593" spans="2:7">
      <c r="B593" s="22" t="s">
        <v>375</v>
      </c>
      <c r="C593" s="23" t="s">
        <v>376</v>
      </c>
      <c r="D593" s="24" t="s">
        <v>628</v>
      </c>
      <c r="E593" s="25" t="s">
        <v>1745</v>
      </c>
      <c r="F593" s="16" t="str">
        <f>_xlfn.XLOOKUP(D593,[6]Sheet1!$C:$C,[6]Sheet1!$F:$F,"-")</f>
        <v>Muhammad Dwi Fawzi Hakim</v>
      </c>
      <c r="G593" s="21"/>
    </row>
    <row r="594" spans="2:7">
      <c r="B594" s="22" t="s">
        <v>375</v>
      </c>
      <c r="C594" s="23" t="s">
        <v>376</v>
      </c>
      <c r="D594" s="24" t="s">
        <v>629</v>
      </c>
      <c r="E594" s="25" t="s">
        <v>1745</v>
      </c>
      <c r="F594" s="16" t="str">
        <f>_xlfn.XLOOKUP(D594,[6]Sheet1!$C:$C,[6]Sheet1!$F:$F,"-")</f>
        <v>Muhammad Dwi Fawzi Hakim</v>
      </c>
      <c r="G594" s="21"/>
    </row>
    <row r="595" spans="2:7">
      <c r="B595" s="22" t="s">
        <v>375</v>
      </c>
      <c r="C595" s="23" t="s">
        <v>376</v>
      </c>
      <c r="D595" s="24" t="s">
        <v>630</v>
      </c>
      <c r="E595" s="25" t="s">
        <v>1745</v>
      </c>
      <c r="F595" s="16" t="str">
        <f>_xlfn.XLOOKUP(D595,[6]Sheet1!$C:$C,[6]Sheet1!$F:$F,"-")</f>
        <v>Muhammad Fariz Arief Rachman</v>
      </c>
      <c r="G595" s="21"/>
    </row>
    <row r="596" spans="2:7">
      <c r="B596" s="22" t="s">
        <v>375</v>
      </c>
      <c r="C596" s="23" t="s">
        <v>376</v>
      </c>
      <c r="D596" s="24" t="s">
        <v>631</v>
      </c>
      <c r="E596" s="25" t="s">
        <v>1745</v>
      </c>
      <c r="F596" s="16" t="str">
        <f>_xlfn.XLOOKUP(D596,[6]Sheet1!$C:$C,[6]Sheet1!$F:$F,"-")</f>
        <v>Restu Fauzi</v>
      </c>
      <c r="G596" s="21"/>
    </row>
    <row r="597" spans="2:7">
      <c r="B597" s="22" t="s">
        <v>375</v>
      </c>
      <c r="C597" s="23" t="s">
        <v>376</v>
      </c>
      <c r="D597" s="24" t="s">
        <v>632</v>
      </c>
      <c r="E597" s="25" t="s">
        <v>1745</v>
      </c>
      <c r="F597" s="16" t="str">
        <f>_xlfn.XLOOKUP(D597,[6]Sheet1!$C:$C,[6]Sheet1!$F:$F,"-")</f>
        <v>Rian Anjaswara</v>
      </c>
      <c r="G597" s="21"/>
    </row>
    <row r="598" spans="2:7">
      <c r="B598" s="22" t="s">
        <v>375</v>
      </c>
      <c r="C598" s="23" t="s">
        <v>376</v>
      </c>
      <c r="D598" s="24" t="s">
        <v>633</v>
      </c>
      <c r="E598" s="25" t="s">
        <v>1745</v>
      </c>
      <c r="F598" s="16" t="str">
        <f>_xlfn.XLOOKUP(D598,[6]Sheet1!$C:$C,[6]Sheet1!$F:$F,"-")</f>
        <v>Rizki Gunawan</v>
      </c>
      <c r="G598" s="21"/>
    </row>
    <row r="599" spans="2:7">
      <c r="B599" s="22" t="s">
        <v>375</v>
      </c>
      <c r="C599" s="23" t="s">
        <v>376</v>
      </c>
      <c r="D599" s="24" t="s">
        <v>634</v>
      </c>
      <c r="E599" s="25" t="s">
        <v>1745</v>
      </c>
      <c r="F599" s="16" t="str">
        <f>_xlfn.XLOOKUP(D599,[6]Sheet1!$C:$C,[6]Sheet1!$F:$F,"-")</f>
        <v>Toni</v>
      </c>
      <c r="G599" s="21"/>
    </row>
    <row r="600" spans="2:7">
      <c r="B600" s="22" t="s">
        <v>375</v>
      </c>
      <c r="C600" s="23" t="s">
        <v>376</v>
      </c>
      <c r="D600" s="24" t="s">
        <v>635</v>
      </c>
      <c r="E600" s="25" t="s">
        <v>1745</v>
      </c>
      <c r="F600" s="16" t="str">
        <f>_xlfn.XLOOKUP(D600,[6]Sheet1!$C:$C,[6]Sheet1!$F:$F,"-")</f>
        <v>Adi Triandi</v>
      </c>
      <c r="G600" s="21"/>
    </row>
    <row r="601" spans="2:7">
      <c r="B601" s="22" t="s">
        <v>375</v>
      </c>
      <c r="C601" s="23" t="s">
        <v>376</v>
      </c>
      <c r="D601" s="24" t="s">
        <v>636</v>
      </c>
      <c r="E601" s="25" t="s">
        <v>1745</v>
      </c>
      <c r="F601" s="16" t="str">
        <f>_xlfn.XLOOKUP(D601,[6]Sheet1!$C:$C,[6]Sheet1!$F:$F,"-")</f>
        <v>Cahya Purnama</v>
      </c>
      <c r="G601" s="21"/>
    </row>
    <row r="602" spans="2:7">
      <c r="B602" s="22" t="s">
        <v>375</v>
      </c>
      <c r="C602" s="23" t="s">
        <v>376</v>
      </c>
      <c r="D602" s="24" t="s">
        <v>637</v>
      </c>
      <c r="E602" s="25" t="s">
        <v>1745</v>
      </c>
      <c r="F602" s="16" t="str">
        <f>_xlfn.XLOOKUP(D602,[6]Sheet1!$C:$C,[6]Sheet1!$F:$F,"-")</f>
        <v>Fani Grahamulya Gandamiharja</v>
      </c>
      <c r="G602" s="21"/>
    </row>
    <row r="603" spans="2:7">
      <c r="B603" s="22" t="s">
        <v>375</v>
      </c>
      <c r="C603" s="23" t="s">
        <v>376</v>
      </c>
      <c r="D603" s="24" t="s">
        <v>638</v>
      </c>
      <c r="E603" s="25" t="s">
        <v>1745</v>
      </c>
      <c r="F603" s="16" t="str">
        <f>_xlfn.XLOOKUP(D603,[6]Sheet1!$C:$C,[6]Sheet1!$F:$F,"-")</f>
        <v>Muhamad Iqbal Firdaus</v>
      </c>
      <c r="G603" s="21"/>
    </row>
    <row r="604" spans="2:7">
      <c r="B604" s="22" t="s">
        <v>375</v>
      </c>
      <c r="C604" s="23" t="s">
        <v>376</v>
      </c>
      <c r="D604" s="24" t="s">
        <v>639</v>
      </c>
      <c r="E604" s="25" t="s">
        <v>1745</v>
      </c>
      <c r="F604" s="16" t="str">
        <f>_xlfn.XLOOKUP(D604,[6]Sheet1!$C:$C,[6]Sheet1!$F:$F,"-")</f>
        <v>Muhamad Lukman Hakim</v>
      </c>
      <c r="G604" s="21"/>
    </row>
    <row r="605" spans="2:7">
      <c r="B605" s="22" t="s">
        <v>375</v>
      </c>
      <c r="C605" s="23" t="s">
        <v>376</v>
      </c>
      <c r="D605" s="24" t="s">
        <v>640</v>
      </c>
      <c r="E605" s="25" t="s">
        <v>1745</v>
      </c>
      <c r="F605" s="16" t="str">
        <f>_xlfn.XLOOKUP(D605,[6]Sheet1!$C:$C,[6]Sheet1!$F:$F,"-")</f>
        <v>Rachman Mulyawan</v>
      </c>
      <c r="G605" s="21"/>
    </row>
    <row r="606" spans="2:7">
      <c r="B606" s="22" t="s">
        <v>375</v>
      </c>
      <c r="C606" s="23" t="s">
        <v>376</v>
      </c>
      <c r="D606" s="24" t="s">
        <v>641</v>
      </c>
      <c r="E606" s="25" t="s">
        <v>1745</v>
      </c>
      <c r="F606" s="16" t="str">
        <f>_xlfn.XLOOKUP(D606,[6]Sheet1!$C:$C,[6]Sheet1!$F:$F,"-")</f>
        <v>Rizal Raetriansyah</v>
      </c>
      <c r="G606" s="21"/>
    </row>
    <row r="607" spans="2:7">
      <c r="B607" s="22" t="s">
        <v>375</v>
      </c>
      <c r="C607" s="23" t="s">
        <v>376</v>
      </c>
      <c r="D607" s="24" t="s">
        <v>642</v>
      </c>
      <c r="E607" s="25" t="s">
        <v>1745</v>
      </c>
      <c r="F607" s="16" t="str">
        <f>_xlfn.XLOOKUP(D607,[6]Sheet1!$C:$C,[6]Sheet1!$F:$F,"-")</f>
        <v>Rizki Ahmad Fauzi</v>
      </c>
      <c r="G607" s="21"/>
    </row>
    <row r="608" spans="2:7">
      <c r="B608" s="22" t="s">
        <v>375</v>
      </c>
      <c r="C608" s="23" t="s">
        <v>376</v>
      </c>
      <c r="D608" s="24" t="s">
        <v>643</v>
      </c>
      <c r="E608" s="25" t="s">
        <v>1745</v>
      </c>
      <c r="F608" s="16" t="str">
        <f>_xlfn.XLOOKUP(D608,[6]Sheet1!$C:$C,[6]Sheet1!$F:$F,"-")</f>
        <v>Aly Irsyad Robani</v>
      </c>
      <c r="G608" s="21"/>
    </row>
    <row r="609" spans="2:7">
      <c r="B609" s="22" t="s">
        <v>375</v>
      </c>
      <c r="C609" s="23" t="s">
        <v>376</v>
      </c>
      <c r="D609" s="24" t="s">
        <v>644</v>
      </c>
      <c r="E609" s="25" t="s">
        <v>1745</v>
      </c>
      <c r="F609" s="16" t="str">
        <f>_xlfn.XLOOKUP(D609,[6]Sheet1!$C:$C,[6]Sheet1!$F:$F,"-")</f>
        <v>Anggiardy Prayudha</v>
      </c>
      <c r="G609" s="21"/>
    </row>
    <row r="610" spans="2:7">
      <c r="B610" s="22" t="s">
        <v>375</v>
      </c>
      <c r="C610" s="23" t="s">
        <v>376</v>
      </c>
      <c r="D610" s="24" t="s">
        <v>645</v>
      </c>
      <c r="E610" s="25" t="s">
        <v>1745</v>
      </c>
      <c r="F610" s="16" t="str">
        <f>_xlfn.XLOOKUP(D610,[6]Sheet1!$C:$C,[6]Sheet1!$F:$F,"-")</f>
        <v>Azka Nujjiya Fauzan</v>
      </c>
      <c r="G610" s="21"/>
    </row>
    <row r="611" spans="2:7">
      <c r="B611" s="22" t="s">
        <v>375</v>
      </c>
      <c r="C611" s="23" t="s">
        <v>376</v>
      </c>
      <c r="D611" s="24" t="s">
        <v>646</v>
      </c>
      <c r="E611" s="25" t="s">
        <v>1745</v>
      </c>
      <c r="F611" s="16" t="str">
        <f>_xlfn.XLOOKUP(D611,[6]Sheet1!$C:$C,[6]Sheet1!$F:$F,"-")</f>
        <v>Dadan Firmansyah</v>
      </c>
      <c r="G611" s="21"/>
    </row>
    <row r="612" spans="2:7">
      <c r="B612" s="22" t="s">
        <v>375</v>
      </c>
      <c r="C612" s="23" t="s">
        <v>376</v>
      </c>
      <c r="D612" s="24" t="s">
        <v>647</v>
      </c>
      <c r="E612" s="25" t="s">
        <v>1745</v>
      </c>
      <c r="F612" s="16" t="str">
        <f>_xlfn.XLOOKUP(D612,[6]Sheet1!$C:$C,[6]Sheet1!$F:$F,"-")</f>
        <v>Deni Mardiana Ruswandi</v>
      </c>
      <c r="G612" s="21"/>
    </row>
    <row r="613" spans="2:7">
      <c r="B613" s="22" t="s">
        <v>375</v>
      </c>
      <c r="C613" s="23" t="s">
        <v>376</v>
      </c>
      <c r="D613" s="24" t="s">
        <v>648</v>
      </c>
      <c r="E613" s="25" t="s">
        <v>1745</v>
      </c>
      <c r="F613" s="16" t="str">
        <f>_xlfn.XLOOKUP(D613,[6]Sheet1!$C:$C,[6]Sheet1!$F:$F,"-")</f>
        <v>Kiptiah</v>
      </c>
      <c r="G613" s="21"/>
    </row>
    <row r="614" spans="2:7">
      <c r="B614" s="22" t="s">
        <v>375</v>
      </c>
      <c r="C614" s="23" t="s">
        <v>376</v>
      </c>
      <c r="D614" s="24" t="s">
        <v>649</v>
      </c>
      <c r="E614" s="25" t="s">
        <v>1745</v>
      </c>
      <c r="F614" s="16" t="str">
        <f>_xlfn.XLOOKUP(D614,[6]Sheet1!$C:$C,[6]Sheet1!$F:$F,"-")</f>
        <v>Krisna Aditya Putra</v>
      </c>
      <c r="G614" s="21"/>
    </row>
    <row r="615" spans="2:7">
      <c r="B615" s="22" t="s">
        <v>375</v>
      </c>
      <c r="C615" s="23" t="s">
        <v>376</v>
      </c>
      <c r="D615" s="24" t="s">
        <v>650</v>
      </c>
      <c r="E615" s="25" t="s">
        <v>1745</v>
      </c>
      <c r="F615" s="16" t="str">
        <f>_xlfn.XLOOKUP(D615,[6]Sheet1!$C:$C,[6]Sheet1!$F:$F,"-")</f>
        <v>Muchamad Yasir Komaeni</v>
      </c>
      <c r="G615" s="21"/>
    </row>
    <row r="616" spans="2:7">
      <c r="B616" s="22" t="s">
        <v>375</v>
      </c>
      <c r="C616" s="23" t="s">
        <v>376</v>
      </c>
      <c r="D616" s="24" t="s">
        <v>651</v>
      </c>
      <c r="E616" s="25" t="s">
        <v>1745</v>
      </c>
      <c r="F616" s="16" t="str">
        <f>_xlfn.XLOOKUP(D616,[6]Sheet1!$C:$C,[6]Sheet1!$F:$F,"-")</f>
        <v>Muhammad Farlan Dzulfikar</v>
      </c>
      <c r="G616" s="21"/>
    </row>
    <row r="617" spans="2:7">
      <c r="B617" s="22" t="s">
        <v>375</v>
      </c>
      <c r="C617" s="23" t="s">
        <v>376</v>
      </c>
      <c r="D617" s="24" t="s">
        <v>652</v>
      </c>
      <c r="E617" s="25" t="s">
        <v>1745</v>
      </c>
      <c r="F617" s="16" t="str">
        <f>_xlfn.XLOOKUP(D617,[6]Sheet1!$C:$C,[6]Sheet1!$F:$F,"-")</f>
        <v>Nezar Hikmatiar</v>
      </c>
      <c r="G617" s="21"/>
    </row>
    <row r="618" spans="2:7">
      <c r="B618" s="22" t="s">
        <v>375</v>
      </c>
      <c r="C618" s="23" t="s">
        <v>376</v>
      </c>
      <c r="D618" s="24" t="s">
        <v>653</v>
      </c>
      <c r="E618" s="25" t="s">
        <v>1745</v>
      </c>
      <c r="F618" s="16" t="str">
        <f>_xlfn.XLOOKUP(D618,[6]Sheet1!$C:$C,[6]Sheet1!$F:$F,"-")</f>
        <v>Ade Setiawan</v>
      </c>
      <c r="G618" s="21"/>
    </row>
    <row r="619" spans="2:7">
      <c r="B619" s="22" t="s">
        <v>375</v>
      </c>
      <c r="C619" s="23" t="s">
        <v>376</v>
      </c>
      <c r="D619" s="24" t="s">
        <v>654</v>
      </c>
      <c r="E619" s="25" t="s">
        <v>1745</v>
      </c>
      <c r="F619" s="16" t="str">
        <f>_xlfn.XLOOKUP(D619,[6]Sheet1!$C:$C,[6]Sheet1!$F:$F,"-")</f>
        <v>Adi Riyana</v>
      </c>
      <c r="G619" s="21"/>
    </row>
    <row r="620" spans="2:7">
      <c r="B620" s="22" t="s">
        <v>375</v>
      </c>
      <c r="C620" s="23" t="s">
        <v>376</v>
      </c>
      <c r="D620" s="24" t="s">
        <v>655</v>
      </c>
      <c r="E620" s="25" t="s">
        <v>1745</v>
      </c>
      <c r="F620" s="16" t="str">
        <f>_xlfn.XLOOKUP(D620,[6]Sheet1!$C:$C,[6]Sheet1!$F:$F,"-")</f>
        <v>Dadan Ramdan</v>
      </c>
      <c r="G620" s="21"/>
    </row>
    <row r="621" spans="2:7">
      <c r="B621" s="22" t="s">
        <v>375</v>
      </c>
      <c r="C621" s="23" t="s">
        <v>376</v>
      </c>
      <c r="D621" s="24" t="s">
        <v>656</v>
      </c>
      <c r="E621" s="25" t="s">
        <v>1745</v>
      </c>
      <c r="F621" s="16" t="str">
        <f>_xlfn.XLOOKUP(D621,[6]Sheet1!$C:$C,[6]Sheet1!$F:$F,"-")</f>
        <v>Dany Kurniawan</v>
      </c>
      <c r="G621" s="21"/>
    </row>
    <row r="622" spans="2:7">
      <c r="B622" s="22" t="s">
        <v>375</v>
      </c>
      <c r="C622" s="23" t="s">
        <v>376</v>
      </c>
      <c r="D622" s="24" t="s">
        <v>657</v>
      </c>
      <c r="E622" s="25" t="s">
        <v>1745</v>
      </c>
      <c r="F622" s="16" t="str">
        <f>_xlfn.XLOOKUP(D622,[6]Sheet1!$C:$C,[6]Sheet1!$F:$F,"-")</f>
        <v>Kiki Nugraha</v>
      </c>
      <c r="G622" s="21"/>
    </row>
    <row r="623" spans="2:7">
      <c r="B623" s="22" t="s">
        <v>375</v>
      </c>
      <c r="C623" s="23" t="s">
        <v>376</v>
      </c>
      <c r="D623" s="24" t="s">
        <v>658</v>
      </c>
      <c r="E623" s="25" t="s">
        <v>1745</v>
      </c>
      <c r="F623" s="16" t="str">
        <f>_xlfn.XLOOKUP(D623,[6]Sheet1!$C:$C,[6]Sheet1!$F:$F,"-")</f>
        <v>Kuswanto Hendriyana</v>
      </c>
      <c r="G623" s="21"/>
    </row>
    <row r="624" spans="2:7">
      <c r="B624" s="22" t="s">
        <v>375</v>
      </c>
      <c r="C624" s="23" t="s">
        <v>376</v>
      </c>
      <c r="D624" s="24" t="s">
        <v>659</v>
      </c>
      <c r="E624" s="25" t="s">
        <v>1745</v>
      </c>
      <c r="F624" s="16" t="str">
        <f>_xlfn.XLOOKUP(D624,[6]Sheet1!$C:$C,[6]Sheet1!$F:$F,"-")</f>
        <v>Muhammad Akbar Cokro Pamungkas</v>
      </c>
      <c r="G624" s="21"/>
    </row>
    <row r="625" spans="2:7">
      <c r="B625" s="22" t="s">
        <v>375</v>
      </c>
      <c r="C625" s="23" t="s">
        <v>376</v>
      </c>
      <c r="D625" s="24" t="s">
        <v>660</v>
      </c>
      <c r="E625" s="25" t="s">
        <v>1745</v>
      </c>
      <c r="F625" s="16" t="str">
        <f>_xlfn.XLOOKUP(D625,[6]Sheet1!$C:$C,[6]Sheet1!$F:$F,"-")</f>
        <v>Muhammad Rafi Febryawan</v>
      </c>
      <c r="G625" s="21"/>
    </row>
    <row r="626" spans="2:7">
      <c r="B626" s="22" t="s">
        <v>375</v>
      </c>
      <c r="C626" s="23" t="s">
        <v>376</v>
      </c>
      <c r="D626" s="24" t="s">
        <v>661</v>
      </c>
      <c r="E626" s="25" t="s">
        <v>1745</v>
      </c>
      <c r="F626" s="16" t="str">
        <f>_xlfn.XLOOKUP(D626,[6]Sheet1!$C:$C,[6]Sheet1!$F:$F,"-")</f>
        <v>Muhandani Gifari Razoni</v>
      </c>
      <c r="G626" s="21"/>
    </row>
    <row r="627" spans="2:7">
      <c r="B627" s="22" t="s">
        <v>375</v>
      </c>
      <c r="C627" s="23" t="s">
        <v>376</v>
      </c>
      <c r="D627" s="24" t="s">
        <v>662</v>
      </c>
      <c r="E627" s="25" t="s">
        <v>1745</v>
      </c>
      <c r="F627" s="16" t="str">
        <f>_xlfn.XLOOKUP(D627,[6]Sheet1!$C:$C,[6]Sheet1!$F:$F,"-")</f>
        <v>Nasruloh Abdul Zalil</v>
      </c>
      <c r="G627" s="21"/>
    </row>
    <row r="628" spans="2:7">
      <c r="B628" s="22" t="s">
        <v>375</v>
      </c>
      <c r="C628" s="23" t="s">
        <v>376</v>
      </c>
      <c r="D628" s="24" t="s">
        <v>663</v>
      </c>
      <c r="E628" s="25" t="s">
        <v>1745</v>
      </c>
      <c r="F628" s="16" t="str">
        <f>_xlfn.XLOOKUP(D628,[6]Sheet1!$C:$C,[6]Sheet1!$F:$F,"-")</f>
        <v>Rama Dicky Montana</v>
      </c>
      <c r="G628" s="21"/>
    </row>
    <row r="629" spans="2:7">
      <c r="B629" s="22" t="s">
        <v>375</v>
      </c>
      <c r="C629" s="23" t="s">
        <v>376</v>
      </c>
      <c r="D629" s="24" t="s">
        <v>664</v>
      </c>
      <c r="E629" s="25" t="s">
        <v>1745</v>
      </c>
      <c r="F629" s="16" t="str">
        <f>_xlfn.XLOOKUP(D629,[6]Sheet1!$C:$C,[6]Sheet1!$F:$F,"-")</f>
        <v>Rama Dicky Montana</v>
      </c>
      <c r="G629" s="21"/>
    </row>
    <row r="630" spans="2:7">
      <c r="B630" s="22" t="s">
        <v>375</v>
      </c>
      <c r="C630" s="23" t="s">
        <v>376</v>
      </c>
      <c r="D630" s="24" t="s">
        <v>665</v>
      </c>
      <c r="E630" s="25" t="s">
        <v>1745</v>
      </c>
      <c r="F630" s="16" t="str">
        <f>_xlfn.XLOOKUP(D630,[6]Sheet1!$C:$C,[6]Sheet1!$F:$F,"-")</f>
        <v>Riduan</v>
      </c>
      <c r="G630" s="21"/>
    </row>
    <row r="631" spans="2:7">
      <c r="B631" s="22" t="s">
        <v>375</v>
      </c>
      <c r="C631" s="23" t="s">
        <v>376</v>
      </c>
      <c r="D631" s="24" t="s">
        <v>666</v>
      </c>
      <c r="E631" s="25" t="s">
        <v>1745</v>
      </c>
      <c r="F631" s="16" t="str">
        <f>_xlfn.XLOOKUP(D631,[6]Sheet1!$C:$C,[6]Sheet1!$F:$F,"-")</f>
        <v>Rizal Adilla</v>
      </c>
      <c r="G631" s="21"/>
    </row>
    <row r="632" spans="2:7">
      <c r="B632" s="22" t="s">
        <v>375</v>
      </c>
      <c r="C632" s="23" t="s">
        <v>376</v>
      </c>
      <c r="D632" s="24" t="s">
        <v>667</v>
      </c>
      <c r="E632" s="25" t="s">
        <v>1745</v>
      </c>
      <c r="F632" s="16" t="str">
        <f>_xlfn.XLOOKUP(D632,[6]Sheet1!$C:$C,[6]Sheet1!$F:$F,"-")</f>
        <v>Sugianto</v>
      </c>
      <c r="G632" s="21"/>
    </row>
    <row r="633" spans="2:7">
      <c r="B633" s="22" t="s">
        <v>668</v>
      </c>
      <c r="C633" s="23" t="s">
        <v>669</v>
      </c>
      <c r="D633" s="24" t="s">
        <v>670</v>
      </c>
      <c r="E633" s="25" t="s">
        <v>1722</v>
      </c>
      <c r="F633" s="16" t="str">
        <f>_xlfn.XLOOKUP(D633,'[7]Database DP'!$C:$C,'[7]Database DP'!$F:$F,"Tidak Ditemukan")</f>
        <v>AGUS</v>
      </c>
      <c r="G633" s="21"/>
    </row>
    <row r="634" spans="2:7">
      <c r="B634" s="22" t="s">
        <v>668</v>
      </c>
      <c r="C634" s="23" t="s">
        <v>669</v>
      </c>
      <c r="D634" s="24" t="s">
        <v>671</v>
      </c>
      <c r="E634" s="25" t="s">
        <v>1722</v>
      </c>
      <c r="F634" s="16" t="str">
        <f>_xlfn.XLOOKUP(D634,'[7]Database DP'!$C:$C,'[7]Database DP'!$F:$F,"Tidak Ditemukan")</f>
        <v>AGUS</v>
      </c>
      <c r="G634" s="21"/>
    </row>
    <row r="635" spans="2:7">
      <c r="B635" s="22" t="s">
        <v>668</v>
      </c>
      <c r="C635" s="23" t="s">
        <v>669</v>
      </c>
      <c r="D635" s="24" t="s">
        <v>672</v>
      </c>
      <c r="E635" s="25" t="s">
        <v>1722</v>
      </c>
      <c r="F635" s="16" t="str">
        <f>_xlfn.XLOOKUP(D635,'[7]Database DP'!$C:$C,'[7]Database DP'!$F:$F,"Tidak Ditemukan")</f>
        <v>AGUS</v>
      </c>
      <c r="G635" s="21"/>
    </row>
    <row r="636" spans="2:7">
      <c r="B636" s="22" t="s">
        <v>668</v>
      </c>
      <c r="C636" s="23" t="s">
        <v>669</v>
      </c>
      <c r="D636" s="24" t="s">
        <v>673</v>
      </c>
      <c r="E636" s="25" t="s">
        <v>1722</v>
      </c>
      <c r="F636" s="16" t="str">
        <f>_xlfn.XLOOKUP(D636,'[7]Database DP'!$C:$C,'[7]Database DP'!$F:$F,"Tidak Ditemukan")</f>
        <v>AGUS</v>
      </c>
      <c r="G636" s="21"/>
    </row>
    <row r="637" spans="2:7">
      <c r="B637" s="22" t="s">
        <v>668</v>
      </c>
      <c r="C637" s="23" t="s">
        <v>669</v>
      </c>
      <c r="D637" s="24" t="s">
        <v>674</v>
      </c>
      <c r="E637" s="25" t="s">
        <v>1722</v>
      </c>
      <c r="F637" s="16" t="str">
        <f>_xlfn.XLOOKUP(D637,'[7]Database DP'!$C:$C,'[7]Database DP'!$F:$F,"Tidak Ditemukan")</f>
        <v>AGUS</v>
      </c>
      <c r="G637" s="21"/>
    </row>
    <row r="638" spans="2:7">
      <c r="B638" s="22" t="s">
        <v>668</v>
      </c>
      <c r="C638" s="23" t="s">
        <v>669</v>
      </c>
      <c r="D638" s="24" t="s">
        <v>675</v>
      </c>
      <c r="E638" s="25" t="s">
        <v>1722</v>
      </c>
      <c r="F638" s="16" t="str">
        <f>_xlfn.XLOOKUP(D638,'[7]Database DP'!$C:$C,'[7]Database DP'!$F:$F,"Tidak Ditemukan")</f>
        <v>AGUS</v>
      </c>
      <c r="G638" s="21"/>
    </row>
    <row r="639" spans="2:7">
      <c r="B639" s="22" t="s">
        <v>668</v>
      </c>
      <c r="C639" s="23" t="s">
        <v>669</v>
      </c>
      <c r="D639" s="24" t="s">
        <v>676</v>
      </c>
      <c r="E639" s="25" t="s">
        <v>1722</v>
      </c>
      <c r="F639" s="16" t="str">
        <f>_xlfn.XLOOKUP(D639,'[7]Database DP'!$C:$C,'[7]Database DP'!$F:$F,"Tidak Ditemukan")</f>
        <v>AGUS</v>
      </c>
      <c r="G639" s="21"/>
    </row>
    <row r="640" spans="2:7">
      <c r="B640" s="22" t="s">
        <v>668</v>
      </c>
      <c r="C640" s="23" t="s">
        <v>669</v>
      </c>
      <c r="D640" s="24" t="s">
        <v>677</v>
      </c>
      <c r="E640" s="25" t="s">
        <v>1722</v>
      </c>
      <c r="F640" s="16" t="str">
        <f>_xlfn.XLOOKUP(D640,'[7]Database DP'!$C:$C,'[7]Database DP'!$F:$F,"Tidak Ditemukan")</f>
        <v>AGUS</v>
      </c>
      <c r="G640" s="21"/>
    </row>
    <row r="641" spans="2:7">
      <c r="B641" s="22" t="s">
        <v>668</v>
      </c>
      <c r="C641" s="23" t="s">
        <v>669</v>
      </c>
      <c r="D641" s="24" t="s">
        <v>678</v>
      </c>
      <c r="E641" s="25" t="s">
        <v>1722</v>
      </c>
      <c r="F641" s="16" t="str">
        <f>_xlfn.XLOOKUP(D641,'[7]Database DP'!$C:$C,'[7]Database DP'!$F:$F,"Tidak Ditemukan")</f>
        <v>AGUS</v>
      </c>
      <c r="G641" s="21"/>
    </row>
    <row r="642" spans="2:7">
      <c r="B642" s="22" t="s">
        <v>668</v>
      </c>
      <c r="C642" s="23" t="s">
        <v>669</v>
      </c>
      <c r="D642" s="24" t="s">
        <v>679</v>
      </c>
      <c r="E642" s="25" t="s">
        <v>1722</v>
      </c>
      <c r="F642" s="16" t="str">
        <f>_xlfn.XLOOKUP(D642,'[7]Database DP'!$C:$C,'[7]Database DP'!$F:$F,"Tidak Ditemukan")</f>
        <v>AI RIFIAN</v>
      </c>
      <c r="G642" s="21"/>
    </row>
    <row r="643" spans="2:7">
      <c r="B643" s="22" t="s">
        <v>668</v>
      </c>
      <c r="C643" s="23" t="s">
        <v>669</v>
      </c>
      <c r="D643" s="24" t="s">
        <v>680</v>
      </c>
      <c r="E643" s="25" t="s">
        <v>1722</v>
      </c>
      <c r="F643" s="16" t="str">
        <f>_xlfn.XLOOKUP(D643,'[7]Database DP'!$C:$C,'[7]Database DP'!$F:$F,"Tidak Ditemukan")</f>
        <v>AI RIFIAN</v>
      </c>
      <c r="G643" s="21"/>
    </row>
    <row r="644" spans="2:7">
      <c r="B644" s="22" t="s">
        <v>668</v>
      </c>
      <c r="C644" s="23" t="s">
        <v>669</v>
      </c>
      <c r="D644" s="24" t="s">
        <v>681</v>
      </c>
      <c r="E644" s="25" t="s">
        <v>1722</v>
      </c>
      <c r="F644" s="16" t="str">
        <f>_xlfn.XLOOKUP(D644,'[7]Database DP'!$C:$C,'[7]Database DP'!$F:$F,"Tidak Ditemukan")</f>
        <v>AI RIFIAN</v>
      </c>
      <c r="G644" s="21"/>
    </row>
    <row r="645" spans="2:7">
      <c r="B645" s="22" t="s">
        <v>668</v>
      </c>
      <c r="C645" s="23" t="s">
        <v>669</v>
      </c>
      <c r="D645" s="24" t="s">
        <v>682</v>
      </c>
      <c r="E645" s="25" t="s">
        <v>1722</v>
      </c>
      <c r="F645" s="16" t="str">
        <f>_xlfn.XLOOKUP(D645,'[7]Database DP'!$C:$C,'[7]Database DP'!$F:$F,"Tidak Ditemukan")</f>
        <v>AI RIFIAN</v>
      </c>
      <c r="G645" s="21"/>
    </row>
    <row r="646" spans="2:7">
      <c r="B646" s="22" t="s">
        <v>668</v>
      </c>
      <c r="C646" s="23" t="s">
        <v>669</v>
      </c>
      <c r="D646" s="24" t="s">
        <v>683</v>
      </c>
      <c r="E646" s="25" t="s">
        <v>1722</v>
      </c>
      <c r="F646" s="16" t="str">
        <f>_xlfn.XLOOKUP(D646,'[7]Database DP'!$C:$C,'[7]Database DP'!$F:$F,"Tidak Ditemukan")</f>
        <v>AI RIFIAN</v>
      </c>
      <c r="G646" s="21"/>
    </row>
    <row r="647" spans="2:7">
      <c r="B647" s="22" t="s">
        <v>668</v>
      </c>
      <c r="C647" s="23" t="s">
        <v>669</v>
      </c>
      <c r="D647" s="24" t="s">
        <v>684</v>
      </c>
      <c r="E647" s="25" t="s">
        <v>1722</v>
      </c>
      <c r="F647" s="16" t="str">
        <f>_xlfn.XLOOKUP(D647,'[7]Database DP'!$C:$C,'[7]Database DP'!$F:$F,"Tidak Ditemukan")</f>
        <v>AI RIFIAN</v>
      </c>
      <c r="G647" s="21"/>
    </row>
    <row r="648" spans="2:7">
      <c r="B648" s="22" t="s">
        <v>668</v>
      </c>
      <c r="C648" s="23" t="s">
        <v>669</v>
      </c>
      <c r="D648" s="24" t="s">
        <v>685</v>
      </c>
      <c r="E648" s="25" t="s">
        <v>1722</v>
      </c>
      <c r="F648" s="16" t="str">
        <f>_xlfn.XLOOKUP(D648,'[7]Database DP'!$C:$C,'[7]Database DP'!$F:$F,"Tidak Ditemukan")</f>
        <v>AI RIFIAN</v>
      </c>
      <c r="G648" s="21"/>
    </row>
    <row r="649" spans="2:7">
      <c r="B649" s="22" t="s">
        <v>668</v>
      </c>
      <c r="C649" s="23" t="s">
        <v>669</v>
      </c>
      <c r="D649" s="24" t="s">
        <v>686</v>
      </c>
      <c r="E649" s="25" t="s">
        <v>1722</v>
      </c>
      <c r="F649" s="16" t="str">
        <f>_xlfn.XLOOKUP(D649,'[7]Database DP'!$C:$C,'[7]Database DP'!$F:$F,"Tidak Ditemukan")</f>
        <v>AI RIFIAN</v>
      </c>
      <c r="G649" s="21"/>
    </row>
    <row r="650" spans="2:7">
      <c r="B650" s="22" t="s">
        <v>668</v>
      </c>
      <c r="C650" s="23" t="s">
        <v>669</v>
      </c>
      <c r="D650" s="24" t="s">
        <v>687</v>
      </c>
      <c r="E650" s="25" t="s">
        <v>1722</v>
      </c>
      <c r="F650" s="16" t="str">
        <f>_xlfn.XLOOKUP(D650,'[7]Database DP'!$C:$C,'[7]Database DP'!$F:$F,"Tidak Ditemukan")</f>
        <v>AI RIFIAN</v>
      </c>
      <c r="G650" s="21"/>
    </row>
    <row r="651" spans="2:7">
      <c r="B651" s="22" t="s">
        <v>668</v>
      </c>
      <c r="C651" s="23" t="s">
        <v>669</v>
      </c>
      <c r="D651" s="24" t="s">
        <v>688</v>
      </c>
      <c r="E651" s="25" t="s">
        <v>1722</v>
      </c>
      <c r="F651" s="16" t="str">
        <f>_xlfn.XLOOKUP(D651,'[7]Database DP'!$C:$C,'[7]Database DP'!$F:$F,"Tidak Ditemukan")</f>
        <v>AI RIFIAN</v>
      </c>
      <c r="G651" s="21"/>
    </row>
    <row r="652" spans="2:7">
      <c r="B652" s="22" t="s">
        <v>668</v>
      </c>
      <c r="C652" s="23" t="s">
        <v>669</v>
      </c>
      <c r="D652" s="24" t="s">
        <v>689</v>
      </c>
      <c r="E652" s="25" t="s">
        <v>1745</v>
      </c>
      <c r="F652" s="16" t="str">
        <f>_xlfn.XLOOKUP(D652,'[7]Database DP'!$C:$C,'[7]Database DP'!$F:$F,"Tidak Ditemukan")</f>
        <v>BOWO</v>
      </c>
      <c r="G652" s="21"/>
    </row>
    <row r="653" spans="2:7">
      <c r="B653" s="22" t="s">
        <v>668</v>
      </c>
      <c r="C653" s="23" t="s">
        <v>669</v>
      </c>
      <c r="D653" s="24" t="s">
        <v>690</v>
      </c>
      <c r="E653" s="25" t="s">
        <v>1745</v>
      </c>
      <c r="F653" s="16" t="str">
        <f>_xlfn.XLOOKUP(D653,'[7]Database DP'!$C:$C,'[7]Database DP'!$F:$F,"Tidak Ditemukan")</f>
        <v>BOWO</v>
      </c>
      <c r="G653" s="21"/>
    </row>
    <row r="654" spans="2:7">
      <c r="B654" s="22" t="s">
        <v>668</v>
      </c>
      <c r="C654" s="23" t="s">
        <v>669</v>
      </c>
      <c r="D654" s="24" t="s">
        <v>691</v>
      </c>
      <c r="E654" s="25" t="s">
        <v>1745</v>
      </c>
      <c r="F654" s="16" t="str">
        <f>_xlfn.XLOOKUP(D654,'[7]Database DP'!$C:$C,'[7]Database DP'!$F:$F,"Tidak Ditemukan")</f>
        <v>BOWO</v>
      </c>
      <c r="G654" s="21"/>
    </row>
    <row r="655" spans="2:7">
      <c r="B655" s="22" t="s">
        <v>668</v>
      </c>
      <c r="C655" s="23" t="s">
        <v>669</v>
      </c>
      <c r="D655" s="24" t="s">
        <v>692</v>
      </c>
      <c r="E655" s="25" t="s">
        <v>1722</v>
      </c>
      <c r="F655" s="16" t="str">
        <f>_xlfn.XLOOKUP(D655,'[7]Database DP'!$C:$C,'[7]Database DP'!$F:$F,"Tidak Ditemukan")</f>
        <v>BOWO</v>
      </c>
      <c r="G655" s="21"/>
    </row>
    <row r="656" spans="2:7">
      <c r="B656" s="22" t="s">
        <v>668</v>
      </c>
      <c r="C656" s="23" t="s">
        <v>669</v>
      </c>
      <c r="D656" s="24" t="s">
        <v>693</v>
      </c>
      <c r="E656" s="25" t="s">
        <v>1722</v>
      </c>
      <c r="F656" s="16" t="str">
        <f>_xlfn.XLOOKUP(D656,'[7]Database DP'!$C:$C,'[7]Database DP'!$F:$F,"Tidak Ditemukan")</f>
        <v>BOWO</v>
      </c>
      <c r="G656" s="21"/>
    </row>
    <row r="657" spans="2:7">
      <c r="B657" s="22" t="s">
        <v>668</v>
      </c>
      <c r="C657" s="23" t="s">
        <v>669</v>
      </c>
      <c r="D657" s="24" t="s">
        <v>694</v>
      </c>
      <c r="E657" s="25" t="s">
        <v>1722</v>
      </c>
      <c r="F657" s="16" t="str">
        <f>_xlfn.XLOOKUP(D657,'[7]Database DP'!$C:$C,'[7]Database DP'!$F:$F,"Tidak Ditemukan")</f>
        <v>BOWO</v>
      </c>
      <c r="G657" s="21"/>
    </row>
    <row r="658" spans="2:7">
      <c r="B658" s="22" t="s">
        <v>668</v>
      </c>
      <c r="C658" s="23" t="s">
        <v>669</v>
      </c>
      <c r="D658" s="24" t="s">
        <v>695</v>
      </c>
      <c r="E658" s="25" t="s">
        <v>1722</v>
      </c>
      <c r="F658" s="16" t="str">
        <f>_xlfn.XLOOKUP(D658,'[7]Database DP'!$C:$C,'[7]Database DP'!$F:$F,"Tidak Ditemukan")</f>
        <v>BOWO</v>
      </c>
      <c r="G658" s="21"/>
    </row>
    <row r="659" spans="2:7">
      <c r="B659" s="22" t="s">
        <v>668</v>
      </c>
      <c r="C659" s="23" t="s">
        <v>669</v>
      </c>
      <c r="D659" s="24" t="s">
        <v>696</v>
      </c>
      <c r="E659" s="25" t="s">
        <v>1722</v>
      </c>
      <c r="F659" s="16" t="str">
        <f>_xlfn.XLOOKUP(D659,'[7]Database DP'!$C:$C,'[7]Database DP'!$F:$F,"Tidak Ditemukan")</f>
        <v>BOWO</v>
      </c>
      <c r="G659" s="21"/>
    </row>
    <row r="660" spans="2:7">
      <c r="B660" s="22" t="s">
        <v>668</v>
      </c>
      <c r="C660" s="23" t="s">
        <v>669</v>
      </c>
      <c r="D660" s="24" t="s">
        <v>697</v>
      </c>
      <c r="E660" s="25" t="s">
        <v>1722</v>
      </c>
      <c r="F660" s="16" t="str">
        <f>_xlfn.XLOOKUP(D660,'[7]Database DP'!$C:$C,'[7]Database DP'!$F:$F,"Tidak Ditemukan")</f>
        <v>DADANG</v>
      </c>
      <c r="G660" s="21"/>
    </row>
    <row r="661" spans="2:7">
      <c r="B661" s="22" t="s">
        <v>668</v>
      </c>
      <c r="C661" s="23" t="s">
        <v>669</v>
      </c>
      <c r="D661" s="24" t="s">
        <v>698</v>
      </c>
      <c r="E661" s="25" t="s">
        <v>1722</v>
      </c>
      <c r="F661" s="16" t="str">
        <f>_xlfn.XLOOKUP(D661,'[7]Database DP'!$C:$C,'[7]Database DP'!$F:$F,"Tidak Ditemukan")</f>
        <v>DADANG</v>
      </c>
      <c r="G661" s="21"/>
    </row>
    <row r="662" spans="2:7">
      <c r="B662" s="22" t="s">
        <v>668</v>
      </c>
      <c r="C662" s="23" t="s">
        <v>669</v>
      </c>
      <c r="D662" s="24" t="s">
        <v>699</v>
      </c>
      <c r="E662" s="25" t="s">
        <v>1722</v>
      </c>
      <c r="F662" s="16" t="str">
        <f>_xlfn.XLOOKUP(D662,'[7]Database DP'!$C:$C,'[7]Database DP'!$F:$F,"Tidak Ditemukan")</f>
        <v>DADANG</v>
      </c>
      <c r="G662" s="21"/>
    </row>
    <row r="663" spans="2:7">
      <c r="B663" s="22" t="s">
        <v>668</v>
      </c>
      <c r="C663" s="23" t="s">
        <v>669</v>
      </c>
      <c r="D663" s="24" t="s">
        <v>700</v>
      </c>
      <c r="E663" s="25" t="s">
        <v>1722</v>
      </c>
      <c r="F663" s="16" t="str">
        <f>_xlfn.XLOOKUP(D663,'[7]Database DP'!$C:$C,'[7]Database DP'!$F:$F,"Tidak Ditemukan")</f>
        <v>DADANG</v>
      </c>
      <c r="G663" s="21"/>
    </row>
    <row r="664" spans="2:7">
      <c r="B664" s="22" t="s">
        <v>668</v>
      </c>
      <c r="C664" s="23" t="s">
        <v>669</v>
      </c>
      <c r="D664" s="24" t="s">
        <v>701</v>
      </c>
      <c r="E664" s="25" t="s">
        <v>1722</v>
      </c>
      <c r="F664" s="16" t="str">
        <f>_xlfn.XLOOKUP(D664,'[7]Database DP'!$C:$C,'[7]Database DP'!$F:$F,"Tidak Ditemukan")</f>
        <v>DADANG</v>
      </c>
      <c r="G664" s="21"/>
    </row>
    <row r="665" spans="2:7">
      <c r="B665" s="22" t="s">
        <v>668</v>
      </c>
      <c r="C665" s="23" t="s">
        <v>669</v>
      </c>
      <c r="D665" s="24" t="s">
        <v>702</v>
      </c>
      <c r="E665" s="25" t="s">
        <v>1722</v>
      </c>
      <c r="F665" s="16" t="str">
        <f>_xlfn.XLOOKUP(D665,'[7]Database DP'!$C:$C,'[7]Database DP'!$F:$F,"Tidak Ditemukan")</f>
        <v>DADANG</v>
      </c>
      <c r="G665" s="21"/>
    </row>
    <row r="666" spans="2:7">
      <c r="B666" s="22" t="s">
        <v>668</v>
      </c>
      <c r="C666" s="23" t="s">
        <v>669</v>
      </c>
      <c r="D666" s="24" t="s">
        <v>703</v>
      </c>
      <c r="E666" s="25" t="s">
        <v>1722</v>
      </c>
      <c r="F666" s="16" t="str">
        <f>_xlfn.XLOOKUP(D666,'[7]Database DP'!$C:$C,'[7]Database DP'!$F:$F,"Tidak Ditemukan")</f>
        <v>DADANG</v>
      </c>
      <c r="G666" s="21"/>
    </row>
    <row r="667" spans="2:7">
      <c r="B667" s="22" t="s">
        <v>668</v>
      </c>
      <c r="C667" s="23" t="s">
        <v>669</v>
      </c>
      <c r="D667" s="24" t="s">
        <v>704</v>
      </c>
      <c r="E667" s="25" t="s">
        <v>1722</v>
      </c>
      <c r="F667" s="16" t="str">
        <f>_xlfn.XLOOKUP(D667,'[7]Database DP'!$C:$C,'[7]Database DP'!$F:$F,"Tidak Ditemukan")</f>
        <v>DADANG</v>
      </c>
      <c r="G667" s="21"/>
    </row>
    <row r="668" spans="2:7">
      <c r="B668" s="22" t="s">
        <v>668</v>
      </c>
      <c r="C668" s="23" t="s">
        <v>669</v>
      </c>
      <c r="D668" s="24" t="s">
        <v>705</v>
      </c>
      <c r="E668" s="25" t="s">
        <v>1722</v>
      </c>
      <c r="F668" s="16" t="str">
        <f>_xlfn.XLOOKUP(D668,'[7]Database DP'!$C:$C,'[7]Database DP'!$F:$F,"Tidak Ditemukan")</f>
        <v>DADANG</v>
      </c>
      <c r="G668" s="21"/>
    </row>
    <row r="669" spans="2:7">
      <c r="B669" s="22" t="s">
        <v>668</v>
      </c>
      <c r="C669" s="23" t="s">
        <v>669</v>
      </c>
      <c r="D669" s="24" t="s">
        <v>706</v>
      </c>
      <c r="E669" s="25" t="s">
        <v>1722</v>
      </c>
      <c r="F669" s="16" t="str">
        <f>_xlfn.XLOOKUP(D669,'[7]Database DP'!$C:$C,'[7]Database DP'!$F:$F,"Tidak Ditemukan")</f>
        <v>DADANG</v>
      </c>
      <c r="G669" s="21"/>
    </row>
    <row r="670" spans="2:7">
      <c r="B670" s="22" t="s">
        <v>668</v>
      </c>
      <c r="C670" s="23" t="s">
        <v>669</v>
      </c>
      <c r="D670" s="24" t="s">
        <v>707</v>
      </c>
      <c r="E670" s="25" t="s">
        <v>1722</v>
      </c>
      <c r="F670" s="16" t="str">
        <f>_xlfn.XLOOKUP(D670,'[7]Database DP'!$C:$C,'[7]Database DP'!$F:$F,"Tidak Ditemukan")</f>
        <v>DANIEL</v>
      </c>
      <c r="G670" s="21"/>
    </row>
    <row r="671" spans="2:7">
      <c r="B671" s="22" t="s">
        <v>668</v>
      </c>
      <c r="C671" s="23" t="s">
        <v>669</v>
      </c>
      <c r="D671" s="24" t="s">
        <v>708</v>
      </c>
      <c r="E671" s="25" t="s">
        <v>1722</v>
      </c>
      <c r="F671" s="16" t="str">
        <f>_xlfn.XLOOKUP(D671,'[7]Database DP'!$C:$C,'[7]Database DP'!$F:$F,"Tidak Ditemukan")</f>
        <v>DANIEL</v>
      </c>
      <c r="G671" s="21"/>
    </row>
    <row r="672" spans="2:7">
      <c r="B672" s="22" t="s">
        <v>668</v>
      </c>
      <c r="C672" s="23" t="s">
        <v>669</v>
      </c>
      <c r="D672" s="24" t="s">
        <v>709</v>
      </c>
      <c r="E672" s="25" t="s">
        <v>1722</v>
      </c>
      <c r="F672" s="16" t="str">
        <f>_xlfn.XLOOKUP(D672,'[7]Database DP'!$C:$C,'[7]Database DP'!$F:$F,"Tidak Ditemukan")</f>
        <v>DANIEL</v>
      </c>
      <c r="G672" s="21"/>
    </row>
    <row r="673" spans="2:7">
      <c r="B673" s="22" t="s">
        <v>668</v>
      </c>
      <c r="C673" s="23" t="s">
        <v>669</v>
      </c>
      <c r="D673" s="24" t="s">
        <v>710</v>
      </c>
      <c r="E673" s="25" t="s">
        <v>1722</v>
      </c>
      <c r="F673" s="16" t="str">
        <f>_xlfn.XLOOKUP(D673,'[7]Database DP'!$C:$C,'[7]Database DP'!$F:$F,"Tidak Ditemukan")</f>
        <v>DANIEL</v>
      </c>
      <c r="G673" s="21"/>
    </row>
    <row r="674" spans="2:7">
      <c r="B674" s="22" t="s">
        <v>668</v>
      </c>
      <c r="C674" s="23" t="s">
        <v>669</v>
      </c>
      <c r="D674" s="24" t="s">
        <v>711</v>
      </c>
      <c r="E674" s="25" t="s">
        <v>1722</v>
      </c>
      <c r="F674" s="16" t="str">
        <f>_xlfn.XLOOKUP(D674,'[7]Database DP'!$C:$C,'[7]Database DP'!$F:$F,"Tidak Ditemukan")</f>
        <v>DANIEL</v>
      </c>
      <c r="G674" s="21"/>
    </row>
    <row r="675" spans="2:7">
      <c r="B675" s="22" t="s">
        <v>668</v>
      </c>
      <c r="C675" s="23" t="s">
        <v>669</v>
      </c>
      <c r="D675" s="24" t="s">
        <v>712</v>
      </c>
      <c r="E675" s="25" t="s">
        <v>1722</v>
      </c>
      <c r="F675" s="16" t="str">
        <f>_xlfn.XLOOKUP(D675,'[7]Database DP'!$C:$C,'[7]Database DP'!$F:$F,"Tidak Ditemukan")</f>
        <v>DANIEL</v>
      </c>
      <c r="G675" s="21"/>
    </row>
    <row r="676" spans="2:7">
      <c r="B676" s="22" t="s">
        <v>668</v>
      </c>
      <c r="C676" s="23" t="s">
        <v>669</v>
      </c>
      <c r="D676" s="24" t="s">
        <v>713</v>
      </c>
      <c r="E676" s="25" t="s">
        <v>1722</v>
      </c>
      <c r="F676" s="16" t="str">
        <f>_xlfn.XLOOKUP(D676,'[7]Database DP'!$C:$C,'[7]Database DP'!$F:$F,"Tidak Ditemukan")</f>
        <v>DANIEL</v>
      </c>
      <c r="G676" s="21"/>
    </row>
    <row r="677" spans="2:7">
      <c r="B677" s="22" t="s">
        <v>668</v>
      </c>
      <c r="C677" s="23" t="s">
        <v>669</v>
      </c>
      <c r="D677" s="24" t="s">
        <v>714</v>
      </c>
      <c r="E677" s="25" t="s">
        <v>1722</v>
      </c>
      <c r="F677" s="16" t="str">
        <f>_xlfn.XLOOKUP(D677,'[7]Database DP'!$C:$C,'[7]Database DP'!$F:$F,"Tidak Ditemukan")</f>
        <v>DANIEL</v>
      </c>
      <c r="G677" s="21"/>
    </row>
    <row r="678" spans="2:7">
      <c r="B678" s="22" t="s">
        <v>668</v>
      </c>
      <c r="C678" s="23" t="s">
        <v>669</v>
      </c>
      <c r="D678" s="24" t="s">
        <v>715</v>
      </c>
      <c r="E678" s="25" t="s">
        <v>1722</v>
      </c>
      <c r="F678" s="16" t="str">
        <f>_xlfn.XLOOKUP(D678,'[7]Database DP'!$C:$C,'[7]Database DP'!$F:$F,"Tidak Ditemukan")</f>
        <v>GERRY</v>
      </c>
      <c r="G678" s="21"/>
    </row>
    <row r="679" spans="2:7">
      <c r="B679" s="22" t="s">
        <v>668</v>
      </c>
      <c r="C679" s="23" t="s">
        <v>669</v>
      </c>
      <c r="D679" s="24" t="s">
        <v>716</v>
      </c>
      <c r="E679" s="25" t="s">
        <v>1722</v>
      </c>
      <c r="F679" s="16" t="str">
        <f>_xlfn.XLOOKUP(D679,'[7]Database DP'!$C:$C,'[7]Database DP'!$F:$F,"Tidak Ditemukan")</f>
        <v>GERRY</v>
      </c>
      <c r="G679" s="21"/>
    </row>
    <row r="680" spans="2:7">
      <c r="B680" s="22" t="s">
        <v>668</v>
      </c>
      <c r="C680" s="23" t="s">
        <v>669</v>
      </c>
      <c r="D680" s="24" t="s">
        <v>717</v>
      </c>
      <c r="E680" s="25" t="s">
        <v>1722</v>
      </c>
      <c r="F680" s="16" t="str">
        <f>_xlfn.XLOOKUP(D680,'[7]Database DP'!$C:$C,'[7]Database DP'!$F:$F,"Tidak Ditemukan")</f>
        <v>GERRY</v>
      </c>
      <c r="G680" s="21"/>
    </row>
    <row r="681" spans="2:7">
      <c r="B681" s="22" t="s">
        <v>668</v>
      </c>
      <c r="C681" s="23" t="s">
        <v>669</v>
      </c>
      <c r="D681" s="24" t="s">
        <v>718</v>
      </c>
      <c r="E681" s="25" t="s">
        <v>1722</v>
      </c>
      <c r="F681" s="16" t="str">
        <f>_xlfn.XLOOKUP(D681,'[7]Database DP'!$C:$C,'[7]Database DP'!$F:$F,"Tidak Ditemukan")</f>
        <v>GERRY</v>
      </c>
      <c r="G681" s="21"/>
    </row>
    <row r="682" spans="2:7">
      <c r="B682" s="22" t="s">
        <v>668</v>
      </c>
      <c r="C682" s="23" t="s">
        <v>669</v>
      </c>
      <c r="D682" s="24" t="s">
        <v>719</v>
      </c>
      <c r="E682" s="25" t="s">
        <v>1722</v>
      </c>
      <c r="F682" s="16" t="str">
        <f>_xlfn.XLOOKUP(D682,'[7]Database DP'!$C:$C,'[7]Database DP'!$F:$F,"Tidak Ditemukan")</f>
        <v>GERRY</v>
      </c>
      <c r="G682" s="21"/>
    </row>
    <row r="683" spans="2:7">
      <c r="B683" s="22" t="s">
        <v>668</v>
      </c>
      <c r="C683" s="23" t="s">
        <v>669</v>
      </c>
      <c r="D683" s="24" t="s">
        <v>720</v>
      </c>
      <c r="E683" s="25" t="s">
        <v>1722</v>
      </c>
      <c r="F683" s="16" t="str">
        <f>_xlfn.XLOOKUP(D683,'[7]Database DP'!$C:$C,'[7]Database DP'!$F:$F,"Tidak Ditemukan")</f>
        <v>HERI</v>
      </c>
      <c r="G683" s="21"/>
    </row>
    <row r="684" spans="2:7">
      <c r="B684" s="22" t="s">
        <v>668</v>
      </c>
      <c r="C684" s="23" t="s">
        <v>669</v>
      </c>
      <c r="D684" s="24" t="s">
        <v>721</v>
      </c>
      <c r="E684" s="25" t="s">
        <v>1722</v>
      </c>
      <c r="F684" s="16" t="str">
        <f>_xlfn.XLOOKUP(D684,'[7]Database DP'!$C:$C,'[7]Database DP'!$F:$F,"Tidak Ditemukan")</f>
        <v>HERI</v>
      </c>
      <c r="G684" s="21"/>
    </row>
    <row r="685" spans="2:7">
      <c r="B685" s="22" t="s">
        <v>668</v>
      </c>
      <c r="C685" s="23" t="s">
        <v>669</v>
      </c>
      <c r="D685" s="24" t="s">
        <v>722</v>
      </c>
      <c r="E685" s="25" t="s">
        <v>1722</v>
      </c>
      <c r="F685" s="16" t="str">
        <f>_xlfn.XLOOKUP(D685,'[7]Database DP'!$C:$C,'[7]Database DP'!$F:$F,"Tidak Ditemukan")</f>
        <v>HERI</v>
      </c>
      <c r="G685" s="21"/>
    </row>
    <row r="686" spans="2:7">
      <c r="B686" s="22" t="s">
        <v>668</v>
      </c>
      <c r="C686" s="23" t="s">
        <v>669</v>
      </c>
      <c r="D686" s="24" t="s">
        <v>723</v>
      </c>
      <c r="E686" s="25" t="s">
        <v>1722</v>
      </c>
      <c r="F686" s="16" t="str">
        <f>_xlfn.XLOOKUP(D686,'[7]Database DP'!$C:$C,'[7]Database DP'!$F:$F,"Tidak Ditemukan")</f>
        <v>HERI</v>
      </c>
      <c r="G686" s="21"/>
    </row>
    <row r="687" spans="2:7">
      <c r="B687" s="22" t="s">
        <v>668</v>
      </c>
      <c r="C687" s="23" t="s">
        <v>669</v>
      </c>
      <c r="D687" s="24" t="s">
        <v>724</v>
      </c>
      <c r="E687" s="25" t="s">
        <v>1722</v>
      </c>
      <c r="F687" s="16" t="str">
        <f>_xlfn.XLOOKUP(D687,'[7]Database DP'!$C:$C,'[7]Database DP'!$F:$F,"Tidak Ditemukan")</f>
        <v>HERI</v>
      </c>
      <c r="G687" s="21"/>
    </row>
    <row r="688" spans="2:7">
      <c r="B688" s="22" t="s">
        <v>668</v>
      </c>
      <c r="C688" s="23" t="s">
        <v>669</v>
      </c>
      <c r="D688" s="24" t="s">
        <v>725</v>
      </c>
      <c r="E688" s="25" t="s">
        <v>1722</v>
      </c>
      <c r="F688" s="16" t="str">
        <f>_xlfn.XLOOKUP(D688,'[7]Database DP'!$C:$C,'[7]Database DP'!$F:$F,"Tidak Ditemukan")</f>
        <v>HERI</v>
      </c>
      <c r="G688" s="21"/>
    </row>
    <row r="689" spans="2:7">
      <c r="B689" s="22" t="s">
        <v>668</v>
      </c>
      <c r="C689" s="23" t="s">
        <v>669</v>
      </c>
      <c r="D689" s="24" t="s">
        <v>726</v>
      </c>
      <c r="E689" s="25" t="s">
        <v>1722</v>
      </c>
      <c r="F689" s="16" t="str">
        <f>_xlfn.XLOOKUP(D689,'[7]Database DP'!$C:$C,'[7]Database DP'!$F:$F,"Tidak Ditemukan")</f>
        <v>HERI</v>
      </c>
      <c r="G689" s="21"/>
    </row>
    <row r="690" spans="2:7">
      <c r="B690" s="22" t="s">
        <v>668</v>
      </c>
      <c r="C690" s="23" t="s">
        <v>669</v>
      </c>
      <c r="D690" s="24" t="s">
        <v>727</v>
      </c>
      <c r="E690" s="25" t="s">
        <v>1722</v>
      </c>
      <c r="F690" s="16" t="str">
        <f>_xlfn.XLOOKUP(D690,'[7]Database DP'!$C:$C,'[7]Database DP'!$F:$F,"Tidak Ditemukan")</f>
        <v>HERI</v>
      </c>
      <c r="G690" s="21"/>
    </row>
    <row r="691" spans="2:7">
      <c r="B691" s="22" t="s">
        <v>668</v>
      </c>
      <c r="C691" s="23" t="s">
        <v>669</v>
      </c>
      <c r="D691" s="24" t="s">
        <v>728</v>
      </c>
      <c r="E691" s="25" t="s">
        <v>1722</v>
      </c>
      <c r="F691" s="16" t="str">
        <f>_xlfn.XLOOKUP(D691,'[7]Database DP'!$C:$C,'[7]Database DP'!$F:$F,"Tidak Ditemukan")</f>
        <v>HERI</v>
      </c>
      <c r="G691" s="21"/>
    </row>
    <row r="692" spans="2:7">
      <c r="B692" s="22" t="s">
        <v>668</v>
      </c>
      <c r="C692" s="23" t="s">
        <v>669</v>
      </c>
      <c r="D692" s="24" t="s">
        <v>729</v>
      </c>
      <c r="E692" s="25" t="s">
        <v>1722</v>
      </c>
      <c r="F692" s="16" t="str">
        <f>_xlfn.XLOOKUP(D692,'[7]Database DP'!$C:$C,'[7]Database DP'!$F:$F,"Tidak Ditemukan")</f>
        <v>HERI</v>
      </c>
      <c r="G692" s="21"/>
    </row>
    <row r="693" spans="2:7">
      <c r="B693" s="22" t="s">
        <v>668</v>
      </c>
      <c r="C693" s="23" t="s">
        <v>669</v>
      </c>
      <c r="D693" s="24" t="s">
        <v>730</v>
      </c>
      <c r="E693" s="25" t="s">
        <v>1722</v>
      </c>
      <c r="F693" s="16" t="str">
        <f>_xlfn.XLOOKUP(D693,'[7]Database DP'!$C:$C,'[7]Database DP'!$F:$F,"Tidak Ditemukan")</f>
        <v>HERI</v>
      </c>
      <c r="G693" s="21"/>
    </row>
    <row r="694" spans="2:7">
      <c r="B694" s="22" t="s">
        <v>668</v>
      </c>
      <c r="C694" s="23" t="s">
        <v>669</v>
      </c>
      <c r="D694" s="24" t="s">
        <v>731</v>
      </c>
      <c r="E694" s="25" t="s">
        <v>1722</v>
      </c>
      <c r="F694" s="16" t="str">
        <f>_xlfn.XLOOKUP(D694,'[7]Database DP'!$C:$C,'[7]Database DP'!$F:$F,"Tidak Ditemukan")</f>
        <v>HERI</v>
      </c>
      <c r="G694" s="21"/>
    </row>
    <row r="695" spans="2:7">
      <c r="B695" s="22" t="s">
        <v>668</v>
      </c>
      <c r="C695" s="23" t="s">
        <v>669</v>
      </c>
      <c r="D695" s="24" t="s">
        <v>732</v>
      </c>
      <c r="E695" s="25" t="s">
        <v>1722</v>
      </c>
      <c r="F695" s="16" t="str">
        <f>_xlfn.XLOOKUP(D695,'[7]Database DP'!$C:$C,'[7]Database DP'!$F:$F,"Tidak Ditemukan")</f>
        <v>HERI</v>
      </c>
      <c r="G695" s="21"/>
    </row>
    <row r="696" spans="2:7">
      <c r="B696" s="22" t="s">
        <v>668</v>
      </c>
      <c r="C696" s="23" t="s">
        <v>669</v>
      </c>
      <c r="D696" s="24" t="s">
        <v>733</v>
      </c>
      <c r="E696" s="25" t="s">
        <v>1722</v>
      </c>
      <c r="F696" s="16" t="str">
        <f>_xlfn.XLOOKUP(D696,'[7]Database DP'!$C:$C,'[7]Database DP'!$F:$F,"Tidak Ditemukan")</f>
        <v>HERI</v>
      </c>
      <c r="G696" s="21"/>
    </row>
    <row r="697" spans="2:7">
      <c r="B697" s="22" t="s">
        <v>668</v>
      </c>
      <c r="C697" s="23" t="s">
        <v>669</v>
      </c>
      <c r="D697" s="24" t="s">
        <v>734</v>
      </c>
      <c r="E697" s="25" t="s">
        <v>1722</v>
      </c>
      <c r="F697" s="16" t="str">
        <f>_xlfn.XLOOKUP(D697,'[7]Database DP'!$C:$C,'[7]Database DP'!$F:$F,"Tidak Ditemukan")</f>
        <v>RISWANTO</v>
      </c>
      <c r="G697" s="21"/>
    </row>
    <row r="698" spans="2:7">
      <c r="B698" s="22" t="s">
        <v>668</v>
      </c>
      <c r="C698" s="23" t="s">
        <v>669</v>
      </c>
      <c r="D698" s="24" t="s">
        <v>735</v>
      </c>
      <c r="E698" s="25" t="s">
        <v>1722</v>
      </c>
      <c r="F698" s="16" t="str">
        <f>_xlfn.XLOOKUP(D698,'[7]Database DP'!$C:$C,'[7]Database DP'!$F:$F,"Tidak Ditemukan")</f>
        <v>RISWANTO</v>
      </c>
      <c r="G698" s="21"/>
    </row>
    <row r="699" spans="2:7">
      <c r="B699" s="22" t="s">
        <v>668</v>
      </c>
      <c r="C699" s="23" t="s">
        <v>669</v>
      </c>
      <c r="D699" s="24" t="s">
        <v>736</v>
      </c>
      <c r="E699" s="25" t="s">
        <v>1722</v>
      </c>
      <c r="F699" s="16" t="str">
        <f>_xlfn.XLOOKUP(D699,'[7]Database DP'!$C:$C,'[7]Database DP'!$F:$F,"Tidak Ditemukan")</f>
        <v>RISWANTO</v>
      </c>
      <c r="G699" s="21"/>
    </row>
    <row r="700" spans="2:7">
      <c r="B700" s="22" t="s">
        <v>668</v>
      </c>
      <c r="C700" s="23" t="s">
        <v>669</v>
      </c>
      <c r="D700" s="24" t="s">
        <v>737</v>
      </c>
      <c r="E700" s="25" t="s">
        <v>1722</v>
      </c>
      <c r="F700" s="16" t="str">
        <f>_xlfn.XLOOKUP(D700,'[7]Database DP'!$C:$C,'[7]Database DP'!$F:$F,"Tidak Ditemukan")</f>
        <v>RISWANTO</v>
      </c>
      <c r="G700" s="21"/>
    </row>
    <row r="701" spans="2:7">
      <c r="B701" s="22" t="s">
        <v>668</v>
      </c>
      <c r="C701" s="23" t="s">
        <v>669</v>
      </c>
      <c r="D701" s="24" t="s">
        <v>738</v>
      </c>
      <c r="E701" s="25" t="s">
        <v>1722</v>
      </c>
      <c r="F701" s="16" t="str">
        <f>_xlfn.XLOOKUP(D701,'[7]Database DP'!$C:$C,'[7]Database DP'!$F:$F,"Tidak Ditemukan")</f>
        <v>RISWANTO</v>
      </c>
      <c r="G701" s="21"/>
    </row>
    <row r="702" spans="2:7">
      <c r="B702" s="22" t="s">
        <v>668</v>
      </c>
      <c r="C702" s="23" t="s">
        <v>669</v>
      </c>
      <c r="D702" s="24" t="s">
        <v>739</v>
      </c>
      <c r="E702" s="25" t="s">
        <v>1722</v>
      </c>
      <c r="F702" s="16" t="str">
        <f>_xlfn.XLOOKUP(D702,'[7]Database DP'!$C:$C,'[7]Database DP'!$F:$F,"Tidak Ditemukan")</f>
        <v>RISWANTO</v>
      </c>
      <c r="G702" s="21"/>
    </row>
    <row r="703" spans="2:7">
      <c r="B703" s="22" t="s">
        <v>668</v>
      </c>
      <c r="C703" s="23" t="s">
        <v>669</v>
      </c>
      <c r="D703" s="24" t="s">
        <v>740</v>
      </c>
      <c r="E703" s="25" t="s">
        <v>1722</v>
      </c>
      <c r="F703" s="16" t="str">
        <f>_xlfn.XLOOKUP(D703,'[7]Database DP'!$C:$C,'[7]Database DP'!$F:$F,"Tidak Ditemukan")</f>
        <v>RISWANTO</v>
      </c>
      <c r="G703" s="21"/>
    </row>
    <row r="704" spans="2:7">
      <c r="B704" s="22" t="s">
        <v>668</v>
      </c>
      <c r="C704" s="23" t="s">
        <v>669</v>
      </c>
      <c r="D704" s="24" t="s">
        <v>741</v>
      </c>
      <c r="E704" s="25" t="s">
        <v>1722</v>
      </c>
      <c r="F704" s="16" t="str">
        <f>_xlfn.XLOOKUP(D704,'[7]Database DP'!$C:$C,'[7]Database DP'!$F:$F,"Tidak Ditemukan")</f>
        <v>RISWANTO</v>
      </c>
      <c r="G704" s="21"/>
    </row>
    <row r="705" spans="2:7">
      <c r="B705" s="22" t="s">
        <v>668</v>
      </c>
      <c r="C705" s="23" t="s">
        <v>669</v>
      </c>
      <c r="D705" s="24" t="s">
        <v>742</v>
      </c>
      <c r="E705" s="25" t="s">
        <v>1722</v>
      </c>
      <c r="F705" s="16" t="str">
        <f>_xlfn.XLOOKUP(D705,'[7]Database DP'!$C:$C,'[7]Database DP'!$F:$F,"Tidak Ditemukan")</f>
        <v>RISWANTO</v>
      </c>
      <c r="G705" s="21"/>
    </row>
    <row r="706" spans="2:7">
      <c r="B706" s="22" t="s">
        <v>668</v>
      </c>
      <c r="C706" s="23" t="s">
        <v>669</v>
      </c>
      <c r="D706" s="24" t="s">
        <v>743</v>
      </c>
      <c r="E706" s="25" t="s">
        <v>1722</v>
      </c>
      <c r="F706" s="16" t="str">
        <f>_xlfn.XLOOKUP(D706,'[7]Database DP'!$C:$C,'[7]Database DP'!$F:$F,"Tidak Ditemukan")</f>
        <v>RISWANTO</v>
      </c>
      <c r="G706" s="21"/>
    </row>
    <row r="707" spans="2:7">
      <c r="B707" s="22" t="s">
        <v>668</v>
      </c>
      <c r="C707" s="23" t="s">
        <v>669</v>
      </c>
      <c r="D707" s="24" t="s">
        <v>744</v>
      </c>
      <c r="E707" s="25" t="s">
        <v>1722</v>
      </c>
      <c r="F707" s="16" t="str">
        <f>_xlfn.XLOOKUP(D707,'[7]Database DP'!$C:$C,'[7]Database DP'!$F:$F,"Tidak Ditemukan")</f>
        <v>RISWANTO</v>
      </c>
      <c r="G707" s="21"/>
    </row>
    <row r="708" spans="2:7">
      <c r="B708" s="22" t="s">
        <v>668</v>
      </c>
      <c r="C708" s="23" t="s">
        <v>669</v>
      </c>
      <c r="D708" s="24" t="s">
        <v>745</v>
      </c>
      <c r="E708" s="25" t="s">
        <v>1722</v>
      </c>
      <c r="F708" s="16" t="str">
        <f>_xlfn.XLOOKUP(D708,'[7]Database DP'!$C:$C,'[7]Database DP'!$F:$F,"Tidak Ditemukan")</f>
        <v>RISWANTO</v>
      </c>
      <c r="G708" s="21"/>
    </row>
    <row r="709" spans="2:7">
      <c r="B709" s="22" t="s">
        <v>668</v>
      </c>
      <c r="C709" s="23" t="s">
        <v>669</v>
      </c>
      <c r="D709" s="24" t="s">
        <v>746</v>
      </c>
      <c r="E709" s="25" t="s">
        <v>1722</v>
      </c>
      <c r="F709" s="16" t="str">
        <f>_xlfn.XLOOKUP(D709,'[7]Database DP'!$C:$C,'[7]Database DP'!$F:$F,"Tidak Ditemukan")</f>
        <v>KHABIB</v>
      </c>
      <c r="G709" s="21"/>
    </row>
    <row r="710" spans="2:7">
      <c r="B710" s="22" t="s">
        <v>668</v>
      </c>
      <c r="C710" s="23" t="s">
        <v>669</v>
      </c>
      <c r="D710" s="24" t="s">
        <v>747</v>
      </c>
      <c r="E710" s="25" t="s">
        <v>1722</v>
      </c>
      <c r="F710" s="16" t="str">
        <f>_xlfn.XLOOKUP(D710,'[7]Database DP'!$C:$C,'[7]Database DP'!$F:$F,"Tidak Ditemukan")</f>
        <v>KHABIB</v>
      </c>
      <c r="G710" s="21"/>
    </row>
    <row r="711" spans="2:7">
      <c r="B711" s="22" t="s">
        <v>668</v>
      </c>
      <c r="C711" s="23" t="s">
        <v>669</v>
      </c>
      <c r="D711" s="24" t="s">
        <v>748</v>
      </c>
      <c r="E711" s="25" t="s">
        <v>1722</v>
      </c>
      <c r="F711" s="16" t="str">
        <f>_xlfn.XLOOKUP(D711,'[7]Database DP'!$C:$C,'[7]Database DP'!$F:$F,"Tidak Ditemukan")</f>
        <v>KHABIB</v>
      </c>
      <c r="G711" s="21"/>
    </row>
    <row r="712" spans="2:7">
      <c r="B712" s="22" t="s">
        <v>668</v>
      </c>
      <c r="C712" s="23" t="s">
        <v>669</v>
      </c>
      <c r="D712" s="24" t="s">
        <v>749</v>
      </c>
      <c r="E712" s="25" t="s">
        <v>1722</v>
      </c>
      <c r="F712" s="16" t="str">
        <f>_xlfn.XLOOKUP(D712,'[7]Database DP'!$C:$C,'[7]Database DP'!$F:$F,"Tidak Ditemukan")</f>
        <v>KHABIB</v>
      </c>
      <c r="G712" s="21"/>
    </row>
    <row r="713" spans="2:7">
      <c r="B713" s="22" t="s">
        <v>668</v>
      </c>
      <c r="C713" s="23" t="s">
        <v>669</v>
      </c>
      <c r="D713" s="24" t="s">
        <v>750</v>
      </c>
      <c r="E713" s="25" t="s">
        <v>1722</v>
      </c>
      <c r="F713" s="16" t="str">
        <f>_xlfn.XLOOKUP(D713,'[7]Database DP'!$C:$C,'[7]Database DP'!$F:$F,"Tidak Ditemukan")</f>
        <v>KHABIB</v>
      </c>
      <c r="G713" s="21"/>
    </row>
    <row r="714" spans="2:7">
      <c r="B714" s="22" t="s">
        <v>668</v>
      </c>
      <c r="C714" s="23" t="s">
        <v>669</v>
      </c>
      <c r="D714" s="24" t="s">
        <v>751</v>
      </c>
      <c r="E714" s="25" t="s">
        <v>1722</v>
      </c>
      <c r="F714" s="16" t="str">
        <f>_xlfn.XLOOKUP(D714,'[7]Database DP'!$C:$C,'[7]Database DP'!$F:$F,"Tidak Ditemukan")</f>
        <v>KHABIB</v>
      </c>
      <c r="G714" s="21"/>
    </row>
    <row r="715" spans="2:7">
      <c r="B715" s="22" t="s">
        <v>668</v>
      </c>
      <c r="C715" s="23" t="s">
        <v>669</v>
      </c>
      <c r="D715" s="24" t="s">
        <v>752</v>
      </c>
      <c r="E715" s="25" t="s">
        <v>1722</v>
      </c>
      <c r="F715" s="16" t="str">
        <f>_xlfn.XLOOKUP(D715,'[7]Database DP'!$C:$C,'[7]Database DP'!$F:$F,"Tidak Ditemukan")</f>
        <v>KHABIB</v>
      </c>
      <c r="G715" s="21"/>
    </row>
    <row r="716" spans="2:7">
      <c r="B716" s="22" t="s">
        <v>668</v>
      </c>
      <c r="C716" s="23" t="s">
        <v>669</v>
      </c>
      <c r="D716" s="24" t="s">
        <v>753</v>
      </c>
      <c r="E716" s="25" t="s">
        <v>1722</v>
      </c>
      <c r="F716" s="16" t="str">
        <f>_xlfn.XLOOKUP(D716,'[7]Database DP'!$C:$C,'[7]Database DP'!$F:$F,"Tidak Ditemukan")</f>
        <v>KHABIB</v>
      </c>
      <c r="G716" s="21"/>
    </row>
    <row r="717" spans="2:7">
      <c r="B717" s="22" t="s">
        <v>668</v>
      </c>
      <c r="C717" s="23" t="s">
        <v>669</v>
      </c>
      <c r="D717" s="24" t="s">
        <v>754</v>
      </c>
      <c r="E717" s="25" t="s">
        <v>1722</v>
      </c>
      <c r="F717" s="16" t="str">
        <f>_xlfn.XLOOKUP(D717,'[7]Database DP'!$C:$C,'[7]Database DP'!$F:$F,"Tidak Ditemukan")</f>
        <v>KHABIB</v>
      </c>
      <c r="G717" s="21"/>
    </row>
    <row r="718" spans="2:7">
      <c r="B718" s="22" t="s">
        <v>668</v>
      </c>
      <c r="C718" s="23" t="s">
        <v>669</v>
      </c>
      <c r="D718" s="24" t="s">
        <v>755</v>
      </c>
      <c r="E718" s="25" t="s">
        <v>1722</v>
      </c>
      <c r="F718" s="16" t="str">
        <f>_xlfn.XLOOKUP(D718,'[7]Database DP'!$C:$C,'[7]Database DP'!$F:$F,"Tidak Ditemukan")</f>
        <v>KHOLIK</v>
      </c>
      <c r="G718" s="21"/>
    </row>
    <row r="719" spans="2:7">
      <c r="B719" s="22" t="s">
        <v>668</v>
      </c>
      <c r="C719" s="23" t="s">
        <v>669</v>
      </c>
      <c r="D719" s="24" t="s">
        <v>756</v>
      </c>
      <c r="E719" s="25" t="s">
        <v>1722</v>
      </c>
      <c r="F719" s="16" t="str">
        <f>_xlfn.XLOOKUP(D719,'[7]Database DP'!$C:$C,'[7]Database DP'!$F:$F,"Tidak Ditemukan")</f>
        <v>KHOLIK</v>
      </c>
      <c r="G719" s="21"/>
    </row>
    <row r="720" spans="2:7">
      <c r="B720" s="22" t="s">
        <v>668</v>
      </c>
      <c r="C720" s="23" t="s">
        <v>669</v>
      </c>
      <c r="D720" s="24" t="s">
        <v>757</v>
      </c>
      <c r="E720" s="25" t="s">
        <v>1722</v>
      </c>
      <c r="F720" s="16" t="str">
        <f>_xlfn.XLOOKUP(D720,'[7]Database DP'!$C:$C,'[7]Database DP'!$F:$F,"Tidak Ditemukan")</f>
        <v>KHOLIK</v>
      </c>
      <c r="G720" s="21"/>
    </row>
    <row r="721" spans="2:7">
      <c r="B721" s="22" t="s">
        <v>668</v>
      </c>
      <c r="C721" s="23" t="s">
        <v>669</v>
      </c>
      <c r="D721" s="24" t="s">
        <v>758</v>
      </c>
      <c r="E721" s="25" t="s">
        <v>1722</v>
      </c>
      <c r="F721" s="16" t="str">
        <f>_xlfn.XLOOKUP(D721,'[7]Database DP'!$C:$C,'[7]Database DP'!$F:$F,"Tidak Ditemukan")</f>
        <v>KHOLIK</v>
      </c>
      <c r="G721" s="21"/>
    </row>
    <row r="722" spans="2:7">
      <c r="B722" s="22" t="s">
        <v>668</v>
      </c>
      <c r="C722" s="23" t="s">
        <v>669</v>
      </c>
      <c r="D722" s="24" t="s">
        <v>759</v>
      </c>
      <c r="E722" s="25" t="s">
        <v>1722</v>
      </c>
      <c r="F722" s="16" t="str">
        <f>_xlfn.XLOOKUP(D722,'[7]Database DP'!$C:$C,'[7]Database DP'!$F:$F,"Tidak Ditemukan")</f>
        <v>KHOLIK</v>
      </c>
      <c r="G722" s="21"/>
    </row>
    <row r="723" spans="2:7">
      <c r="B723" s="22" t="s">
        <v>668</v>
      </c>
      <c r="C723" s="23" t="s">
        <v>669</v>
      </c>
      <c r="D723" s="24" t="s">
        <v>760</v>
      </c>
      <c r="E723" s="25" t="s">
        <v>1722</v>
      </c>
      <c r="F723" s="16" t="str">
        <f>_xlfn.XLOOKUP(D723,'[7]Database DP'!$C:$C,'[7]Database DP'!$F:$F,"Tidak Ditemukan")</f>
        <v>KHOLIK</v>
      </c>
      <c r="G723" s="21"/>
    </row>
    <row r="724" spans="2:7">
      <c r="B724" s="22" t="s">
        <v>668</v>
      </c>
      <c r="C724" s="23" t="s">
        <v>669</v>
      </c>
      <c r="D724" s="24" t="s">
        <v>761</v>
      </c>
      <c r="E724" s="25" t="s">
        <v>1722</v>
      </c>
      <c r="F724" s="16" t="str">
        <f>_xlfn.XLOOKUP(D724,'[7]Database DP'!$C:$C,'[7]Database DP'!$F:$F,"Tidak Ditemukan")</f>
        <v>KHOLIK</v>
      </c>
      <c r="G724" s="21"/>
    </row>
    <row r="725" spans="2:7">
      <c r="B725" s="22" t="s">
        <v>668</v>
      </c>
      <c r="C725" s="23" t="s">
        <v>669</v>
      </c>
      <c r="D725" s="24" t="s">
        <v>762</v>
      </c>
      <c r="E725" s="25" t="s">
        <v>1722</v>
      </c>
      <c r="F725" s="16" t="str">
        <f>_xlfn.XLOOKUP(D725,'[7]Database DP'!$C:$C,'[7]Database DP'!$F:$F,"Tidak Ditemukan")</f>
        <v>KHOLIK</v>
      </c>
      <c r="G725" s="21"/>
    </row>
    <row r="726" spans="2:7">
      <c r="B726" s="22" t="s">
        <v>668</v>
      </c>
      <c r="C726" s="23" t="s">
        <v>669</v>
      </c>
      <c r="D726" s="24" t="s">
        <v>763</v>
      </c>
      <c r="E726" s="25" t="s">
        <v>1722</v>
      </c>
      <c r="F726" s="16" t="str">
        <f>_xlfn.XLOOKUP(D726,'[7]Database DP'!$C:$C,'[7]Database DP'!$F:$F,"Tidak Ditemukan")</f>
        <v>KHOLIK</v>
      </c>
      <c r="G726" s="21"/>
    </row>
    <row r="727" spans="2:7">
      <c r="B727" s="22" t="s">
        <v>668</v>
      </c>
      <c r="C727" s="23" t="s">
        <v>669</v>
      </c>
      <c r="D727" s="24" t="s">
        <v>764</v>
      </c>
      <c r="E727" s="25" t="s">
        <v>1722</v>
      </c>
      <c r="F727" s="16" t="str">
        <f>_xlfn.XLOOKUP(D727,'[7]Database DP'!$C:$C,'[7]Database DP'!$F:$F,"Tidak Ditemukan")</f>
        <v>KHOLIL</v>
      </c>
      <c r="G727" s="21"/>
    </row>
    <row r="728" spans="2:7">
      <c r="B728" s="22" t="s">
        <v>668</v>
      </c>
      <c r="C728" s="23" t="s">
        <v>669</v>
      </c>
      <c r="D728" s="24" t="s">
        <v>765</v>
      </c>
      <c r="E728" s="25" t="s">
        <v>1722</v>
      </c>
      <c r="F728" s="16" t="str">
        <f>_xlfn.XLOOKUP(D728,'[7]Database DP'!$C:$C,'[7]Database DP'!$F:$F,"Tidak Ditemukan")</f>
        <v>KHOLIL</v>
      </c>
      <c r="G728" s="21"/>
    </row>
    <row r="729" spans="2:7">
      <c r="B729" s="22" t="s">
        <v>668</v>
      </c>
      <c r="C729" s="23" t="s">
        <v>669</v>
      </c>
      <c r="D729" s="24" t="s">
        <v>766</v>
      </c>
      <c r="E729" s="25" t="s">
        <v>1722</v>
      </c>
      <c r="F729" s="16" t="str">
        <f>_xlfn.XLOOKUP(D729,'[7]Database DP'!$C:$C,'[7]Database DP'!$F:$F,"Tidak Ditemukan")</f>
        <v>KHOLIL</v>
      </c>
      <c r="G729" s="21"/>
    </row>
    <row r="730" spans="2:7">
      <c r="B730" s="22" t="s">
        <v>668</v>
      </c>
      <c r="C730" s="23" t="s">
        <v>669</v>
      </c>
      <c r="D730" s="24" t="s">
        <v>767</v>
      </c>
      <c r="E730" s="25" t="s">
        <v>1722</v>
      </c>
      <c r="F730" s="16" t="str">
        <f>_xlfn.XLOOKUP(D730,'[7]Database DP'!$C:$C,'[7]Database DP'!$F:$F,"Tidak Ditemukan")</f>
        <v>KHOLIL</v>
      </c>
      <c r="G730" s="21"/>
    </row>
    <row r="731" spans="2:7">
      <c r="B731" s="22" t="s">
        <v>668</v>
      </c>
      <c r="C731" s="23" t="s">
        <v>669</v>
      </c>
      <c r="D731" s="24" t="s">
        <v>768</v>
      </c>
      <c r="E731" s="25" t="s">
        <v>1722</v>
      </c>
      <c r="F731" s="16" t="str">
        <f>_xlfn.XLOOKUP(D731,'[7]Database DP'!$C:$C,'[7]Database DP'!$F:$F,"Tidak Ditemukan")</f>
        <v>KHOLIL</v>
      </c>
      <c r="G731" s="21"/>
    </row>
    <row r="732" spans="2:7">
      <c r="B732" s="22" t="s">
        <v>668</v>
      </c>
      <c r="C732" s="23" t="s">
        <v>669</v>
      </c>
      <c r="D732" s="24" t="s">
        <v>769</v>
      </c>
      <c r="E732" s="25" t="s">
        <v>1722</v>
      </c>
      <c r="F732" s="16" t="str">
        <f>_xlfn.XLOOKUP(D732,'[7]Database DP'!$C:$C,'[7]Database DP'!$F:$F,"Tidak Ditemukan")</f>
        <v>KHOLIL</v>
      </c>
      <c r="G732" s="21"/>
    </row>
    <row r="733" spans="2:7">
      <c r="B733" s="22" t="s">
        <v>668</v>
      </c>
      <c r="C733" s="23" t="s">
        <v>669</v>
      </c>
      <c r="D733" s="24" t="s">
        <v>770</v>
      </c>
      <c r="E733" s="25" t="s">
        <v>1722</v>
      </c>
      <c r="F733" s="16" t="str">
        <f>_xlfn.XLOOKUP(D733,'[7]Database DP'!$C:$C,'[7]Database DP'!$F:$F,"Tidak Ditemukan")</f>
        <v>KHOLIL</v>
      </c>
      <c r="G733" s="21"/>
    </row>
    <row r="734" spans="2:7">
      <c r="B734" s="22" t="s">
        <v>668</v>
      </c>
      <c r="C734" s="23" t="s">
        <v>669</v>
      </c>
      <c r="D734" s="24" t="s">
        <v>771</v>
      </c>
      <c r="E734" s="25" t="s">
        <v>1722</v>
      </c>
      <c r="F734" s="16" t="str">
        <f>_xlfn.XLOOKUP(D734,'[7]Database DP'!$C:$C,'[7]Database DP'!$F:$F,"Tidak Ditemukan")</f>
        <v>KHOLIL</v>
      </c>
      <c r="G734" s="21"/>
    </row>
    <row r="735" spans="2:7">
      <c r="B735" s="22" t="s">
        <v>668</v>
      </c>
      <c r="C735" s="23" t="s">
        <v>669</v>
      </c>
      <c r="D735" s="24" t="s">
        <v>772</v>
      </c>
      <c r="E735" s="25" t="s">
        <v>1722</v>
      </c>
      <c r="F735" s="16" t="str">
        <f>_xlfn.XLOOKUP(D735,'[7]Database DP'!$C:$C,'[7]Database DP'!$F:$F,"Tidak Ditemukan")</f>
        <v>KHOLIL</v>
      </c>
      <c r="G735" s="21"/>
    </row>
    <row r="736" spans="2:7">
      <c r="B736" s="22" t="s">
        <v>668</v>
      </c>
      <c r="C736" s="23" t="s">
        <v>669</v>
      </c>
      <c r="D736" s="24" t="s">
        <v>773</v>
      </c>
      <c r="E736" s="25" t="s">
        <v>1722</v>
      </c>
      <c r="F736" s="16" t="str">
        <f>_xlfn.XLOOKUP(D736,'[7]Database DP'!$C:$C,'[7]Database DP'!$F:$F,"Tidak Ditemukan")</f>
        <v>KHOLIL</v>
      </c>
      <c r="G736" s="21"/>
    </row>
    <row r="737" spans="2:7">
      <c r="B737" s="22" t="s">
        <v>668</v>
      </c>
      <c r="C737" s="23" t="s">
        <v>669</v>
      </c>
      <c r="D737" s="24" t="s">
        <v>774</v>
      </c>
      <c r="E737" s="25" t="s">
        <v>1722</v>
      </c>
      <c r="F737" s="16" t="str">
        <f>_xlfn.XLOOKUP(D737,'[7]Database DP'!$C:$C,'[7]Database DP'!$F:$F,"Tidak Ditemukan")</f>
        <v>KHOLIL</v>
      </c>
      <c r="G737" s="21"/>
    </row>
    <row r="738" spans="2:7">
      <c r="B738" s="22" t="s">
        <v>668</v>
      </c>
      <c r="C738" s="23" t="s">
        <v>669</v>
      </c>
      <c r="D738" s="24" t="s">
        <v>775</v>
      </c>
      <c r="E738" s="25" t="s">
        <v>1722</v>
      </c>
      <c r="F738" s="16" t="str">
        <f>_xlfn.XLOOKUP(D738,'[7]Database DP'!$C:$C,'[7]Database DP'!$F:$F,"Tidak Ditemukan")</f>
        <v>KHOLIL</v>
      </c>
      <c r="G738" s="21"/>
    </row>
    <row r="739" spans="2:7">
      <c r="B739" s="22" t="s">
        <v>668</v>
      </c>
      <c r="C739" s="23" t="s">
        <v>669</v>
      </c>
      <c r="D739" s="24" t="s">
        <v>776</v>
      </c>
      <c r="E739" s="25" t="s">
        <v>1722</v>
      </c>
      <c r="F739" s="16" t="str">
        <f>_xlfn.XLOOKUP(D739,'[7]Database DP'!$C:$C,'[7]Database DP'!$F:$F,"Tidak Ditemukan")</f>
        <v>SUPRIYADI</v>
      </c>
      <c r="G739" s="21"/>
    </row>
    <row r="740" spans="2:7">
      <c r="B740" s="22" t="s">
        <v>668</v>
      </c>
      <c r="C740" s="23" t="s">
        <v>669</v>
      </c>
      <c r="D740" s="24" t="s">
        <v>777</v>
      </c>
      <c r="E740" s="25" t="s">
        <v>1722</v>
      </c>
      <c r="F740" s="16" t="str">
        <f>_xlfn.XLOOKUP(D740,'[7]Database DP'!$C:$C,'[7]Database DP'!$F:$F,"Tidak Ditemukan")</f>
        <v>SUPRIYADI</v>
      </c>
      <c r="G740" s="21"/>
    </row>
    <row r="741" spans="2:7">
      <c r="B741" s="22" t="s">
        <v>668</v>
      </c>
      <c r="C741" s="23" t="s">
        <v>669</v>
      </c>
      <c r="D741" s="24" t="s">
        <v>778</v>
      </c>
      <c r="E741" s="25" t="s">
        <v>1722</v>
      </c>
      <c r="F741" s="16" t="str">
        <f>_xlfn.XLOOKUP(D741,'[7]Database DP'!$C:$C,'[7]Database DP'!$F:$F,"Tidak Ditemukan")</f>
        <v>SUPRIYADI</v>
      </c>
      <c r="G741" s="21"/>
    </row>
    <row r="742" spans="2:7">
      <c r="B742" s="22" t="s">
        <v>668</v>
      </c>
      <c r="C742" s="23" t="s">
        <v>669</v>
      </c>
      <c r="D742" s="24" t="s">
        <v>779</v>
      </c>
      <c r="E742" s="25" t="s">
        <v>1722</v>
      </c>
      <c r="F742" s="16" t="str">
        <f>_xlfn.XLOOKUP(D742,'[7]Database DP'!$C:$C,'[7]Database DP'!$F:$F,"Tidak Ditemukan")</f>
        <v>SUPRIYADI</v>
      </c>
      <c r="G742" s="21"/>
    </row>
    <row r="743" spans="2:7">
      <c r="B743" s="22" t="s">
        <v>668</v>
      </c>
      <c r="C743" s="23" t="s">
        <v>669</v>
      </c>
      <c r="D743" s="24" t="s">
        <v>780</v>
      </c>
      <c r="E743" s="25" t="s">
        <v>1722</v>
      </c>
      <c r="F743" s="16" t="str">
        <f>_xlfn.XLOOKUP(D743,'[7]Database DP'!$C:$C,'[7]Database DP'!$F:$F,"Tidak Ditemukan")</f>
        <v>SUPRIYADI</v>
      </c>
      <c r="G743" s="21"/>
    </row>
    <row r="744" spans="2:7">
      <c r="B744" s="22" t="s">
        <v>668</v>
      </c>
      <c r="C744" s="23" t="s">
        <v>669</v>
      </c>
      <c r="D744" s="24" t="s">
        <v>781</v>
      </c>
      <c r="E744" s="25" t="s">
        <v>1722</v>
      </c>
      <c r="F744" s="16" t="str">
        <f>_xlfn.XLOOKUP(D744,'[7]Database DP'!$C:$C,'[7]Database DP'!$F:$F,"Tidak Ditemukan")</f>
        <v>SUPRIYADI</v>
      </c>
      <c r="G744" s="21"/>
    </row>
    <row r="745" spans="2:7">
      <c r="B745" s="22" t="s">
        <v>668</v>
      </c>
      <c r="C745" s="23" t="s">
        <v>669</v>
      </c>
      <c r="D745" s="24" t="s">
        <v>782</v>
      </c>
      <c r="E745" s="25" t="s">
        <v>1722</v>
      </c>
      <c r="F745" s="16" t="str">
        <f>_xlfn.XLOOKUP(D745,'[7]Database DP'!$C:$C,'[7]Database DP'!$F:$F,"Tidak Ditemukan")</f>
        <v>SUPRIYADI</v>
      </c>
      <c r="G745" s="21"/>
    </row>
    <row r="746" spans="2:7">
      <c r="B746" s="22" t="s">
        <v>668</v>
      </c>
      <c r="C746" s="23" t="s">
        <v>669</v>
      </c>
      <c r="D746" s="24" t="s">
        <v>783</v>
      </c>
      <c r="E746" s="25" t="s">
        <v>1722</v>
      </c>
      <c r="F746" s="16" t="str">
        <f>_xlfn.XLOOKUP(D746,'[7]Database DP'!$C:$C,'[7]Database DP'!$F:$F,"Tidak Ditemukan")</f>
        <v>SUPRIYADI</v>
      </c>
      <c r="G746" s="21"/>
    </row>
    <row r="747" spans="2:7">
      <c r="B747" s="22" t="s">
        <v>668</v>
      </c>
      <c r="C747" s="23" t="s">
        <v>669</v>
      </c>
      <c r="D747" s="24" t="s">
        <v>784</v>
      </c>
      <c r="E747" s="25" t="s">
        <v>1722</v>
      </c>
      <c r="F747" s="16" t="str">
        <f>_xlfn.XLOOKUP(D747,'[7]Database DP'!$C:$C,'[7]Database DP'!$F:$F,"Tidak Ditemukan")</f>
        <v>SUPRIYADI</v>
      </c>
      <c r="G747" s="21"/>
    </row>
    <row r="748" spans="2:7">
      <c r="B748" s="22" t="s">
        <v>668</v>
      </c>
      <c r="C748" s="23" t="s">
        <v>669</v>
      </c>
      <c r="D748" s="24" t="s">
        <v>785</v>
      </c>
      <c r="E748" s="25" t="s">
        <v>1722</v>
      </c>
      <c r="F748" s="16" t="str">
        <f>_xlfn.XLOOKUP(D748,'[7]Database DP'!$C:$C,'[7]Database DP'!$F:$F,"Tidak Ditemukan")</f>
        <v>SUPRIYADI</v>
      </c>
      <c r="G748" s="21"/>
    </row>
    <row r="749" spans="2:7">
      <c r="B749" s="22" t="s">
        <v>668</v>
      </c>
      <c r="C749" s="23" t="s">
        <v>669</v>
      </c>
      <c r="D749" s="24" t="s">
        <v>786</v>
      </c>
      <c r="E749" s="25" t="s">
        <v>1722</v>
      </c>
      <c r="F749" s="16" t="str">
        <f>_xlfn.XLOOKUP(D749,'[7]Database DP'!$C:$C,'[7]Database DP'!$F:$F,"Tidak Ditemukan")</f>
        <v>SUPRIYADI</v>
      </c>
      <c r="G749" s="21"/>
    </row>
    <row r="750" spans="2:7">
      <c r="B750" s="22" t="s">
        <v>668</v>
      </c>
      <c r="C750" s="23" t="s">
        <v>669</v>
      </c>
      <c r="D750" s="24" t="s">
        <v>787</v>
      </c>
      <c r="E750" s="25" t="s">
        <v>1722</v>
      </c>
      <c r="F750" s="16" t="str">
        <f>_xlfn.XLOOKUP(D750,'[7]Database DP'!$C:$C,'[7]Database DP'!$F:$F,"Tidak Ditemukan")</f>
        <v>OKI</v>
      </c>
      <c r="G750" s="21"/>
    </row>
    <row r="751" spans="2:7">
      <c r="B751" s="22" t="s">
        <v>668</v>
      </c>
      <c r="C751" s="23" t="s">
        <v>669</v>
      </c>
      <c r="D751" s="24" t="s">
        <v>788</v>
      </c>
      <c r="E751" s="25" t="s">
        <v>1722</v>
      </c>
      <c r="F751" s="16" t="str">
        <f>_xlfn.XLOOKUP(D751,'[7]Database DP'!$C:$C,'[7]Database DP'!$F:$F,"Tidak Ditemukan")</f>
        <v>OKI</v>
      </c>
      <c r="G751" s="21"/>
    </row>
    <row r="752" spans="2:7">
      <c r="B752" s="22" t="s">
        <v>668</v>
      </c>
      <c r="C752" s="23" t="s">
        <v>669</v>
      </c>
      <c r="D752" s="24" t="s">
        <v>789</v>
      </c>
      <c r="E752" s="25" t="s">
        <v>1722</v>
      </c>
      <c r="F752" s="16" t="str">
        <f>_xlfn.XLOOKUP(D752,'[7]Database DP'!$C:$C,'[7]Database DP'!$F:$F,"Tidak Ditemukan")</f>
        <v>OKI</v>
      </c>
      <c r="G752" s="21"/>
    </row>
    <row r="753" spans="2:7">
      <c r="B753" s="22" t="s">
        <v>668</v>
      </c>
      <c r="C753" s="23" t="s">
        <v>669</v>
      </c>
      <c r="D753" s="24" t="s">
        <v>790</v>
      </c>
      <c r="E753" s="25" t="s">
        <v>1722</v>
      </c>
      <c r="F753" s="16" t="str">
        <f>_xlfn.XLOOKUP(D753,'[7]Database DP'!$C:$C,'[7]Database DP'!$F:$F,"Tidak Ditemukan")</f>
        <v>OKI</v>
      </c>
      <c r="G753" s="21"/>
    </row>
    <row r="754" spans="2:7">
      <c r="B754" s="22" t="s">
        <v>668</v>
      </c>
      <c r="C754" s="23" t="s">
        <v>669</v>
      </c>
      <c r="D754" s="24" t="s">
        <v>791</v>
      </c>
      <c r="E754" s="25" t="s">
        <v>1722</v>
      </c>
      <c r="F754" s="16" t="str">
        <f>_xlfn.XLOOKUP(D754,'[7]Database DP'!$C:$C,'[7]Database DP'!$F:$F,"Tidak Ditemukan")</f>
        <v>OKI</v>
      </c>
      <c r="G754" s="21"/>
    </row>
    <row r="755" spans="2:7">
      <c r="B755" s="22" t="s">
        <v>668</v>
      </c>
      <c r="C755" s="23" t="s">
        <v>669</v>
      </c>
      <c r="D755" s="24" t="s">
        <v>792</v>
      </c>
      <c r="E755" s="25" t="s">
        <v>1722</v>
      </c>
      <c r="F755" s="16" t="str">
        <f>_xlfn.XLOOKUP(D755,'[7]Database DP'!$C:$C,'[7]Database DP'!$F:$F,"Tidak Ditemukan")</f>
        <v>OKI</v>
      </c>
      <c r="G755" s="21"/>
    </row>
    <row r="756" spans="2:7">
      <c r="B756" s="22" t="s">
        <v>668</v>
      </c>
      <c r="C756" s="23" t="s">
        <v>669</v>
      </c>
      <c r="D756" s="24" t="s">
        <v>793</v>
      </c>
      <c r="E756" s="25" t="s">
        <v>1722</v>
      </c>
      <c r="F756" s="16" t="str">
        <f>_xlfn.XLOOKUP(D756,'[7]Database DP'!$C:$C,'[7]Database DP'!$F:$F,"Tidak Ditemukan")</f>
        <v>OKI</v>
      </c>
      <c r="G756" s="21"/>
    </row>
    <row r="757" spans="2:7">
      <c r="B757" s="22" t="s">
        <v>668</v>
      </c>
      <c r="C757" s="23" t="s">
        <v>669</v>
      </c>
      <c r="D757" s="24" t="s">
        <v>794</v>
      </c>
      <c r="E757" s="25" t="s">
        <v>1722</v>
      </c>
      <c r="F757" s="16" t="str">
        <f>_xlfn.XLOOKUP(D757,'[7]Database DP'!$C:$C,'[7]Database DP'!$F:$F,"Tidak Ditemukan")</f>
        <v>OKI</v>
      </c>
      <c r="G757" s="21"/>
    </row>
    <row r="758" spans="2:7">
      <c r="B758" s="22" t="s">
        <v>668</v>
      </c>
      <c r="C758" s="23" t="s">
        <v>669</v>
      </c>
      <c r="D758" s="24" t="s">
        <v>795</v>
      </c>
      <c r="E758" s="25" t="s">
        <v>1722</v>
      </c>
      <c r="F758" s="16" t="str">
        <f>_xlfn.XLOOKUP(D758,'[7]Database DP'!$C:$C,'[7]Database DP'!$F:$F,"Tidak Ditemukan")</f>
        <v>OKI</v>
      </c>
      <c r="G758" s="21"/>
    </row>
    <row r="759" spans="2:7">
      <c r="B759" s="22" t="s">
        <v>668</v>
      </c>
      <c r="C759" s="23" t="s">
        <v>669</v>
      </c>
      <c r="D759" s="24" t="s">
        <v>796</v>
      </c>
      <c r="E759" s="25" t="s">
        <v>1722</v>
      </c>
      <c r="F759" s="16" t="str">
        <f>_xlfn.XLOOKUP(D759,'[7]Database DP'!$C:$C,'[7]Database DP'!$F:$F,"Tidak Ditemukan")</f>
        <v>RAGIL</v>
      </c>
      <c r="G759" s="21"/>
    </row>
    <row r="760" spans="2:7">
      <c r="B760" s="22" t="s">
        <v>668</v>
      </c>
      <c r="C760" s="23" t="s">
        <v>669</v>
      </c>
      <c r="D760" s="24" t="s">
        <v>797</v>
      </c>
      <c r="E760" s="25" t="s">
        <v>1722</v>
      </c>
      <c r="F760" s="16" t="str">
        <f>_xlfn.XLOOKUP(D760,'[7]Database DP'!$C:$C,'[7]Database DP'!$F:$F,"Tidak Ditemukan")</f>
        <v>RAGIL</v>
      </c>
      <c r="G760" s="21"/>
    </row>
    <row r="761" spans="2:7">
      <c r="B761" s="22" t="s">
        <v>668</v>
      </c>
      <c r="C761" s="23" t="s">
        <v>669</v>
      </c>
      <c r="D761" s="24" t="s">
        <v>798</v>
      </c>
      <c r="E761" s="25" t="s">
        <v>1722</v>
      </c>
      <c r="F761" s="16" t="str">
        <f>_xlfn.XLOOKUP(D761,'[7]Database DP'!$C:$C,'[7]Database DP'!$F:$F,"Tidak Ditemukan")</f>
        <v>RAGIL</v>
      </c>
      <c r="G761" s="21"/>
    </row>
    <row r="762" spans="2:7">
      <c r="B762" s="22" t="s">
        <v>668</v>
      </c>
      <c r="C762" s="23" t="s">
        <v>669</v>
      </c>
      <c r="D762" s="24" t="s">
        <v>799</v>
      </c>
      <c r="E762" s="25" t="s">
        <v>1722</v>
      </c>
      <c r="F762" s="16" t="str">
        <f>_xlfn.XLOOKUP(D762,'[7]Database DP'!$C:$C,'[7]Database DP'!$F:$F,"Tidak Ditemukan")</f>
        <v>RAGIL</v>
      </c>
      <c r="G762" s="21"/>
    </row>
    <row r="763" spans="2:7">
      <c r="B763" s="22" t="s">
        <v>668</v>
      </c>
      <c r="C763" s="23" t="s">
        <v>669</v>
      </c>
      <c r="D763" s="24" t="s">
        <v>800</v>
      </c>
      <c r="E763" s="25" t="s">
        <v>1722</v>
      </c>
      <c r="F763" s="16" t="str">
        <f>_xlfn.XLOOKUP(D763,'[7]Database DP'!$C:$C,'[7]Database DP'!$F:$F,"Tidak Ditemukan")</f>
        <v>RAGIL</v>
      </c>
      <c r="G763" s="21"/>
    </row>
    <row r="764" spans="2:7">
      <c r="B764" s="22" t="s">
        <v>668</v>
      </c>
      <c r="C764" s="23" t="s">
        <v>669</v>
      </c>
      <c r="D764" s="24" t="s">
        <v>801</v>
      </c>
      <c r="E764" s="25" t="s">
        <v>1722</v>
      </c>
      <c r="F764" s="16" t="str">
        <f>_xlfn.XLOOKUP(D764,'[7]Database DP'!$C:$C,'[7]Database DP'!$F:$F,"Tidak Ditemukan")</f>
        <v>RAGIL</v>
      </c>
      <c r="G764" s="21"/>
    </row>
    <row r="765" spans="2:7">
      <c r="B765" s="22" t="s">
        <v>668</v>
      </c>
      <c r="C765" s="23" t="s">
        <v>669</v>
      </c>
      <c r="D765" s="24" t="s">
        <v>802</v>
      </c>
      <c r="E765" s="25" t="s">
        <v>1722</v>
      </c>
      <c r="F765" s="16" t="str">
        <f>_xlfn.XLOOKUP(D765,'[7]Database DP'!$C:$C,'[7]Database DP'!$F:$F,"Tidak Ditemukan")</f>
        <v>RAGIL</v>
      </c>
      <c r="G765" s="21"/>
    </row>
    <row r="766" spans="2:7">
      <c r="B766" s="22" t="s">
        <v>668</v>
      </c>
      <c r="C766" s="23" t="s">
        <v>669</v>
      </c>
      <c r="D766" s="24" t="s">
        <v>803</v>
      </c>
      <c r="E766" s="25" t="s">
        <v>1722</v>
      </c>
      <c r="F766" s="16" t="str">
        <f>_xlfn.XLOOKUP(D766,'[7]Database DP'!$C:$C,'[7]Database DP'!$F:$F,"Tidak Ditemukan")</f>
        <v>RAGIL</v>
      </c>
      <c r="G766" s="21"/>
    </row>
    <row r="767" spans="2:7">
      <c r="B767" s="22" t="s">
        <v>668</v>
      </c>
      <c r="C767" s="23" t="s">
        <v>669</v>
      </c>
      <c r="D767" s="24" t="s">
        <v>804</v>
      </c>
      <c r="E767" s="25" t="s">
        <v>1722</v>
      </c>
      <c r="F767" s="16" t="str">
        <f>_xlfn.XLOOKUP(D767,'[7]Database DP'!$C:$C,'[7]Database DP'!$F:$F,"Tidak Ditemukan")</f>
        <v>RAGIL</v>
      </c>
      <c r="G767" s="21"/>
    </row>
    <row r="768" spans="2:7">
      <c r="B768" s="22" t="s">
        <v>668</v>
      </c>
      <c r="C768" s="23" t="s">
        <v>669</v>
      </c>
      <c r="D768" s="24" t="s">
        <v>805</v>
      </c>
      <c r="E768" s="25" t="s">
        <v>1722</v>
      </c>
      <c r="F768" s="16" t="str">
        <f>_xlfn.XLOOKUP(D768,'[7]Database DP'!$C:$C,'[7]Database DP'!$F:$F,"Tidak Ditemukan")</f>
        <v>RAGIL</v>
      </c>
      <c r="G768" s="21"/>
    </row>
    <row r="769" spans="2:7">
      <c r="B769" s="22" t="s">
        <v>668</v>
      </c>
      <c r="C769" s="23" t="s">
        <v>669</v>
      </c>
      <c r="D769" s="24" t="s">
        <v>806</v>
      </c>
      <c r="E769" s="25" t="s">
        <v>1722</v>
      </c>
      <c r="F769" s="16" t="str">
        <f>_xlfn.XLOOKUP(D769,'[7]Database DP'!$C:$C,'[7]Database DP'!$F:$F,"Tidak Ditemukan")</f>
        <v>RAGIL</v>
      </c>
      <c r="G769" s="21"/>
    </row>
    <row r="770" spans="2:7">
      <c r="B770" s="22" t="s">
        <v>668</v>
      </c>
      <c r="C770" s="23" t="s">
        <v>669</v>
      </c>
      <c r="D770" s="24" t="s">
        <v>807</v>
      </c>
      <c r="E770" s="25" t="s">
        <v>1722</v>
      </c>
      <c r="F770" s="16" t="str">
        <f>_xlfn.XLOOKUP(D770,'[7]Database DP'!$C:$C,'[7]Database DP'!$F:$F,"Tidak Ditemukan")</f>
        <v>RAGIL</v>
      </c>
      <c r="G770" s="21"/>
    </row>
    <row r="771" spans="2:7">
      <c r="B771" s="22" t="s">
        <v>668</v>
      </c>
      <c r="C771" s="23" t="s">
        <v>669</v>
      </c>
      <c r="D771" s="24" t="s">
        <v>808</v>
      </c>
      <c r="E771" s="25" t="s">
        <v>1722</v>
      </c>
      <c r="F771" s="16" t="str">
        <f>_xlfn.XLOOKUP(D771,'[7]Database DP'!$C:$C,'[7]Database DP'!$F:$F,"Tidak Ditemukan")</f>
        <v>RENDRA</v>
      </c>
      <c r="G771" s="21"/>
    </row>
    <row r="772" spans="2:7">
      <c r="B772" s="22" t="s">
        <v>668</v>
      </c>
      <c r="C772" s="23" t="s">
        <v>669</v>
      </c>
      <c r="D772" s="24" t="s">
        <v>809</v>
      </c>
      <c r="E772" s="25" t="s">
        <v>1722</v>
      </c>
      <c r="F772" s="16" t="str">
        <f>_xlfn.XLOOKUP(D772,'[7]Database DP'!$C:$C,'[7]Database DP'!$F:$F,"Tidak Ditemukan")</f>
        <v>RENDRA</v>
      </c>
      <c r="G772" s="21"/>
    </row>
    <row r="773" spans="2:7">
      <c r="B773" s="22" t="s">
        <v>668</v>
      </c>
      <c r="C773" s="23" t="s">
        <v>669</v>
      </c>
      <c r="D773" s="24" t="s">
        <v>810</v>
      </c>
      <c r="E773" s="25" t="s">
        <v>1722</v>
      </c>
      <c r="F773" s="16" t="str">
        <f>_xlfn.XLOOKUP(D773,'[7]Database DP'!$C:$C,'[7]Database DP'!$F:$F,"Tidak Ditemukan")</f>
        <v>RENDRA</v>
      </c>
      <c r="G773" s="21"/>
    </row>
    <row r="774" spans="2:7">
      <c r="B774" s="22" t="s">
        <v>668</v>
      </c>
      <c r="C774" s="23" t="s">
        <v>669</v>
      </c>
      <c r="D774" s="24" t="s">
        <v>811</v>
      </c>
      <c r="E774" s="25" t="s">
        <v>1722</v>
      </c>
      <c r="F774" s="16" t="str">
        <f>_xlfn.XLOOKUP(D774,'[7]Database DP'!$C:$C,'[7]Database DP'!$F:$F,"Tidak Ditemukan")</f>
        <v>RENDRA</v>
      </c>
      <c r="G774" s="21"/>
    </row>
    <row r="775" spans="2:7">
      <c r="B775" s="22" t="s">
        <v>668</v>
      </c>
      <c r="C775" s="23" t="s">
        <v>669</v>
      </c>
      <c r="D775" s="24" t="s">
        <v>812</v>
      </c>
      <c r="E775" s="25" t="s">
        <v>1722</v>
      </c>
      <c r="F775" s="16" t="str">
        <f>_xlfn.XLOOKUP(D775,'[7]Database DP'!$C:$C,'[7]Database DP'!$F:$F,"Tidak Ditemukan")</f>
        <v>RENDRA</v>
      </c>
      <c r="G775" s="21"/>
    </row>
    <row r="776" spans="2:7">
      <c r="B776" s="22" t="s">
        <v>668</v>
      </c>
      <c r="C776" s="23" t="s">
        <v>669</v>
      </c>
      <c r="D776" s="24" t="s">
        <v>813</v>
      </c>
      <c r="E776" s="25" t="s">
        <v>1722</v>
      </c>
      <c r="F776" s="16" t="str">
        <f>_xlfn.XLOOKUP(D776,'[7]Database DP'!$C:$C,'[7]Database DP'!$F:$F,"Tidak Ditemukan")</f>
        <v>RENDRA</v>
      </c>
      <c r="G776" s="21"/>
    </row>
    <row r="777" spans="2:7">
      <c r="B777" s="22" t="s">
        <v>668</v>
      </c>
      <c r="C777" s="23" t="s">
        <v>669</v>
      </c>
      <c r="D777" s="24" t="s">
        <v>814</v>
      </c>
      <c r="E777" s="25" t="s">
        <v>1722</v>
      </c>
      <c r="F777" s="16" t="str">
        <f>_xlfn.XLOOKUP(D777,'[7]Database DP'!$C:$C,'[7]Database DP'!$F:$F,"Tidak Ditemukan")</f>
        <v>RENDRA</v>
      </c>
      <c r="G777" s="21"/>
    </row>
    <row r="778" spans="2:7">
      <c r="B778" s="22" t="s">
        <v>668</v>
      </c>
      <c r="C778" s="23" t="s">
        <v>669</v>
      </c>
      <c r="D778" s="24" t="s">
        <v>815</v>
      </c>
      <c r="E778" s="25" t="s">
        <v>1722</v>
      </c>
      <c r="F778" s="16" t="str">
        <f>_xlfn.XLOOKUP(D778,'[7]Database DP'!$C:$C,'[7]Database DP'!$F:$F,"Tidak Ditemukan")</f>
        <v>RENDRA</v>
      </c>
      <c r="G778" s="21"/>
    </row>
    <row r="779" spans="2:7">
      <c r="B779" s="22" t="s">
        <v>668</v>
      </c>
      <c r="C779" s="23" t="s">
        <v>669</v>
      </c>
      <c r="D779" s="24" t="s">
        <v>816</v>
      </c>
      <c r="E779" s="25" t="s">
        <v>1722</v>
      </c>
      <c r="F779" s="16" t="str">
        <f>_xlfn.XLOOKUP(D779,'[7]Database DP'!$C:$C,'[7]Database DP'!$F:$F,"Tidak Ditemukan")</f>
        <v>RENDRA</v>
      </c>
      <c r="G779" s="21"/>
    </row>
    <row r="780" spans="2:7">
      <c r="B780" s="22" t="s">
        <v>668</v>
      </c>
      <c r="C780" s="23" t="s">
        <v>669</v>
      </c>
      <c r="D780" s="24" t="s">
        <v>817</v>
      </c>
      <c r="E780" s="25" t="s">
        <v>1722</v>
      </c>
      <c r="F780" s="16" t="str">
        <f>_xlfn.XLOOKUP(D780,'[7]Database DP'!$C:$C,'[7]Database DP'!$F:$F,"Tidak Ditemukan")</f>
        <v>RENDRA</v>
      </c>
      <c r="G780" s="21"/>
    </row>
    <row r="781" spans="2:7">
      <c r="B781" s="22" t="s">
        <v>668</v>
      </c>
      <c r="C781" s="23" t="s">
        <v>669</v>
      </c>
      <c r="D781" s="24" t="s">
        <v>818</v>
      </c>
      <c r="E781" s="25" t="s">
        <v>1722</v>
      </c>
      <c r="F781" s="16" t="str">
        <f>_xlfn.XLOOKUP(D781,'[7]Database DP'!$C:$C,'[7]Database DP'!$F:$F,"Tidak Ditemukan")</f>
        <v>RENDRA</v>
      </c>
      <c r="G781" s="21"/>
    </row>
    <row r="782" spans="2:7">
      <c r="B782" s="22" t="s">
        <v>668</v>
      </c>
      <c r="C782" s="23" t="s">
        <v>669</v>
      </c>
      <c r="D782" s="24" t="s">
        <v>819</v>
      </c>
      <c r="E782" s="25" t="s">
        <v>1722</v>
      </c>
      <c r="F782" s="16" t="str">
        <f>_xlfn.XLOOKUP(D782,'[7]Database DP'!$C:$C,'[7]Database DP'!$F:$F,"Tidak Ditemukan")</f>
        <v>RENDRA</v>
      </c>
      <c r="G782" s="21"/>
    </row>
    <row r="783" spans="2:7">
      <c r="B783" s="22" t="s">
        <v>668</v>
      </c>
      <c r="C783" s="23" t="s">
        <v>669</v>
      </c>
      <c r="D783" s="24" t="s">
        <v>820</v>
      </c>
      <c r="E783" s="25" t="s">
        <v>1722</v>
      </c>
      <c r="F783" s="16" t="str">
        <f>_xlfn.XLOOKUP(D783,'[7]Database DP'!$C:$C,'[7]Database DP'!$F:$F,"Tidak Ditemukan")</f>
        <v>RENDRA</v>
      </c>
      <c r="G783" s="21"/>
    </row>
    <row r="784" spans="2:7">
      <c r="B784" s="22" t="s">
        <v>668</v>
      </c>
      <c r="C784" s="23" t="s">
        <v>669</v>
      </c>
      <c r="D784" s="24" t="s">
        <v>821</v>
      </c>
      <c r="E784" s="25" t="s">
        <v>1722</v>
      </c>
      <c r="F784" s="16" t="str">
        <f>_xlfn.XLOOKUP(D784,'[7]Database DP'!$C:$C,'[7]Database DP'!$F:$F,"Tidak Ditemukan")</f>
        <v>RENDRA</v>
      </c>
      <c r="G784" s="21"/>
    </row>
    <row r="785" spans="2:7">
      <c r="B785" s="22" t="s">
        <v>668</v>
      </c>
      <c r="C785" s="23" t="s">
        <v>669</v>
      </c>
      <c r="D785" s="24" t="s">
        <v>822</v>
      </c>
      <c r="E785" s="25" t="s">
        <v>1722</v>
      </c>
      <c r="F785" s="16" t="str">
        <f>_xlfn.XLOOKUP(D785,'[7]Database DP'!$C:$C,'[7]Database DP'!$F:$F,"Tidak Ditemukan")</f>
        <v>RENDRA</v>
      </c>
      <c r="G785" s="21"/>
    </row>
    <row r="786" spans="2:7">
      <c r="B786" s="22" t="s">
        <v>668</v>
      </c>
      <c r="C786" s="23" t="s">
        <v>669</v>
      </c>
      <c r="D786" s="24" t="s">
        <v>823</v>
      </c>
      <c r="E786" s="25" t="s">
        <v>1722</v>
      </c>
      <c r="F786" s="16" t="str">
        <f>_xlfn.XLOOKUP(D786,'[7]Database DP'!$C:$C,'[7]Database DP'!$F:$F,"Tidak Ditemukan")</f>
        <v>RENDRA</v>
      </c>
      <c r="G786" s="21"/>
    </row>
    <row r="787" spans="2:7">
      <c r="B787" s="22" t="s">
        <v>668</v>
      </c>
      <c r="C787" s="23" t="s">
        <v>669</v>
      </c>
      <c r="D787" s="24" t="s">
        <v>824</v>
      </c>
      <c r="E787" s="25" t="s">
        <v>1722</v>
      </c>
      <c r="F787" s="16" t="str">
        <f>_xlfn.XLOOKUP(D787,'[7]Database DP'!$C:$C,'[7]Database DP'!$F:$F,"Tidak Ditemukan")</f>
        <v>RENDRA</v>
      </c>
      <c r="G787" s="21"/>
    </row>
    <row r="788" spans="2:7">
      <c r="B788" s="22" t="s">
        <v>668</v>
      </c>
      <c r="C788" s="23" t="s">
        <v>669</v>
      </c>
      <c r="D788" s="24" t="s">
        <v>825</v>
      </c>
      <c r="E788" s="25" t="s">
        <v>1722</v>
      </c>
      <c r="F788" s="16" t="str">
        <f>_xlfn.XLOOKUP(D788,'[7]Database DP'!$C:$C,'[7]Database DP'!$F:$F,"Tidak Ditemukan")</f>
        <v>RENDRA</v>
      </c>
      <c r="G788" s="21"/>
    </row>
    <row r="789" spans="2:7">
      <c r="B789" s="22" t="s">
        <v>668</v>
      </c>
      <c r="C789" s="23" t="s">
        <v>669</v>
      </c>
      <c r="D789" s="24" t="s">
        <v>826</v>
      </c>
      <c r="E789" s="25" t="s">
        <v>1722</v>
      </c>
      <c r="F789" s="16" t="str">
        <f>_xlfn.XLOOKUP(D789,'[7]Database DP'!$C:$C,'[7]Database DP'!$F:$F,"Tidak Ditemukan")</f>
        <v>ARIF WIBOWO</v>
      </c>
      <c r="G789" s="21"/>
    </row>
    <row r="790" spans="2:7">
      <c r="B790" s="22" t="s">
        <v>668</v>
      </c>
      <c r="C790" s="23" t="s">
        <v>669</v>
      </c>
      <c r="D790" s="24" t="s">
        <v>827</v>
      </c>
      <c r="E790" s="25" t="s">
        <v>1722</v>
      </c>
      <c r="F790" s="16" t="str">
        <f>_xlfn.XLOOKUP(D790,'[7]Database DP'!$C:$C,'[7]Database DP'!$F:$F,"Tidak Ditemukan")</f>
        <v>ARIF WIBOWO</v>
      </c>
      <c r="G790" s="21"/>
    </row>
    <row r="791" spans="2:7">
      <c r="B791" s="22" t="s">
        <v>668</v>
      </c>
      <c r="C791" s="23" t="s">
        <v>669</v>
      </c>
      <c r="D791" s="24" t="s">
        <v>828</v>
      </c>
      <c r="E791" s="25" t="s">
        <v>1722</v>
      </c>
      <c r="F791" s="16" t="str">
        <f>_xlfn.XLOOKUP(D791,'[7]Database DP'!$C:$C,'[7]Database DP'!$F:$F,"Tidak Ditemukan")</f>
        <v>ARIF WIBOWO</v>
      </c>
      <c r="G791" s="21"/>
    </row>
    <row r="792" spans="2:7">
      <c r="B792" s="22" t="s">
        <v>668</v>
      </c>
      <c r="C792" s="23" t="s">
        <v>669</v>
      </c>
      <c r="D792" s="24" t="s">
        <v>829</v>
      </c>
      <c r="E792" s="25" t="s">
        <v>1722</v>
      </c>
      <c r="F792" s="16" t="str">
        <f>_xlfn.XLOOKUP(D792,'[7]Database DP'!$C:$C,'[7]Database DP'!$F:$F,"Tidak Ditemukan")</f>
        <v>ARIF WIBOWO</v>
      </c>
      <c r="G792" s="21"/>
    </row>
    <row r="793" spans="2:7">
      <c r="B793" s="22" t="s">
        <v>668</v>
      </c>
      <c r="C793" s="23" t="s">
        <v>669</v>
      </c>
      <c r="D793" s="24" t="s">
        <v>830</v>
      </c>
      <c r="E793" s="25" t="s">
        <v>1722</v>
      </c>
      <c r="F793" s="16" t="str">
        <f>_xlfn.XLOOKUP(D793,'[7]Database DP'!$C:$C,'[7]Database DP'!$F:$F,"Tidak Ditemukan")</f>
        <v>ARIF WIBOWO</v>
      </c>
      <c r="G793" s="21"/>
    </row>
    <row r="794" spans="2:7">
      <c r="B794" s="22" t="s">
        <v>668</v>
      </c>
      <c r="C794" s="23" t="s">
        <v>669</v>
      </c>
      <c r="D794" s="24" t="s">
        <v>831</v>
      </c>
      <c r="E794" s="25" t="s">
        <v>1722</v>
      </c>
      <c r="F794" s="16" t="str">
        <f>_xlfn.XLOOKUP(D794,'[7]Database DP'!$C:$C,'[7]Database DP'!$F:$F,"Tidak Ditemukan")</f>
        <v>ARIF WIBOWO</v>
      </c>
      <c r="G794" s="21"/>
    </row>
    <row r="795" spans="2:7">
      <c r="B795" s="22" t="s">
        <v>668</v>
      </c>
      <c r="C795" s="23" t="s">
        <v>669</v>
      </c>
      <c r="D795" s="24" t="s">
        <v>832</v>
      </c>
      <c r="E795" s="25" t="s">
        <v>1722</v>
      </c>
      <c r="F795" s="16" t="str">
        <f>_xlfn.XLOOKUP(D795,'[7]Database DP'!$C:$C,'[7]Database DP'!$F:$F,"Tidak Ditemukan")</f>
        <v>ARIF WIBOWO</v>
      </c>
      <c r="G795" s="21"/>
    </row>
    <row r="796" spans="2:7">
      <c r="B796" s="22" t="s">
        <v>668</v>
      </c>
      <c r="C796" s="23" t="s">
        <v>669</v>
      </c>
      <c r="D796" s="24" t="s">
        <v>833</v>
      </c>
      <c r="E796" s="25" t="s">
        <v>1722</v>
      </c>
      <c r="F796" s="16" t="str">
        <f>_xlfn.XLOOKUP(D796,'[7]Database DP'!$C:$C,'[7]Database DP'!$F:$F,"Tidak Ditemukan")</f>
        <v>ARIF WIBOWO</v>
      </c>
      <c r="G796" s="21"/>
    </row>
    <row r="797" spans="2:7">
      <c r="B797" s="22" t="s">
        <v>668</v>
      </c>
      <c r="C797" s="23" t="s">
        <v>669</v>
      </c>
      <c r="D797" s="24" t="s">
        <v>834</v>
      </c>
      <c r="E797" s="25" t="s">
        <v>1722</v>
      </c>
      <c r="F797" s="16" t="str">
        <f>_xlfn.XLOOKUP(D797,'[7]Database DP'!$C:$C,'[7]Database DP'!$F:$F,"Tidak Ditemukan")</f>
        <v>ARIF WIBOWO</v>
      </c>
      <c r="G797" s="21"/>
    </row>
    <row r="798" spans="2:7">
      <c r="B798" s="22" t="s">
        <v>668</v>
      </c>
      <c r="C798" s="23" t="s">
        <v>669</v>
      </c>
      <c r="D798" s="24" t="s">
        <v>835</v>
      </c>
      <c r="E798" s="25" t="s">
        <v>1722</v>
      </c>
      <c r="F798" s="16" t="str">
        <f>_xlfn.XLOOKUP(D798,'[7]Database DP'!$C:$C,'[7]Database DP'!$F:$F,"Tidak Ditemukan")</f>
        <v>RONY</v>
      </c>
      <c r="G798" s="21"/>
    </row>
    <row r="799" spans="2:7">
      <c r="B799" s="22" t="s">
        <v>668</v>
      </c>
      <c r="C799" s="23" t="s">
        <v>669</v>
      </c>
      <c r="D799" s="24" t="s">
        <v>836</v>
      </c>
      <c r="E799" s="25" t="s">
        <v>1722</v>
      </c>
      <c r="F799" s="16" t="str">
        <f>_xlfn.XLOOKUP(D799,'[7]Database DP'!$C:$C,'[7]Database DP'!$F:$F,"Tidak Ditemukan")</f>
        <v>RONY</v>
      </c>
      <c r="G799" s="21"/>
    </row>
    <row r="800" spans="2:7">
      <c r="B800" s="22" t="s">
        <v>668</v>
      </c>
      <c r="C800" s="23" t="s">
        <v>669</v>
      </c>
      <c r="D800" s="24" t="s">
        <v>837</v>
      </c>
      <c r="E800" s="25" t="s">
        <v>1722</v>
      </c>
      <c r="F800" s="16" t="str">
        <f>_xlfn.XLOOKUP(D800,'[7]Database DP'!$C:$C,'[7]Database DP'!$F:$F,"Tidak Ditemukan")</f>
        <v>RONY</v>
      </c>
      <c r="G800" s="21"/>
    </row>
    <row r="801" spans="2:7">
      <c r="B801" s="22" t="s">
        <v>668</v>
      </c>
      <c r="C801" s="23" t="s">
        <v>669</v>
      </c>
      <c r="D801" s="24" t="s">
        <v>838</v>
      </c>
      <c r="E801" s="25" t="s">
        <v>1722</v>
      </c>
      <c r="F801" s="16" t="str">
        <f>_xlfn.XLOOKUP(D801,'[7]Database DP'!$C:$C,'[7]Database DP'!$F:$F,"Tidak Ditemukan")</f>
        <v>RONY</v>
      </c>
      <c r="G801" s="21"/>
    </row>
    <row r="802" spans="2:7">
      <c r="B802" s="22" t="s">
        <v>668</v>
      </c>
      <c r="C802" s="23" t="s">
        <v>669</v>
      </c>
      <c r="D802" s="24" t="s">
        <v>839</v>
      </c>
      <c r="E802" s="25" t="s">
        <v>1722</v>
      </c>
      <c r="F802" s="16" t="str">
        <f>_xlfn.XLOOKUP(D802,'[7]Database DP'!$C:$C,'[7]Database DP'!$F:$F,"Tidak Ditemukan")</f>
        <v>RONY</v>
      </c>
      <c r="G802" s="21"/>
    </row>
    <row r="803" spans="2:7">
      <c r="B803" s="22" t="s">
        <v>668</v>
      </c>
      <c r="C803" s="23" t="s">
        <v>669</v>
      </c>
      <c r="D803" s="24" t="s">
        <v>840</v>
      </c>
      <c r="E803" s="25" t="s">
        <v>1745</v>
      </c>
      <c r="F803" s="16" t="str">
        <f>_xlfn.XLOOKUP(D803,'[7]Database DP'!$C:$C,'[7]Database DP'!$F:$F,"Tidak Ditemukan")</f>
        <v>RONY</v>
      </c>
      <c r="G803" s="21"/>
    </row>
    <row r="804" spans="2:7">
      <c r="B804" s="22" t="s">
        <v>668</v>
      </c>
      <c r="C804" s="23" t="s">
        <v>669</v>
      </c>
      <c r="D804" s="24" t="s">
        <v>841</v>
      </c>
      <c r="E804" s="25" t="s">
        <v>1745</v>
      </c>
      <c r="F804" s="16" t="str">
        <f>_xlfn.XLOOKUP(D804,'[7]Database DP'!$C:$C,'[7]Database DP'!$F:$F,"Tidak Ditemukan")</f>
        <v>RONY</v>
      </c>
      <c r="G804" s="21"/>
    </row>
    <row r="805" spans="2:7">
      <c r="B805" s="22" t="s">
        <v>668</v>
      </c>
      <c r="C805" s="23" t="s">
        <v>669</v>
      </c>
      <c r="D805" s="24" t="s">
        <v>842</v>
      </c>
      <c r="E805" s="25" t="s">
        <v>1745</v>
      </c>
      <c r="F805" s="16" t="str">
        <f>_xlfn.XLOOKUP(D805,'[7]Database DP'!$C:$C,'[7]Database DP'!$F:$F,"Tidak Ditemukan")</f>
        <v>RONY</v>
      </c>
      <c r="G805" s="21"/>
    </row>
    <row r="806" spans="2:7">
      <c r="B806" s="22" t="s">
        <v>668</v>
      </c>
      <c r="C806" s="23" t="s">
        <v>669</v>
      </c>
      <c r="D806" s="24" t="s">
        <v>843</v>
      </c>
      <c r="E806" s="25" t="s">
        <v>1722</v>
      </c>
      <c r="F806" s="16" t="str">
        <f>_xlfn.XLOOKUP(D806,'[7]Database DP'!$C:$C,'[7]Database DP'!$F:$F,"Tidak Ditemukan")</f>
        <v>RONY</v>
      </c>
      <c r="G806" s="21"/>
    </row>
    <row r="807" spans="2:7">
      <c r="B807" s="22" t="s">
        <v>668</v>
      </c>
      <c r="C807" s="23" t="s">
        <v>669</v>
      </c>
      <c r="D807" s="24" t="s">
        <v>844</v>
      </c>
      <c r="E807" s="25" t="s">
        <v>1722</v>
      </c>
      <c r="F807" s="16" t="str">
        <f>_xlfn.XLOOKUP(D807,'[7]Database DP'!$C:$C,'[7]Database DP'!$F:$F,"Tidak Ditemukan")</f>
        <v>RONY</v>
      </c>
      <c r="G807" s="21"/>
    </row>
    <row r="808" spans="2:7">
      <c r="B808" s="22" t="s">
        <v>668</v>
      </c>
      <c r="C808" s="23" t="s">
        <v>669</v>
      </c>
      <c r="D808" s="24" t="s">
        <v>845</v>
      </c>
      <c r="E808" s="25" t="s">
        <v>1722</v>
      </c>
      <c r="F808" s="16" t="str">
        <f>_xlfn.XLOOKUP(D808,'[7]Database DP'!$C:$C,'[7]Database DP'!$F:$F,"Tidak Ditemukan")</f>
        <v>SULIS</v>
      </c>
      <c r="G808" s="21"/>
    </row>
    <row r="809" spans="2:7">
      <c r="B809" s="22" t="s">
        <v>668</v>
      </c>
      <c r="C809" s="23" t="s">
        <v>669</v>
      </c>
      <c r="D809" s="24" t="s">
        <v>846</v>
      </c>
      <c r="E809" s="25" t="s">
        <v>1722</v>
      </c>
      <c r="F809" s="16" t="str">
        <f>_xlfn.XLOOKUP(D809,'[7]Database DP'!$C:$C,'[7]Database DP'!$F:$F,"Tidak Ditemukan")</f>
        <v>SULIS</v>
      </c>
      <c r="G809" s="21"/>
    </row>
    <row r="810" spans="2:7">
      <c r="B810" s="22" t="s">
        <v>668</v>
      </c>
      <c r="C810" s="23" t="s">
        <v>669</v>
      </c>
      <c r="D810" s="24" t="s">
        <v>847</v>
      </c>
      <c r="E810" s="25" t="s">
        <v>1722</v>
      </c>
      <c r="F810" s="16" t="str">
        <f>_xlfn.XLOOKUP(D810,'[7]Database DP'!$C:$C,'[7]Database DP'!$F:$F,"Tidak Ditemukan")</f>
        <v>SULIS</v>
      </c>
      <c r="G810" s="21"/>
    </row>
    <row r="811" spans="2:7">
      <c r="B811" s="22" t="s">
        <v>668</v>
      </c>
      <c r="C811" s="23" t="s">
        <v>669</v>
      </c>
      <c r="D811" s="24" t="s">
        <v>848</v>
      </c>
      <c r="E811" s="25" t="s">
        <v>1722</v>
      </c>
      <c r="F811" s="16" t="str">
        <f>_xlfn.XLOOKUP(D811,'[7]Database DP'!$C:$C,'[7]Database DP'!$F:$F,"Tidak Ditemukan")</f>
        <v>SULIS</v>
      </c>
      <c r="G811" s="21"/>
    </row>
    <row r="812" spans="2:7">
      <c r="B812" s="22" t="s">
        <v>668</v>
      </c>
      <c r="C812" s="23" t="s">
        <v>669</v>
      </c>
      <c r="D812" s="24" t="s">
        <v>849</v>
      </c>
      <c r="E812" s="25" t="s">
        <v>1722</v>
      </c>
      <c r="F812" s="16" t="str">
        <f>_xlfn.XLOOKUP(D812,'[7]Database DP'!$C:$C,'[7]Database DP'!$F:$F,"Tidak Ditemukan")</f>
        <v>SULIS</v>
      </c>
      <c r="G812" s="21"/>
    </row>
    <row r="813" spans="2:7">
      <c r="B813" s="22" t="s">
        <v>668</v>
      </c>
      <c r="C813" s="23" t="s">
        <v>669</v>
      </c>
      <c r="D813" s="24" t="s">
        <v>850</v>
      </c>
      <c r="E813" s="25" t="s">
        <v>1722</v>
      </c>
      <c r="F813" s="16" t="str">
        <f>_xlfn.XLOOKUP(D813,'[7]Database DP'!$C:$C,'[7]Database DP'!$F:$F,"Tidak Ditemukan")</f>
        <v>SULIS</v>
      </c>
      <c r="G813" s="21"/>
    </row>
    <row r="814" spans="2:7">
      <c r="B814" s="22" t="s">
        <v>668</v>
      </c>
      <c r="C814" s="23" t="s">
        <v>669</v>
      </c>
      <c r="D814" s="24" t="s">
        <v>851</v>
      </c>
      <c r="E814" s="25" t="s">
        <v>1722</v>
      </c>
      <c r="F814" s="16" t="str">
        <f>_xlfn.XLOOKUP(D814,'[7]Database DP'!$C:$C,'[7]Database DP'!$F:$F,"Tidak Ditemukan")</f>
        <v>SULIS</v>
      </c>
      <c r="G814" s="21"/>
    </row>
    <row r="815" spans="2:7">
      <c r="B815" s="22" t="s">
        <v>668</v>
      </c>
      <c r="C815" s="23" t="s">
        <v>669</v>
      </c>
      <c r="D815" s="24" t="s">
        <v>852</v>
      </c>
      <c r="E815" s="25" t="s">
        <v>1722</v>
      </c>
      <c r="F815" s="16" t="str">
        <f>_xlfn.XLOOKUP(D815,'[7]Database DP'!$C:$C,'[7]Database DP'!$F:$F,"Tidak Ditemukan")</f>
        <v>SULIS</v>
      </c>
      <c r="G815" s="21"/>
    </row>
    <row r="816" spans="2:7">
      <c r="B816" s="22" t="s">
        <v>668</v>
      </c>
      <c r="C816" s="23" t="s">
        <v>669</v>
      </c>
      <c r="D816" s="24" t="s">
        <v>853</v>
      </c>
      <c r="E816" s="25" t="s">
        <v>1722</v>
      </c>
      <c r="F816" s="16" t="str">
        <f>_xlfn.XLOOKUP(D816,'[7]Database DP'!$C:$C,'[7]Database DP'!$F:$F,"Tidak Ditemukan")</f>
        <v>RIZKY</v>
      </c>
      <c r="G816" s="21"/>
    </row>
    <row r="817" spans="2:7">
      <c r="B817" s="22" t="s">
        <v>668</v>
      </c>
      <c r="C817" s="23" t="s">
        <v>669</v>
      </c>
      <c r="D817" s="24" t="s">
        <v>854</v>
      </c>
      <c r="E817" s="25" t="s">
        <v>1722</v>
      </c>
      <c r="F817" s="16" t="str">
        <f>_xlfn.XLOOKUP(D817,'[7]Database DP'!$C:$C,'[7]Database DP'!$F:$F,"Tidak Ditemukan")</f>
        <v>RIZKY</v>
      </c>
      <c r="G817" s="21"/>
    </row>
    <row r="818" spans="2:7">
      <c r="B818" s="22" t="s">
        <v>668</v>
      </c>
      <c r="C818" s="23" t="s">
        <v>669</v>
      </c>
      <c r="D818" s="24" t="s">
        <v>855</v>
      </c>
      <c r="E818" s="25" t="s">
        <v>1722</v>
      </c>
      <c r="F818" s="16" t="str">
        <f>_xlfn.XLOOKUP(D818,'[7]Database DP'!$C:$C,'[7]Database DP'!$F:$F,"Tidak Ditemukan")</f>
        <v>RIZKY</v>
      </c>
      <c r="G818" s="21"/>
    </row>
    <row r="819" spans="2:7">
      <c r="B819" s="22" t="s">
        <v>668</v>
      </c>
      <c r="C819" s="23" t="s">
        <v>669</v>
      </c>
      <c r="D819" s="24" t="s">
        <v>856</v>
      </c>
      <c r="E819" s="25" t="s">
        <v>1722</v>
      </c>
      <c r="F819" s="16" t="str">
        <f>_xlfn.XLOOKUP(D819,'[7]Database DP'!$C:$C,'[7]Database DP'!$F:$F,"Tidak Ditemukan")</f>
        <v>RIZKY</v>
      </c>
      <c r="G819" s="21"/>
    </row>
    <row r="820" spans="2:7">
      <c r="B820" s="22" t="s">
        <v>668</v>
      </c>
      <c r="C820" s="23" t="s">
        <v>669</v>
      </c>
      <c r="D820" s="24" t="s">
        <v>857</v>
      </c>
      <c r="E820" s="25" t="s">
        <v>1722</v>
      </c>
      <c r="F820" s="16" t="str">
        <f>_xlfn.XLOOKUP(D820,'[7]Database DP'!$C:$C,'[7]Database DP'!$F:$F,"Tidak Ditemukan")</f>
        <v>RIZKY</v>
      </c>
      <c r="G820" s="21"/>
    </row>
    <row r="821" spans="2:7">
      <c r="B821" s="22" t="s">
        <v>668</v>
      </c>
      <c r="C821" s="23" t="s">
        <v>669</v>
      </c>
      <c r="D821" s="24" t="s">
        <v>858</v>
      </c>
      <c r="E821" s="25" t="s">
        <v>1722</v>
      </c>
      <c r="F821" s="16" t="str">
        <f>_xlfn.XLOOKUP(D821,'[7]Database DP'!$C:$C,'[7]Database DP'!$F:$F,"Tidak Ditemukan")</f>
        <v>RIZKY</v>
      </c>
      <c r="G821" s="21"/>
    </row>
    <row r="822" spans="2:7">
      <c r="B822" s="22" t="s">
        <v>668</v>
      </c>
      <c r="C822" s="23" t="s">
        <v>669</v>
      </c>
      <c r="D822" s="24" t="s">
        <v>859</v>
      </c>
      <c r="E822" s="25" t="s">
        <v>1722</v>
      </c>
      <c r="F822" s="16" t="str">
        <f>_xlfn.XLOOKUP(D822,'[7]Database DP'!$C:$C,'[7]Database DP'!$F:$F,"Tidak Ditemukan")</f>
        <v>RIZKY</v>
      </c>
      <c r="G822" s="21"/>
    </row>
    <row r="823" spans="2:7">
      <c r="B823" s="22" t="s">
        <v>668</v>
      </c>
      <c r="C823" s="23" t="s">
        <v>669</v>
      </c>
      <c r="D823" s="24" t="s">
        <v>860</v>
      </c>
      <c r="E823" s="25" t="s">
        <v>1722</v>
      </c>
      <c r="F823" s="16" t="str">
        <f>_xlfn.XLOOKUP(D823,'[7]Database DP'!$C:$C,'[7]Database DP'!$F:$F,"Tidak Ditemukan")</f>
        <v>WAWAN</v>
      </c>
      <c r="G823" s="21"/>
    </row>
    <row r="824" spans="2:7">
      <c r="B824" s="22" t="s">
        <v>668</v>
      </c>
      <c r="C824" s="23" t="s">
        <v>669</v>
      </c>
      <c r="D824" s="24" t="s">
        <v>861</v>
      </c>
      <c r="E824" s="25" t="s">
        <v>1722</v>
      </c>
      <c r="F824" s="16" t="str">
        <f>_xlfn.XLOOKUP(D824,'[7]Database DP'!$C:$C,'[7]Database DP'!$F:$F,"Tidak Ditemukan")</f>
        <v>WAWAN</v>
      </c>
      <c r="G824" s="21"/>
    </row>
    <row r="825" spans="2:7">
      <c r="B825" s="22" t="s">
        <v>668</v>
      </c>
      <c r="C825" s="23" t="s">
        <v>669</v>
      </c>
      <c r="D825" s="24" t="s">
        <v>862</v>
      </c>
      <c r="E825" s="25" t="s">
        <v>1722</v>
      </c>
      <c r="F825" s="16" t="str">
        <f>_xlfn.XLOOKUP(D825,'[7]Database DP'!$C:$C,'[7]Database DP'!$F:$F,"Tidak Ditemukan")</f>
        <v>WAWAN</v>
      </c>
      <c r="G825" s="21"/>
    </row>
    <row r="826" spans="2:7">
      <c r="B826" s="22" t="s">
        <v>668</v>
      </c>
      <c r="C826" s="23" t="s">
        <v>669</v>
      </c>
      <c r="D826" s="24" t="s">
        <v>863</v>
      </c>
      <c r="E826" s="25" t="s">
        <v>1722</v>
      </c>
      <c r="F826" s="16" t="str">
        <f>_xlfn.XLOOKUP(D826,'[7]Database DP'!$C:$C,'[7]Database DP'!$F:$F,"Tidak Ditemukan")</f>
        <v>WAWAN</v>
      </c>
      <c r="G826" s="21"/>
    </row>
    <row r="827" spans="2:7">
      <c r="B827" s="22" t="s">
        <v>668</v>
      </c>
      <c r="C827" s="23" t="s">
        <v>669</v>
      </c>
      <c r="D827" s="24" t="s">
        <v>864</v>
      </c>
      <c r="E827" s="25" t="s">
        <v>1722</v>
      </c>
      <c r="F827" s="16" t="str">
        <f>_xlfn.XLOOKUP(D827,'[7]Database DP'!$C:$C,'[7]Database DP'!$F:$F,"Tidak Ditemukan")</f>
        <v>WAWAN</v>
      </c>
      <c r="G827" s="21"/>
    </row>
    <row r="828" spans="2:7">
      <c r="B828" s="22" t="s">
        <v>668</v>
      </c>
      <c r="C828" s="23" t="s">
        <v>669</v>
      </c>
      <c r="D828" s="24" t="s">
        <v>865</v>
      </c>
      <c r="E828" s="25" t="s">
        <v>1722</v>
      </c>
      <c r="F828" s="16" t="str">
        <f>_xlfn.XLOOKUP(D828,'[7]Database DP'!$C:$C,'[7]Database DP'!$F:$F,"Tidak Ditemukan")</f>
        <v>WAWAN</v>
      </c>
      <c r="G828" s="21"/>
    </row>
    <row r="829" spans="2:7">
      <c r="B829" s="22" t="s">
        <v>668</v>
      </c>
      <c r="C829" s="23" t="s">
        <v>669</v>
      </c>
      <c r="D829" s="24" t="s">
        <v>866</v>
      </c>
      <c r="E829" s="25" t="s">
        <v>1722</v>
      </c>
      <c r="F829" s="16" t="str">
        <f>_xlfn.XLOOKUP(D829,'[7]Database DP'!$C:$C,'[7]Database DP'!$F:$F,"Tidak Ditemukan")</f>
        <v>WAWAN</v>
      </c>
      <c r="G829" s="21"/>
    </row>
    <row r="830" spans="2:7">
      <c r="B830" s="22" t="s">
        <v>668</v>
      </c>
      <c r="C830" s="23" t="s">
        <v>669</v>
      </c>
      <c r="D830" s="24" t="s">
        <v>867</v>
      </c>
      <c r="E830" s="25" t="s">
        <v>1722</v>
      </c>
      <c r="F830" s="16" t="str">
        <f>_xlfn.XLOOKUP(D830,'[7]Database DP'!$C:$C,'[7]Database DP'!$F:$F,"Tidak Ditemukan")</f>
        <v>WAWAN</v>
      </c>
      <c r="G830" s="21"/>
    </row>
    <row r="831" spans="2:7">
      <c r="B831" s="22" t="s">
        <v>668</v>
      </c>
      <c r="C831" s="23" t="s">
        <v>669</v>
      </c>
      <c r="D831" s="24" t="s">
        <v>868</v>
      </c>
      <c r="E831" s="25" t="s">
        <v>1722</v>
      </c>
      <c r="F831" s="16" t="str">
        <f>_xlfn.XLOOKUP(D831,'[7]Database DP'!$C:$C,'[7]Database DP'!$F:$F,"Tidak Ditemukan")</f>
        <v>WAWAN</v>
      </c>
      <c r="G831" s="21"/>
    </row>
    <row r="832" spans="2:7">
      <c r="B832" s="22" t="s">
        <v>668</v>
      </c>
      <c r="C832" s="23" t="s">
        <v>669</v>
      </c>
      <c r="D832" s="24" t="s">
        <v>869</v>
      </c>
      <c r="E832" s="25" t="s">
        <v>1722</v>
      </c>
      <c r="F832" s="16" t="str">
        <f>_xlfn.XLOOKUP(D832,'[7]Database DP'!$C:$C,'[7]Database DP'!$F:$F,"Tidak Ditemukan")</f>
        <v>WAWAN</v>
      </c>
      <c r="G832" s="21"/>
    </row>
    <row r="833" spans="2:7">
      <c r="B833" s="22" t="s">
        <v>668</v>
      </c>
      <c r="C833" s="23" t="s">
        <v>669</v>
      </c>
      <c r="D833" s="24" t="s">
        <v>870</v>
      </c>
      <c r="E833" s="25" t="s">
        <v>1722</v>
      </c>
      <c r="F833" s="16" t="str">
        <f>_xlfn.XLOOKUP(D833,'[7]Database DP'!$C:$C,'[7]Database DP'!$F:$F,"Tidak Ditemukan")</f>
        <v>WAWAN</v>
      </c>
      <c r="G833" s="21"/>
    </row>
    <row r="834" spans="2:7">
      <c r="B834" s="22" t="s">
        <v>668</v>
      </c>
      <c r="C834" s="23" t="s">
        <v>669</v>
      </c>
      <c r="D834" s="24" t="s">
        <v>871</v>
      </c>
      <c r="E834" s="25" t="s">
        <v>1722</v>
      </c>
      <c r="F834" s="16" t="str">
        <f>_xlfn.XLOOKUP(D834,'[7]Database DP'!$C:$C,'[7]Database DP'!$F:$F,"Tidak Ditemukan")</f>
        <v>WAWAN</v>
      </c>
      <c r="G834" s="21"/>
    </row>
    <row r="835" spans="2:7">
      <c r="B835" s="22" t="s">
        <v>668</v>
      </c>
      <c r="C835" s="23" t="s">
        <v>669</v>
      </c>
      <c r="D835" s="24" t="s">
        <v>872</v>
      </c>
      <c r="E835" s="25" t="s">
        <v>1722</v>
      </c>
      <c r="F835" s="16" t="str">
        <f>_xlfn.XLOOKUP(D835,'[7]Database DP'!$C:$C,'[7]Database DP'!$F:$F,"Tidak Ditemukan")</f>
        <v>YANUAR</v>
      </c>
      <c r="G835" s="21"/>
    </row>
    <row r="836" spans="2:7">
      <c r="B836" s="22" t="s">
        <v>668</v>
      </c>
      <c r="C836" s="23" t="s">
        <v>669</v>
      </c>
      <c r="D836" s="24" t="s">
        <v>873</v>
      </c>
      <c r="E836" s="25" t="s">
        <v>1722</v>
      </c>
      <c r="F836" s="16" t="str">
        <f>_xlfn.XLOOKUP(D836,'[7]Database DP'!$C:$C,'[7]Database DP'!$F:$F,"Tidak Ditemukan")</f>
        <v>YANUAR</v>
      </c>
      <c r="G836" s="21"/>
    </row>
    <row r="837" spans="2:7">
      <c r="B837" s="22" t="s">
        <v>668</v>
      </c>
      <c r="C837" s="23" t="s">
        <v>669</v>
      </c>
      <c r="D837" s="24" t="s">
        <v>874</v>
      </c>
      <c r="E837" s="25" t="s">
        <v>1722</v>
      </c>
      <c r="F837" s="16" t="str">
        <f>_xlfn.XLOOKUP(D837,'[7]Database DP'!$C:$C,'[7]Database DP'!$F:$F,"Tidak Ditemukan")</f>
        <v>YANUAR</v>
      </c>
      <c r="G837" s="21"/>
    </row>
    <row r="838" spans="2:7">
      <c r="B838" s="22" t="s">
        <v>668</v>
      </c>
      <c r="C838" s="23" t="s">
        <v>669</v>
      </c>
      <c r="D838" s="24" t="s">
        <v>875</v>
      </c>
      <c r="E838" s="25" t="s">
        <v>1722</v>
      </c>
      <c r="F838" s="16" t="str">
        <f>_xlfn.XLOOKUP(D838,'[7]Database DP'!$C:$C,'[7]Database DP'!$F:$F,"Tidak Ditemukan")</f>
        <v>YANUAR</v>
      </c>
      <c r="G838" s="21"/>
    </row>
    <row r="839" spans="2:7">
      <c r="B839" s="22" t="s">
        <v>668</v>
      </c>
      <c r="C839" s="23" t="s">
        <v>669</v>
      </c>
      <c r="D839" s="24" t="s">
        <v>876</v>
      </c>
      <c r="E839" s="25" t="s">
        <v>1722</v>
      </c>
      <c r="F839" s="16" t="str">
        <f>_xlfn.XLOOKUP(D839,'[7]Database DP'!$C:$C,'[7]Database DP'!$F:$F,"Tidak Ditemukan")</f>
        <v>YANUAR</v>
      </c>
      <c r="G839" s="21"/>
    </row>
    <row r="840" spans="2:7">
      <c r="B840" s="22" t="s">
        <v>668</v>
      </c>
      <c r="C840" s="23" t="s">
        <v>669</v>
      </c>
      <c r="D840" s="24" t="s">
        <v>877</v>
      </c>
      <c r="E840" s="25" t="s">
        <v>1722</v>
      </c>
      <c r="F840" s="16" t="str">
        <f>_xlfn.XLOOKUP(D840,'[7]Database DP'!$C:$C,'[7]Database DP'!$F:$F,"Tidak Ditemukan")</f>
        <v>YANUAR</v>
      </c>
      <c r="G840" s="21"/>
    </row>
    <row r="841" spans="2:7">
      <c r="B841" s="22" t="s">
        <v>668</v>
      </c>
      <c r="C841" s="23" t="s">
        <v>669</v>
      </c>
      <c r="D841" s="24" t="s">
        <v>878</v>
      </c>
      <c r="E841" s="25" t="s">
        <v>1722</v>
      </c>
      <c r="F841" s="16" t="str">
        <f>_xlfn.XLOOKUP(D841,'[7]Database DP'!$C:$C,'[7]Database DP'!$F:$F,"Tidak Ditemukan")</f>
        <v>YANUAR</v>
      </c>
      <c r="G841" s="21"/>
    </row>
    <row r="842" spans="2:7">
      <c r="B842" s="22" t="s">
        <v>668</v>
      </c>
      <c r="C842" s="23" t="s">
        <v>669</v>
      </c>
      <c r="D842" s="24" t="s">
        <v>879</v>
      </c>
      <c r="E842" s="25" t="s">
        <v>1722</v>
      </c>
      <c r="F842" s="16" t="str">
        <f>_xlfn.XLOOKUP(D842,'[7]Database DP'!$C:$C,'[7]Database DP'!$F:$F,"Tidak Ditemukan")</f>
        <v>YANUAR</v>
      </c>
      <c r="G842" s="21"/>
    </row>
    <row r="843" spans="2:7">
      <c r="B843" s="22" t="s">
        <v>668</v>
      </c>
      <c r="C843" s="23" t="s">
        <v>669</v>
      </c>
      <c r="D843" s="24" t="s">
        <v>880</v>
      </c>
      <c r="E843" s="25" t="s">
        <v>1722</v>
      </c>
      <c r="F843" s="16" t="str">
        <f>_xlfn.XLOOKUP(D843,'[7]Database DP'!$C:$C,'[7]Database DP'!$F:$F,"Tidak Ditemukan")</f>
        <v>YANUAR</v>
      </c>
      <c r="G843" s="21"/>
    </row>
    <row r="844" spans="2:7">
      <c r="B844" s="22" t="s">
        <v>668</v>
      </c>
      <c r="C844" s="23" t="s">
        <v>669</v>
      </c>
      <c r="D844" s="24" t="s">
        <v>881</v>
      </c>
      <c r="E844" s="25" t="s">
        <v>1722</v>
      </c>
      <c r="F844" s="16" t="str">
        <f>_xlfn.XLOOKUP(D844,'[7]Database DP'!$C:$C,'[7]Database DP'!$F:$F,"Tidak Ditemukan")</f>
        <v>YANUAR</v>
      </c>
      <c r="G844" s="21"/>
    </row>
    <row r="845" spans="2:7">
      <c r="B845" s="22" t="s">
        <v>668</v>
      </c>
      <c r="C845" s="23" t="s">
        <v>669</v>
      </c>
      <c r="D845" s="24" t="s">
        <v>882</v>
      </c>
      <c r="E845" s="25" t="s">
        <v>1722</v>
      </c>
      <c r="F845" s="16" t="str">
        <f>_xlfn.XLOOKUP(D845,'[7]Database DP'!$C:$C,'[7]Database DP'!$F:$F,"Tidak Ditemukan")</f>
        <v>YANUAR</v>
      </c>
      <c r="G845" s="21"/>
    </row>
    <row r="846" spans="2:7">
      <c r="B846" s="22" t="s">
        <v>668</v>
      </c>
      <c r="C846" s="23" t="s">
        <v>669</v>
      </c>
      <c r="D846" s="24" t="s">
        <v>883</v>
      </c>
      <c r="E846" s="25" t="s">
        <v>1722</v>
      </c>
      <c r="F846" s="16" t="str">
        <f>_xlfn.XLOOKUP(D846,'[7]Database DP'!$C:$C,'[7]Database DP'!$F:$F,"Tidak Ditemukan")</f>
        <v>YUDHA BRB</v>
      </c>
      <c r="G846" s="21"/>
    </row>
    <row r="847" spans="2:7">
      <c r="B847" s="22" t="s">
        <v>668</v>
      </c>
      <c r="C847" s="23" t="s">
        <v>669</v>
      </c>
      <c r="D847" s="24" t="s">
        <v>884</v>
      </c>
      <c r="E847" s="25" t="s">
        <v>1722</v>
      </c>
      <c r="F847" s="16" t="str">
        <f>_xlfn.XLOOKUP(D847,'[7]Database DP'!$C:$C,'[7]Database DP'!$F:$F,"Tidak Ditemukan")</f>
        <v>YUDHA BRB</v>
      </c>
      <c r="G847" s="21"/>
    </row>
    <row r="848" spans="2:7">
      <c r="B848" s="22" t="s">
        <v>668</v>
      </c>
      <c r="C848" s="23" t="s">
        <v>669</v>
      </c>
      <c r="D848" s="24" t="s">
        <v>885</v>
      </c>
      <c r="E848" s="25" t="s">
        <v>1722</v>
      </c>
      <c r="F848" s="16" t="str">
        <f>_xlfn.XLOOKUP(D848,'[7]Database DP'!$C:$C,'[7]Database DP'!$F:$F,"Tidak Ditemukan")</f>
        <v>YUDHA BRB</v>
      </c>
      <c r="G848" s="21"/>
    </row>
    <row r="849" spans="2:7">
      <c r="B849" s="22" t="s">
        <v>668</v>
      </c>
      <c r="C849" s="23" t="s">
        <v>669</v>
      </c>
      <c r="D849" s="24" t="s">
        <v>886</v>
      </c>
      <c r="E849" s="25" t="s">
        <v>1722</v>
      </c>
      <c r="F849" s="16" t="str">
        <f>_xlfn.XLOOKUP(D849,'[7]Database DP'!$C:$C,'[7]Database DP'!$F:$F,"Tidak Ditemukan")</f>
        <v>YUDHA BRB</v>
      </c>
      <c r="G849" s="21"/>
    </row>
    <row r="850" spans="2:7">
      <c r="B850" s="22" t="s">
        <v>668</v>
      </c>
      <c r="C850" s="23" t="s">
        <v>669</v>
      </c>
      <c r="D850" s="24" t="s">
        <v>887</v>
      </c>
      <c r="E850" s="25" t="s">
        <v>1722</v>
      </c>
      <c r="F850" s="16" t="str">
        <f>_xlfn.XLOOKUP(D850,'[7]Database DP'!$C:$C,'[7]Database DP'!$F:$F,"Tidak Ditemukan")</f>
        <v>YUDHA BRB</v>
      </c>
      <c r="G850" s="21"/>
    </row>
    <row r="851" spans="2:7">
      <c r="B851" s="22" t="s">
        <v>668</v>
      </c>
      <c r="C851" s="23" t="s">
        <v>669</v>
      </c>
      <c r="D851" s="24" t="s">
        <v>888</v>
      </c>
      <c r="E851" s="25" t="s">
        <v>1722</v>
      </c>
      <c r="F851" s="16" t="str">
        <f>_xlfn.XLOOKUP(D851,'[7]Database DP'!$C:$C,'[7]Database DP'!$F:$F,"Tidak Ditemukan")</f>
        <v>YUDHA BRB</v>
      </c>
      <c r="G851" s="21"/>
    </row>
    <row r="852" spans="2:7">
      <c r="B852" s="22" t="s">
        <v>668</v>
      </c>
      <c r="C852" s="23" t="s">
        <v>669</v>
      </c>
      <c r="D852" s="24" t="s">
        <v>889</v>
      </c>
      <c r="E852" s="25" t="s">
        <v>1722</v>
      </c>
      <c r="F852" s="16" t="str">
        <f>_xlfn.XLOOKUP(D852,'[7]Database DP'!$C:$C,'[7]Database DP'!$F:$F,"Tidak Ditemukan")</f>
        <v>YUDHA BRB</v>
      </c>
      <c r="G852" s="21"/>
    </row>
    <row r="853" spans="2:7">
      <c r="B853" s="22" t="s">
        <v>668</v>
      </c>
      <c r="C853" s="23" t="s">
        <v>669</v>
      </c>
      <c r="D853" s="24" t="s">
        <v>890</v>
      </c>
      <c r="E853" s="25" t="s">
        <v>1722</v>
      </c>
      <c r="F853" s="16" t="str">
        <f>_xlfn.XLOOKUP(D853,'[7]Database DP'!$C:$C,'[7]Database DP'!$F:$F,"Tidak Ditemukan")</f>
        <v>YUDHA BRB</v>
      </c>
      <c r="G853" s="21"/>
    </row>
    <row r="854" spans="2:7">
      <c r="B854" s="22" t="s">
        <v>668</v>
      </c>
      <c r="C854" s="23" t="s">
        <v>669</v>
      </c>
      <c r="D854" s="24" t="s">
        <v>891</v>
      </c>
      <c r="E854" s="25" t="s">
        <v>1722</v>
      </c>
      <c r="F854" s="16" t="str">
        <f>_xlfn.XLOOKUP(D854,'[7]Database DP'!$C:$C,'[7]Database DP'!$F:$F,"Tidak Ditemukan")</f>
        <v>YUDHA BRB</v>
      </c>
      <c r="G854" s="21"/>
    </row>
    <row r="855" spans="2:7">
      <c r="B855" s="22" t="s">
        <v>668</v>
      </c>
      <c r="C855" s="23" t="s">
        <v>669</v>
      </c>
      <c r="D855" s="24" t="s">
        <v>892</v>
      </c>
      <c r="E855" s="25" t="s">
        <v>1722</v>
      </c>
      <c r="F855" s="16" t="str">
        <f>_xlfn.XLOOKUP(D855,'[7]Database DP'!$C:$C,'[7]Database DP'!$F:$F,"Tidak Ditemukan")</f>
        <v>YUDHA BRB</v>
      </c>
      <c r="G855" s="21"/>
    </row>
    <row r="856" spans="2:7">
      <c r="B856" s="22" t="s">
        <v>668</v>
      </c>
      <c r="C856" s="23" t="s">
        <v>669</v>
      </c>
      <c r="D856" s="24" t="s">
        <v>893</v>
      </c>
      <c r="E856" s="25" t="s">
        <v>1722</v>
      </c>
      <c r="F856" s="16" t="str">
        <f>_xlfn.XLOOKUP(D856,'[7]Database DP'!$C:$C,'[7]Database DP'!$F:$F,"Tidak Ditemukan")</f>
        <v>YUDHA BRB</v>
      </c>
      <c r="G856" s="21"/>
    </row>
    <row r="857" spans="2:7">
      <c r="B857" s="22" t="s">
        <v>668</v>
      </c>
      <c r="C857" s="23" t="s">
        <v>669</v>
      </c>
      <c r="D857" s="24" t="s">
        <v>894</v>
      </c>
      <c r="E857" s="25" t="s">
        <v>1722</v>
      </c>
      <c r="F857" s="16" t="str">
        <f>_xlfn.XLOOKUP(D857,'[7]Database DP'!$C:$C,'[7]Database DP'!$F:$F,"Tidak Ditemukan")</f>
        <v>YUDHA BRB</v>
      </c>
      <c r="G857" s="21"/>
    </row>
    <row r="858" spans="2:7">
      <c r="B858" s="22" t="s">
        <v>668</v>
      </c>
      <c r="C858" s="23" t="s">
        <v>669</v>
      </c>
      <c r="D858" s="24" t="s">
        <v>895</v>
      </c>
      <c r="E858" s="25" t="s">
        <v>1722</v>
      </c>
      <c r="F858" s="16" t="str">
        <f>_xlfn.XLOOKUP(D858,'[7]Database DP'!$C:$C,'[7]Database DP'!$F:$F,"Tidak Ditemukan")</f>
        <v>YUDHA BRB</v>
      </c>
      <c r="G858" s="21"/>
    </row>
    <row r="859" spans="2:7">
      <c r="B859" s="22" t="s">
        <v>668</v>
      </c>
      <c r="C859" s="23" t="s">
        <v>669</v>
      </c>
      <c r="D859" s="24" t="s">
        <v>896</v>
      </c>
      <c r="E859" s="25" t="s">
        <v>1722</v>
      </c>
      <c r="F859" s="16" t="str">
        <f>_xlfn.XLOOKUP(D859,'[7]Database DP'!$C:$C,'[7]Database DP'!$F:$F,"Tidak Ditemukan")</f>
        <v>YUDHA BRB</v>
      </c>
      <c r="G859" s="21"/>
    </row>
    <row r="860" spans="2:7">
      <c r="B860" s="22" t="s">
        <v>668</v>
      </c>
      <c r="C860" s="23" t="s">
        <v>669</v>
      </c>
      <c r="D860" s="24" t="s">
        <v>897</v>
      </c>
      <c r="E860" s="25" t="s">
        <v>1722</v>
      </c>
      <c r="F860" s="16" t="str">
        <f>_xlfn.XLOOKUP(D860,'[7]Database DP'!$C:$C,'[7]Database DP'!$F:$F,"Tidak Ditemukan")</f>
        <v>YUDHA BRB</v>
      </c>
      <c r="G860" s="21"/>
    </row>
    <row r="861" spans="2:7">
      <c r="B861" s="22" t="s">
        <v>668</v>
      </c>
      <c r="C861" s="23" t="s">
        <v>669</v>
      </c>
      <c r="D861" s="24" t="s">
        <v>898</v>
      </c>
      <c r="E861" s="25" t="s">
        <v>1722</v>
      </c>
      <c r="F861" s="16" t="str">
        <f>_xlfn.XLOOKUP(D861,'[7]Database DP'!$C:$C,'[7]Database DP'!$F:$F,"Tidak Ditemukan")</f>
        <v>ZAENAL</v>
      </c>
      <c r="G861" s="21"/>
    </row>
    <row r="862" spans="2:7">
      <c r="B862" s="22" t="s">
        <v>668</v>
      </c>
      <c r="C862" s="23" t="s">
        <v>669</v>
      </c>
      <c r="D862" s="24" t="s">
        <v>899</v>
      </c>
      <c r="E862" s="25" t="s">
        <v>1722</v>
      </c>
      <c r="F862" s="16" t="str">
        <f>_xlfn.XLOOKUP(D862,'[7]Database DP'!$C:$C,'[7]Database DP'!$F:$F,"Tidak Ditemukan")</f>
        <v>ZAENAL</v>
      </c>
      <c r="G862" s="21"/>
    </row>
    <row r="863" spans="2:7">
      <c r="B863" s="22" t="s">
        <v>668</v>
      </c>
      <c r="C863" s="23" t="s">
        <v>669</v>
      </c>
      <c r="D863" s="24" t="s">
        <v>900</v>
      </c>
      <c r="E863" s="25" t="s">
        <v>1722</v>
      </c>
      <c r="F863" s="16" t="str">
        <f>_xlfn.XLOOKUP(D863,'[7]Database DP'!$C:$C,'[7]Database DP'!$F:$F,"Tidak Ditemukan")</f>
        <v>ZAENAL</v>
      </c>
      <c r="G863" s="21"/>
    </row>
    <row r="864" spans="2:7">
      <c r="B864" s="22" t="s">
        <v>668</v>
      </c>
      <c r="C864" s="23" t="s">
        <v>669</v>
      </c>
      <c r="D864" s="24" t="s">
        <v>901</v>
      </c>
      <c r="E864" s="25" t="s">
        <v>1722</v>
      </c>
      <c r="F864" s="16" t="str">
        <f>_xlfn.XLOOKUP(D864,'[7]Database DP'!$C:$C,'[7]Database DP'!$F:$F,"Tidak Ditemukan")</f>
        <v>ZAENAL</v>
      </c>
      <c r="G864" s="21"/>
    </row>
    <row r="865" spans="2:7">
      <c r="B865" s="22" t="s">
        <v>668</v>
      </c>
      <c r="C865" s="23" t="s">
        <v>669</v>
      </c>
      <c r="D865" s="24" t="s">
        <v>902</v>
      </c>
      <c r="E865" s="25" t="s">
        <v>1722</v>
      </c>
      <c r="F865" s="16" t="str">
        <f>_xlfn.XLOOKUP(D865,'[7]Database DP'!$C:$C,'[7]Database DP'!$F:$F,"Tidak Ditemukan")</f>
        <v>ZAENAL</v>
      </c>
      <c r="G865" s="21"/>
    </row>
    <row r="866" spans="2:7">
      <c r="B866" s="22" t="s">
        <v>668</v>
      </c>
      <c r="C866" s="23" t="s">
        <v>669</v>
      </c>
      <c r="D866" s="24" t="s">
        <v>903</v>
      </c>
      <c r="E866" s="25" t="s">
        <v>1722</v>
      </c>
      <c r="F866" s="16" t="str">
        <f>_xlfn.XLOOKUP(D866,'[7]Database DP'!$C:$C,'[7]Database DP'!$F:$F,"Tidak Ditemukan")</f>
        <v>ZAENAL</v>
      </c>
      <c r="G866" s="21"/>
    </row>
    <row r="867" spans="2:7">
      <c r="B867" s="22" t="s">
        <v>668</v>
      </c>
      <c r="C867" s="23" t="s">
        <v>669</v>
      </c>
      <c r="D867" s="24" t="s">
        <v>904</v>
      </c>
      <c r="E867" s="25" t="s">
        <v>1722</v>
      </c>
      <c r="F867" s="16" t="str">
        <f>_xlfn.XLOOKUP(D867,'[7]Database DP'!$C:$C,'[7]Database DP'!$F:$F,"Tidak Ditemukan")</f>
        <v>ZAENAL</v>
      </c>
      <c r="G867" s="21"/>
    </row>
    <row r="868" spans="2:7">
      <c r="B868" s="22" t="s">
        <v>668</v>
      </c>
      <c r="C868" s="23" t="s">
        <v>669</v>
      </c>
      <c r="D868" s="24" t="s">
        <v>905</v>
      </c>
      <c r="E868" s="25" t="s">
        <v>1722</v>
      </c>
      <c r="F868" s="16" t="str">
        <f>_xlfn.XLOOKUP(D868,'[7]Database DP'!$C:$C,'[7]Database DP'!$F:$F,"Tidak Ditemukan")</f>
        <v>ZAENAL</v>
      </c>
      <c r="G868" s="21"/>
    </row>
    <row r="869" spans="2:7">
      <c r="B869" s="22" t="s">
        <v>668</v>
      </c>
      <c r="C869" s="23" t="s">
        <v>669</v>
      </c>
      <c r="D869" s="24" t="s">
        <v>906</v>
      </c>
      <c r="E869" s="25" t="s">
        <v>1722</v>
      </c>
      <c r="F869" s="16" t="str">
        <f>_xlfn.XLOOKUP(D869,'[7]Database DP'!$C:$C,'[7]Database DP'!$F:$F,"Tidak Ditemukan")</f>
        <v>ZAENAL</v>
      </c>
      <c r="G869" s="21"/>
    </row>
    <row r="870" spans="2:7">
      <c r="B870" s="22" t="s">
        <v>668</v>
      </c>
      <c r="C870" s="23" t="s">
        <v>669</v>
      </c>
      <c r="D870" s="24" t="s">
        <v>907</v>
      </c>
      <c r="E870" s="25" t="s">
        <v>1722</v>
      </c>
      <c r="F870" s="16" t="str">
        <f>_xlfn.XLOOKUP(D870,'[7]Database DP'!$C:$C,'[7]Database DP'!$F:$F,"Tidak Ditemukan")</f>
        <v>ZAENAL</v>
      </c>
      <c r="G870" s="21"/>
    </row>
    <row r="871" spans="2:7">
      <c r="B871" s="22" t="s">
        <v>668</v>
      </c>
      <c r="C871" s="23" t="s">
        <v>669</v>
      </c>
      <c r="D871" s="24" t="s">
        <v>908</v>
      </c>
      <c r="E871" s="25" t="s">
        <v>1722</v>
      </c>
      <c r="F871" s="16" t="str">
        <f>_xlfn.XLOOKUP(D871,'[7]Database DP'!$C:$C,'[7]Database DP'!$F:$F,"Tidak Ditemukan")</f>
        <v>ZAENAL</v>
      </c>
      <c r="G871" s="21"/>
    </row>
    <row r="872" spans="2:7">
      <c r="B872" s="22" t="s">
        <v>668</v>
      </c>
      <c r="C872" s="23" t="s">
        <v>669</v>
      </c>
      <c r="D872" s="24" t="s">
        <v>909</v>
      </c>
      <c r="E872" s="25" t="s">
        <v>1722</v>
      </c>
      <c r="F872" s="16" t="str">
        <f>_xlfn.XLOOKUP(D872,'[7]Database DP'!$C:$C,'[7]Database DP'!$F:$F,"Tidak Ditemukan")</f>
        <v>ZAENAL</v>
      </c>
      <c r="G872" s="21"/>
    </row>
    <row r="873" spans="2:7">
      <c r="B873" s="22" t="s">
        <v>668</v>
      </c>
      <c r="C873" s="23" t="s">
        <v>669</v>
      </c>
      <c r="D873" s="24" t="s">
        <v>910</v>
      </c>
      <c r="E873" s="25" t="s">
        <v>1722</v>
      </c>
      <c r="F873" s="16" t="str">
        <f>_xlfn.XLOOKUP(D873,'[7]Database DP'!$C:$C,'[7]Database DP'!$F:$F,"Tidak Ditemukan")</f>
        <v>DIAZ</v>
      </c>
      <c r="G873" s="21"/>
    </row>
    <row r="874" spans="2:7">
      <c r="B874" s="22" t="s">
        <v>668</v>
      </c>
      <c r="C874" s="23" t="s">
        <v>669</v>
      </c>
      <c r="D874" s="24" t="s">
        <v>911</v>
      </c>
      <c r="E874" s="25" t="s">
        <v>1722</v>
      </c>
      <c r="F874" s="16" t="str">
        <f>_xlfn.XLOOKUP(D874,'[7]Database DP'!$C:$C,'[7]Database DP'!$F:$F,"Tidak Ditemukan")</f>
        <v>DIAZ</v>
      </c>
      <c r="G874" s="21"/>
    </row>
    <row r="875" spans="2:7">
      <c r="B875" s="22" t="s">
        <v>668</v>
      </c>
      <c r="C875" s="23" t="s">
        <v>669</v>
      </c>
      <c r="D875" s="24" t="s">
        <v>912</v>
      </c>
      <c r="E875" s="25" t="s">
        <v>1722</v>
      </c>
      <c r="F875" s="16" t="str">
        <f>_xlfn.XLOOKUP(D875,'[7]Database DP'!$C:$C,'[7]Database DP'!$F:$F,"Tidak Ditemukan")</f>
        <v>DIAZ</v>
      </c>
      <c r="G875" s="21"/>
    </row>
    <row r="876" spans="2:7">
      <c r="B876" s="22" t="s">
        <v>668</v>
      </c>
      <c r="C876" s="23" t="s">
        <v>669</v>
      </c>
      <c r="D876" s="24" t="s">
        <v>913</v>
      </c>
      <c r="E876" s="25" t="s">
        <v>1722</v>
      </c>
      <c r="F876" s="16" t="str">
        <f>_xlfn.XLOOKUP(D876,'[7]Database DP'!$C:$C,'[7]Database DP'!$F:$F,"Tidak Ditemukan")</f>
        <v>DIAZ</v>
      </c>
      <c r="G876" s="21"/>
    </row>
    <row r="877" spans="2:7">
      <c r="B877" s="22" t="s">
        <v>668</v>
      </c>
      <c r="C877" s="23" t="s">
        <v>669</v>
      </c>
      <c r="D877" s="24" t="s">
        <v>914</v>
      </c>
      <c r="E877" s="25" t="s">
        <v>1722</v>
      </c>
      <c r="F877" s="16" t="str">
        <f>_xlfn.XLOOKUP(D877,'[7]Database DP'!$C:$C,'[7]Database DP'!$F:$F,"Tidak Ditemukan")</f>
        <v>HERI</v>
      </c>
      <c r="G877" s="21"/>
    </row>
    <row r="878" spans="2:7">
      <c r="B878" s="22" t="s">
        <v>668</v>
      </c>
      <c r="C878" s="23" t="s">
        <v>669</v>
      </c>
      <c r="D878" s="24" t="s">
        <v>915</v>
      </c>
      <c r="E878" s="25" t="s">
        <v>1722</v>
      </c>
      <c r="F878" s="16" t="str">
        <f>_xlfn.XLOOKUP(D878,'[7]Database DP'!$C:$C,'[7]Database DP'!$F:$F,"Tidak Ditemukan")</f>
        <v>HERI</v>
      </c>
      <c r="G878" s="21"/>
    </row>
    <row r="879" spans="2:7">
      <c r="B879" s="22" t="s">
        <v>668</v>
      </c>
      <c r="C879" s="23" t="s">
        <v>669</v>
      </c>
      <c r="D879" s="24" t="s">
        <v>916</v>
      </c>
      <c r="E879" s="25" t="s">
        <v>1722</v>
      </c>
      <c r="F879" s="16" t="str">
        <f>_xlfn.XLOOKUP(D879,'[7]Database DP'!$C:$C,'[7]Database DP'!$F:$F,"Tidak Ditemukan")</f>
        <v>IRWAN</v>
      </c>
      <c r="G879" s="21"/>
    </row>
    <row r="880" spans="2:7">
      <c r="B880" s="22" t="s">
        <v>668</v>
      </c>
      <c r="C880" s="23" t="s">
        <v>669</v>
      </c>
      <c r="D880" s="24" t="s">
        <v>917</v>
      </c>
      <c r="E880" s="25" t="s">
        <v>1722</v>
      </c>
      <c r="F880" s="16" t="str">
        <f>_xlfn.XLOOKUP(D880,'[7]Database DP'!$C:$C,'[7]Database DP'!$F:$F,"Tidak Ditemukan")</f>
        <v>KHABIB</v>
      </c>
      <c r="G880" s="21"/>
    </row>
    <row r="881" spans="2:7">
      <c r="B881" s="22" t="s">
        <v>668</v>
      </c>
      <c r="C881" s="23" t="s">
        <v>669</v>
      </c>
      <c r="D881" s="24" t="s">
        <v>918</v>
      </c>
      <c r="E881" s="25" t="s">
        <v>1722</v>
      </c>
      <c r="F881" s="16" t="str">
        <f>_xlfn.XLOOKUP(D881,'[7]Database DP'!$C:$C,'[7]Database DP'!$F:$F,"Tidak Ditemukan")</f>
        <v>RAGIL</v>
      </c>
      <c r="G881" s="21"/>
    </row>
    <row r="882" spans="2:7">
      <c r="B882" s="22" t="s">
        <v>668</v>
      </c>
      <c r="C882" s="23" t="s">
        <v>669</v>
      </c>
      <c r="D882" s="24" t="s">
        <v>919</v>
      </c>
      <c r="E882" s="25" t="s">
        <v>1722</v>
      </c>
      <c r="F882" s="16" t="str">
        <f>_xlfn.XLOOKUP(D882,'[7]Database DP'!$C:$C,'[7]Database DP'!$F:$F,"Tidak Ditemukan")</f>
        <v>RAGIL</v>
      </c>
      <c r="G882" s="21"/>
    </row>
    <row r="883" spans="2:7">
      <c r="B883" s="22" t="s">
        <v>668</v>
      </c>
      <c r="C883" s="23" t="s">
        <v>669</v>
      </c>
      <c r="D883" s="24" t="s">
        <v>920</v>
      </c>
      <c r="E883" s="25" t="s">
        <v>1722</v>
      </c>
      <c r="F883" s="16" t="str">
        <f>_xlfn.XLOOKUP(D883,'[7]Database DP'!$C:$C,'[7]Database DP'!$F:$F,"Tidak Ditemukan")</f>
        <v>RAGIL</v>
      </c>
      <c r="G883" s="21"/>
    </row>
    <row r="884" spans="2:7">
      <c r="B884" s="22" t="s">
        <v>668</v>
      </c>
      <c r="C884" s="23" t="s">
        <v>669</v>
      </c>
      <c r="D884" s="24" t="s">
        <v>921</v>
      </c>
      <c r="E884" s="25" t="s">
        <v>1722</v>
      </c>
      <c r="F884" s="16" t="str">
        <f>_xlfn.XLOOKUP(D884,'[7]Database DP'!$C:$C,'[7]Database DP'!$F:$F,"Tidak Ditemukan")</f>
        <v>RAGIL</v>
      </c>
      <c r="G884" s="21"/>
    </row>
    <row r="885" spans="2:7">
      <c r="B885" s="22" t="s">
        <v>668</v>
      </c>
      <c r="C885" s="23" t="s">
        <v>669</v>
      </c>
      <c r="D885" s="24" t="s">
        <v>923</v>
      </c>
      <c r="E885" s="25" t="s">
        <v>1722</v>
      </c>
      <c r="F885" s="16" t="str">
        <f>_xlfn.XLOOKUP(D885,'[7]Database DP'!$C:$C,'[7]Database DP'!$F:$F,"Tidak Ditemukan")</f>
        <v>RONY</v>
      </c>
      <c r="G885" s="21"/>
    </row>
    <row r="886" spans="2:7">
      <c r="B886" s="22" t="s">
        <v>668</v>
      </c>
      <c r="C886" s="23" t="s">
        <v>669</v>
      </c>
      <c r="D886" s="24" t="s">
        <v>924</v>
      </c>
      <c r="E886" s="25" t="s">
        <v>1722</v>
      </c>
      <c r="F886" s="16" t="str">
        <f>_xlfn.XLOOKUP(D886,'[7]Database DP'!$C:$C,'[7]Database DP'!$F:$F,"Tidak Ditemukan")</f>
        <v>RONY</v>
      </c>
      <c r="G886" s="21"/>
    </row>
    <row r="887" spans="2:7">
      <c r="B887" s="22" t="s">
        <v>668</v>
      </c>
      <c r="C887" s="23" t="s">
        <v>669</v>
      </c>
      <c r="D887" s="24" t="s">
        <v>925</v>
      </c>
      <c r="E887" s="25" t="s">
        <v>1722</v>
      </c>
      <c r="F887" s="16" t="str">
        <f>_xlfn.XLOOKUP(D887,'[7]Database DP'!$C:$C,'[7]Database DP'!$F:$F,"Tidak Ditemukan")</f>
        <v>RONY</v>
      </c>
      <c r="G887" s="21"/>
    </row>
    <row r="888" spans="2:7">
      <c r="B888" s="22" t="s">
        <v>668</v>
      </c>
      <c r="C888" s="23" t="s">
        <v>669</v>
      </c>
      <c r="D888" s="24" t="s">
        <v>926</v>
      </c>
      <c r="E888" s="25" t="s">
        <v>1722</v>
      </c>
      <c r="F888" s="16" t="str">
        <f>_xlfn.XLOOKUP(D888,'[7]Database DP'!$C:$C,'[7]Database DP'!$F:$F,"Tidak Ditemukan")</f>
        <v>DIAZ</v>
      </c>
      <c r="G888" s="21"/>
    </row>
    <row r="889" spans="2:7">
      <c r="B889" s="22" t="s">
        <v>927</v>
      </c>
      <c r="C889" s="23" t="s">
        <v>928</v>
      </c>
      <c r="D889" s="24" t="s">
        <v>929</v>
      </c>
      <c r="E889" s="25" t="s">
        <v>1722</v>
      </c>
      <c r="F889" s="16" t="str">
        <f>_xlfn.XLOOKUP(D889,'[8]AGUSTUS 2026'!$B:$B,'[8]AGUSTUS 2026'!$I:$I,"Tidak Ditemukan")</f>
        <v>BIMO WALGITO</v>
      </c>
      <c r="G889" s="21"/>
    </row>
    <row r="890" spans="2:7">
      <c r="B890" s="22" t="s">
        <v>927</v>
      </c>
      <c r="C890" s="23" t="s">
        <v>928</v>
      </c>
      <c r="D890" s="24" t="s">
        <v>930</v>
      </c>
      <c r="E890" s="25" t="s">
        <v>1722</v>
      </c>
      <c r="F890" s="16" t="str">
        <f>_xlfn.XLOOKUP(D890,'[8]AGUSTUS 2026'!$B:$B,'[8]AGUSTUS 2026'!$I:$I,"Tidak Ditemukan")</f>
        <v>BIMO WALGITO</v>
      </c>
      <c r="G890" s="21"/>
    </row>
    <row r="891" spans="2:7">
      <c r="B891" s="22" t="s">
        <v>927</v>
      </c>
      <c r="C891" s="23" t="s">
        <v>928</v>
      </c>
      <c r="D891" s="24" t="s">
        <v>931</v>
      </c>
      <c r="E891" s="25" t="s">
        <v>1722</v>
      </c>
      <c r="F891" s="16" t="str">
        <f>_xlfn.XLOOKUP(D891,'[8]AGUSTUS 2026'!$B:$B,'[8]AGUSTUS 2026'!$I:$I,"Tidak Ditemukan")</f>
        <v>BIMO WALGITO</v>
      </c>
      <c r="G891" s="21"/>
    </row>
    <row r="892" spans="2:7">
      <c r="B892" s="22" t="s">
        <v>927</v>
      </c>
      <c r="C892" s="23" t="s">
        <v>928</v>
      </c>
      <c r="D892" s="24" t="s">
        <v>932</v>
      </c>
      <c r="E892" s="25" t="s">
        <v>1722</v>
      </c>
      <c r="F892" s="16" t="str">
        <f>_xlfn.XLOOKUP(D892,'[8]AGUSTUS 2026'!$B:$B,'[8]AGUSTUS 2026'!$I:$I,"Tidak Ditemukan")</f>
        <v>BIMO WALGITO</v>
      </c>
      <c r="G892" s="21"/>
    </row>
    <row r="893" spans="2:7">
      <c r="B893" s="22" t="s">
        <v>927</v>
      </c>
      <c r="C893" s="23" t="s">
        <v>928</v>
      </c>
      <c r="D893" s="24" t="s">
        <v>933</v>
      </c>
      <c r="E893" s="25" t="s">
        <v>1722</v>
      </c>
      <c r="F893" s="16" t="str">
        <f>_xlfn.XLOOKUP(D893,'[8]AGUSTUS 2026'!$B:$B,'[8]AGUSTUS 2026'!$I:$I,"Tidak Ditemukan")</f>
        <v>BIMO WALGITO</v>
      </c>
      <c r="G893" s="21"/>
    </row>
    <row r="894" spans="2:7">
      <c r="B894" s="22" t="s">
        <v>927</v>
      </c>
      <c r="C894" s="23" t="s">
        <v>928</v>
      </c>
      <c r="D894" s="24" t="s">
        <v>934</v>
      </c>
      <c r="E894" s="25" t="s">
        <v>1722</v>
      </c>
      <c r="F894" s="16" t="str">
        <f>_xlfn.XLOOKUP(D894,'[8]AGUSTUS 2026'!$B:$B,'[8]AGUSTUS 2026'!$I:$I,"Tidak Ditemukan")</f>
        <v>BIMO WALGITO</v>
      </c>
      <c r="G894" s="21"/>
    </row>
    <row r="895" spans="2:7">
      <c r="B895" s="22" t="s">
        <v>927</v>
      </c>
      <c r="C895" s="23" t="s">
        <v>928</v>
      </c>
      <c r="D895" s="24" t="s">
        <v>935</v>
      </c>
      <c r="E895" s="25" t="s">
        <v>1722</v>
      </c>
      <c r="F895" s="16" t="str">
        <f>_xlfn.XLOOKUP(D895,'[8]AGUSTUS 2026'!$B:$B,'[8]AGUSTUS 2026'!$I:$I,"Tidak Ditemukan")</f>
        <v>BIMO WALGITO</v>
      </c>
      <c r="G895" s="21"/>
    </row>
    <row r="896" spans="2:7">
      <c r="B896" s="22" t="s">
        <v>927</v>
      </c>
      <c r="C896" s="23" t="s">
        <v>928</v>
      </c>
      <c r="D896" s="24" t="s">
        <v>936</v>
      </c>
      <c r="E896" s="25" t="s">
        <v>1722</v>
      </c>
      <c r="F896" s="16" t="str">
        <f>_xlfn.XLOOKUP(D896,'[8]AGUSTUS 2026'!$B:$B,'[8]AGUSTUS 2026'!$I:$I,"Tidak Ditemukan")</f>
        <v>BIMO WALGITO</v>
      </c>
      <c r="G896" s="21"/>
    </row>
    <row r="897" spans="2:7">
      <c r="B897" s="22" t="s">
        <v>927</v>
      </c>
      <c r="C897" s="23" t="s">
        <v>928</v>
      </c>
      <c r="D897" s="24" t="s">
        <v>937</v>
      </c>
      <c r="E897" s="25" t="s">
        <v>1722</v>
      </c>
      <c r="F897" s="16" t="str">
        <f>_xlfn.XLOOKUP(D897,'[8]AGUSTUS 2026'!$B:$B,'[8]AGUSTUS 2026'!$I:$I,"Tidak Ditemukan")</f>
        <v>BIMO WALGITO</v>
      </c>
      <c r="G897" s="21"/>
    </row>
    <row r="898" spans="2:7">
      <c r="B898" s="22" t="s">
        <v>927</v>
      </c>
      <c r="C898" s="23" t="s">
        <v>928</v>
      </c>
      <c r="D898" s="24" t="s">
        <v>938</v>
      </c>
      <c r="E898" s="25" t="s">
        <v>1722</v>
      </c>
      <c r="F898" s="16" t="str">
        <f>_xlfn.XLOOKUP(D898,'[8]AGUSTUS 2026'!$B:$B,'[8]AGUSTUS 2026'!$I:$I,"Tidak Ditemukan")</f>
        <v>RIZKI NOFRIA WAHYUDI</v>
      </c>
      <c r="G898" s="21"/>
    </row>
    <row r="899" spans="2:7">
      <c r="B899" s="22" t="s">
        <v>927</v>
      </c>
      <c r="C899" s="23" t="s">
        <v>928</v>
      </c>
      <c r="D899" s="24" t="s">
        <v>939</v>
      </c>
      <c r="E899" s="25" t="s">
        <v>1722</v>
      </c>
      <c r="F899" s="16" t="str">
        <f>_xlfn.XLOOKUP(D899,'[8]AGUSTUS 2026'!$B:$B,'[8]AGUSTUS 2026'!$I:$I,"Tidak Ditemukan")</f>
        <v>RIZKI NOFRIA WAHYUDI</v>
      </c>
      <c r="G899" s="21"/>
    </row>
    <row r="900" spans="2:7">
      <c r="B900" s="22" t="s">
        <v>927</v>
      </c>
      <c r="C900" s="23" t="s">
        <v>928</v>
      </c>
      <c r="D900" s="24" t="s">
        <v>940</v>
      </c>
      <c r="E900" s="25" t="s">
        <v>1722</v>
      </c>
      <c r="F900" s="16" t="str">
        <f>_xlfn.XLOOKUP(D900,'[8]AGUSTUS 2026'!$B:$B,'[8]AGUSTUS 2026'!$I:$I,"Tidak Ditemukan")</f>
        <v>RIZKI NOFRIA WAHYUDI</v>
      </c>
      <c r="G900" s="21"/>
    </row>
    <row r="901" spans="2:7">
      <c r="B901" s="22" t="s">
        <v>927</v>
      </c>
      <c r="C901" s="23" t="s">
        <v>928</v>
      </c>
      <c r="D901" s="24" t="s">
        <v>941</v>
      </c>
      <c r="E901" s="25" t="s">
        <v>1722</v>
      </c>
      <c r="F901" s="16" t="str">
        <f>_xlfn.XLOOKUP(D901,'[8]AGUSTUS 2026'!$B:$B,'[8]AGUSTUS 2026'!$I:$I,"Tidak Ditemukan")</f>
        <v>RIZKI NOFRIA WAHYUDI</v>
      </c>
      <c r="G901" s="21"/>
    </row>
    <row r="902" spans="2:7">
      <c r="B902" s="22" t="s">
        <v>927</v>
      </c>
      <c r="C902" s="23" t="s">
        <v>928</v>
      </c>
      <c r="D902" s="24" t="s">
        <v>942</v>
      </c>
      <c r="E902" s="25" t="s">
        <v>1722</v>
      </c>
      <c r="F902" s="16" t="str">
        <f>_xlfn.XLOOKUP(D902,'[8]AGUSTUS 2026'!$B:$B,'[8]AGUSTUS 2026'!$I:$I,"Tidak Ditemukan")</f>
        <v>RIZKI NOFRIA WAHYUDI</v>
      </c>
      <c r="G902" s="21"/>
    </row>
    <row r="903" spans="2:7">
      <c r="B903" s="22" t="s">
        <v>927</v>
      </c>
      <c r="C903" s="23" t="s">
        <v>928</v>
      </c>
      <c r="D903" s="24" t="s">
        <v>943</v>
      </c>
      <c r="E903" s="25" t="s">
        <v>1722</v>
      </c>
      <c r="F903" s="16" t="str">
        <f>_xlfn.XLOOKUP(D903,'[8]AGUSTUS 2026'!$B:$B,'[8]AGUSTUS 2026'!$I:$I,"Tidak Ditemukan")</f>
        <v>RIZKI NOFRIA WAHYUDI</v>
      </c>
      <c r="G903" s="21"/>
    </row>
    <row r="904" spans="2:7">
      <c r="B904" s="22" t="s">
        <v>927</v>
      </c>
      <c r="C904" s="23" t="s">
        <v>928</v>
      </c>
      <c r="D904" s="24" t="s">
        <v>944</v>
      </c>
      <c r="E904" s="25" t="s">
        <v>1722</v>
      </c>
      <c r="F904" s="16" t="str">
        <f>_xlfn.XLOOKUP(D904,'[8]AGUSTUS 2026'!$B:$B,'[8]AGUSTUS 2026'!$I:$I,"Tidak Ditemukan")</f>
        <v>RIZKI NOFRIA WAHYUDI</v>
      </c>
      <c r="G904" s="21"/>
    </row>
    <row r="905" spans="2:7">
      <c r="B905" s="22" t="s">
        <v>927</v>
      </c>
      <c r="C905" s="23" t="s">
        <v>928</v>
      </c>
      <c r="D905" s="24" t="s">
        <v>945</v>
      </c>
      <c r="E905" s="25" t="s">
        <v>1722</v>
      </c>
      <c r="F905" s="16" t="str">
        <f>_xlfn.XLOOKUP(D905,'[8]AGUSTUS 2026'!$B:$B,'[8]AGUSTUS 2026'!$I:$I,"Tidak Ditemukan")</f>
        <v>RIZKI NOFRIA WAHYUDI</v>
      </c>
      <c r="G905" s="21"/>
    </row>
    <row r="906" spans="2:7">
      <c r="B906" s="22" t="s">
        <v>927</v>
      </c>
      <c r="C906" s="23" t="s">
        <v>928</v>
      </c>
      <c r="D906" s="24" t="s">
        <v>946</v>
      </c>
      <c r="E906" s="25" t="s">
        <v>1722</v>
      </c>
      <c r="F906" s="16" t="str">
        <f>_xlfn.XLOOKUP(D906,'[8]AGUSTUS 2026'!$B:$B,'[8]AGUSTUS 2026'!$I:$I,"Tidak Ditemukan")</f>
        <v>RIZKI NOFRIA WAHYUDI</v>
      </c>
      <c r="G906" s="21"/>
    </row>
    <row r="907" spans="2:7">
      <c r="B907" s="22" t="s">
        <v>927</v>
      </c>
      <c r="C907" s="23" t="s">
        <v>928</v>
      </c>
      <c r="D907" s="24" t="s">
        <v>947</v>
      </c>
      <c r="E907" s="25" t="s">
        <v>1722</v>
      </c>
      <c r="F907" s="16" t="str">
        <f>_xlfn.XLOOKUP(D907,'[8]AGUSTUS 2026'!$B:$B,'[8]AGUSTUS 2026'!$I:$I,"Tidak Ditemukan")</f>
        <v>RIZKI NOFRIA WAHYUDI</v>
      </c>
      <c r="G907" s="21"/>
    </row>
    <row r="908" spans="2:7">
      <c r="B908" s="22" t="s">
        <v>927</v>
      </c>
      <c r="C908" s="23" t="s">
        <v>928</v>
      </c>
      <c r="D908" s="24" t="s">
        <v>948</v>
      </c>
      <c r="E908" s="25" t="s">
        <v>1722</v>
      </c>
      <c r="F908" s="16" t="str">
        <f>_xlfn.XLOOKUP(D908,'[8]AGUSTUS 2026'!$B:$B,'[8]AGUSTUS 2026'!$I:$I,"Tidak Ditemukan")</f>
        <v>RIZKI NOFRIA WAHYUDI</v>
      </c>
      <c r="G908" s="21"/>
    </row>
    <row r="909" spans="2:7">
      <c r="B909" s="22" t="s">
        <v>927</v>
      </c>
      <c r="C909" s="23" t="s">
        <v>928</v>
      </c>
      <c r="D909" s="24" t="s">
        <v>949</v>
      </c>
      <c r="E909" s="25" t="s">
        <v>1722</v>
      </c>
      <c r="F909" s="16" t="str">
        <f>_xlfn.XLOOKUP(D909,'[8]AGUSTUS 2026'!$B:$B,'[8]AGUSTUS 2026'!$I:$I,"Tidak Ditemukan")</f>
        <v>RIZKI NOFRIA WAHYUDI</v>
      </c>
      <c r="G909" s="21"/>
    </row>
    <row r="910" spans="2:7">
      <c r="B910" s="22" t="s">
        <v>927</v>
      </c>
      <c r="C910" s="23" t="s">
        <v>928</v>
      </c>
      <c r="D910" s="24" t="s">
        <v>950</v>
      </c>
      <c r="E910" s="25" t="s">
        <v>1722</v>
      </c>
      <c r="F910" s="16" t="str">
        <f>_xlfn.XLOOKUP(D910,'[8]AGUSTUS 2026'!$B:$B,'[8]AGUSTUS 2026'!$I:$I,"Tidak Ditemukan")</f>
        <v>DIMAS DANU SOHIBAN</v>
      </c>
      <c r="G910" s="21"/>
    </row>
    <row r="911" spans="2:7">
      <c r="B911" s="22" t="s">
        <v>927</v>
      </c>
      <c r="C911" s="23" t="s">
        <v>928</v>
      </c>
      <c r="D911" s="24" t="s">
        <v>951</v>
      </c>
      <c r="E911" s="25" t="s">
        <v>1722</v>
      </c>
      <c r="F911" s="16" t="str">
        <f>_xlfn.XLOOKUP(D911,'[8]AGUSTUS 2026'!$B:$B,'[8]AGUSTUS 2026'!$I:$I,"Tidak Ditemukan")</f>
        <v>IFAN SUTIONO</v>
      </c>
      <c r="G911" s="21"/>
    </row>
    <row r="912" spans="2:7">
      <c r="B912" s="22" t="s">
        <v>927</v>
      </c>
      <c r="C912" s="23" t="s">
        <v>928</v>
      </c>
      <c r="D912" s="24" t="s">
        <v>952</v>
      </c>
      <c r="E912" s="25" t="s">
        <v>1722</v>
      </c>
      <c r="F912" s="16" t="str">
        <f>_xlfn.XLOOKUP(D912,'[8]AGUSTUS 2026'!$B:$B,'[8]AGUSTUS 2026'!$I:$I,"Tidak Ditemukan")</f>
        <v>DIMAS DANU SOHIBAN</v>
      </c>
      <c r="G912" s="21"/>
    </row>
    <row r="913" spans="2:7">
      <c r="B913" s="22" t="s">
        <v>927</v>
      </c>
      <c r="C913" s="23" t="s">
        <v>928</v>
      </c>
      <c r="D913" s="24" t="s">
        <v>953</v>
      </c>
      <c r="E913" s="25" t="s">
        <v>1722</v>
      </c>
      <c r="F913" s="16" t="str">
        <f>_xlfn.XLOOKUP(D913,'[8]AGUSTUS 2026'!$B:$B,'[8]AGUSTUS 2026'!$I:$I,"Tidak Ditemukan")</f>
        <v>DIMAS DANU SOHIBAN</v>
      </c>
      <c r="G913" s="21"/>
    </row>
    <row r="914" spans="2:7">
      <c r="B914" s="22" t="s">
        <v>927</v>
      </c>
      <c r="C914" s="23" t="s">
        <v>928</v>
      </c>
      <c r="D914" s="24" t="s">
        <v>954</v>
      </c>
      <c r="E914" s="25" t="s">
        <v>1722</v>
      </c>
      <c r="F914" s="16" t="str">
        <f>_xlfn.XLOOKUP(D914,'[8]AGUSTUS 2026'!$B:$B,'[8]AGUSTUS 2026'!$I:$I,"Tidak Ditemukan")</f>
        <v>IFAN SUTIONO</v>
      </c>
      <c r="G914" s="21"/>
    </row>
    <row r="915" spans="2:7">
      <c r="B915" s="22" t="s">
        <v>927</v>
      </c>
      <c r="C915" s="23" t="s">
        <v>928</v>
      </c>
      <c r="D915" s="24" t="s">
        <v>955</v>
      </c>
      <c r="E915" s="25" t="s">
        <v>1722</v>
      </c>
      <c r="F915" s="16" t="str">
        <f>_xlfn.XLOOKUP(D915,'[8]AGUSTUS 2026'!$B:$B,'[8]AGUSTUS 2026'!$I:$I,"Tidak Ditemukan")</f>
        <v>DIMAS DANU SOHIBAN</v>
      </c>
      <c r="G915" s="21"/>
    </row>
    <row r="916" spans="2:7">
      <c r="B916" s="22" t="s">
        <v>927</v>
      </c>
      <c r="C916" s="23" t="s">
        <v>928</v>
      </c>
      <c r="D916" s="24" t="s">
        <v>956</v>
      </c>
      <c r="E916" s="25" t="s">
        <v>1722</v>
      </c>
      <c r="F916" s="16" t="str">
        <f>_xlfn.XLOOKUP(D916,'[8]AGUSTUS 2026'!$B:$B,'[8]AGUSTUS 2026'!$I:$I,"Tidak Ditemukan")</f>
        <v>IFAN SUTIONO</v>
      </c>
      <c r="G916" s="21"/>
    </row>
    <row r="917" spans="2:7">
      <c r="B917" s="22" t="s">
        <v>927</v>
      </c>
      <c r="C917" s="23" t="s">
        <v>928</v>
      </c>
      <c r="D917" s="24" t="s">
        <v>957</v>
      </c>
      <c r="E917" s="25" t="s">
        <v>1722</v>
      </c>
      <c r="F917" s="16" t="str">
        <f>_xlfn.XLOOKUP(D917,'[8]AGUSTUS 2026'!$B:$B,'[8]AGUSTUS 2026'!$I:$I,"Tidak Ditemukan")</f>
        <v>IFAN SUTIONO</v>
      </c>
      <c r="G917" s="21"/>
    </row>
    <row r="918" spans="2:7">
      <c r="B918" s="22" t="s">
        <v>927</v>
      </c>
      <c r="C918" s="23" t="s">
        <v>928</v>
      </c>
      <c r="D918" s="24" t="s">
        <v>958</v>
      </c>
      <c r="E918" s="25" t="s">
        <v>1722</v>
      </c>
      <c r="F918" s="16" t="str">
        <f>_xlfn.XLOOKUP(D918,'[8]AGUSTUS 2026'!$B:$B,'[8]AGUSTUS 2026'!$I:$I,"Tidak Ditemukan")</f>
        <v>DIMAS DANU SOHIBAN</v>
      </c>
      <c r="G918" s="21"/>
    </row>
    <row r="919" spans="2:7">
      <c r="B919" s="22" t="s">
        <v>927</v>
      </c>
      <c r="C919" s="23" t="s">
        <v>928</v>
      </c>
      <c r="D919" s="24" t="s">
        <v>959</v>
      </c>
      <c r="E919" s="25" t="s">
        <v>1722</v>
      </c>
      <c r="F919" s="16" t="str">
        <f>_xlfn.XLOOKUP(D919,'[8]AGUSTUS 2026'!$B:$B,'[8]AGUSTUS 2026'!$I:$I,"Tidak Ditemukan")</f>
        <v>DIMAS DANU SOHIBAN</v>
      </c>
      <c r="G919" s="21"/>
    </row>
    <row r="920" spans="2:7">
      <c r="B920" s="22" t="s">
        <v>927</v>
      </c>
      <c r="C920" s="23" t="s">
        <v>928</v>
      </c>
      <c r="D920" s="24" t="s">
        <v>960</v>
      </c>
      <c r="E920" s="25" t="s">
        <v>1722</v>
      </c>
      <c r="F920" s="16" t="str">
        <f>_xlfn.XLOOKUP(D920,'[8]AGUSTUS 2026'!$B:$B,'[8]AGUSTUS 2026'!$I:$I,"Tidak Ditemukan")</f>
        <v>DIMAS DANU SOHIBAN</v>
      </c>
      <c r="G920" s="21"/>
    </row>
    <row r="921" spans="2:7">
      <c r="B921" s="22" t="s">
        <v>927</v>
      </c>
      <c r="C921" s="23" t="s">
        <v>928</v>
      </c>
      <c r="D921" s="24" t="s">
        <v>961</v>
      </c>
      <c r="E921" s="25" t="s">
        <v>1722</v>
      </c>
      <c r="F921" s="16" t="str">
        <f>_xlfn.XLOOKUP(D921,'[8]AGUSTUS 2026'!$B:$B,'[8]AGUSTUS 2026'!$I:$I,"Tidak Ditemukan")</f>
        <v>IFAN SUTIONO</v>
      </c>
      <c r="G921" s="21"/>
    </row>
    <row r="922" spans="2:7">
      <c r="B922" s="22" t="s">
        <v>927</v>
      </c>
      <c r="C922" s="23" t="s">
        <v>928</v>
      </c>
      <c r="D922" s="24" t="s">
        <v>962</v>
      </c>
      <c r="E922" s="25" t="s">
        <v>1722</v>
      </c>
      <c r="F922" s="16" t="str">
        <f>_xlfn.XLOOKUP(D922,'[8]AGUSTUS 2026'!$B:$B,'[8]AGUSTUS 2026'!$I:$I,"Tidak Ditemukan")</f>
        <v>IFAN SUTIONO</v>
      </c>
      <c r="G922" s="21"/>
    </row>
    <row r="923" spans="2:7">
      <c r="B923" s="22" t="s">
        <v>927</v>
      </c>
      <c r="C923" s="23" t="s">
        <v>928</v>
      </c>
      <c r="D923" s="24" t="s">
        <v>963</v>
      </c>
      <c r="E923" s="25" t="s">
        <v>1722</v>
      </c>
      <c r="F923" s="16" t="str">
        <f>_xlfn.XLOOKUP(D923,'[8]AGUSTUS 2026'!$B:$B,'[8]AGUSTUS 2026'!$I:$I,"Tidak Ditemukan")</f>
        <v>SURYA DWI J</v>
      </c>
      <c r="G923" s="21"/>
    </row>
    <row r="924" spans="2:7">
      <c r="B924" s="22" t="s">
        <v>927</v>
      </c>
      <c r="C924" s="23" t="s">
        <v>928</v>
      </c>
      <c r="D924" s="24" t="s">
        <v>964</v>
      </c>
      <c r="E924" s="25" t="s">
        <v>1722</v>
      </c>
      <c r="F924" s="16" t="str">
        <f>_xlfn.XLOOKUP(D924,'[8]AGUSTUS 2026'!$B:$B,'[8]AGUSTUS 2026'!$I:$I,"Tidak Ditemukan")</f>
        <v>SURYA DWI J</v>
      </c>
      <c r="G924" s="21"/>
    </row>
    <row r="925" spans="2:7">
      <c r="B925" s="22" t="s">
        <v>927</v>
      </c>
      <c r="C925" s="23" t="s">
        <v>928</v>
      </c>
      <c r="D925" s="24" t="s">
        <v>965</v>
      </c>
      <c r="E925" s="25" t="s">
        <v>1722</v>
      </c>
      <c r="F925" s="16" t="str">
        <f>_xlfn.XLOOKUP(D925,'[8]AGUSTUS 2026'!$B:$B,'[8]AGUSTUS 2026'!$I:$I,"Tidak Ditemukan")</f>
        <v>SURYA DWI J</v>
      </c>
      <c r="G925" s="21"/>
    </row>
    <row r="926" spans="2:7">
      <c r="B926" s="22" t="s">
        <v>927</v>
      </c>
      <c r="C926" s="23" t="s">
        <v>928</v>
      </c>
      <c r="D926" s="24" t="s">
        <v>966</v>
      </c>
      <c r="E926" s="25" t="s">
        <v>1722</v>
      </c>
      <c r="F926" s="16" t="str">
        <f>_xlfn.XLOOKUP(D926,'[8]AGUSTUS 2026'!$B:$B,'[8]AGUSTUS 2026'!$I:$I,"Tidak Ditemukan")</f>
        <v>SURYA DWI J</v>
      </c>
      <c r="G926" s="21"/>
    </row>
    <row r="927" spans="2:7">
      <c r="B927" s="22" t="s">
        <v>927</v>
      </c>
      <c r="C927" s="23" t="s">
        <v>928</v>
      </c>
      <c r="D927" s="24" t="s">
        <v>967</v>
      </c>
      <c r="E927" s="25" t="s">
        <v>1722</v>
      </c>
      <c r="F927" s="16" t="str">
        <f>_xlfn.XLOOKUP(D927,'[8]AGUSTUS 2026'!$B:$B,'[8]AGUSTUS 2026'!$I:$I,"Tidak Ditemukan")</f>
        <v>SURYA DWI J</v>
      </c>
      <c r="G927" s="21"/>
    </row>
    <row r="928" spans="2:7">
      <c r="B928" s="22" t="s">
        <v>927</v>
      </c>
      <c r="C928" s="23" t="s">
        <v>928</v>
      </c>
      <c r="D928" s="24" t="s">
        <v>968</v>
      </c>
      <c r="E928" s="25" t="s">
        <v>1722</v>
      </c>
      <c r="F928" s="16" t="str">
        <f>_xlfn.XLOOKUP(D928,'[8]AGUSTUS 2026'!$B:$B,'[8]AGUSTUS 2026'!$I:$I,"Tidak Ditemukan")</f>
        <v>SURYA DWI J</v>
      </c>
      <c r="G928" s="21"/>
    </row>
    <row r="929" spans="2:7">
      <c r="B929" s="22" t="s">
        <v>927</v>
      </c>
      <c r="C929" s="23" t="s">
        <v>928</v>
      </c>
      <c r="D929" s="24" t="s">
        <v>969</v>
      </c>
      <c r="E929" s="25" t="s">
        <v>1722</v>
      </c>
      <c r="F929" s="16" t="str">
        <f>_xlfn.XLOOKUP(D929,'[8]AGUSTUS 2026'!$B:$B,'[8]AGUSTUS 2026'!$I:$I,"Tidak Ditemukan")</f>
        <v>OKI WILLYANTO</v>
      </c>
      <c r="G929" s="21"/>
    </row>
    <row r="930" spans="2:7">
      <c r="B930" s="22" t="s">
        <v>927</v>
      </c>
      <c r="C930" s="23" t="s">
        <v>928</v>
      </c>
      <c r="D930" s="24" t="s">
        <v>970</v>
      </c>
      <c r="E930" s="25" t="s">
        <v>1722</v>
      </c>
      <c r="F930" s="16" t="str">
        <f>_xlfn.XLOOKUP(D930,'[8]AGUSTUS 2026'!$B:$B,'[8]AGUSTUS 2026'!$I:$I,"Tidak Ditemukan")</f>
        <v>FATAH MUSTOFA B</v>
      </c>
      <c r="G930" s="21"/>
    </row>
    <row r="931" spans="2:7">
      <c r="B931" s="22" t="s">
        <v>927</v>
      </c>
      <c r="C931" s="23" t="s">
        <v>928</v>
      </c>
      <c r="D931" s="24" t="s">
        <v>971</v>
      </c>
      <c r="E931" s="25" t="s">
        <v>1722</v>
      </c>
      <c r="F931" s="16" t="str">
        <f>_xlfn.XLOOKUP(D931,'[8]AGUSTUS 2026'!$B:$B,'[8]AGUSTUS 2026'!$I:$I,"Tidak Ditemukan")</f>
        <v>FATAH MUSTOFA B</v>
      </c>
      <c r="G931" s="21"/>
    </row>
    <row r="932" spans="2:7">
      <c r="B932" s="22" t="s">
        <v>927</v>
      </c>
      <c r="C932" s="23" t="s">
        <v>928</v>
      </c>
      <c r="D932" s="24" t="s">
        <v>972</v>
      </c>
      <c r="E932" s="25" t="s">
        <v>1722</v>
      </c>
      <c r="F932" s="16" t="str">
        <f>_xlfn.XLOOKUP(D932,'[8]AGUSTUS 2026'!$B:$B,'[8]AGUSTUS 2026'!$I:$I,"Tidak Ditemukan")</f>
        <v>FATAH MUSTOFA B</v>
      </c>
      <c r="G932" s="21"/>
    </row>
    <row r="933" spans="2:7">
      <c r="B933" s="22" t="s">
        <v>927</v>
      </c>
      <c r="C933" s="23" t="s">
        <v>928</v>
      </c>
      <c r="D933" s="24" t="s">
        <v>973</v>
      </c>
      <c r="E933" s="25" t="s">
        <v>1722</v>
      </c>
      <c r="F933" s="16" t="str">
        <f>_xlfn.XLOOKUP(D933,'[8]AGUSTUS 2026'!$B:$B,'[8]AGUSTUS 2026'!$I:$I,"Tidak Ditemukan")</f>
        <v>FATAH MUSTOFA B</v>
      </c>
      <c r="G933" s="21"/>
    </row>
    <row r="934" spans="2:7">
      <c r="B934" s="22" t="s">
        <v>927</v>
      </c>
      <c r="C934" s="23" t="s">
        <v>928</v>
      </c>
      <c r="D934" s="24" t="s">
        <v>974</v>
      </c>
      <c r="E934" s="25" t="s">
        <v>1722</v>
      </c>
      <c r="F934" s="16" t="str">
        <f>_xlfn.XLOOKUP(D934,'[8]AGUSTUS 2026'!$B:$B,'[8]AGUSTUS 2026'!$I:$I,"Tidak Ditemukan")</f>
        <v>FATAH MUSTOFA B</v>
      </c>
      <c r="G934" s="21"/>
    </row>
    <row r="935" spans="2:7">
      <c r="B935" s="22" t="s">
        <v>927</v>
      </c>
      <c r="C935" s="23" t="s">
        <v>928</v>
      </c>
      <c r="D935" s="24" t="s">
        <v>975</v>
      </c>
      <c r="E935" s="25" t="s">
        <v>1722</v>
      </c>
      <c r="F935" s="16" t="str">
        <f>_xlfn.XLOOKUP(D935,'[8]AGUSTUS 2026'!$B:$B,'[8]AGUSTUS 2026'!$I:$I,"Tidak Ditemukan")</f>
        <v>FATAH MUSTOFA B</v>
      </c>
      <c r="G935" s="21"/>
    </row>
    <row r="936" spans="2:7">
      <c r="B936" s="22" t="s">
        <v>927</v>
      </c>
      <c r="C936" s="23" t="s">
        <v>928</v>
      </c>
      <c r="D936" s="24" t="s">
        <v>976</v>
      </c>
      <c r="E936" s="25" t="s">
        <v>1722</v>
      </c>
      <c r="F936" s="16" t="str">
        <f>_xlfn.XLOOKUP(D936,'[8]AGUSTUS 2026'!$B:$B,'[8]AGUSTUS 2026'!$I:$I,"Tidak Ditemukan")</f>
        <v>FATAH MUSTOFA B</v>
      </c>
      <c r="G936" s="21"/>
    </row>
    <row r="937" spans="2:7">
      <c r="B937" s="22" t="s">
        <v>927</v>
      </c>
      <c r="C937" s="23" t="s">
        <v>928</v>
      </c>
      <c r="D937" s="24" t="s">
        <v>977</v>
      </c>
      <c r="E937" s="25" t="s">
        <v>1722</v>
      </c>
      <c r="F937" s="16" t="str">
        <f>_xlfn.XLOOKUP(D937,'[8]AGUSTUS 2026'!$B:$B,'[8]AGUSTUS 2026'!$I:$I,"Tidak Ditemukan")</f>
        <v>OKI WILLYANTO</v>
      </c>
      <c r="G937" s="21"/>
    </row>
    <row r="938" spans="2:7">
      <c r="B938" s="22" t="s">
        <v>927</v>
      </c>
      <c r="C938" s="23" t="s">
        <v>928</v>
      </c>
      <c r="D938" s="24" t="s">
        <v>978</v>
      </c>
      <c r="E938" s="25" t="s">
        <v>1722</v>
      </c>
      <c r="F938" s="16" t="str">
        <f>_xlfn.XLOOKUP(D938,'[8]AGUSTUS 2026'!$B:$B,'[8]AGUSTUS 2026'!$I:$I,"Tidak Ditemukan")</f>
        <v>FATAH MUSTOFA B</v>
      </c>
      <c r="G938" s="21"/>
    </row>
    <row r="939" spans="2:7">
      <c r="B939" s="22" t="s">
        <v>927</v>
      </c>
      <c r="C939" s="23" t="s">
        <v>928</v>
      </c>
      <c r="D939" s="24" t="s">
        <v>979</v>
      </c>
      <c r="E939" s="25" t="s">
        <v>1722</v>
      </c>
      <c r="F939" s="16" t="str">
        <f>_xlfn.XLOOKUP(D939,'[8]AGUSTUS 2026'!$B:$B,'[8]AGUSTUS 2026'!$I:$I,"Tidak Ditemukan")</f>
        <v>FATAH MUSTOFA B</v>
      </c>
      <c r="G939" s="21"/>
    </row>
    <row r="940" spans="2:7">
      <c r="B940" s="22" t="s">
        <v>927</v>
      </c>
      <c r="C940" s="23" t="s">
        <v>928</v>
      </c>
      <c r="D940" s="24" t="s">
        <v>980</v>
      </c>
      <c r="E940" s="25" t="s">
        <v>1722</v>
      </c>
      <c r="F940" s="16" t="str">
        <f>_xlfn.XLOOKUP(D940,'[8]AGUSTUS 2026'!$B:$B,'[8]AGUSTUS 2026'!$I:$I,"Tidak Ditemukan")</f>
        <v>LUTFI HARIYANTO</v>
      </c>
      <c r="G940" s="21"/>
    </row>
    <row r="941" spans="2:7">
      <c r="B941" s="22" t="s">
        <v>927</v>
      </c>
      <c r="C941" s="23" t="s">
        <v>928</v>
      </c>
      <c r="D941" s="24" t="s">
        <v>981</v>
      </c>
      <c r="E941" s="25" t="s">
        <v>1722</v>
      </c>
      <c r="F941" s="16" t="str">
        <f>_xlfn.XLOOKUP(D941,'[8]AGUSTUS 2026'!$B:$B,'[8]AGUSTUS 2026'!$I:$I,"Tidak Ditemukan")</f>
        <v>LUTFI HARIYANTO</v>
      </c>
      <c r="G941" s="21"/>
    </row>
    <row r="942" spans="2:7">
      <c r="B942" s="22" t="s">
        <v>927</v>
      </c>
      <c r="C942" s="23" t="s">
        <v>928</v>
      </c>
      <c r="D942" s="24" t="s">
        <v>982</v>
      </c>
      <c r="E942" s="25" t="s">
        <v>1722</v>
      </c>
      <c r="F942" s="16" t="str">
        <f>_xlfn.XLOOKUP(D942,'[8]AGUSTUS 2026'!$B:$B,'[8]AGUSTUS 2026'!$I:$I,"Tidak Ditemukan")</f>
        <v>LUTFI HARIYANTO</v>
      </c>
      <c r="G942" s="21"/>
    </row>
    <row r="943" spans="2:7">
      <c r="B943" s="22" t="s">
        <v>927</v>
      </c>
      <c r="C943" s="23" t="s">
        <v>928</v>
      </c>
      <c r="D943" s="24" t="s">
        <v>983</v>
      </c>
      <c r="E943" s="25" t="s">
        <v>1722</v>
      </c>
      <c r="F943" s="16" t="str">
        <f>_xlfn.XLOOKUP(D943,'[8]AGUSTUS 2026'!$B:$B,'[8]AGUSTUS 2026'!$I:$I,"Tidak Ditemukan")</f>
        <v>LUTFI HARIYANTO</v>
      </c>
      <c r="G943" s="21"/>
    </row>
    <row r="944" spans="2:7">
      <c r="B944" s="22" t="s">
        <v>927</v>
      </c>
      <c r="C944" s="23" t="s">
        <v>928</v>
      </c>
      <c r="D944" s="24" t="s">
        <v>984</v>
      </c>
      <c r="E944" s="25" t="s">
        <v>1722</v>
      </c>
      <c r="F944" s="16" t="str">
        <f>_xlfn.XLOOKUP(D944,'[8]AGUSTUS 2026'!$B:$B,'[8]AGUSTUS 2026'!$I:$I,"Tidak Ditemukan")</f>
        <v>LUTFI HARIYANTO</v>
      </c>
      <c r="G944" s="21"/>
    </row>
    <row r="945" spans="2:7">
      <c r="B945" s="22" t="s">
        <v>927</v>
      </c>
      <c r="C945" s="23" t="s">
        <v>928</v>
      </c>
      <c r="D945" s="24" t="s">
        <v>985</v>
      </c>
      <c r="E945" s="25" t="s">
        <v>1722</v>
      </c>
      <c r="F945" s="16" t="str">
        <f>_xlfn.XLOOKUP(D945,'[8]AGUSTUS 2026'!$B:$B,'[8]AGUSTUS 2026'!$I:$I,"Tidak Ditemukan")</f>
        <v>LUTFI HARIYANTO</v>
      </c>
      <c r="G945" s="21"/>
    </row>
    <row r="946" spans="2:7">
      <c r="B946" s="22" t="s">
        <v>927</v>
      </c>
      <c r="C946" s="23" t="s">
        <v>928</v>
      </c>
      <c r="D946" s="24" t="s">
        <v>986</v>
      </c>
      <c r="E946" s="25" t="s">
        <v>1722</v>
      </c>
      <c r="F946" s="16" t="str">
        <f>_xlfn.XLOOKUP(D946,'[8]AGUSTUS 2026'!$B:$B,'[8]AGUSTUS 2026'!$I:$I,"Tidak Ditemukan")</f>
        <v>LUTFI HARIYANTO</v>
      </c>
      <c r="G946" s="21"/>
    </row>
    <row r="947" spans="2:7">
      <c r="B947" s="22" t="s">
        <v>927</v>
      </c>
      <c r="C947" s="23" t="s">
        <v>928</v>
      </c>
      <c r="D947" s="24" t="s">
        <v>987</v>
      </c>
      <c r="E947" s="25" t="s">
        <v>1722</v>
      </c>
      <c r="F947" s="16" t="str">
        <f>_xlfn.XLOOKUP(D947,'[8]AGUSTUS 2026'!$B:$B,'[8]AGUSTUS 2026'!$I:$I,"Tidak Ditemukan")</f>
        <v>LUTFI HARIYANTO</v>
      </c>
      <c r="G947" s="21"/>
    </row>
    <row r="948" spans="2:7">
      <c r="B948" s="22" t="s">
        <v>927</v>
      </c>
      <c r="C948" s="23" t="s">
        <v>928</v>
      </c>
      <c r="D948" s="24" t="s">
        <v>988</v>
      </c>
      <c r="E948" s="25" t="s">
        <v>1722</v>
      </c>
      <c r="F948" s="16" t="str">
        <f>_xlfn.XLOOKUP(D948,'[8]AGUSTUS 2026'!$B:$B,'[8]AGUSTUS 2026'!$I:$I,"Tidak Ditemukan")</f>
        <v>LUTFI HARIYANTO</v>
      </c>
      <c r="G948" s="21"/>
    </row>
    <row r="949" spans="2:7">
      <c r="B949" s="22" t="s">
        <v>927</v>
      </c>
      <c r="C949" s="23" t="s">
        <v>928</v>
      </c>
      <c r="D949" s="24" t="s">
        <v>989</v>
      </c>
      <c r="E949" s="25" t="s">
        <v>1722</v>
      </c>
      <c r="F949" s="16" t="str">
        <f>_xlfn.XLOOKUP(D949,'[8]AGUSTUS 2026'!$B:$B,'[8]AGUSTUS 2026'!$I:$I,"Tidak Ditemukan")</f>
        <v>RASTO ZANU MUBIARTO</v>
      </c>
      <c r="G949" s="21"/>
    </row>
    <row r="950" spans="2:7">
      <c r="B950" s="22" t="s">
        <v>927</v>
      </c>
      <c r="C950" s="23" t="s">
        <v>928</v>
      </c>
      <c r="D950" s="24" t="s">
        <v>990</v>
      </c>
      <c r="E950" s="25" t="s">
        <v>1722</v>
      </c>
      <c r="F950" s="16" t="str">
        <f>_xlfn.XLOOKUP(D950,'[8]AGUSTUS 2026'!$B:$B,'[8]AGUSTUS 2026'!$I:$I,"Tidak Ditemukan")</f>
        <v>RASTO ZANU MUBIARTO</v>
      </c>
      <c r="G950" s="21"/>
    </row>
    <row r="951" spans="2:7">
      <c r="B951" s="22" t="s">
        <v>927</v>
      </c>
      <c r="C951" s="23" t="s">
        <v>928</v>
      </c>
      <c r="D951" s="24" t="s">
        <v>991</v>
      </c>
      <c r="E951" s="25" t="s">
        <v>1722</v>
      </c>
      <c r="F951" s="16" t="str">
        <f>_xlfn.XLOOKUP(D951,'[8]AGUSTUS 2026'!$B:$B,'[8]AGUSTUS 2026'!$I:$I,"Tidak Ditemukan")</f>
        <v>RASTO ZANU MUBIARTO</v>
      </c>
      <c r="G951" s="21"/>
    </row>
    <row r="952" spans="2:7">
      <c r="B952" s="22" t="s">
        <v>927</v>
      </c>
      <c r="C952" s="23" t="s">
        <v>928</v>
      </c>
      <c r="D952" s="24" t="s">
        <v>992</v>
      </c>
      <c r="E952" s="25" t="s">
        <v>1722</v>
      </c>
      <c r="F952" s="16" t="str">
        <f>_xlfn.XLOOKUP(D952,'[8]AGUSTUS 2026'!$B:$B,'[8]AGUSTUS 2026'!$I:$I,"Tidak Ditemukan")</f>
        <v>RASTO ZANU MUBIARTO</v>
      </c>
      <c r="G952" s="21"/>
    </row>
    <row r="953" spans="2:7">
      <c r="B953" s="22" t="s">
        <v>927</v>
      </c>
      <c r="C953" s="23" t="s">
        <v>928</v>
      </c>
      <c r="D953" s="24" t="s">
        <v>993</v>
      </c>
      <c r="E953" s="25" t="s">
        <v>1722</v>
      </c>
      <c r="F953" s="16" t="str">
        <f>_xlfn.XLOOKUP(D953,'[8]AGUSTUS 2026'!$B:$B,'[8]AGUSTUS 2026'!$I:$I,"Tidak Ditemukan")</f>
        <v>ADIMAS BAYU RADITYO</v>
      </c>
      <c r="G953" s="21"/>
    </row>
    <row r="954" spans="2:7">
      <c r="B954" s="22" t="s">
        <v>927</v>
      </c>
      <c r="C954" s="23" t="s">
        <v>928</v>
      </c>
      <c r="D954" s="24" t="s">
        <v>994</v>
      </c>
      <c r="E954" s="25" t="s">
        <v>1722</v>
      </c>
      <c r="F954" s="16" t="str">
        <f>_xlfn.XLOOKUP(D954,'[8]AGUSTUS 2026'!$B:$B,'[8]AGUSTUS 2026'!$I:$I,"Tidak Ditemukan")</f>
        <v>ADIMAS BAYU RADITYO</v>
      </c>
      <c r="G954" s="21"/>
    </row>
    <row r="955" spans="2:7">
      <c r="B955" s="22" t="s">
        <v>927</v>
      </c>
      <c r="C955" s="23" t="s">
        <v>928</v>
      </c>
      <c r="D955" s="24" t="s">
        <v>995</v>
      </c>
      <c r="E955" s="25" t="s">
        <v>1722</v>
      </c>
      <c r="F955" s="16" t="str">
        <f>_xlfn.XLOOKUP(D955,'[8]AGUSTUS 2026'!$B:$B,'[8]AGUSTUS 2026'!$I:$I,"Tidak Ditemukan")</f>
        <v>ADIMAS BAYU RADITYO</v>
      </c>
      <c r="G955" s="21"/>
    </row>
    <row r="956" spans="2:7">
      <c r="B956" s="22" t="s">
        <v>927</v>
      </c>
      <c r="C956" s="23" t="s">
        <v>928</v>
      </c>
      <c r="D956" s="24" t="s">
        <v>996</v>
      </c>
      <c r="E956" s="25" t="s">
        <v>1722</v>
      </c>
      <c r="F956" s="16" t="str">
        <f>_xlfn.XLOOKUP(D956,'[8]AGUSTUS 2026'!$B:$B,'[8]AGUSTUS 2026'!$I:$I,"Tidak Ditemukan")</f>
        <v>ADIMAS BAYU RADITYO</v>
      </c>
      <c r="G956" s="21"/>
    </row>
    <row r="957" spans="2:7">
      <c r="B957" s="22" t="s">
        <v>927</v>
      </c>
      <c r="C957" s="23" t="s">
        <v>928</v>
      </c>
      <c r="D957" s="24" t="s">
        <v>997</v>
      </c>
      <c r="E957" s="25" t="s">
        <v>1722</v>
      </c>
      <c r="F957" s="16" t="str">
        <f>_xlfn.XLOOKUP(D957,'[8]AGUSTUS 2026'!$B:$B,'[8]AGUSTUS 2026'!$I:$I,"Tidak Ditemukan")</f>
        <v>ADIMAS BAYU RADITYO</v>
      </c>
      <c r="G957" s="21"/>
    </row>
    <row r="958" spans="2:7">
      <c r="B958" s="22" t="s">
        <v>927</v>
      </c>
      <c r="C958" s="23" t="s">
        <v>928</v>
      </c>
      <c r="D958" s="24" t="s">
        <v>998</v>
      </c>
      <c r="E958" s="25" t="s">
        <v>1722</v>
      </c>
      <c r="F958" s="16" t="str">
        <f>_xlfn.XLOOKUP(D958,'[8]AGUSTUS 2026'!$B:$B,'[8]AGUSTUS 2026'!$I:$I,"Tidak Ditemukan")</f>
        <v>ADIMAS BAYU RADITYO</v>
      </c>
      <c r="G958" s="21"/>
    </row>
    <row r="959" spans="2:7">
      <c r="B959" s="22" t="s">
        <v>927</v>
      </c>
      <c r="C959" s="23" t="s">
        <v>928</v>
      </c>
      <c r="D959" s="24" t="s">
        <v>999</v>
      </c>
      <c r="E959" s="25" t="s">
        <v>1722</v>
      </c>
      <c r="F959" s="16" t="str">
        <f>_xlfn.XLOOKUP(D959,'[8]AGUSTUS 2026'!$B:$B,'[8]AGUSTUS 2026'!$I:$I,"Tidak Ditemukan")</f>
        <v>ADIMAS BAYU RADITYO</v>
      </c>
      <c r="G959" s="21"/>
    </row>
    <row r="960" spans="2:7">
      <c r="B960" s="22" t="s">
        <v>927</v>
      </c>
      <c r="C960" s="23" t="s">
        <v>928</v>
      </c>
      <c r="D960" s="24" t="s">
        <v>1000</v>
      </c>
      <c r="E960" s="25" t="s">
        <v>1722</v>
      </c>
      <c r="F960" s="16" t="str">
        <f>_xlfn.XLOOKUP(D960,'[8]AGUSTUS 2026'!$B:$B,'[8]AGUSTUS 2026'!$I:$I,"Tidak Ditemukan")</f>
        <v>ADIMAS BAYU RADITYO</v>
      </c>
      <c r="G960" s="21"/>
    </row>
    <row r="961" spans="2:7">
      <c r="B961" s="22" t="s">
        <v>927</v>
      </c>
      <c r="C961" s="23" t="s">
        <v>928</v>
      </c>
      <c r="D961" s="24" t="s">
        <v>1001</v>
      </c>
      <c r="E961" s="25" t="s">
        <v>1722</v>
      </c>
      <c r="F961" s="16" t="str">
        <f>_xlfn.XLOOKUP(D961,'[8]AGUSTUS 2026'!$B:$B,'[8]AGUSTUS 2026'!$I:$I,"Tidak Ditemukan")</f>
        <v>ADIMAS BAYU RADITYO</v>
      </c>
      <c r="G961" s="21"/>
    </row>
    <row r="962" spans="2:7">
      <c r="B962" s="22" t="s">
        <v>927</v>
      </c>
      <c r="C962" s="23" t="s">
        <v>928</v>
      </c>
      <c r="D962" s="24" t="s">
        <v>1002</v>
      </c>
      <c r="E962" s="25" t="s">
        <v>1722</v>
      </c>
      <c r="F962" s="16" t="str">
        <f>_xlfn.XLOOKUP(D962,'[8]AGUSTUS 2026'!$B:$B,'[8]AGUSTUS 2026'!$I:$I,"Tidak Ditemukan")</f>
        <v>ADIMAS BAYU RADITYO</v>
      </c>
      <c r="G962" s="21"/>
    </row>
    <row r="963" spans="2:7">
      <c r="B963" s="22" t="s">
        <v>927</v>
      </c>
      <c r="C963" s="23" t="s">
        <v>928</v>
      </c>
      <c r="D963" s="24" t="s">
        <v>1003</v>
      </c>
      <c r="E963" s="25" t="s">
        <v>1722</v>
      </c>
      <c r="F963" s="16" t="str">
        <f>_xlfn.XLOOKUP(D963,'[8]AGUSTUS 2026'!$B:$B,'[8]AGUSTUS 2026'!$I:$I,"Tidak Ditemukan")</f>
        <v>ADIMAS BAYU RADITYO</v>
      </c>
      <c r="G963" s="21"/>
    </row>
    <row r="964" spans="2:7">
      <c r="B964" s="22" t="s">
        <v>927</v>
      </c>
      <c r="C964" s="23" t="s">
        <v>928</v>
      </c>
      <c r="D964" s="24" t="s">
        <v>1004</v>
      </c>
      <c r="E964" s="25" t="s">
        <v>1722</v>
      </c>
      <c r="F964" s="16" t="str">
        <f>_xlfn.XLOOKUP(D964,'[8]AGUSTUS 2026'!$B:$B,'[8]AGUSTUS 2026'!$I:$I,"Tidak Ditemukan")</f>
        <v>ADIMAS BAYU RADITYO</v>
      </c>
      <c r="G964" s="21"/>
    </row>
    <row r="965" spans="2:7">
      <c r="B965" s="22" t="s">
        <v>927</v>
      </c>
      <c r="C965" s="23" t="s">
        <v>928</v>
      </c>
      <c r="D965" s="24" t="s">
        <v>1005</v>
      </c>
      <c r="E965" s="25" t="s">
        <v>1722</v>
      </c>
      <c r="F965" s="16" t="str">
        <f>_xlfn.XLOOKUP(D965,'[8]AGUSTUS 2026'!$B:$B,'[8]AGUSTUS 2026'!$I:$I,"Tidak Ditemukan")</f>
        <v>MUHAMMAD DENI HENDRO SUSILO</v>
      </c>
      <c r="G965" s="21"/>
    </row>
    <row r="966" spans="2:7">
      <c r="B966" s="22" t="s">
        <v>927</v>
      </c>
      <c r="C966" s="23" t="s">
        <v>928</v>
      </c>
      <c r="D966" s="24" t="s">
        <v>1006</v>
      </c>
      <c r="E966" s="25" t="s">
        <v>1722</v>
      </c>
      <c r="F966" s="16" t="str">
        <f>_xlfn.XLOOKUP(D966,'[8]AGUSTUS 2026'!$B:$B,'[8]AGUSTUS 2026'!$I:$I,"Tidak Ditemukan")</f>
        <v>MUHAMMAD DENI HENDRO SUSILO</v>
      </c>
      <c r="G966" s="21"/>
    </row>
    <row r="967" spans="2:7">
      <c r="B967" s="22" t="s">
        <v>927</v>
      </c>
      <c r="C967" s="23" t="s">
        <v>928</v>
      </c>
      <c r="D967" s="24" t="s">
        <v>1007</v>
      </c>
      <c r="E967" s="25" t="s">
        <v>1722</v>
      </c>
      <c r="F967" s="16" t="str">
        <f>_xlfn.XLOOKUP(D967,'[8]AGUSTUS 2026'!$B:$B,'[8]AGUSTUS 2026'!$I:$I,"Tidak Ditemukan")</f>
        <v>MUHAMMAD DENI HENDRO SUSILO</v>
      </c>
      <c r="G967" s="21"/>
    </row>
    <row r="968" spans="2:7">
      <c r="B968" s="22" t="s">
        <v>927</v>
      </c>
      <c r="C968" s="23" t="s">
        <v>928</v>
      </c>
      <c r="D968" s="24" t="s">
        <v>1008</v>
      </c>
      <c r="E968" s="25" t="s">
        <v>1722</v>
      </c>
      <c r="F968" s="16" t="str">
        <f>_xlfn.XLOOKUP(D968,'[8]AGUSTUS 2026'!$B:$B,'[8]AGUSTUS 2026'!$I:$I,"Tidak Ditemukan")</f>
        <v>MUHAMMAD DENI HENDRO SUSILO</v>
      </c>
      <c r="G968" s="21"/>
    </row>
    <row r="969" spans="2:7">
      <c r="B969" s="22" t="s">
        <v>927</v>
      </c>
      <c r="C969" s="23" t="s">
        <v>928</v>
      </c>
      <c r="D969" s="24" t="s">
        <v>1009</v>
      </c>
      <c r="E969" s="25" t="s">
        <v>1722</v>
      </c>
      <c r="F969" s="16" t="str">
        <f>_xlfn.XLOOKUP(D969,'[8]AGUSTUS 2026'!$B:$B,'[8]AGUSTUS 2026'!$I:$I,"Tidak Ditemukan")</f>
        <v>MUHAMMAD DENI HENDRO SUSILO</v>
      </c>
      <c r="G969" s="21"/>
    </row>
    <row r="970" spans="2:7">
      <c r="B970" s="22" t="s">
        <v>927</v>
      </c>
      <c r="C970" s="23" t="s">
        <v>928</v>
      </c>
      <c r="D970" s="24" t="s">
        <v>1010</v>
      </c>
      <c r="E970" s="25" t="s">
        <v>1722</v>
      </c>
      <c r="F970" s="16" t="str">
        <f>_xlfn.XLOOKUP(D970,'[8]AGUSTUS 2026'!$B:$B,'[8]AGUSTUS 2026'!$I:$I,"Tidak Ditemukan")</f>
        <v>MUHAMMAD DENI HENDRO SUSILO</v>
      </c>
      <c r="G970" s="21"/>
    </row>
    <row r="971" spans="2:7">
      <c r="B971" s="22" t="s">
        <v>927</v>
      </c>
      <c r="C971" s="23" t="s">
        <v>928</v>
      </c>
      <c r="D971" s="24" t="s">
        <v>1011</v>
      </c>
      <c r="E971" s="25" t="s">
        <v>1722</v>
      </c>
      <c r="F971" s="16" t="str">
        <f>_xlfn.XLOOKUP(D971,'[8]AGUSTUS 2026'!$B:$B,'[8]AGUSTUS 2026'!$I:$I,"Tidak Ditemukan")</f>
        <v>MUHAMMAD DENI HENDRO SUSILO</v>
      </c>
      <c r="G971" s="21"/>
    </row>
    <row r="972" spans="2:7">
      <c r="B972" s="22" t="s">
        <v>927</v>
      </c>
      <c r="C972" s="23" t="s">
        <v>928</v>
      </c>
      <c r="D972" s="24" t="s">
        <v>1012</v>
      </c>
      <c r="E972" s="25" t="s">
        <v>1722</v>
      </c>
      <c r="F972" s="16" t="str">
        <f>_xlfn.XLOOKUP(D972,'[8]AGUSTUS 2026'!$B:$B,'[8]AGUSTUS 2026'!$I:$I,"Tidak Ditemukan")</f>
        <v>MUHAMMAD DENI HENDRO SUSILO</v>
      </c>
      <c r="G972" s="21"/>
    </row>
    <row r="973" spans="2:7">
      <c r="B973" s="22" t="s">
        <v>927</v>
      </c>
      <c r="C973" s="23" t="s">
        <v>928</v>
      </c>
      <c r="D973" s="24" t="s">
        <v>1013</v>
      </c>
      <c r="E973" s="25" t="s">
        <v>1722</v>
      </c>
      <c r="F973" s="16" t="str">
        <f>_xlfn.XLOOKUP(D973,'[8]AGUSTUS 2026'!$B:$B,'[8]AGUSTUS 2026'!$I:$I,"Tidak Ditemukan")</f>
        <v>MUHAMMAD DENI HENDRO SUSILO</v>
      </c>
      <c r="G973" s="21"/>
    </row>
    <row r="974" spans="2:7">
      <c r="B974" s="22" t="s">
        <v>927</v>
      </c>
      <c r="C974" s="23" t="s">
        <v>928</v>
      </c>
      <c r="D974" s="24" t="s">
        <v>1014</v>
      </c>
      <c r="E974" s="25" t="s">
        <v>1722</v>
      </c>
      <c r="F974" s="16" t="str">
        <f>_xlfn.XLOOKUP(D974,'[8]AGUSTUS 2026'!$B:$B,'[8]AGUSTUS 2026'!$I:$I,"Tidak Ditemukan")</f>
        <v>MUHAMMAD DENI HENDRO SUSILO</v>
      </c>
      <c r="G974" s="21"/>
    </row>
    <row r="975" spans="2:7">
      <c r="B975" s="22" t="s">
        <v>927</v>
      </c>
      <c r="C975" s="23" t="s">
        <v>928</v>
      </c>
      <c r="D975" s="24" t="s">
        <v>1015</v>
      </c>
      <c r="E975" s="25" t="s">
        <v>1722</v>
      </c>
      <c r="F975" s="16" t="str">
        <f>_xlfn.XLOOKUP(D975,'[8]AGUSTUS 2026'!$B:$B,'[8]AGUSTUS 2026'!$I:$I,"Tidak Ditemukan")</f>
        <v>MUHAMMAD DENI HENDRO SUSILO</v>
      </c>
      <c r="G975" s="21"/>
    </row>
    <row r="976" spans="2:7">
      <c r="B976" s="22" t="s">
        <v>927</v>
      </c>
      <c r="C976" s="23" t="s">
        <v>928</v>
      </c>
      <c r="D976" s="24" t="s">
        <v>1016</v>
      </c>
      <c r="E976" s="25" t="s">
        <v>1722</v>
      </c>
      <c r="F976" s="16" t="str">
        <f>_xlfn.XLOOKUP(D976,'[8]AGUSTUS 2026'!$B:$B,'[8]AGUSTUS 2026'!$I:$I,"Tidak Ditemukan")</f>
        <v>PAIMUN</v>
      </c>
      <c r="G976" s="21"/>
    </row>
    <row r="977" spans="2:7">
      <c r="B977" s="22" t="s">
        <v>927</v>
      </c>
      <c r="C977" s="23" t="s">
        <v>928</v>
      </c>
      <c r="D977" s="24" t="s">
        <v>1017</v>
      </c>
      <c r="E977" s="25" t="s">
        <v>1722</v>
      </c>
      <c r="F977" s="16" t="str">
        <f>_xlfn.XLOOKUP(D977,'[8]AGUSTUS 2026'!$B:$B,'[8]AGUSTUS 2026'!$I:$I,"Tidak Ditemukan")</f>
        <v>PAIMUN</v>
      </c>
      <c r="G977" s="21"/>
    </row>
    <row r="978" spans="2:7">
      <c r="B978" s="22" t="s">
        <v>927</v>
      </c>
      <c r="C978" s="23" t="s">
        <v>928</v>
      </c>
      <c r="D978" s="24" t="s">
        <v>1018</v>
      </c>
      <c r="E978" s="25" t="s">
        <v>1722</v>
      </c>
      <c r="F978" s="16" t="str">
        <f>_xlfn.XLOOKUP(D978,'[8]AGUSTUS 2026'!$B:$B,'[8]AGUSTUS 2026'!$I:$I,"Tidak Ditemukan")</f>
        <v>PAIMUN</v>
      </c>
      <c r="G978" s="21"/>
    </row>
    <row r="979" spans="2:7">
      <c r="B979" s="22" t="s">
        <v>927</v>
      </c>
      <c r="C979" s="23" t="s">
        <v>928</v>
      </c>
      <c r="D979" s="24" t="s">
        <v>1019</v>
      </c>
      <c r="E979" s="25" t="s">
        <v>1722</v>
      </c>
      <c r="F979" s="16" t="str">
        <f>_xlfn.XLOOKUP(D979,'[8]AGUSTUS 2026'!$B:$B,'[8]AGUSTUS 2026'!$I:$I,"Tidak Ditemukan")</f>
        <v>PAIMUN</v>
      </c>
      <c r="G979" s="21"/>
    </row>
    <row r="980" spans="2:7">
      <c r="B980" s="22" t="s">
        <v>927</v>
      </c>
      <c r="C980" s="23" t="s">
        <v>928</v>
      </c>
      <c r="D980" s="24" t="s">
        <v>1020</v>
      </c>
      <c r="E980" s="25" t="s">
        <v>1722</v>
      </c>
      <c r="F980" s="16" t="str">
        <f>_xlfn.XLOOKUP(D980,'[8]AGUSTUS 2026'!$B:$B,'[8]AGUSTUS 2026'!$I:$I,"Tidak Ditemukan")</f>
        <v>PAIMUN</v>
      </c>
      <c r="G980" s="21"/>
    </row>
    <row r="981" spans="2:7">
      <c r="B981" s="22" t="s">
        <v>927</v>
      </c>
      <c r="C981" s="23" t="s">
        <v>928</v>
      </c>
      <c r="D981" s="24" t="s">
        <v>1021</v>
      </c>
      <c r="E981" s="25" t="s">
        <v>1722</v>
      </c>
      <c r="F981" s="16" t="str">
        <f>_xlfn.XLOOKUP(D981,'[8]AGUSTUS 2026'!$B:$B,'[8]AGUSTUS 2026'!$I:$I,"Tidak Ditemukan")</f>
        <v>PAIMUN</v>
      </c>
      <c r="G981" s="21"/>
    </row>
    <row r="982" spans="2:7">
      <c r="B982" s="22" t="s">
        <v>927</v>
      </c>
      <c r="C982" s="23" t="s">
        <v>928</v>
      </c>
      <c r="D982" s="24" t="s">
        <v>1022</v>
      </c>
      <c r="E982" s="25" t="s">
        <v>1722</v>
      </c>
      <c r="F982" s="16" t="str">
        <f>_xlfn.XLOOKUP(D982,'[8]AGUSTUS 2026'!$B:$B,'[8]AGUSTUS 2026'!$I:$I,"Tidak Ditemukan")</f>
        <v>FARIS JAGAD SANTOSA</v>
      </c>
      <c r="G982" s="21"/>
    </row>
    <row r="983" spans="2:7">
      <c r="B983" s="22" t="s">
        <v>927</v>
      </c>
      <c r="C983" s="23" t="s">
        <v>928</v>
      </c>
      <c r="D983" s="24" t="s">
        <v>1023</v>
      </c>
      <c r="E983" s="25" t="s">
        <v>1722</v>
      </c>
      <c r="F983" s="16" t="str">
        <f>_xlfn.XLOOKUP(D983,'[8]AGUSTUS 2026'!$B:$B,'[8]AGUSTUS 2026'!$I:$I,"Tidak Ditemukan")</f>
        <v>RASTO ZANU MUBIARTO</v>
      </c>
      <c r="G983" s="21"/>
    </row>
    <row r="984" spans="2:7">
      <c r="B984" s="22" t="s">
        <v>927</v>
      </c>
      <c r="C984" s="23" t="s">
        <v>928</v>
      </c>
      <c r="D984" s="24" t="s">
        <v>1024</v>
      </c>
      <c r="E984" s="25" t="s">
        <v>1722</v>
      </c>
      <c r="F984" s="16" t="str">
        <f>_xlfn.XLOOKUP(D984,'[8]AGUSTUS 2026'!$B:$B,'[8]AGUSTUS 2026'!$I:$I,"Tidak Ditemukan")</f>
        <v>FARIS JAGAD SANTOSA</v>
      </c>
      <c r="G984" s="21"/>
    </row>
    <row r="985" spans="2:7">
      <c r="B985" s="22" t="s">
        <v>927</v>
      </c>
      <c r="C985" s="23" t="s">
        <v>928</v>
      </c>
      <c r="D985" s="24" t="s">
        <v>1025</v>
      </c>
      <c r="E985" s="25" t="s">
        <v>1722</v>
      </c>
      <c r="F985" s="16" t="str">
        <f>_xlfn.XLOOKUP(D985,'[8]AGUSTUS 2026'!$B:$B,'[8]AGUSTUS 2026'!$I:$I,"Tidak Ditemukan")</f>
        <v>RASTO ZANU MUBIARTO</v>
      </c>
      <c r="G985" s="21"/>
    </row>
    <row r="986" spans="2:7">
      <c r="B986" s="22" t="s">
        <v>927</v>
      </c>
      <c r="C986" s="23" t="s">
        <v>928</v>
      </c>
      <c r="D986" s="24" t="s">
        <v>1026</v>
      </c>
      <c r="E986" s="25" t="s">
        <v>1722</v>
      </c>
      <c r="F986" s="16" t="str">
        <f>_xlfn.XLOOKUP(D986,'[8]AGUSTUS 2026'!$B:$B,'[8]AGUSTUS 2026'!$I:$I,"Tidak Ditemukan")</f>
        <v>RASTO ZANU MUBIARTO</v>
      </c>
      <c r="G986" s="21"/>
    </row>
    <row r="987" spans="2:7">
      <c r="B987" s="22" t="s">
        <v>927</v>
      </c>
      <c r="C987" s="23" t="s">
        <v>928</v>
      </c>
      <c r="D987" s="24" t="s">
        <v>1027</v>
      </c>
      <c r="E987" s="25" t="s">
        <v>1722</v>
      </c>
      <c r="F987" s="16" t="str">
        <f>_xlfn.XLOOKUP(D987,'[8]AGUSTUS 2026'!$B:$B,'[8]AGUSTUS 2026'!$I:$I,"Tidak Ditemukan")</f>
        <v>FARIS JAGAD SANTOSA</v>
      </c>
      <c r="G987" s="21"/>
    </row>
    <row r="988" spans="2:7">
      <c r="B988" s="22" t="s">
        <v>927</v>
      </c>
      <c r="C988" s="23" t="s">
        <v>928</v>
      </c>
      <c r="D988" s="24" t="s">
        <v>1028</v>
      </c>
      <c r="E988" s="25" t="s">
        <v>1722</v>
      </c>
      <c r="F988" s="16" t="str">
        <f>_xlfn.XLOOKUP(D988,'[8]AGUSTUS 2026'!$B:$B,'[8]AGUSTUS 2026'!$I:$I,"Tidak Ditemukan")</f>
        <v>FARIS JAGAD SANTOSA</v>
      </c>
      <c r="G988" s="21"/>
    </row>
    <row r="989" spans="2:7">
      <c r="B989" s="22" t="s">
        <v>927</v>
      </c>
      <c r="C989" s="23" t="s">
        <v>928</v>
      </c>
      <c r="D989" s="24" t="s">
        <v>1029</v>
      </c>
      <c r="E989" s="25" t="s">
        <v>1722</v>
      </c>
      <c r="F989" s="16" t="str">
        <f>_xlfn.XLOOKUP(D989,'[8]AGUSTUS 2026'!$B:$B,'[8]AGUSTUS 2026'!$I:$I,"Tidak Ditemukan")</f>
        <v>FARIS JAGAD SANTOSA</v>
      </c>
      <c r="G989" s="21"/>
    </row>
    <row r="990" spans="2:7">
      <c r="B990" s="22" t="s">
        <v>927</v>
      </c>
      <c r="C990" s="23" t="s">
        <v>928</v>
      </c>
      <c r="D990" s="24" t="s">
        <v>1030</v>
      </c>
      <c r="E990" s="25" t="s">
        <v>1722</v>
      </c>
      <c r="F990" s="16" t="str">
        <f>_xlfn.XLOOKUP(D990,'[8]AGUSTUS 2026'!$B:$B,'[8]AGUSTUS 2026'!$I:$I,"Tidak Ditemukan")</f>
        <v>FARIS JAGAD SANTOSA</v>
      </c>
      <c r="G990" s="21"/>
    </row>
    <row r="991" spans="2:7">
      <c r="B991" s="22" t="s">
        <v>927</v>
      </c>
      <c r="C991" s="23" t="s">
        <v>928</v>
      </c>
      <c r="D991" s="24" t="s">
        <v>1031</v>
      </c>
      <c r="E991" s="25" t="s">
        <v>1722</v>
      </c>
      <c r="F991" s="16" t="str">
        <f>_xlfn.XLOOKUP(D991,'[8]AGUSTUS 2026'!$B:$B,'[8]AGUSTUS 2026'!$I:$I,"Tidak Ditemukan")</f>
        <v>RASTO ZANU MUBIARTO</v>
      </c>
      <c r="G991" s="21"/>
    </row>
    <row r="992" spans="2:7">
      <c r="B992" s="22" t="s">
        <v>927</v>
      </c>
      <c r="C992" s="23" t="s">
        <v>928</v>
      </c>
      <c r="D992" s="24" t="s">
        <v>1032</v>
      </c>
      <c r="E992" s="25" t="s">
        <v>1722</v>
      </c>
      <c r="F992" s="16" t="str">
        <f>_xlfn.XLOOKUP(D992,'[8]AGUSTUS 2026'!$B:$B,'[8]AGUSTUS 2026'!$I:$I,"Tidak Ditemukan")</f>
        <v>RASTO ZANU MUBIARTO</v>
      </c>
      <c r="G992" s="21"/>
    </row>
    <row r="993" spans="2:7">
      <c r="B993" s="22" t="s">
        <v>927</v>
      </c>
      <c r="C993" s="23" t="s">
        <v>928</v>
      </c>
      <c r="D993" s="24" t="s">
        <v>1033</v>
      </c>
      <c r="E993" s="25" t="s">
        <v>1722</v>
      </c>
      <c r="F993" s="16" t="str">
        <f>_xlfn.XLOOKUP(D993,'[8]AGUSTUS 2026'!$B:$B,'[8]AGUSTUS 2026'!$I:$I,"Tidak Ditemukan")</f>
        <v>FARIS JAGAD SANTOSA</v>
      </c>
      <c r="G993" s="21"/>
    </row>
    <row r="994" spans="2:7">
      <c r="B994" s="22" t="s">
        <v>927</v>
      </c>
      <c r="C994" s="23" t="s">
        <v>928</v>
      </c>
      <c r="D994" s="24" t="s">
        <v>1034</v>
      </c>
      <c r="E994" s="25" t="s">
        <v>1722</v>
      </c>
      <c r="F994" s="16" t="str">
        <f>_xlfn.XLOOKUP(D994,'[8]AGUSTUS 2026'!$B:$B,'[8]AGUSTUS 2026'!$I:$I,"Tidak Ditemukan")</f>
        <v>FARIS JAGAD SANTOSA</v>
      </c>
      <c r="G994" s="21"/>
    </row>
    <row r="995" spans="2:7">
      <c r="B995" s="22" t="s">
        <v>927</v>
      </c>
      <c r="C995" s="23" t="s">
        <v>928</v>
      </c>
      <c r="D995" s="24" t="s">
        <v>1035</v>
      </c>
      <c r="E995" s="25" t="s">
        <v>1722</v>
      </c>
      <c r="F995" s="16" t="str">
        <f>_xlfn.XLOOKUP(D995,'[8]AGUSTUS 2026'!$B:$B,'[8]AGUSTUS 2026'!$I:$I,"Tidak Ditemukan")</f>
        <v>FARIS JAGAD SANTOSA</v>
      </c>
      <c r="G995" s="21"/>
    </row>
    <row r="996" spans="2:7">
      <c r="B996" s="22" t="s">
        <v>927</v>
      </c>
      <c r="C996" s="23" t="s">
        <v>928</v>
      </c>
      <c r="D996" s="24" t="s">
        <v>1036</v>
      </c>
      <c r="E996" s="25" t="s">
        <v>1722</v>
      </c>
      <c r="F996" s="16" t="str">
        <f>_xlfn.XLOOKUP(D996,'[8]AGUSTUS 2026'!$B:$B,'[8]AGUSTUS 2026'!$I:$I,"Tidak Ditemukan")</f>
        <v>RASTO ZANU MUBIARTO</v>
      </c>
      <c r="G996" s="21"/>
    </row>
    <row r="997" spans="2:7">
      <c r="B997" s="22" t="s">
        <v>927</v>
      </c>
      <c r="C997" s="23" t="s">
        <v>928</v>
      </c>
      <c r="D997" s="24" t="s">
        <v>1037</v>
      </c>
      <c r="E997" s="25" t="s">
        <v>1722</v>
      </c>
      <c r="F997" s="16" t="str">
        <f>_xlfn.XLOOKUP(D997,'[8]AGUSTUS 2026'!$B:$B,'[8]AGUSTUS 2026'!$I:$I,"Tidak Ditemukan")</f>
        <v>RASTO ZANU MUBIARTO</v>
      </c>
      <c r="G997" s="21"/>
    </row>
    <row r="998" spans="2:7">
      <c r="B998" s="22" t="s">
        <v>927</v>
      </c>
      <c r="C998" s="23" t="s">
        <v>928</v>
      </c>
      <c r="D998" s="24" t="s">
        <v>1038</v>
      </c>
      <c r="E998" s="25" t="s">
        <v>1722</v>
      </c>
      <c r="F998" s="16" t="str">
        <f>_xlfn.XLOOKUP(D998,'[8]AGUSTUS 2026'!$B:$B,'[8]AGUSTUS 2026'!$I:$I,"Tidak Ditemukan")</f>
        <v>RASTO ZANU MUBIARTO</v>
      </c>
      <c r="G998" s="21"/>
    </row>
    <row r="999" spans="2:7">
      <c r="B999" s="22" t="s">
        <v>927</v>
      </c>
      <c r="C999" s="23" t="s">
        <v>928</v>
      </c>
      <c r="D999" s="24" t="s">
        <v>1039</v>
      </c>
      <c r="E999" s="25" t="s">
        <v>1722</v>
      </c>
      <c r="F999" s="16" t="str">
        <f>_xlfn.XLOOKUP(D999,'[8]AGUSTUS 2026'!$B:$B,'[8]AGUSTUS 2026'!$I:$I,"Tidak Ditemukan")</f>
        <v>FARIS JAGAD SANTOSA</v>
      </c>
      <c r="G999" s="21"/>
    </row>
    <row r="1000" spans="2:7">
      <c r="B1000" s="22" t="s">
        <v>927</v>
      </c>
      <c r="C1000" s="23" t="s">
        <v>928</v>
      </c>
      <c r="D1000" s="24" t="s">
        <v>1040</v>
      </c>
      <c r="E1000" s="25" t="s">
        <v>1722</v>
      </c>
      <c r="F1000" s="16" t="str">
        <f>_xlfn.XLOOKUP(D1000,'[8]AGUSTUS 2026'!$B:$B,'[8]AGUSTUS 2026'!$I:$I,"Tidak Ditemukan")</f>
        <v>OKI WILLYANTO</v>
      </c>
      <c r="G1000" s="21"/>
    </row>
    <row r="1001" spans="2:7">
      <c r="B1001" s="22" t="s">
        <v>927</v>
      </c>
      <c r="C1001" s="23" t="s">
        <v>928</v>
      </c>
      <c r="D1001" s="24" t="s">
        <v>1041</v>
      </c>
      <c r="E1001" s="25" t="s">
        <v>1722</v>
      </c>
      <c r="F1001" s="16" t="str">
        <f>_xlfn.XLOOKUP(D1001,'[8]AGUSTUS 2026'!$B:$B,'[8]AGUSTUS 2026'!$I:$I,"Tidak Ditemukan")</f>
        <v>MUHAMMAD CHAIRIL ANAM</v>
      </c>
      <c r="G1001" s="21"/>
    </row>
    <row r="1002" spans="2:7">
      <c r="B1002" s="22" t="s">
        <v>927</v>
      </c>
      <c r="C1002" s="23" t="s">
        <v>928</v>
      </c>
      <c r="D1002" s="24" t="s">
        <v>1042</v>
      </c>
      <c r="E1002" s="25" t="s">
        <v>1722</v>
      </c>
      <c r="F1002" s="16" t="str">
        <f>_xlfn.XLOOKUP(D1002,'[8]AGUSTUS 2026'!$B:$B,'[8]AGUSTUS 2026'!$I:$I,"Tidak Ditemukan")</f>
        <v>FAJAR MAFAZAKI</v>
      </c>
      <c r="G1002" s="21"/>
    </row>
    <row r="1003" spans="2:7">
      <c r="B1003" s="22" t="s">
        <v>927</v>
      </c>
      <c r="C1003" s="23" t="s">
        <v>928</v>
      </c>
      <c r="D1003" s="24" t="s">
        <v>1043</v>
      </c>
      <c r="E1003" s="25" t="s">
        <v>1722</v>
      </c>
      <c r="F1003" s="16" t="str">
        <f>_xlfn.XLOOKUP(D1003,'[8]AGUSTUS 2026'!$B:$B,'[8]AGUSTUS 2026'!$I:$I,"Tidak Ditemukan")</f>
        <v>FAJAR MAFAZAKI</v>
      </c>
      <c r="G1003" s="21"/>
    </row>
    <row r="1004" spans="2:7">
      <c r="B1004" s="22" t="s">
        <v>927</v>
      </c>
      <c r="C1004" s="23" t="s">
        <v>928</v>
      </c>
      <c r="D1004" s="24" t="s">
        <v>1044</v>
      </c>
      <c r="E1004" s="25" t="s">
        <v>1722</v>
      </c>
      <c r="F1004" s="16" t="str">
        <f>_xlfn.XLOOKUP(D1004,'[8]AGUSTUS 2026'!$B:$B,'[8]AGUSTUS 2026'!$I:$I,"Tidak Ditemukan")</f>
        <v>OKI WILLYANTO</v>
      </c>
      <c r="G1004" s="21"/>
    </row>
    <row r="1005" spans="2:7">
      <c r="B1005" s="22" t="s">
        <v>927</v>
      </c>
      <c r="C1005" s="23" t="s">
        <v>928</v>
      </c>
      <c r="D1005" s="24" t="s">
        <v>1045</v>
      </c>
      <c r="E1005" s="25" t="s">
        <v>1722</v>
      </c>
      <c r="F1005" s="16" t="str">
        <f>_xlfn.XLOOKUP(D1005,'[8]AGUSTUS 2026'!$B:$B,'[8]AGUSTUS 2026'!$I:$I,"Tidak Ditemukan")</f>
        <v>FAJAR MAFAZAKI</v>
      </c>
      <c r="G1005" s="21"/>
    </row>
    <row r="1006" spans="2:7">
      <c r="B1006" s="22" t="s">
        <v>927</v>
      </c>
      <c r="C1006" s="23" t="s">
        <v>928</v>
      </c>
      <c r="D1006" s="24" t="s">
        <v>1046</v>
      </c>
      <c r="E1006" s="25" t="s">
        <v>1722</v>
      </c>
      <c r="F1006" s="16" t="str">
        <f>_xlfn.XLOOKUP(D1006,'[8]AGUSTUS 2026'!$B:$B,'[8]AGUSTUS 2026'!$I:$I,"Tidak Ditemukan")</f>
        <v>FAJAR MAFAZAKI</v>
      </c>
      <c r="G1006" s="21"/>
    </row>
    <row r="1007" spans="2:7">
      <c r="B1007" s="22" t="s">
        <v>927</v>
      </c>
      <c r="C1007" s="23" t="s">
        <v>928</v>
      </c>
      <c r="D1007" s="24" t="s">
        <v>1047</v>
      </c>
      <c r="E1007" s="25" t="s">
        <v>1722</v>
      </c>
      <c r="F1007" s="16" t="str">
        <f>_xlfn.XLOOKUP(D1007,'[8]AGUSTUS 2026'!$B:$B,'[8]AGUSTUS 2026'!$I:$I,"Tidak Ditemukan")</f>
        <v>FAJAR MAFAZAKI</v>
      </c>
      <c r="G1007" s="21"/>
    </row>
    <row r="1008" spans="2:7">
      <c r="B1008" s="22" t="s">
        <v>927</v>
      </c>
      <c r="C1008" s="23" t="s">
        <v>928</v>
      </c>
      <c r="D1008" s="24" t="s">
        <v>1048</v>
      </c>
      <c r="E1008" s="25" t="s">
        <v>1722</v>
      </c>
      <c r="F1008" s="16" t="str">
        <f>_xlfn.XLOOKUP(D1008,'[8]AGUSTUS 2026'!$B:$B,'[8]AGUSTUS 2026'!$I:$I,"Tidak Ditemukan")</f>
        <v>FAJAR MAFAZAKI</v>
      </c>
      <c r="G1008" s="21"/>
    </row>
    <row r="1009" spans="2:7">
      <c r="B1009" s="22" t="s">
        <v>927</v>
      </c>
      <c r="C1009" s="23" t="s">
        <v>928</v>
      </c>
      <c r="D1009" s="24" t="s">
        <v>1049</v>
      </c>
      <c r="E1009" s="25" t="s">
        <v>1722</v>
      </c>
      <c r="F1009" s="16" t="str">
        <f>_xlfn.XLOOKUP(D1009,'[8]AGUSTUS 2026'!$B:$B,'[8]AGUSTUS 2026'!$I:$I,"Tidak Ditemukan")</f>
        <v>FAJAR MAFAZAKI</v>
      </c>
      <c r="G1009" s="21"/>
    </row>
    <row r="1010" spans="2:7">
      <c r="B1010" s="22" t="s">
        <v>927</v>
      </c>
      <c r="C1010" s="23" t="s">
        <v>928</v>
      </c>
      <c r="D1010" s="24" t="s">
        <v>1050</v>
      </c>
      <c r="E1010" s="25" t="s">
        <v>1722</v>
      </c>
      <c r="F1010" s="16" t="str">
        <f>_xlfn.XLOOKUP(D1010,'[8]AGUSTUS 2026'!$B:$B,'[8]AGUSTUS 2026'!$I:$I,"Tidak Ditemukan")</f>
        <v>FAJAR MAFAZAKI</v>
      </c>
      <c r="G1010" s="21"/>
    </row>
    <row r="1011" spans="2:7">
      <c r="B1011" s="22" t="s">
        <v>927</v>
      </c>
      <c r="C1011" s="23" t="s">
        <v>928</v>
      </c>
      <c r="D1011" s="24" t="s">
        <v>1051</v>
      </c>
      <c r="E1011" s="25" t="s">
        <v>1722</v>
      </c>
      <c r="F1011" s="16" t="str">
        <f>_xlfn.XLOOKUP(D1011,'[8]AGUSTUS 2026'!$B:$B,'[8]AGUSTUS 2026'!$I:$I,"Tidak Ditemukan")</f>
        <v>OKI WILLYANTO</v>
      </c>
      <c r="G1011" s="21"/>
    </row>
    <row r="1012" spans="2:7">
      <c r="B1012" s="22" t="s">
        <v>927</v>
      </c>
      <c r="C1012" s="23" t="s">
        <v>928</v>
      </c>
      <c r="D1012" s="24" t="s">
        <v>1052</v>
      </c>
      <c r="E1012" s="25" t="s">
        <v>1722</v>
      </c>
      <c r="F1012" s="16" t="str">
        <f>_xlfn.XLOOKUP(D1012,'[8]AGUSTUS 2026'!$B:$B,'[8]AGUSTUS 2026'!$I:$I,"Tidak Ditemukan")</f>
        <v>OKI WILLYANTO</v>
      </c>
      <c r="G1012" s="21"/>
    </row>
    <row r="1013" spans="2:7">
      <c r="B1013" s="22" t="s">
        <v>927</v>
      </c>
      <c r="C1013" s="23" t="s">
        <v>928</v>
      </c>
      <c r="D1013" s="24" t="s">
        <v>1053</v>
      </c>
      <c r="E1013" s="25" t="s">
        <v>1722</v>
      </c>
      <c r="F1013" s="16" t="str">
        <f>_xlfn.XLOOKUP(D1013,'[8]AGUSTUS 2026'!$B:$B,'[8]AGUSTUS 2026'!$I:$I,"Tidak Ditemukan")</f>
        <v>OKI WILLYANTO</v>
      </c>
      <c r="G1013" s="21"/>
    </row>
    <row r="1014" spans="2:7">
      <c r="B1014" s="22" t="s">
        <v>927</v>
      </c>
      <c r="C1014" s="23" t="s">
        <v>928</v>
      </c>
      <c r="D1014" s="24" t="s">
        <v>1054</v>
      </c>
      <c r="E1014" s="25" t="s">
        <v>1722</v>
      </c>
      <c r="F1014" s="16" t="str">
        <f>_xlfn.XLOOKUP(D1014,'[8]AGUSTUS 2026'!$B:$B,'[8]AGUSTUS 2026'!$I:$I,"Tidak Ditemukan")</f>
        <v>FAJAR MAFAZAKI</v>
      </c>
      <c r="G1014" s="21"/>
    </row>
    <row r="1015" spans="2:7">
      <c r="B1015" s="22" t="s">
        <v>927</v>
      </c>
      <c r="C1015" s="23" t="s">
        <v>928</v>
      </c>
      <c r="D1015" s="24" t="s">
        <v>1055</v>
      </c>
      <c r="E1015" s="25" t="s">
        <v>1722</v>
      </c>
      <c r="F1015" s="16" t="str">
        <f>_xlfn.XLOOKUP(D1015,'[8]AGUSTUS 2026'!$B:$B,'[8]AGUSTUS 2026'!$I:$I,"Tidak Ditemukan")</f>
        <v>FAJAR MAFAZAKI</v>
      </c>
      <c r="G1015" s="21"/>
    </row>
    <row r="1016" spans="2:7">
      <c r="B1016" s="22" t="s">
        <v>927</v>
      </c>
      <c r="C1016" s="23" t="s">
        <v>928</v>
      </c>
      <c r="D1016" s="24" t="s">
        <v>1056</v>
      </c>
      <c r="E1016" s="25" t="s">
        <v>1722</v>
      </c>
      <c r="F1016" s="16" t="str">
        <f>_xlfn.XLOOKUP(D1016,'[8]AGUSTUS 2026'!$B:$B,'[8]AGUSTUS 2026'!$I:$I,"Tidak Ditemukan")</f>
        <v>FERY SAPUTRO</v>
      </c>
      <c r="G1016" s="21"/>
    </row>
    <row r="1017" spans="2:7">
      <c r="B1017" s="22" t="s">
        <v>927</v>
      </c>
      <c r="C1017" s="23" t="s">
        <v>928</v>
      </c>
      <c r="D1017" s="24" t="s">
        <v>1057</v>
      </c>
      <c r="E1017" s="25" t="s">
        <v>1722</v>
      </c>
      <c r="F1017" s="16" t="str">
        <f>_xlfn.XLOOKUP(D1017,'[8]AGUSTUS 2026'!$B:$B,'[8]AGUSTUS 2026'!$I:$I,"Tidak Ditemukan")</f>
        <v>FERY SAPUTRO</v>
      </c>
      <c r="G1017" s="21"/>
    </row>
    <row r="1018" spans="2:7">
      <c r="B1018" s="22" t="s">
        <v>927</v>
      </c>
      <c r="C1018" s="23" t="s">
        <v>928</v>
      </c>
      <c r="D1018" s="24" t="s">
        <v>1058</v>
      </c>
      <c r="E1018" s="25" t="s">
        <v>1722</v>
      </c>
      <c r="F1018" s="16" t="str">
        <f>_xlfn.XLOOKUP(D1018,'[8]AGUSTUS 2026'!$B:$B,'[8]AGUSTUS 2026'!$I:$I,"Tidak Ditemukan")</f>
        <v>FERY SAPUTRO</v>
      </c>
      <c r="G1018" s="21"/>
    </row>
    <row r="1019" spans="2:7">
      <c r="B1019" s="22" t="s">
        <v>927</v>
      </c>
      <c r="C1019" s="23" t="s">
        <v>928</v>
      </c>
      <c r="D1019" s="24" t="s">
        <v>1059</v>
      </c>
      <c r="E1019" s="25" t="s">
        <v>1722</v>
      </c>
      <c r="F1019" s="16" t="str">
        <f>_xlfn.XLOOKUP(D1019,'[8]AGUSTUS 2026'!$B:$B,'[8]AGUSTUS 2026'!$I:$I,"Tidak Ditemukan")</f>
        <v>FERY SAPUTRO</v>
      </c>
      <c r="G1019" s="21"/>
    </row>
    <row r="1020" spans="2:7">
      <c r="B1020" s="22" t="s">
        <v>927</v>
      </c>
      <c r="C1020" s="23" t="s">
        <v>928</v>
      </c>
      <c r="D1020" s="24" t="s">
        <v>1060</v>
      </c>
      <c r="E1020" s="25" t="s">
        <v>1722</v>
      </c>
      <c r="F1020" s="16" t="str">
        <f>_xlfn.XLOOKUP(D1020,'[8]AGUSTUS 2026'!$B:$B,'[8]AGUSTUS 2026'!$I:$I,"Tidak Ditemukan")</f>
        <v>FERY SAPUTRO</v>
      </c>
      <c r="G1020" s="21"/>
    </row>
    <row r="1021" spans="2:7">
      <c r="B1021" s="22" t="s">
        <v>927</v>
      </c>
      <c r="C1021" s="23" t="s">
        <v>928</v>
      </c>
      <c r="D1021" s="24" t="s">
        <v>1061</v>
      </c>
      <c r="E1021" s="25" t="s">
        <v>1722</v>
      </c>
      <c r="F1021" s="16" t="str">
        <f>_xlfn.XLOOKUP(D1021,'[8]AGUSTUS 2026'!$B:$B,'[8]AGUSTUS 2026'!$I:$I,"Tidak Ditemukan")</f>
        <v>FERY SAPUTRO</v>
      </c>
      <c r="G1021" s="21"/>
    </row>
    <row r="1022" spans="2:7">
      <c r="B1022" s="22" t="s">
        <v>927</v>
      </c>
      <c r="C1022" s="23" t="s">
        <v>928</v>
      </c>
      <c r="D1022" s="24" t="s">
        <v>1062</v>
      </c>
      <c r="E1022" s="25" t="s">
        <v>1722</v>
      </c>
      <c r="F1022" s="16" t="str">
        <f>_xlfn.XLOOKUP(D1022,'[8]AGUSTUS 2026'!$B:$B,'[8]AGUSTUS 2026'!$I:$I,"Tidak Ditemukan")</f>
        <v>FERY SAPUTRO</v>
      </c>
      <c r="G1022" s="21"/>
    </row>
    <row r="1023" spans="2:7">
      <c r="B1023" s="22" t="s">
        <v>927</v>
      </c>
      <c r="C1023" s="23" t="s">
        <v>928</v>
      </c>
      <c r="D1023" s="24" t="s">
        <v>1063</v>
      </c>
      <c r="E1023" s="25" t="s">
        <v>1722</v>
      </c>
      <c r="F1023" s="16" t="str">
        <f>_xlfn.XLOOKUP(D1023,'[8]AGUSTUS 2026'!$B:$B,'[8]AGUSTUS 2026'!$I:$I,"Tidak Ditemukan")</f>
        <v>FERY SAPUTRO</v>
      </c>
      <c r="G1023" s="21"/>
    </row>
    <row r="1024" spans="2:7">
      <c r="B1024" s="22" t="s">
        <v>927</v>
      </c>
      <c r="C1024" s="23" t="s">
        <v>928</v>
      </c>
      <c r="D1024" s="24" t="s">
        <v>1064</v>
      </c>
      <c r="E1024" s="25" t="s">
        <v>1722</v>
      </c>
      <c r="F1024" s="16" t="str">
        <f>_xlfn.XLOOKUP(D1024,'[8]AGUSTUS 2026'!$B:$B,'[8]AGUSTUS 2026'!$I:$I,"Tidak Ditemukan")</f>
        <v>MUHAMMAD CHAIRIL ANAM</v>
      </c>
      <c r="G1024" s="21"/>
    </row>
    <row r="1025" spans="2:7">
      <c r="B1025" s="22" t="s">
        <v>927</v>
      </c>
      <c r="C1025" s="23" t="s">
        <v>928</v>
      </c>
      <c r="D1025" s="24" t="s">
        <v>1065</v>
      </c>
      <c r="E1025" s="25" t="s">
        <v>1722</v>
      </c>
      <c r="F1025" s="16" t="str">
        <f>_xlfn.XLOOKUP(D1025,'[8]AGUSTUS 2026'!$B:$B,'[8]AGUSTUS 2026'!$I:$I,"Tidak Ditemukan")</f>
        <v>MUHAMMAD CHAIRIL ANAM</v>
      </c>
      <c r="G1025" s="21"/>
    </row>
    <row r="1026" spans="2:7">
      <c r="B1026" s="22" t="s">
        <v>927</v>
      </c>
      <c r="C1026" s="23" t="s">
        <v>928</v>
      </c>
      <c r="D1026" s="24" t="s">
        <v>1066</v>
      </c>
      <c r="E1026" s="25" t="s">
        <v>1722</v>
      </c>
      <c r="F1026" s="16" t="str">
        <f>_xlfn.XLOOKUP(D1026,'[8]AGUSTUS 2026'!$B:$B,'[8]AGUSTUS 2026'!$I:$I,"Tidak Ditemukan")</f>
        <v>MUHAMMAD CHAIRIL ANAM</v>
      </c>
      <c r="G1026" s="21"/>
    </row>
    <row r="1027" spans="2:7">
      <c r="B1027" s="22" t="s">
        <v>927</v>
      </c>
      <c r="C1027" s="23" t="s">
        <v>928</v>
      </c>
      <c r="D1027" s="24" t="s">
        <v>1067</v>
      </c>
      <c r="E1027" s="25" t="s">
        <v>1722</v>
      </c>
      <c r="F1027" s="16" t="str">
        <f>_xlfn.XLOOKUP(D1027,'[8]AGUSTUS 2026'!$B:$B,'[8]AGUSTUS 2026'!$I:$I,"Tidak Ditemukan")</f>
        <v>MUHAMMAD CHAIRIL ANAM</v>
      </c>
      <c r="G1027" s="21"/>
    </row>
    <row r="1028" spans="2:7">
      <c r="B1028" s="22" t="s">
        <v>927</v>
      </c>
      <c r="C1028" s="23" t="s">
        <v>928</v>
      </c>
      <c r="D1028" s="24" t="s">
        <v>1068</v>
      </c>
      <c r="E1028" s="25" t="s">
        <v>1722</v>
      </c>
      <c r="F1028" s="16" t="str">
        <f>_xlfn.XLOOKUP(D1028,'[8]AGUSTUS 2026'!$B:$B,'[8]AGUSTUS 2026'!$I:$I,"Tidak Ditemukan")</f>
        <v>MUHAMMAD CHAIRIL ANAM</v>
      </c>
      <c r="G1028" s="21"/>
    </row>
    <row r="1029" spans="2:7">
      <c r="B1029" s="22" t="s">
        <v>927</v>
      </c>
      <c r="C1029" s="23" t="s">
        <v>928</v>
      </c>
      <c r="D1029" s="24" t="s">
        <v>1069</v>
      </c>
      <c r="E1029" s="25" t="s">
        <v>1722</v>
      </c>
      <c r="F1029" s="16" t="str">
        <f>_xlfn.XLOOKUP(D1029,'[8]AGUSTUS 2026'!$B:$B,'[8]AGUSTUS 2026'!$I:$I,"Tidak Ditemukan")</f>
        <v>MUHAMMAD CHAIRIL ANAM</v>
      </c>
      <c r="G1029" s="21"/>
    </row>
    <row r="1030" spans="2:7">
      <c r="B1030" s="22" t="s">
        <v>927</v>
      </c>
      <c r="C1030" s="23" t="s">
        <v>928</v>
      </c>
      <c r="D1030" s="24" t="s">
        <v>1070</v>
      </c>
      <c r="E1030" s="25" t="s">
        <v>1722</v>
      </c>
      <c r="F1030" s="16" t="str">
        <f>_xlfn.XLOOKUP(D1030,'[8]AGUSTUS 2026'!$B:$B,'[8]AGUSTUS 2026'!$I:$I,"Tidak Ditemukan")</f>
        <v>MUHAMMAD CHAIRIL ANAM</v>
      </c>
      <c r="G1030" s="21"/>
    </row>
    <row r="1031" spans="2:7">
      <c r="B1031" s="22" t="s">
        <v>927</v>
      </c>
      <c r="C1031" s="23" t="s">
        <v>928</v>
      </c>
      <c r="D1031" s="24" t="s">
        <v>1071</v>
      </c>
      <c r="E1031" s="25" t="s">
        <v>1722</v>
      </c>
      <c r="F1031" s="16" t="str">
        <f>_xlfn.XLOOKUP(D1031,'[8]AGUSTUS 2026'!$B:$B,'[8]AGUSTUS 2026'!$I:$I,"Tidak Ditemukan")</f>
        <v>MUHAMMAD CHAIRIL ANAM</v>
      </c>
      <c r="G1031" s="21"/>
    </row>
    <row r="1032" spans="2:7">
      <c r="B1032" s="22" t="s">
        <v>927</v>
      </c>
      <c r="C1032" s="23" t="s">
        <v>928</v>
      </c>
      <c r="D1032" s="24" t="s">
        <v>1072</v>
      </c>
      <c r="E1032" s="25" t="s">
        <v>1722</v>
      </c>
      <c r="F1032" s="16" t="str">
        <f>_xlfn.XLOOKUP(D1032,'[8]AGUSTUS 2026'!$B:$B,'[8]AGUSTUS 2026'!$I:$I,"Tidak Ditemukan")</f>
        <v>MUHAMMAD CHAIRIL ANAM</v>
      </c>
      <c r="G1032" s="21"/>
    </row>
    <row r="1033" spans="2:7">
      <c r="B1033" s="22" t="s">
        <v>927</v>
      </c>
      <c r="C1033" s="23" t="s">
        <v>928</v>
      </c>
      <c r="D1033" s="24" t="s">
        <v>1073</v>
      </c>
      <c r="E1033" s="25" t="s">
        <v>1722</v>
      </c>
      <c r="F1033" s="16" t="str">
        <f>_xlfn.XLOOKUP(D1033,'[8]AGUSTUS 2026'!$B:$B,'[8]AGUSTUS 2026'!$I:$I,"Tidak Ditemukan")</f>
        <v>JOKO NDARU FEBRIYANTO</v>
      </c>
      <c r="G1033" s="21"/>
    </row>
    <row r="1034" spans="2:7">
      <c r="B1034" s="22" t="s">
        <v>927</v>
      </c>
      <c r="C1034" s="23" t="s">
        <v>928</v>
      </c>
      <c r="D1034" s="24" t="s">
        <v>1074</v>
      </c>
      <c r="E1034" s="25" t="s">
        <v>1722</v>
      </c>
      <c r="F1034" s="16" t="str">
        <f>_xlfn.XLOOKUP(D1034,'[8]AGUSTUS 2026'!$B:$B,'[8]AGUSTUS 2026'!$I:$I,"Tidak Ditemukan")</f>
        <v>JOKO NDARU FEBRIYANTO</v>
      </c>
      <c r="G1034" s="21"/>
    </row>
    <row r="1035" spans="2:7">
      <c r="B1035" s="22" t="s">
        <v>927</v>
      </c>
      <c r="C1035" s="23" t="s">
        <v>928</v>
      </c>
      <c r="D1035" s="24" t="s">
        <v>1075</v>
      </c>
      <c r="E1035" s="25" t="s">
        <v>1722</v>
      </c>
      <c r="F1035" s="16" t="str">
        <f>_xlfn.XLOOKUP(D1035,'[8]AGUSTUS 2026'!$B:$B,'[8]AGUSTUS 2026'!$I:$I,"Tidak Ditemukan")</f>
        <v>JOKO NDARU FEBRIYANTO</v>
      </c>
      <c r="G1035" s="21"/>
    </row>
    <row r="1036" spans="2:7">
      <c r="B1036" s="22" t="s">
        <v>927</v>
      </c>
      <c r="C1036" s="23" t="s">
        <v>928</v>
      </c>
      <c r="D1036" s="24" t="s">
        <v>1076</v>
      </c>
      <c r="E1036" s="25" t="s">
        <v>1722</v>
      </c>
      <c r="F1036" s="16" t="str">
        <f>_xlfn.XLOOKUP(D1036,'[8]AGUSTUS 2026'!$B:$B,'[8]AGUSTUS 2026'!$I:$I,"Tidak Ditemukan")</f>
        <v>JOKO NDARU FEBRIYANTO</v>
      </c>
      <c r="G1036" s="21"/>
    </row>
    <row r="1037" spans="2:7">
      <c r="B1037" s="22" t="s">
        <v>927</v>
      </c>
      <c r="C1037" s="23" t="s">
        <v>928</v>
      </c>
      <c r="D1037" s="24" t="s">
        <v>1077</v>
      </c>
      <c r="E1037" s="25" t="s">
        <v>1722</v>
      </c>
      <c r="F1037" s="16" t="str">
        <f>_xlfn.XLOOKUP(D1037,'[8]AGUSTUS 2026'!$B:$B,'[8]AGUSTUS 2026'!$I:$I,"Tidak Ditemukan")</f>
        <v>JOKO NDARU FEBRIYANTO</v>
      </c>
      <c r="G1037" s="21"/>
    </row>
    <row r="1038" spans="2:7">
      <c r="B1038" s="22" t="s">
        <v>927</v>
      </c>
      <c r="C1038" s="23" t="s">
        <v>928</v>
      </c>
      <c r="D1038" s="24" t="s">
        <v>1078</v>
      </c>
      <c r="E1038" s="25" t="s">
        <v>1722</v>
      </c>
      <c r="F1038" s="16" t="str">
        <f>_xlfn.XLOOKUP(D1038,'[8]AGUSTUS 2026'!$B:$B,'[8]AGUSTUS 2026'!$I:$I,"Tidak Ditemukan")</f>
        <v>JOKO NDARU FEBRIYANTO</v>
      </c>
      <c r="G1038" s="21"/>
    </row>
    <row r="1039" spans="2:7">
      <c r="B1039" s="22" t="s">
        <v>927</v>
      </c>
      <c r="C1039" s="23" t="s">
        <v>928</v>
      </c>
      <c r="D1039" s="24" t="s">
        <v>1079</v>
      </c>
      <c r="E1039" s="25" t="s">
        <v>1722</v>
      </c>
      <c r="F1039" s="16" t="str">
        <f>_xlfn.XLOOKUP(D1039,'[8]AGUSTUS 2026'!$B:$B,'[8]AGUSTUS 2026'!$I:$I,"Tidak Ditemukan")</f>
        <v>JOKO NDARU FEBRIYANTO</v>
      </c>
      <c r="G1039" s="21"/>
    </row>
    <row r="1040" spans="2:7">
      <c r="B1040" s="22" t="s">
        <v>927</v>
      </c>
      <c r="C1040" s="23" t="s">
        <v>928</v>
      </c>
      <c r="D1040" s="24" t="s">
        <v>1080</v>
      </c>
      <c r="E1040" s="25" t="s">
        <v>1722</v>
      </c>
      <c r="F1040" s="16" t="str">
        <f>_xlfn.XLOOKUP(D1040,'[8]AGUSTUS 2026'!$B:$B,'[8]AGUSTUS 2026'!$I:$I,"Tidak Ditemukan")</f>
        <v>JOKO NDARU FEBRIYANTO</v>
      </c>
      <c r="G1040" s="21"/>
    </row>
    <row r="1041" spans="2:7">
      <c r="B1041" s="22" t="s">
        <v>927</v>
      </c>
      <c r="C1041" s="23" t="s">
        <v>928</v>
      </c>
      <c r="D1041" s="24" t="s">
        <v>1081</v>
      </c>
      <c r="E1041" s="25" t="s">
        <v>1722</v>
      </c>
      <c r="F1041" s="16" t="str">
        <f>_xlfn.XLOOKUP(D1041,'[8]AGUSTUS 2026'!$B:$B,'[8]AGUSTUS 2026'!$I:$I,"Tidak Ditemukan")</f>
        <v>JOKO NDARU FEBRIYANTO</v>
      </c>
      <c r="G1041" s="21"/>
    </row>
    <row r="1042" spans="2:7">
      <c r="B1042" s="22" t="s">
        <v>927</v>
      </c>
      <c r="C1042" s="23" t="s">
        <v>928</v>
      </c>
      <c r="D1042" s="24" t="s">
        <v>1082</v>
      </c>
      <c r="E1042" s="25" t="s">
        <v>1722</v>
      </c>
      <c r="F1042" s="16" t="str">
        <f>_xlfn.XLOOKUP(D1042,'[8]AGUSTUS 2026'!$B:$B,'[8]AGUSTUS 2026'!$I:$I,"Tidak Ditemukan")</f>
        <v>SURYA DWI J</v>
      </c>
      <c r="G1042" s="21"/>
    </row>
    <row r="1043" spans="2:7">
      <c r="B1043" s="22" t="s">
        <v>927</v>
      </c>
      <c r="C1043" s="23" t="s">
        <v>928</v>
      </c>
      <c r="D1043" s="24" t="s">
        <v>1083</v>
      </c>
      <c r="E1043" s="25" t="s">
        <v>1722</v>
      </c>
      <c r="F1043" s="16" t="str">
        <f>_xlfn.XLOOKUP(D1043,'[8]AGUSTUS 2026'!$B:$B,'[8]AGUSTUS 2026'!$I:$I,"Tidak Ditemukan")</f>
        <v>SURYA DWI J</v>
      </c>
      <c r="G1043" s="21"/>
    </row>
    <row r="1044" spans="2:7">
      <c r="B1044" s="22" t="s">
        <v>927</v>
      </c>
      <c r="C1044" s="23" t="s">
        <v>928</v>
      </c>
      <c r="D1044" s="24" t="s">
        <v>1084</v>
      </c>
      <c r="E1044" s="25" t="s">
        <v>1722</v>
      </c>
      <c r="F1044" s="16" t="str">
        <f>_xlfn.XLOOKUP(D1044,'[8]AGUSTUS 2026'!$B:$B,'[8]AGUSTUS 2026'!$I:$I,"Tidak Ditemukan")</f>
        <v>SURYA DWI J</v>
      </c>
      <c r="G1044" s="21"/>
    </row>
    <row r="1045" spans="2:7">
      <c r="B1045" s="22" t="s">
        <v>1085</v>
      </c>
      <c r="C1045" s="23" t="s">
        <v>1086</v>
      </c>
      <c r="D1045" s="24" t="s">
        <v>1087</v>
      </c>
      <c r="E1045" s="25" t="s">
        <v>1722</v>
      </c>
      <c r="F1045" s="16" t="str">
        <f>_xlfn.XLOOKUP(D1045,[9]Sheet2!$C:$C,[9]Sheet2!$E:$E,"-")</f>
        <v>Fahmi Nur Muhamad</v>
      </c>
      <c r="G1045" s="21"/>
    </row>
    <row r="1046" spans="2:7">
      <c r="B1046" s="22" t="s">
        <v>1085</v>
      </c>
      <c r="C1046" s="23" t="s">
        <v>1086</v>
      </c>
      <c r="D1046" s="24" t="s">
        <v>1088</v>
      </c>
      <c r="E1046" s="25" t="s">
        <v>1722</v>
      </c>
      <c r="F1046" s="16" t="str">
        <f>_xlfn.XLOOKUP(D1046,[9]Sheet2!$C:$C,[9]Sheet2!$E:$E,"-")</f>
        <v>Imam Khudori</v>
      </c>
      <c r="G1046" s="21"/>
    </row>
    <row r="1047" spans="2:7">
      <c r="B1047" s="22" t="s">
        <v>1085</v>
      </c>
      <c r="C1047" s="23" t="s">
        <v>1086</v>
      </c>
      <c r="D1047" s="24" t="s">
        <v>1089</v>
      </c>
      <c r="E1047" s="25" t="s">
        <v>1722</v>
      </c>
      <c r="F1047" s="16" t="str">
        <f>_xlfn.XLOOKUP(D1047,[9]Sheet2!$C:$C,[9]Sheet2!$E:$E,"-")</f>
        <v>Dwi Murdianto</v>
      </c>
      <c r="G1047" s="21"/>
    </row>
    <row r="1048" spans="2:7">
      <c r="B1048" s="22" t="s">
        <v>1085</v>
      </c>
      <c r="C1048" s="23" t="s">
        <v>1086</v>
      </c>
      <c r="D1048" s="24" t="s">
        <v>1090</v>
      </c>
      <c r="E1048" s="25" t="s">
        <v>1722</v>
      </c>
      <c r="F1048" s="16" t="str">
        <f>_xlfn.XLOOKUP(D1048,[9]Sheet2!$C:$C,[9]Sheet2!$E:$E,"-")</f>
        <v>Ali Subeki</v>
      </c>
      <c r="G1048" s="21"/>
    </row>
    <row r="1049" spans="2:7">
      <c r="B1049" s="22" t="s">
        <v>1085</v>
      </c>
      <c r="C1049" s="23" t="s">
        <v>1086</v>
      </c>
      <c r="D1049" s="24" t="s">
        <v>1091</v>
      </c>
      <c r="E1049" s="25" t="s">
        <v>1722</v>
      </c>
      <c r="F1049" s="16" t="str">
        <f>_xlfn.XLOOKUP(D1049,[9]Sheet2!$C:$C,[9]Sheet2!$E:$E,"-")</f>
        <v>Dwi Murdianto</v>
      </c>
      <c r="G1049" s="21"/>
    </row>
    <row r="1050" spans="2:7">
      <c r="B1050" s="22" t="s">
        <v>1085</v>
      </c>
      <c r="C1050" s="23" t="s">
        <v>1086</v>
      </c>
      <c r="D1050" s="24" t="s">
        <v>1092</v>
      </c>
      <c r="E1050" s="25" t="s">
        <v>1722</v>
      </c>
      <c r="F1050" s="16" t="str">
        <f>_xlfn.XLOOKUP(D1050,[9]Sheet2!$C:$C,[9]Sheet2!$E:$E,"-")</f>
        <v>Mochamad Robi Hidayat</v>
      </c>
      <c r="G1050" s="21"/>
    </row>
    <row r="1051" spans="2:7">
      <c r="B1051" s="22" t="s">
        <v>1085</v>
      </c>
      <c r="C1051" s="23" t="s">
        <v>1086</v>
      </c>
      <c r="D1051" s="24" t="s">
        <v>1093</v>
      </c>
      <c r="E1051" s="25" t="s">
        <v>1722</v>
      </c>
      <c r="F1051" s="16" t="str">
        <f>_xlfn.XLOOKUP(D1051,[9]Sheet2!$C:$C,[9]Sheet2!$E:$E,"-")</f>
        <v>Fahmi Nur Muhamad</v>
      </c>
      <c r="G1051" s="21"/>
    </row>
    <row r="1052" spans="2:7">
      <c r="B1052" s="22" t="s">
        <v>1085</v>
      </c>
      <c r="C1052" s="23" t="s">
        <v>1086</v>
      </c>
      <c r="D1052" s="24" t="s">
        <v>1094</v>
      </c>
      <c r="E1052" s="25" t="s">
        <v>1722</v>
      </c>
      <c r="F1052" s="16" t="str">
        <f>_xlfn.XLOOKUP(D1052,[9]Sheet2!$C:$C,[9]Sheet2!$E:$E,"-")</f>
        <v>Imam Khudori</v>
      </c>
      <c r="G1052" s="21"/>
    </row>
    <row r="1053" spans="2:7">
      <c r="B1053" s="22" t="s">
        <v>1085</v>
      </c>
      <c r="C1053" s="23" t="s">
        <v>1086</v>
      </c>
      <c r="D1053" s="24" t="s">
        <v>1095</v>
      </c>
      <c r="E1053" s="25" t="s">
        <v>1722</v>
      </c>
      <c r="F1053" s="16" t="str">
        <f>_xlfn.XLOOKUP(D1053,[9]Sheet2!$C:$C,[9]Sheet2!$E:$E,"-")</f>
        <v>Mochamad Robi Hidayat</v>
      </c>
      <c r="G1053" s="21"/>
    </row>
    <row r="1054" spans="2:7">
      <c r="B1054" s="22" t="s">
        <v>1085</v>
      </c>
      <c r="C1054" s="23" t="s">
        <v>1086</v>
      </c>
      <c r="D1054" s="24" t="s">
        <v>1096</v>
      </c>
      <c r="E1054" s="25" t="s">
        <v>1722</v>
      </c>
      <c r="F1054" s="16" t="str">
        <f>_xlfn.XLOOKUP(D1054,[9]Sheet2!$C:$C,[9]Sheet2!$E:$E,"-")</f>
        <v>Ali Subeki</v>
      </c>
      <c r="G1054" s="21"/>
    </row>
    <row r="1055" spans="2:7">
      <c r="B1055" s="22" t="s">
        <v>1085</v>
      </c>
      <c r="C1055" s="23" t="s">
        <v>1086</v>
      </c>
      <c r="D1055" s="24" t="s">
        <v>1097</v>
      </c>
      <c r="E1055" s="25" t="s">
        <v>1722</v>
      </c>
      <c r="F1055" s="16" t="str">
        <f>_xlfn.XLOOKUP(D1055,[9]Sheet2!$C:$C,[9]Sheet2!$E:$E,"-")</f>
        <v>Budianto</v>
      </c>
      <c r="G1055" s="21"/>
    </row>
    <row r="1056" spans="2:7">
      <c r="B1056" s="22" t="s">
        <v>1085</v>
      </c>
      <c r="C1056" s="23" t="s">
        <v>1086</v>
      </c>
      <c r="D1056" s="24" t="s">
        <v>1098</v>
      </c>
      <c r="E1056" s="25" t="s">
        <v>1722</v>
      </c>
      <c r="F1056" s="16" t="str">
        <f>_xlfn.XLOOKUP(D1056,[9]Sheet2!$C:$C,[9]Sheet2!$E:$E,"-")</f>
        <v>Andy Kistiwantono</v>
      </c>
      <c r="G1056" s="21"/>
    </row>
    <row r="1057" spans="2:7">
      <c r="B1057" s="22" t="s">
        <v>1085</v>
      </c>
      <c r="C1057" s="23" t="s">
        <v>1086</v>
      </c>
      <c r="D1057" s="24" t="s">
        <v>1099</v>
      </c>
      <c r="E1057" s="25" t="s">
        <v>1722</v>
      </c>
      <c r="F1057" s="16" t="str">
        <f>_xlfn.XLOOKUP(D1057,[9]Sheet2!$C:$C,[9]Sheet2!$E:$E,"-")</f>
        <v>M. Zen Asrofi</v>
      </c>
      <c r="G1057" s="21"/>
    </row>
    <row r="1058" spans="2:7">
      <c r="B1058" s="22" t="s">
        <v>1085</v>
      </c>
      <c r="C1058" s="23" t="s">
        <v>1086</v>
      </c>
      <c r="D1058" s="24" t="s">
        <v>1100</v>
      </c>
      <c r="E1058" s="25" t="s">
        <v>1722</v>
      </c>
      <c r="F1058" s="16" t="str">
        <f>_xlfn.XLOOKUP(D1058,[9]Sheet2!$C:$C,[9]Sheet2!$E:$E,"-")</f>
        <v>Totok Suwiknyo</v>
      </c>
      <c r="G1058" s="21"/>
    </row>
    <row r="1059" spans="2:7">
      <c r="B1059" s="22" t="s">
        <v>1085</v>
      </c>
      <c r="C1059" s="23" t="s">
        <v>1086</v>
      </c>
      <c r="D1059" s="24" t="s">
        <v>1101</v>
      </c>
      <c r="E1059" s="25" t="s">
        <v>1722</v>
      </c>
      <c r="F1059" s="16" t="str">
        <f>_xlfn.XLOOKUP(D1059,[9]Sheet2!$C:$C,[9]Sheet2!$E:$E,"-")</f>
        <v>Andy Kistiwantono</v>
      </c>
      <c r="G1059" s="21"/>
    </row>
    <row r="1060" spans="2:7">
      <c r="B1060" s="22" t="s">
        <v>1085</v>
      </c>
      <c r="C1060" s="23" t="s">
        <v>1086</v>
      </c>
      <c r="D1060" s="24" t="s">
        <v>1102</v>
      </c>
      <c r="E1060" s="25" t="s">
        <v>1722</v>
      </c>
      <c r="F1060" s="16" t="str">
        <f>_xlfn.XLOOKUP(D1060,[9]Sheet2!$C:$C,[9]Sheet2!$E:$E,"-")</f>
        <v>M. Zen Asrofi</v>
      </c>
      <c r="G1060" s="21"/>
    </row>
    <row r="1061" spans="2:7">
      <c r="B1061" s="22" t="s">
        <v>1085</v>
      </c>
      <c r="C1061" s="23" t="s">
        <v>1086</v>
      </c>
      <c r="D1061" s="24" t="s">
        <v>1103</v>
      </c>
      <c r="E1061" s="25" t="s">
        <v>1722</v>
      </c>
      <c r="F1061" s="16" t="str">
        <f>_xlfn.XLOOKUP(D1061,[9]Sheet2!$C:$C,[9]Sheet2!$E:$E,"-")</f>
        <v>Mokhammad Ali Mustofa</v>
      </c>
      <c r="G1061" s="21"/>
    </row>
    <row r="1062" spans="2:7">
      <c r="B1062" s="22" t="s">
        <v>1085</v>
      </c>
      <c r="C1062" s="23" t="s">
        <v>1086</v>
      </c>
      <c r="D1062" s="24" t="s">
        <v>1104</v>
      </c>
      <c r="E1062" s="25" t="s">
        <v>1722</v>
      </c>
      <c r="F1062" s="16" t="str">
        <f>_xlfn.XLOOKUP(D1062,[9]Sheet2!$C:$C,[9]Sheet2!$E:$E,"-")</f>
        <v>Mokhammad Ali Mustofa</v>
      </c>
      <c r="G1062" s="21"/>
    </row>
    <row r="1063" spans="2:7">
      <c r="B1063" s="22" t="s">
        <v>1085</v>
      </c>
      <c r="C1063" s="23" t="s">
        <v>1086</v>
      </c>
      <c r="D1063" s="24" t="s">
        <v>1105</v>
      </c>
      <c r="E1063" s="25" t="s">
        <v>1722</v>
      </c>
      <c r="F1063" s="16" t="str">
        <f>_xlfn.XLOOKUP(D1063,[9]Sheet2!$C:$C,[9]Sheet2!$E:$E,"-")</f>
        <v>Totok Suwiknyo</v>
      </c>
      <c r="G1063" s="21"/>
    </row>
    <row r="1064" spans="2:7">
      <c r="B1064" s="22" t="s">
        <v>1085</v>
      </c>
      <c r="C1064" s="23" t="s">
        <v>1086</v>
      </c>
      <c r="D1064" s="24" t="s">
        <v>1106</v>
      </c>
      <c r="E1064" s="25" t="s">
        <v>1722</v>
      </c>
      <c r="F1064" s="16" t="str">
        <f>_xlfn.XLOOKUP(D1064,[9]Sheet2!$C:$C,[9]Sheet2!$E:$E,"-")</f>
        <v>Budianto</v>
      </c>
      <c r="G1064" s="21"/>
    </row>
    <row r="1065" spans="2:7">
      <c r="B1065" s="22" t="s">
        <v>1085</v>
      </c>
      <c r="C1065" s="23" t="s">
        <v>1086</v>
      </c>
      <c r="D1065" s="24" t="s">
        <v>1107</v>
      </c>
      <c r="E1065" s="25" t="s">
        <v>1722</v>
      </c>
      <c r="F1065" s="16" t="str">
        <f>_xlfn.XLOOKUP(D1065,[9]Sheet2!$C:$C,[9]Sheet2!$E:$E,"-")</f>
        <v>Niza Ramadani</v>
      </c>
      <c r="G1065" s="21"/>
    </row>
    <row r="1066" spans="2:7">
      <c r="B1066" s="22" t="s">
        <v>1085</v>
      </c>
      <c r="C1066" s="23" t="s">
        <v>1086</v>
      </c>
      <c r="D1066" s="24" t="s">
        <v>1108</v>
      </c>
      <c r="E1066" s="25" t="s">
        <v>1745</v>
      </c>
      <c r="F1066" s="16" t="str">
        <f>_xlfn.XLOOKUP(D1066,[9]Sheet2!$C:$C,[9]Sheet2!$E:$E,"-")</f>
        <v>Dian Putra Aris Firmansyah</v>
      </c>
      <c r="G1066" s="21"/>
    </row>
    <row r="1067" spans="2:7">
      <c r="B1067" s="22" t="s">
        <v>1085</v>
      </c>
      <c r="C1067" s="23" t="s">
        <v>1086</v>
      </c>
      <c r="D1067" s="24" t="s">
        <v>1109</v>
      </c>
      <c r="E1067" s="25" t="s">
        <v>1745</v>
      </c>
      <c r="F1067" s="16" t="str">
        <f>_xlfn.XLOOKUP(D1067,[9]Sheet2!$C:$C,[9]Sheet2!$E:$E,"-")</f>
        <v>Mohammad Fa'Iq Al Abror</v>
      </c>
      <c r="G1067" s="21"/>
    </row>
    <row r="1068" spans="2:7">
      <c r="B1068" s="22" t="s">
        <v>1085</v>
      </c>
      <c r="C1068" s="23" t="s">
        <v>1086</v>
      </c>
      <c r="D1068" s="24" t="s">
        <v>1110</v>
      </c>
      <c r="E1068" s="25" t="s">
        <v>1722</v>
      </c>
      <c r="F1068" s="16" t="str">
        <f>_xlfn.XLOOKUP(D1068,[9]Sheet2!$C:$C,[9]Sheet2!$E:$E,"-")</f>
        <v>Fariszulhazmi</v>
      </c>
      <c r="G1068" s="21"/>
    </row>
    <row r="1069" spans="2:7">
      <c r="B1069" s="22" t="s">
        <v>1085</v>
      </c>
      <c r="C1069" s="23" t="s">
        <v>1086</v>
      </c>
      <c r="D1069" s="24" t="s">
        <v>1111</v>
      </c>
      <c r="E1069" s="25" t="s">
        <v>1722</v>
      </c>
      <c r="F1069" s="16" t="str">
        <f>_xlfn.XLOOKUP(D1069,[9]Sheet2!$C:$C,[9]Sheet2!$E:$E,"-")</f>
        <v>Fitra Romansyah</v>
      </c>
      <c r="G1069" s="21"/>
    </row>
    <row r="1070" spans="2:7">
      <c r="B1070" s="22" t="s">
        <v>1085</v>
      </c>
      <c r="C1070" s="23" t="s">
        <v>1086</v>
      </c>
      <c r="D1070" s="24" t="s">
        <v>1112</v>
      </c>
      <c r="E1070" s="25" t="s">
        <v>1722</v>
      </c>
      <c r="F1070" s="16" t="str">
        <f>_xlfn.XLOOKUP(D1070,[9]Sheet2!$C:$C,[9]Sheet2!$E:$E,"-")</f>
        <v>Fariszulhazmi</v>
      </c>
      <c r="G1070" s="21"/>
    </row>
    <row r="1071" spans="2:7">
      <c r="B1071" s="22" t="s">
        <v>1085</v>
      </c>
      <c r="C1071" s="23" t="s">
        <v>1086</v>
      </c>
      <c r="D1071" s="24" t="s">
        <v>1113</v>
      </c>
      <c r="E1071" s="25" t="s">
        <v>1722</v>
      </c>
      <c r="F1071" s="16" t="str">
        <f>_xlfn.XLOOKUP(D1071,[9]Sheet2!$C:$C,[9]Sheet2!$E:$E,"-")</f>
        <v>Dede Rahadiansyah Ucky Pradana</v>
      </c>
      <c r="G1071" s="21"/>
    </row>
    <row r="1072" spans="2:7">
      <c r="B1072" s="22" t="s">
        <v>1085</v>
      </c>
      <c r="C1072" s="23" t="s">
        <v>1086</v>
      </c>
      <c r="D1072" s="24" t="s">
        <v>1114</v>
      </c>
      <c r="E1072" s="25" t="s">
        <v>1722</v>
      </c>
      <c r="F1072" s="16" t="str">
        <f>_xlfn.XLOOKUP(D1072,[9]Sheet2!$C:$C,[9]Sheet2!$E:$E,"-")</f>
        <v>Ardyanita Wanti, S.Pd</v>
      </c>
      <c r="G1072" s="21"/>
    </row>
    <row r="1073" spans="2:7">
      <c r="B1073" s="22" t="s">
        <v>1085</v>
      </c>
      <c r="C1073" s="23" t="s">
        <v>1086</v>
      </c>
      <c r="D1073" s="24" t="s">
        <v>1115</v>
      </c>
      <c r="E1073" s="25" t="s">
        <v>1745</v>
      </c>
      <c r="F1073" s="16" t="str">
        <f>_xlfn.XLOOKUP(D1073,[9]Sheet2!$C:$C,[9]Sheet2!$E:$E,"-")</f>
        <v>Mohammad Fa'Iq Al Abror</v>
      </c>
      <c r="G1073" s="21"/>
    </row>
    <row r="1074" spans="2:7">
      <c r="B1074" s="22" t="s">
        <v>1085</v>
      </c>
      <c r="C1074" s="23" t="s">
        <v>1086</v>
      </c>
      <c r="D1074" s="24" t="s">
        <v>1116</v>
      </c>
      <c r="E1074" s="25" t="s">
        <v>1745</v>
      </c>
      <c r="F1074" s="16" t="str">
        <f>_xlfn.XLOOKUP(D1074,[9]Sheet2!$C:$C,[9]Sheet2!$E:$E,"-")</f>
        <v>Dian Putra Aris Firmansyah</v>
      </c>
      <c r="G1074" s="21"/>
    </row>
    <row r="1075" spans="2:7">
      <c r="B1075" s="22" t="s">
        <v>1085</v>
      </c>
      <c r="C1075" s="23" t="s">
        <v>1086</v>
      </c>
      <c r="D1075" s="24" t="s">
        <v>1117</v>
      </c>
      <c r="E1075" s="25" t="s">
        <v>1722</v>
      </c>
      <c r="F1075" s="16" t="str">
        <f>_xlfn.XLOOKUP(D1075,[9]Sheet2!$C:$C,[9]Sheet2!$E:$E,"-")</f>
        <v>Ardyanita Wanti, S.Pd</v>
      </c>
      <c r="G1075" s="21"/>
    </row>
    <row r="1076" spans="2:7">
      <c r="B1076" s="22" t="s">
        <v>1085</v>
      </c>
      <c r="C1076" s="23" t="s">
        <v>1086</v>
      </c>
      <c r="D1076" s="24" t="s">
        <v>1118</v>
      </c>
      <c r="E1076" s="25" t="s">
        <v>1722</v>
      </c>
      <c r="F1076" s="16" t="str">
        <f>_xlfn.XLOOKUP(D1076,[9]Sheet2!$C:$C,[9]Sheet2!$E:$E,"-")</f>
        <v>Fariszulhazmi</v>
      </c>
      <c r="G1076" s="21"/>
    </row>
    <row r="1077" spans="2:7">
      <c r="B1077" s="22" t="s">
        <v>1085</v>
      </c>
      <c r="C1077" s="23" t="s">
        <v>1086</v>
      </c>
      <c r="D1077" s="24" t="s">
        <v>1119</v>
      </c>
      <c r="E1077" s="25" t="s">
        <v>1722</v>
      </c>
      <c r="F1077" s="16" t="str">
        <f>_xlfn.XLOOKUP(D1077,[9]Sheet2!$C:$C,[9]Sheet2!$E:$E,"-")</f>
        <v>Fitra Romansyah</v>
      </c>
      <c r="G1077" s="21"/>
    </row>
    <row r="1078" spans="2:7">
      <c r="B1078" s="22" t="s">
        <v>1085</v>
      </c>
      <c r="C1078" s="23" t="s">
        <v>1086</v>
      </c>
      <c r="D1078" s="24" t="s">
        <v>1120</v>
      </c>
      <c r="E1078" s="25" t="s">
        <v>1722</v>
      </c>
      <c r="F1078" s="16" t="str">
        <f>_xlfn.XLOOKUP(D1078,[9]Sheet2!$C:$C,[9]Sheet2!$E:$E,"-")</f>
        <v>Fitra Romansyah</v>
      </c>
      <c r="G1078" s="21"/>
    </row>
    <row r="1079" spans="2:7">
      <c r="B1079" s="22" t="s">
        <v>1085</v>
      </c>
      <c r="C1079" s="23" t="s">
        <v>1086</v>
      </c>
      <c r="D1079" s="24" t="s">
        <v>1121</v>
      </c>
      <c r="E1079" s="25" t="s">
        <v>1745</v>
      </c>
      <c r="F1079" s="16" t="str">
        <f>_xlfn.XLOOKUP(D1079,[9]Sheet2!$C:$C,[9]Sheet2!$E:$E,"-")</f>
        <v>M. Faris Rahman</v>
      </c>
      <c r="G1079" s="21"/>
    </row>
    <row r="1080" spans="2:7">
      <c r="B1080" s="22" t="s">
        <v>1085</v>
      </c>
      <c r="C1080" s="23" t="s">
        <v>1086</v>
      </c>
      <c r="D1080" s="24" t="s">
        <v>1122</v>
      </c>
      <c r="E1080" s="25" t="s">
        <v>1745</v>
      </c>
      <c r="F1080" s="16" t="str">
        <f>_xlfn.XLOOKUP(D1080,[9]Sheet2!$C:$C,[9]Sheet2!$E:$E,"-")</f>
        <v>Ali Said</v>
      </c>
      <c r="G1080" s="21"/>
    </row>
    <row r="1081" spans="2:7">
      <c r="B1081" s="22" t="s">
        <v>1085</v>
      </c>
      <c r="C1081" s="23" t="s">
        <v>1086</v>
      </c>
      <c r="D1081" s="24" t="s">
        <v>1123</v>
      </c>
      <c r="E1081" s="25" t="s">
        <v>1722</v>
      </c>
      <c r="F1081" s="16" t="str">
        <f>_xlfn.XLOOKUP(D1081,[9]Sheet2!$C:$C,[9]Sheet2!$E:$E,"-")</f>
        <v>Siswa Maulana Malik</v>
      </c>
      <c r="G1081" s="21"/>
    </row>
    <row r="1082" spans="2:7">
      <c r="B1082" s="22" t="s">
        <v>1085</v>
      </c>
      <c r="C1082" s="23" t="s">
        <v>1086</v>
      </c>
      <c r="D1082" s="24" t="s">
        <v>1124</v>
      </c>
      <c r="E1082" s="25" t="s">
        <v>1722</v>
      </c>
      <c r="F1082" s="16" t="str">
        <f>_xlfn.XLOOKUP(D1082,[9]Sheet2!$C:$C,[9]Sheet2!$E:$E,"-")</f>
        <v>Ahmad Andy Fajar Wijaya</v>
      </c>
      <c r="G1082" s="21"/>
    </row>
    <row r="1083" spans="2:7">
      <c r="B1083" s="22" t="s">
        <v>1085</v>
      </c>
      <c r="C1083" s="23" t="s">
        <v>1086</v>
      </c>
      <c r="D1083" s="24" t="s">
        <v>1125</v>
      </c>
      <c r="E1083" s="25" t="s">
        <v>1722</v>
      </c>
      <c r="F1083" s="16" t="str">
        <f>_xlfn.XLOOKUP(D1083,[9]Sheet2!$C:$C,[9]Sheet2!$E:$E,"-")</f>
        <v>Moch Ali Muksin</v>
      </c>
      <c r="G1083" s="21"/>
    </row>
    <row r="1084" spans="2:7">
      <c r="B1084" s="22" t="s">
        <v>1085</v>
      </c>
      <c r="C1084" s="23" t="s">
        <v>1086</v>
      </c>
      <c r="D1084" s="24" t="s">
        <v>1126</v>
      </c>
      <c r="E1084" s="25" t="s">
        <v>1722</v>
      </c>
      <c r="F1084" s="16" t="str">
        <f>_xlfn.XLOOKUP(D1084,[9]Sheet2!$C:$C,[9]Sheet2!$E:$E,"-")</f>
        <v>Ahmad Andy Fajar Wijaya</v>
      </c>
      <c r="G1084" s="21"/>
    </row>
    <row r="1085" spans="2:7">
      <c r="B1085" s="22" t="s">
        <v>1085</v>
      </c>
      <c r="C1085" s="23" t="s">
        <v>1086</v>
      </c>
      <c r="D1085" s="24" t="s">
        <v>1127</v>
      </c>
      <c r="E1085" s="25" t="s">
        <v>1722</v>
      </c>
      <c r="F1085" s="16" t="str">
        <f>_xlfn.XLOOKUP(D1085,[9]Sheet2!$C:$C,[9]Sheet2!$E:$E,"-")</f>
        <v>Siswa Maulana Malik</v>
      </c>
      <c r="G1085" s="21"/>
    </row>
    <row r="1086" spans="2:7">
      <c r="B1086" s="22" t="s">
        <v>1085</v>
      </c>
      <c r="C1086" s="23" t="s">
        <v>1086</v>
      </c>
      <c r="D1086" s="24" t="s">
        <v>1128</v>
      </c>
      <c r="E1086" s="25" t="s">
        <v>1745</v>
      </c>
      <c r="F1086" s="16" t="str">
        <f>_xlfn.XLOOKUP(D1086,[9]Sheet2!$C:$C,[9]Sheet2!$E:$E,"-")</f>
        <v>M. Faris Rahman</v>
      </c>
      <c r="G1086" s="21"/>
    </row>
    <row r="1087" spans="2:7">
      <c r="B1087" s="22" t="s">
        <v>1085</v>
      </c>
      <c r="C1087" s="23" t="s">
        <v>1086</v>
      </c>
      <c r="D1087" s="24" t="s">
        <v>1129</v>
      </c>
      <c r="E1087" s="25" t="s">
        <v>1745</v>
      </c>
      <c r="F1087" s="16" t="str">
        <f>_xlfn.XLOOKUP(D1087,[9]Sheet2!$C:$C,[9]Sheet2!$E:$E,"-")</f>
        <v>Ali Said</v>
      </c>
      <c r="G1087" s="21"/>
    </row>
    <row r="1088" spans="2:7">
      <c r="B1088" s="22" t="s">
        <v>1085</v>
      </c>
      <c r="C1088" s="23" t="s">
        <v>1086</v>
      </c>
      <c r="D1088" s="24" t="s">
        <v>1130</v>
      </c>
      <c r="E1088" s="25" t="s">
        <v>1745</v>
      </c>
      <c r="F1088" s="16" t="str">
        <f>_xlfn.XLOOKUP(D1088,[9]Sheet2!$C:$C,[9]Sheet2!$E:$E,"-")</f>
        <v>M. Faris Rahman</v>
      </c>
      <c r="G1088" s="21"/>
    </row>
    <row r="1089" spans="2:7">
      <c r="B1089" s="22" t="s">
        <v>1085</v>
      </c>
      <c r="C1089" s="23" t="s">
        <v>1086</v>
      </c>
      <c r="D1089" s="24" t="s">
        <v>1131</v>
      </c>
      <c r="E1089" s="25" t="s">
        <v>1722</v>
      </c>
      <c r="F1089" s="16" t="str">
        <f>_xlfn.XLOOKUP(D1089,[9]Sheet2!$C:$C,[9]Sheet2!$E:$E,"-")</f>
        <v>Moch Ali Muksin</v>
      </c>
      <c r="G1089" s="21"/>
    </row>
    <row r="1090" spans="2:7">
      <c r="B1090" s="22" t="s">
        <v>1085</v>
      </c>
      <c r="C1090" s="23" t="s">
        <v>1086</v>
      </c>
      <c r="D1090" s="24" t="s">
        <v>1132</v>
      </c>
      <c r="E1090" s="25" t="s">
        <v>1722</v>
      </c>
      <c r="F1090" s="16" t="str">
        <f>_xlfn.XLOOKUP(D1090,[9]Sheet2!$C:$C,[9]Sheet2!$E:$E,"-")</f>
        <v>Ahmad Andy Fajar Wijaya</v>
      </c>
      <c r="G1090" s="21"/>
    </row>
    <row r="1091" spans="2:7">
      <c r="B1091" s="22" t="s">
        <v>1085</v>
      </c>
      <c r="C1091" s="23" t="s">
        <v>1086</v>
      </c>
      <c r="D1091" s="24" t="s">
        <v>1133</v>
      </c>
      <c r="E1091" s="25" t="s">
        <v>1722</v>
      </c>
      <c r="F1091" s="16" t="str">
        <f>_xlfn.XLOOKUP(D1091,[9]Sheet2!$C:$C,[9]Sheet2!$E:$E,"-")</f>
        <v>Faris Meilugianta Pratama</v>
      </c>
      <c r="G1091" s="21"/>
    </row>
    <row r="1092" spans="2:7">
      <c r="B1092" s="22" t="s">
        <v>1085</v>
      </c>
      <c r="C1092" s="23" t="s">
        <v>1086</v>
      </c>
      <c r="D1092" s="24" t="s">
        <v>1134</v>
      </c>
      <c r="E1092" s="25" t="s">
        <v>1722</v>
      </c>
      <c r="F1092" s="16" t="str">
        <f>_xlfn.XLOOKUP(D1092,[9]Sheet2!$C:$C,[9]Sheet2!$E:$E,"-")</f>
        <v>Zainal Abidin</v>
      </c>
      <c r="G1092" s="21"/>
    </row>
    <row r="1093" spans="2:7">
      <c r="B1093" s="22" t="s">
        <v>1085</v>
      </c>
      <c r="C1093" s="23" t="s">
        <v>1086</v>
      </c>
      <c r="D1093" s="24" t="s">
        <v>1135</v>
      </c>
      <c r="E1093" s="25" t="s">
        <v>1722</v>
      </c>
      <c r="F1093" s="16" t="str">
        <f>_xlfn.XLOOKUP(D1093,[9]Sheet2!$C:$C,[9]Sheet2!$E:$E,"-")</f>
        <v>Ega Chandra Dinata</v>
      </c>
      <c r="G1093" s="21"/>
    </row>
    <row r="1094" spans="2:7">
      <c r="B1094" s="22" t="s">
        <v>1085</v>
      </c>
      <c r="C1094" s="23" t="s">
        <v>1086</v>
      </c>
      <c r="D1094" s="24" t="s">
        <v>1136</v>
      </c>
      <c r="E1094" s="25" t="s">
        <v>1722</v>
      </c>
      <c r="F1094" s="16" t="str">
        <f>_xlfn.XLOOKUP(D1094,[9]Sheet2!$C:$C,[9]Sheet2!$E:$E,"-")</f>
        <v>Fauzen Alfan</v>
      </c>
      <c r="G1094" s="21"/>
    </row>
    <row r="1095" spans="2:7">
      <c r="B1095" s="22" t="s">
        <v>1085</v>
      </c>
      <c r="C1095" s="23" t="s">
        <v>1086</v>
      </c>
      <c r="D1095" s="24" t="s">
        <v>1137</v>
      </c>
      <c r="E1095" s="25" t="s">
        <v>1722</v>
      </c>
      <c r="F1095" s="16" t="str">
        <f>_xlfn.XLOOKUP(D1095,[9]Sheet2!$C:$C,[9]Sheet2!$E:$E,"-")</f>
        <v>Faris Meilugianta Pratama</v>
      </c>
      <c r="G1095" s="21"/>
    </row>
    <row r="1096" spans="2:7">
      <c r="B1096" s="22" t="s">
        <v>1085</v>
      </c>
      <c r="C1096" s="23" t="s">
        <v>1086</v>
      </c>
      <c r="D1096" s="24" t="s">
        <v>1138</v>
      </c>
      <c r="E1096" s="25" t="s">
        <v>1722</v>
      </c>
      <c r="F1096" s="16" t="str">
        <f>_xlfn.XLOOKUP(D1096,[9]Sheet2!$C:$C,[9]Sheet2!$E:$E,"-")</f>
        <v>Hilman Anshori</v>
      </c>
      <c r="G1096" s="21"/>
    </row>
    <row r="1097" spans="2:7">
      <c r="B1097" s="22" t="s">
        <v>1085</v>
      </c>
      <c r="C1097" s="23" t="s">
        <v>1086</v>
      </c>
      <c r="D1097" s="24" t="s">
        <v>1139</v>
      </c>
      <c r="E1097" s="25" t="s">
        <v>1745</v>
      </c>
      <c r="F1097" s="16" t="str">
        <f>_xlfn.XLOOKUP(D1097,[9]Sheet2!$C:$C,[9]Sheet2!$E:$E,"-")</f>
        <v>-</v>
      </c>
      <c r="G1097" s="21"/>
    </row>
    <row r="1098" spans="2:7">
      <c r="B1098" s="22" t="s">
        <v>1085</v>
      </c>
      <c r="C1098" s="23" t="s">
        <v>1086</v>
      </c>
      <c r="D1098" s="24" t="s">
        <v>1140</v>
      </c>
      <c r="E1098" s="25" t="s">
        <v>1745</v>
      </c>
      <c r="F1098" s="16" t="str">
        <f>_xlfn.XLOOKUP(D1098,[9]Sheet2!$C:$C,[9]Sheet2!$E:$E,"-")</f>
        <v>-</v>
      </c>
      <c r="G1098" s="21"/>
    </row>
    <row r="1099" spans="2:7">
      <c r="B1099" s="22" t="s">
        <v>1085</v>
      </c>
      <c r="C1099" s="23" t="s">
        <v>1086</v>
      </c>
      <c r="D1099" s="24" t="s">
        <v>1141</v>
      </c>
      <c r="E1099" s="25" t="s">
        <v>1745</v>
      </c>
      <c r="F1099" s="16" t="str">
        <f>_xlfn.XLOOKUP(D1099,[9]Sheet2!$C:$C,[9]Sheet2!$E:$E,"-")</f>
        <v>-</v>
      </c>
      <c r="G1099" s="21"/>
    </row>
    <row r="1100" spans="2:7">
      <c r="B1100" s="22" t="s">
        <v>1085</v>
      </c>
      <c r="C1100" s="23" t="s">
        <v>1086</v>
      </c>
      <c r="D1100" s="24" t="s">
        <v>1142</v>
      </c>
      <c r="E1100" s="25" t="s">
        <v>1745</v>
      </c>
      <c r="F1100" s="16" t="str">
        <f>_xlfn.XLOOKUP(D1100,[9]Sheet2!$C:$C,[9]Sheet2!$E:$E,"-")</f>
        <v>-</v>
      </c>
      <c r="G1100" s="21"/>
    </row>
    <row r="1101" spans="2:7">
      <c r="B1101" s="22" t="s">
        <v>1085</v>
      </c>
      <c r="C1101" s="23" t="s">
        <v>1086</v>
      </c>
      <c r="D1101" s="24" t="s">
        <v>1143</v>
      </c>
      <c r="E1101" s="25" t="s">
        <v>1745</v>
      </c>
      <c r="F1101" s="16" t="str">
        <f>_xlfn.XLOOKUP(D1101,[9]Sheet2!$C:$C,[9]Sheet2!$E:$E,"-")</f>
        <v>Andi Wiranata Negara</v>
      </c>
      <c r="G1101" s="21"/>
    </row>
    <row r="1102" spans="2:7">
      <c r="B1102" s="22" t="s">
        <v>1085</v>
      </c>
      <c r="C1102" s="23" t="s">
        <v>1086</v>
      </c>
      <c r="D1102" s="24" t="s">
        <v>1144</v>
      </c>
      <c r="E1102" s="25" t="s">
        <v>1745</v>
      </c>
      <c r="F1102" s="16" t="str">
        <f>_xlfn.XLOOKUP(D1102,[9]Sheet2!$C:$C,[9]Sheet2!$E:$E,"-")</f>
        <v>Moh. Hasan</v>
      </c>
      <c r="G1102" s="21"/>
    </row>
    <row r="1103" spans="2:7">
      <c r="B1103" s="22" t="s">
        <v>1085</v>
      </c>
      <c r="C1103" s="23" t="s">
        <v>1086</v>
      </c>
      <c r="D1103" s="24" t="s">
        <v>1145</v>
      </c>
      <c r="E1103" s="25" t="s">
        <v>1745</v>
      </c>
      <c r="F1103" s="16" t="str">
        <f>_xlfn.XLOOKUP(D1103,[9]Sheet2!$C:$C,[9]Sheet2!$E:$E,"-")</f>
        <v>Farida</v>
      </c>
      <c r="G1103" s="21"/>
    </row>
    <row r="1104" spans="2:7">
      <c r="B1104" s="22" t="s">
        <v>1085</v>
      </c>
      <c r="C1104" s="23" t="s">
        <v>1086</v>
      </c>
      <c r="D1104" s="24" t="s">
        <v>1146</v>
      </c>
      <c r="E1104" s="25" t="s">
        <v>1745</v>
      </c>
      <c r="F1104" s="16" t="str">
        <f>_xlfn.XLOOKUP(D1104,[9]Sheet2!$C:$C,[9]Sheet2!$E:$E,"-")</f>
        <v>Moh. Hasan</v>
      </c>
      <c r="G1104" s="21"/>
    </row>
    <row r="1105" spans="2:7">
      <c r="B1105" s="22" t="s">
        <v>1085</v>
      </c>
      <c r="C1105" s="23" t="s">
        <v>1086</v>
      </c>
      <c r="D1105" s="24" t="s">
        <v>1147</v>
      </c>
      <c r="E1105" s="25" t="s">
        <v>1745</v>
      </c>
      <c r="F1105" s="16" t="str">
        <f>_xlfn.XLOOKUP(D1105,[9]Sheet2!$C:$C,[9]Sheet2!$E:$E,"-")</f>
        <v>Farida</v>
      </c>
      <c r="G1105" s="21"/>
    </row>
    <row r="1106" spans="2:7">
      <c r="B1106" s="22" t="s">
        <v>1085</v>
      </c>
      <c r="C1106" s="23" t="s">
        <v>1086</v>
      </c>
      <c r="D1106" s="24" t="s">
        <v>1148</v>
      </c>
      <c r="E1106" s="25" t="s">
        <v>1745</v>
      </c>
      <c r="F1106" s="16" t="str">
        <f>_xlfn.XLOOKUP(D1106,[9]Sheet2!$C:$C,[9]Sheet2!$E:$E,"-")</f>
        <v>Abdur Rahman</v>
      </c>
      <c r="G1106" s="21"/>
    </row>
    <row r="1107" spans="2:7">
      <c r="B1107" s="22" t="s">
        <v>1085</v>
      </c>
      <c r="C1107" s="23" t="s">
        <v>1086</v>
      </c>
      <c r="D1107" s="24" t="s">
        <v>1149</v>
      </c>
      <c r="E1107" s="25" t="s">
        <v>1745</v>
      </c>
      <c r="F1107" s="16" t="str">
        <f>_xlfn.XLOOKUP(D1107,[9]Sheet2!$C:$C,[9]Sheet2!$E:$E,"-")</f>
        <v>Abdur Rahman</v>
      </c>
      <c r="G1107" s="21"/>
    </row>
    <row r="1108" spans="2:7">
      <c r="B1108" s="22" t="s">
        <v>1085</v>
      </c>
      <c r="C1108" s="23" t="s">
        <v>1086</v>
      </c>
      <c r="D1108" s="24" t="s">
        <v>1150</v>
      </c>
      <c r="E1108" s="25" t="s">
        <v>1722</v>
      </c>
      <c r="F1108" s="16" t="str">
        <f>_xlfn.XLOOKUP(D1108,[9]Sheet2!$C:$C,[9]Sheet2!$E:$E,"-")</f>
        <v>Ahmad Khairul Zawawi</v>
      </c>
      <c r="G1108" s="21"/>
    </row>
    <row r="1109" spans="2:7">
      <c r="B1109" s="22" t="s">
        <v>1085</v>
      </c>
      <c r="C1109" s="23" t="s">
        <v>1086</v>
      </c>
      <c r="D1109" s="24" t="s">
        <v>1151</v>
      </c>
      <c r="E1109" s="25" t="s">
        <v>1722</v>
      </c>
      <c r="F1109" s="16" t="str">
        <f>_xlfn.XLOOKUP(D1109,[9]Sheet2!$C:$C,[9]Sheet2!$E:$E,"-")</f>
        <v>Ahmad Khairul Zawawi</v>
      </c>
      <c r="G1109" s="21"/>
    </row>
    <row r="1110" spans="2:7">
      <c r="B1110" s="22" t="s">
        <v>1085</v>
      </c>
      <c r="C1110" s="23" t="s">
        <v>1086</v>
      </c>
      <c r="D1110" s="24" t="s">
        <v>1152</v>
      </c>
      <c r="E1110" s="25" t="s">
        <v>1722</v>
      </c>
      <c r="F1110" s="16" t="str">
        <f>_xlfn.XLOOKUP(D1110,[9]Sheet2!$C:$C,[9]Sheet2!$E:$E,"-")</f>
        <v>Muhlis Riyadi</v>
      </c>
      <c r="G1110" s="21"/>
    </row>
    <row r="1111" spans="2:7">
      <c r="B1111" s="22" t="s">
        <v>1085</v>
      </c>
      <c r="C1111" s="23" t="s">
        <v>1086</v>
      </c>
      <c r="D1111" s="24" t="s">
        <v>1153</v>
      </c>
      <c r="E1111" s="25" t="s">
        <v>1722</v>
      </c>
      <c r="F1111" s="16" t="str">
        <f>_xlfn.XLOOKUP(D1111,[9]Sheet2!$C:$C,[9]Sheet2!$E:$E,"-")</f>
        <v>Mohammad Irsyad</v>
      </c>
      <c r="G1111" s="21"/>
    </row>
    <row r="1112" spans="2:7">
      <c r="B1112" s="22" t="s">
        <v>1085</v>
      </c>
      <c r="C1112" s="23" t="s">
        <v>1086</v>
      </c>
      <c r="D1112" s="24" t="s">
        <v>1154</v>
      </c>
      <c r="E1112" s="25" t="s">
        <v>1722</v>
      </c>
      <c r="F1112" s="16" t="str">
        <f>_xlfn.XLOOKUP(D1112,[9]Sheet2!$C:$C,[9]Sheet2!$E:$E,"-")</f>
        <v>Mohammad Irsyad</v>
      </c>
      <c r="G1112" s="21"/>
    </row>
    <row r="1113" spans="2:7">
      <c r="B1113" s="22" t="s">
        <v>1085</v>
      </c>
      <c r="C1113" s="23" t="s">
        <v>1086</v>
      </c>
      <c r="D1113" s="24" t="s">
        <v>1155</v>
      </c>
      <c r="E1113" s="25" t="s">
        <v>1722</v>
      </c>
      <c r="F1113" s="16" t="str">
        <f>_xlfn.XLOOKUP(D1113,[9]Sheet2!$C:$C,[9]Sheet2!$E:$E,"-")</f>
        <v>Eka Satrio</v>
      </c>
      <c r="G1113" s="21"/>
    </row>
    <row r="1114" spans="2:7">
      <c r="B1114" s="22" t="s">
        <v>1085</v>
      </c>
      <c r="C1114" s="23" t="s">
        <v>1086</v>
      </c>
      <c r="D1114" s="24" t="s">
        <v>1156</v>
      </c>
      <c r="E1114" s="25" t="s">
        <v>1722</v>
      </c>
      <c r="F1114" s="16" t="str">
        <f>_xlfn.XLOOKUP(D1114,[9]Sheet2!$C:$C,[9]Sheet2!$E:$E,"-")</f>
        <v>Hodaifah</v>
      </c>
      <c r="G1114" s="21"/>
    </row>
    <row r="1115" spans="2:7">
      <c r="B1115" s="22" t="s">
        <v>1085</v>
      </c>
      <c r="C1115" s="23" t="s">
        <v>1086</v>
      </c>
      <c r="D1115" s="24" t="s">
        <v>1157</v>
      </c>
      <c r="E1115" s="25" t="s">
        <v>1722</v>
      </c>
      <c r="F1115" s="16" t="str">
        <f>_xlfn.XLOOKUP(D1115,[9]Sheet2!$C:$C,[9]Sheet2!$E:$E,"-")</f>
        <v>Hodaifah</v>
      </c>
      <c r="G1115" s="21"/>
    </row>
    <row r="1116" spans="2:7">
      <c r="B1116" s="22" t="s">
        <v>1085</v>
      </c>
      <c r="C1116" s="23" t="s">
        <v>1086</v>
      </c>
      <c r="D1116" s="24" t="s">
        <v>1158</v>
      </c>
      <c r="E1116" s="25" t="s">
        <v>1722</v>
      </c>
      <c r="F1116" s="16" t="str">
        <f>_xlfn.XLOOKUP(D1116,[9]Sheet2!$C:$C,[9]Sheet2!$E:$E,"-")</f>
        <v>Mohammad Irsyad</v>
      </c>
      <c r="G1116" s="21"/>
    </row>
    <row r="1117" spans="2:7">
      <c r="B1117" s="22" t="s">
        <v>1085</v>
      </c>
      <c r="C1117" s="23" t="s">
        <v>1086</v>
      </c>
      <c r="D1117" s="24" t="s">
        <v>1159</v>
      </c>
      <c r="E1117" s="25" t="s">
        <v>1722</v>
      </c>
      <c r="F1117" s="16" t="str">
        <f>_xlfn.XLOOKUP(D1117,[9]Sheet2!$C:$C,[9]Sheet2!$E:$E,"-")</f>
        <v>Syamsuddin</v>
      </c>
      <c r="G1117" s="21"/>
    </row>
    <row r="1118" spans="2:7">
      <c r="B1118" s="22" t="s">
        <v>1085</v>
      </c>
      <c r="C1118" s="23" t="s">
        <v>1086</v>
      </c>
      <c r="D1118" s="24" t="s">
        <v>1160</v>
      </c>
      <c r="E1118" s="25" t="s">
        <v>1722</v>
      </c>
      <c r="F1118" s="16" t="str">
        <f>_xlfn.XLOOKUP(D1118,[9]Sheet2!$C:$C,[9]Sheet2!$E:$E,"-")</f>
        <v>Yusufil Hamdhani Akbar</v>
      </c>
      <c r="G1118" s="21"/>
    </row>
    <row r="1119" spans="2:7">
      <c r="B1119" s="22" t="s">
        <v>1085</v>
      </c>
      <c r="C1119" s="23" t="s">
        <v>1086</v>
      </c>
      <c r="D1119" s="24" t="s">
        <v>1161</v>
      </c>
      <c r="E1119" s="25" t="s">
        <v>1745</v>
      </c>
      <c r="F1119" s="16" t="str">
        <f>_xlfn.XLOOKUP(D1119,[9]Sheet2!$C:$C,[9]Sheet2!$E:$E,"-")</f>
        <v>-</v>
      </c>
      <c r="G1119" s="21"/>
    </row>
    <row r="1120" spans="2:7">
      <c r="B1120" s="22" t="s">
        <v>1085</v>
      </c>
      <c r="C1120" s="23" t="s">
        <v>1086</v>
      </c>
      <c r="D1120" s="24" t="s">
        <v>1162</v>
      </c>
      <c r="E1120" s="25" t="s">
        <v>1722</v>
      </c>
      <c r="F1120" s="16" t="str">
        <f>_xlfn.XLOOKUP(D1120,[9]Sheet2!$C:$C,[9]Sheet2!$E:$E,"-")</f>
        <v>Moh. Adfar Istihar</v>
      </c>
      <c r="G1120" s="21"/>
    </row>
    <row r="1121" spans="2:7">
      <c r="B1121" s="22" t="s">
        <v>1085</v>
      </c>
      <c r="C1121" s="23" t="s">
        <v>1086</v>
      </c>
      <c r="D1121" s="24" t="s">
        <v>1163</v>
      </c>
      <c r="E1121" s="25" t="s">
        <v>1722</v>
      </c>
      <c r="F1121" s="16" t="str">
        <f>_xlfn.XLOOKUP(D1121,[9]Sheet2!$C:$C,[9]Sheet2!$E:$E,"-")</f>
        <v>Moh. Adfar Istihar</v>
      </c>
      <c r="G1121" s="21"/>
    </row>
    <row r="1122" spans="2:7">
      <c r="B1122" s="22" t="s">
        <v>1085</v>
      </c>
      <c r="C1122" s="23" t="s">
        <v>1086</v>
      </c>
      <c r="D1122" s="24" t="s">
        <v>1164</v>
      </c>
      <c r="E1122" s="25" t="s">
        <v>1722</v>
      </c>
      <c r="F1122" s="16" t="str">
        <f>_xlfn.XLOOKUP(D1122,[9]Sheet2!$C:$C,[9]Sheet2!$E:$E,"-")</f>
        <v>Abd. Ghoni</v>
      </c>
      <c r="G1122" s="21"/>
    </row>
    <row r="1123" spans="2:7">
      <c r="B1123" s="22" t="s">
        <v>1085</v>
      </c>
      <c r="C1123" s="23" t="s">
        <v>1086</v>
      </c>
      <c r="D1123" s="24" t="s">
        <v>1165</v>
      </c>
      <c r="E1123" s="25" t="s">
        <v>1722</v>
      </c>
      <c r="F1123" s="16" t="str">
        <f>_xlfn.XLOOKUP(D1123,[9]Sheet2!$C:$C,[9]Sheet2!$E:$E,"-")</f>
        <v>Abd. Syakur</v>
      </c>
      <c r="G1123" s="21"/>
    </row>
    <row r="1124" spans="2:7">
      <c r="B1124" s="22" t="s">
        <v>1085</v>
      </c>
      <c r="C1124" s="23" t="s">
        <v>1086</v>
      </c>
      <c r="D1124" s="24" t="s">
        <v>1166</v>
      </c>
      <c r="E1124" s="25" t="s">
        <v>1722</v>
      </c>
      <c r="F1124" s="16" t="str">
        <f>_xlfn.XLOOKUP(D1124,[9]Sheet2!$C:$C,[9]Sheet2!$E:$E,"-")</f>
        <v>Abd. Syakur</v>
      </c>
      <c r="G1124" s="21"/>
    </row>
    <row r="1125" spans="2:7">
      <c r="B1125" s="22" t="s">
        <v>1085</v>
      </c>
      <c r="C1125" s="23" t="s">
        <v>1086</v>
      </c>
      <c r="D1125" s="24" t="s">
        <v>1167</v>
      </c>
      <c r="E1125" s="25" t="s">
        <v>1745</v>
      </c>
      <c r="F1125" s="16" t="str">
        <f>_xlfn.XLOOKUP(D1125,[9]Sheet2!$C:$C,[9]Sheet2!$E:$E,"-")</f>
        <v>-</v>
      </c>
      <c r="G1125" s="21"/>
    </row>
    <row r="1126" spans="2:7">
      <c r="B1126" s="22" t="s">
        <v>1085</v>
      </c>
      <c r="C1126" s="23" t="s">
        <v>1086</v>
      </c>
      <c r="D1126" s="24" t="s">
        <v>1168</v>
      </c>
      <c r="E1126" s="25" t="s">
        <v>1745</v>
      </c>
      <c r="F1126" s="16" t="str">
        <f>_xlfn.XLOOKUP(D1126,[9]Sheet2!$C:$C,[9]Sheet2!$E:$E,"-")</f>
        <v>-</v>
      </c>
      <c r="G1126" s="21"/>
    </row>
    <row r="1127" spans="2:7">
      <c r="B1127" s="22" t="s">
        <v>1085</v>
      </c>
      <c r="C1127" s="23" t="s">
        <v>1086</v>
      </c>
      <c r="D1127" s="24" t="s">
        <v>1169</v>
      </c>
      <c r="E1127" s="25" t="s">
        <v>1745</v>
      </c>
      <c r="F1127" s="16" t="str">
        <f>_xlfn.XLOOKUP(D1127,[9]Sheet2!$C:$C,[9]Sheet2!$E:$E,"-")</f>
        <v>-</v>
      </c>
      <c r="G1127" s="21"/>
    </row>
    <row r="1128" spans="2:7">
      <c r="B1128" s="22" t="s">
        <v>1085</v>
      </c>
      <c r="C1128" s="23" t="s">
        <v>1086</v>
      </c>
      <c r="D1128" s="24" t="s">
        <v>1170</v>
      </c>
      <c r="E1128" s="25" t="s">
        <v>1722</v>
      </c>
      <c r="F1128" s="16" t="str">
        <f>_xlfn.XLOOKUP(D1128,[9]Sheet2!$C:$C,[9]Sheet2!$E:$E,"-")</f>
        <v>Eko Junaidi</v>
      </c>
      <c r="G1128" s="21"/>
    </row>
    <row r="1129" spans="2:7">
      <c r="B1129" s="22" t="s">
        <v>1085</v>
      </c>
      <c r="C1129" s="23" t="s">
        <v>1086</v>
      </c>
      <c r="D1129" s="24" t="s">
        <v>1171</v>
      </c>
      <c r="E1129" s="25" t="s">
        <v>1722</v>
      </c>
      <c r="F1129" s="16" t="str">
        <f>_xlfn.XLOOKUP(D1129,[9]Sheet2!$C:$C,[9]Sheet2!$E:$E,"-")</f>
        <v>Tika Vebrian Tiara Devi</v>
      </c>
      <c r="G1129" s="21"/>
    </row>
    <row r="1130" spans="2:7">
      <c r="B1130" s="22" t="s">
        <v>1085</v>
      </c>
      <c r="C1130" s="23" t="s">
        <v>1086</v>
      </c>
      <c r="D1130" s="24" t="s">
        <v>1172</v>
      </c>
      <c r="E1130" s="25" t="s">
        <v>1722</v>
      </c>
      <c r="F1130" s="16" t="str">
        <f>_xlfn.XLOOKUP(D1130,[9]Sheet2!$C:$C,[9]Sheet2!$E:$E,"-")</f>
        <v>Eko Prasetianto Nugroho</v>
      </c>
      <c r="G1130" s="21"/>
    </row>
    <row r="1131" spans="2:7">
      <c r="B1131" s="22" t="s">
        <v>1085</v>
      </c>
      <c r="C1131" s="23" t="s">
        <v>1086</v>
      </c>
      <c r="D1131" s="24" t="s">
        <v>1173</v>
      </c>
      <c r="E1131" s="25" t="s">
        <v>1722</v>
      </c>
      <c r="F1131" s="16" t="str">
        <f>_xlfn.XLOOKUP(D1131,[9]Sheet2!$C:$C,[9]Sheet2!$E:$E,"-")</f>
        <v>Eko Junaidi</v>
      </c>
      <c r="G1131" s="21"/>
    </row>
    <row r="1132" spans="2:7">
      <c r="B1132" s="22" t="s">
        <v>1085</v>
      </c>
      <c r="C1132" s="23" t="s">
        <v>1086</v>
      </c>
      <c r="D1132" s="24" t="s">
        <v>1174</v>
      </c>
      <c r="E1132" s="25" t="s">
        <v>1745</v>
      </c>
      <c r="F1132" s="16" t="str">
        <f>_xlfn.XLOOKUP(D1132,[9]Sheet2!$C:$C,[9]Sheet2!$E:$E,"-")</f>
        <v>Boma Eka Kurniawan</v>
      </c>
      <c r="G1132" s="21"/>
    </row>
    <row r="1133" spans="2:7">
      <c r="B1133" s="22" t="s">
        <v>1085</v>
      </c>
      <c r="C1133" s="23" t="s">
        <v>1086</v>
      </c>
      <c r="D1133" s="24" t="s">
        <v>1175</v>
      </c>
      <c r="E1133" s="25" t="s">
        <v>1722</v>
      </c>
      <c r="F1133" s="16" t="str">
        <f>_xlfn.XLOOKUP(D1133,[9]Sheet2!$C:$C,[9]Sheet2!$E:$E,"-")</f>
        <v>Tika Vebrian Tiara Devi</v>
      </c>
      <c r="G1133" s="21"/>
    </row>
    <row r="1134" spans="2:7">
      <c r="B1134" s="22" t="s">
        <v>1085</v>
      </c>
      <c r="C1134" s="23" t="s">
        <v>1086</v>
      </c>
      <c r="D1134" s="24" t="s">
        <v>1176</v>
      </c>
      <c r="E1134" s="25" t="s">
        <v>1745</v>
      </c>
      <c r="F1134" s="16" t="str">
        <f>_xlfn.XLOOKUP(D1134,[9]Sheet2!$C:$C,[9]Sheet2!$E:$E,"-")</f>
        <v>Galih Dewangga</v>
      </c>
      <c r="G1134" s="21"/>
    </row>
    <row r="1135" spans="2:7">
      <c r="B1135" s="22" t="s">
        <v>1085</v>
      </c>
      <c r="C1135" s="23" t="s">
        <v>1086</v>
      </c>
      <c r="D1135" s="24" t="s">
        <v>1177</v>
      </c>
      <c r="E1135" s="25" t="s">
        <v>1722</v>
      </c>
      <c r="F1135" s="16" t="str">
        <f>_xlfn.XLOOKUP(D1135,[9]Sheet2!$C:$C,[9]Sheet2!$E:$E,"-")</f>
        <v>Riza Aji Nurcholis</v>
      </c>
      <c r="G1135" s="21"/>
    </row>
    <row r="1136" spans="2:7">
      <c r="B1136" s="22" t="s">
        <v>1085</v>
      </c>
      <c r="C1136" s="23" t="s">
        <v>1086</v>
      </c>
      <c r="D1136" s="24" t="s">
        <v>1178</v>
      </c>
      <c r="E1136" s="25" t="s">
        <v>1722</v>
      </c>
      <c r="F1136" s="16" t="str">
        <f>_xlfn.XLOOKUP(D1136,[9]Sheet2!$C:$C,[9]Sheet2!$E:$E,"-")</f>
        <v>Hendrik Robi Saputra</v>
      </c>
      <c r="G1136" s="21"/>
    </row>
    <row r="1137" spans="2:7">
      <c r="B1137" s="22" t="s">
        <v>1085</v>
      </c>
      <c r="C1137" s="23" t="s">
        <v>1086</v>
      </c>
      <c r="D1137" s="24" t="s">
        <v>1179</v>
      </c>
      <c r="E1137" s="25" t="s">
        <v>1722</v>
      </c>
      <c r="F1137" s="16" t="str">
        <f>_xlfn.XLOOKUP(D1137,[9]Sheet2!$C:$C,[9]Sheet2!$E:$E,"-")</f>
        <v>Rika Arif Aprianto</v>
      </c>
      <c r="G1137" s="21"/>
    </row>
    <row r="1138" spans="2:7">
      <c r="B1138" s="22" t="s">
        <v>1085</v>
      </c>
      <c r="C1138" s="23" t="s">
        <v>1086</v>
      </c>
      <c r="D1138" s="24" t="s">
        <v>1180</v>
      </c>
      <c r="E1138" s="25" t="s">
        <v>1722</v>
      </c>
      <c r="F1138" s="16" t="str">
        <f>_xlfn.XLOOKUP(D1138,[9]Sheet2!$C:$C,[9]Sheet2!$E:$E,"-")</f>
        <v>Yacob Juan Firmansyah</v>
      </c>
      <c r="G1138" s="21"/>
    </row>
    <row r="1139" spans="2:7">
      <c r="B1139" s="22" t="s">
        <v>1085</v>
      </c>
      <c r="C1139" s="23" t="s">
        <v>1086</v>
      </c>
      <c r="D1139" s="24" t="s">
        <v>1181</v>
      </c>
      <c r="E1139" s="25" t="s">
        <v>1745</v>
      </c>
      <c r="F1139" s="16" t="str">
        <f>_xlfn.XLOOKUP(D1139,[9]Sheet2!$C:$C,[9]Sheet2!$E:$E,"-")</f>
        <v>Rony Koco Abrianto</v>
      </c>
      <c r="G1139" s="21"/>
    </row>
    <row r="1140" spans="2:7">
      <c r="B1140" s="22" t="s">
        <v>1085</v>
      </c>
      <c r="C1140" s="23" t="s">
        <v>1086</v>
      </c>
      <c r="D1140" s="24" t="s">
        <v>1182</v>
      </c>
      <c r="E1140" s="25" t="s">
        <v>1722</v>
      </c>
      <c r="F1140" s="16" t="str">
        <f>_xlfn.XLOOKUP(D1140,[9]Sheet2!$C:$C,[9]Sheet2!$E:$E,"-")</f>
        <v>Fathoni Yusuf</v>
      </c>
      <c r="G1140" s="21"/>
    </row>
    <row r="1141" spans="2:7">
      <c r="B1141" s="22" t="s">
        <v>1085</v>
      </c>
      <c r="C1141" s="23" t="s">
        <v>1086</v>
      </c>
      <c r="D1141" s="24" t="s">
        <v>1183</v>
      </c>
      <c r="E1141" s="25" t="s">
        <v>1745</v>
      </c>
      <c r="F1141" s="16" t="str">
        <f>_xlfn.XLOOKUP(D1141,[9]Sheet2!$C:$C,[9]Sheet2!$E:$E,"-")</f>
        <v>Faizal Dwi Pramono</v>
      </c>
      <c r="G1141" s="21"/>
    </row>
    <row r="1142" spans="2:7">
      <c r="B1142" s="22" t="s">
        <v>1085</v>
      </c>
      <c r="C1142" s="23" t="s">
        <v>1086</v>
      </c>
      <c r="D1142" s="24" t="s">
        <v>1184</v>
      </c>
      <c r="E1142" s="25" t="s">
        <v>1722</v>
      </c>
      <c r="F1142" s="16" t="str">
        <f>_xlfn.XLOOKUP(D1142,[9]Sheet2!$C:$C,[9]Sheet2!$E:$E,"-")</f>
        <v>Yudi Yiswoyo</v>
      </c>
      <c r="G1142" s="21"/>
    </row>
    <row r="1143" spans="2:7">
      <c r="B1143" s="22" t="s">
        <v>1085</v>
      </c>
      <c r="C1143" s="23" t="s">
        <v>1086</v>
      </c>
      <c r="D1143" s="24" t="s">
        <v>1185</v>
      </c>
      <c r="E1143" s="25" t="s">
        <v>1722</v>
      </c>
      <c r="F1143" s="16" t="str">
        <f>_xlfn.XLOOKUP(D1143,[9]Sheet2!$C:$C,[9]Sheet2!$E:$E,"-")</f>
        <v>Irul Marwianto</v>
      </c>
      <c r="G1143" s="21"/>
    </row>
    <row r="1144" spans="2:7">
      <c r="B1144" s="22" t="s">
        <v>1085</v>
      </c>
      <c r="C1144" s="23" t="s">
        <v>1086</v>
      </c>
      <c r="D1144" s="24" t="s">
        <v>1186</v>
      </c>
      <c r="E1144" s="25" t="s">
        <v>1722</v>
      </c>
      <c r="F1144" s="16" t="str">
        <f>_xlfn.XLOOKUP(D1144,[9]Sheet2!$C:$C,[9]Sheet2!$E:$E,"-")</f>
        <v>Fikto Nur Mansah</v>
      </c>
      <c r="G1144" s="21"/>
    </row>
    <row r="1145" spans="2:7">
      <c r="B1145" s="22" t="s">
        <v>1085</v>
      </c>
      <c r="C1145" s="23" t="s">
        <v>1086</v>
      </c>
      <c r="D1145" s="24" t="s">
        <v>1187</v>
      </c>
      <c r="E1145" s="25" t="s">
        <v>1722</v>
      </c>
      <c r="F1145" s="16" t="str">
        <f>_xlfn.XLOOKUP(D1145,[9]Sheet2!$C:$C,[9]Sheet2!$E:$E,"-")</f>
        <v>Fikto Nur Mansah</v>
      </c>
      <c r="G1145" s="21"/>
    </row>
    <row r="1146" spans="2:7">
      <c r="B1146" s="22" t="s">
        <v>1085</v>
      </c>
      <c r="C1146" s="23" t="s">
        <v>1086</v>
      </c>
      <c r="D1146" s="24" t="s">
        <v>1188</v>
      </c>
      <c r="E1146" s="25" t="s">
        <v>1722</v>
      </c>
      <c r="F1146" s="16" t="str">
        <f>_xlfn.XLOOKUP(D1146,[9]Sheet2!$C:$C,[9]Sheet2!$E:$E,"-")</f>
        <v>Irul Marwianto</v>
      </c>
      <c r="G1146" s="21"/>
    </row>
    <row r="1147" spans="2:7">
      <c r="B1147" s="22" t="s">
        <v>1085</v>
      </c>
      <c r="C1147" s="23" t="s">
        <v>1086</v>
      </c>
      <c r="D1147" s="24" t="s">
        <v>1189</v>
      </c>
      <c r="E1147" s="25" t="s">
        <v>1745</v>
      </c>
      <c r="F1147" s="16" t="str">
        <f>_xlfn.XLOOKUP(D1147,[9]Sheet2!$C:$C,[9]Sheet2!$E:$E,"-")</f>
        <v>Fanky Puguh Prasetyo</v>
      </c>
      <c r="G1147" s="21"/>
    </row>
    <row r="1148" spans="2:7">
      <c r="B1148" s="22" t="s">
        <v>1085</v>
      </c>
      <c r="C1148" s="23" t="s">
        <v>1086</v>
      </c>
      <c r="D1148" s="24" t="s">
        <v>1190</v>
      </c>
      <c r="E1148" s="25" t="s">
        <v>1722</v>
      </c>
      <c r="F1148" s="16" t="str">
        <f>_xlfn.XLOOKUP(D1148,[9]Sheet2!$C:$C,[9]Sheet2!$E:$E,"-")</f>
        <v>Mohamad Ariz Zakariya</v>
      </c>
      <c r="G1148" s="21"/>
    </row>
    <row r="1149" spans="2:7">
      <c r="B1149" s="22" t="s">
        <v>1085</v>
      </c>
      <c r="C1149" s="23" t="s">
        <v>1086</v>
      </c>
      <c r="D1149" s="24" t="s">
        <v>1191</v>
      </c>
      <c r="E1149" s="25" t="s">
        <v>1722</v>
      </c>
      <c r="F1149" s="16" t="str">
        <f>_xlfn.XLOOKUP(D1149,[9]Sheet2!$C:$C,[9]Sheet2!$E:$E,"-")</f>
        <v>Mohammad Putra Surya Mahendra</v>
      </c>
      <c r="G1149" s="21"/>
    </row>
    <row r="1150" spans="2:7">
      <c r="B1150" s="22" t="s">
        <v>1085</v>
      </c>
      <c r="C1150" s="23" t="s">
        <v>1086</v>
      </c>
      <c r="D1150" s="24" t="s">
        <v>1192</v>
      </c>
      <c r="E1150" s="25" t="s">
        <v>1722</v>
      </c>
      <c r="F1150" s="16" t="str">
        <f>_xlfn.XLOOKUP(D1150,[9]Sheet2!$C:$C,[9]Sheet2!$E:$E,"-")</f>
        <v>Angga Widayanto</v>
      </c>
      <c r="G1150" s="21"/>
    </row>
    <row r="1151" spans="2:7">
      <c r="B1151" s="22" t="s">
        <v>1085</v>
      </c>
      <c r="C1151" s="23" t="s">
        <v>1086</v>
      </c>
      <c r="D1151" s="24" t="s">
        <v>1193</v>
      </c>
      <c r="E1151" s="25" t="s">
        <v>1745</v>
      </c>
      <c r="F1151" s="16" t="str">
        <f>_xlfn.XLOOKUP(D1151,[9]Sheet2!$C:$C,[9]Sheet2!$E:$E,"-")</f>
        <v>Ruly Syaiful Ansor</v>
      </c>
      <c r="G1151" s="21"/>
    </row>
    <row r="1152" spans="2:7">
      <c r="B1152" s="22" t="s">
        <v>1085</v>
      </c>
      <c r="C1152" s="23" t="s">
        <v>1086</v>
      </c>
      <c r="D1152" s="24" t="s">
        <v>1194</v>
      </c>
      <c r="E1152" s="25" t="s">
        <v>1745</v>
      </c>
      <c r="F1152" s="16" t="str">
        <f>_xlfn.XLOOKUP(D1152,[9]Sheet2!$C:$C,[9]Sheet2!$E:$E,"-")</f>
        <v>Prasetyo Istianto</v>
      </c>
      <c r="G1152" s="21"/>
    </row>
    <row r="1153" spans="2:7">
      <c r="B1153" s="22" t="s">
        <v>1085</v>
      </c>
      <c r="C1153" s="23" t="s">
        <v>1086</v>
      </c>
      <c r="D1153" s="24" t="s">
        <v>1195</v>
      </c>
      <c r="E1153" s="25" t="s">
        <v>1745</v>
      </c>
      <c r="F1153" s="16" t="str">
        <f>_xlfn.XLOOKUP(D1153,[9]Sheet2!$C:$C,[9]Sheet2!$E:$E,"-")</f>
        <v>Widi Rumekso</v>
      </c>
      <c r="G1153" s="21"/>
    </row>
    <row r="1154" spans="2:7">
      <c r="B1154" s="22" t="s">
        <v>1085</v>
      </c>
      <c r="C1154" s="23" t="s">
        <v>1086</v>
      </c>
      <c r="D1154" s="24" t="s">
        <v>1196</v>
      </c>
      <c r="E1154" s="25" t="s">
        <v>1745</v>
      </c>
      <c r="F1154" s="16" t="str">
        <f>_xlfn.XLOOKUP(D1154,[9]Sheet2!$C:$C,[9]Sheet2!$E:$E,"-")</f>
        <v>Mohammad Afreza Al Ayyubi</v>
      </c>
      <c r="G1154" s="21"/>
    </row>
    <row r="1155" spans="2:7">
      <c r="B1155" s="22" t="s">
        <v>1085</v>
      </c>
      <c r="C1155" s="23" t="s">
        <v>1086</v>
      </c>
      <c r="D1155" s="24" t="s">
        <v>1197</v>
      </c>
      <c r="E1155" s="25" t="s">
        <v>1745</v>
      </c>
      <c r="F1155" s="16" t="str">
        <f>_xlfn.XLOOKUP(D1155,[9]Sheet2!$C:$C,[9]Sheet2!$E:$E,"-")</f>
        <v>Laga Pratama Nurjiwo</v>
      </c>
      <c r="G1155" s="21"/>
    </row>
    <row r="1156" spans="2:7">
      <c r="B1156" s="22" t="s">
        <v>1085</v>
      </c>
      <c r="C1156" s="23" t="s">
        <v>1086</v>
      </c>
      <c r="D1156" s="24" t="s">
        <v>1198</v>
      </c>
      <c r="E1156" s="25" t="s">
        <v>1745</v>
      </c>
      <c r="F1156" s="16" t="str">
        <f>_xlfn.XLOOKUP(D1156,[9]Sheet2!$C:$C,[9]Sheet2!$E:$E,"-")</f>
        <v>Ali Zainal Abidin</v>
      </c>
      <c r="G1156" s="21"/>
    </row>
    <row r="1157" spans="2:7">
      <c r="B1157" s="22" t="s">
        <v>1085</v>
      </c>
      <c r="C1157" s="23" t="s">
        <v>1086</v>
      </c>
      <c r="D1157" s="24" t="s">
        <v>1199</v>
      </c>
      <c r="E1157" s="25" t="s">
        <v>1745</v>
      </c>
      <c r="F1157" s="16" t="str">
        <f>_xlfn.XLOOKUP(D1157,[9]Sheet2!$C:$C,[9]Sheet2!$E:$E,"-")</f>
        <v>Dyah Ayu Larasati Tri Palupi</v>
      </c>
      <c r="G1157" s="21"/>
    </row>
    <row r="1158" spans="2:7">
      <c r="B1158" s="22" t="s">
        <v>1085</v>
      </c>
      <c r="C1158" s="23" t="s">
        <v>1086</v>
      </c>
      <c r="D1158" s="24" t="s">
        <v>1200</v>
      </c>
      <c r="E1158" s="25" t="s">
        <v>1745</v>
      </c>
      <c r="F1158" s="16" t="str">
        <f>_xlfn.XLOOKUP(D1158,[9]Sheet2!$C:$C,[9]Sheet2!$E:$E,"-")</f>
        <v>Feri Setiawan</v>
      </c>
      <c r="G1158" s="21"/>
    </row>
    <row r="1159" spans="2:7">
      <c r="B1159" s="22" t="s">
        <v>1085</v>
      </c>
      <c r="C1159" s="23" t="s">
        <v>1086</v>
      </c>
      <c r="D1159" s="24" t="s">
        <v>1201</v>
      </c>
      <c r="E1159" s="25" t="s">
        <v>1745</v>
      </c>
      <c r="F1159" s="16" t="str">
        <f>_xlfn.XLOOKUP(D1159,[9]Sheet2!$C:$C,[9]Sheet2!$E:$E,"-")</f>
        <v>M. Yanuar Rifa'I</v>
      </c>
      <c r="G1159" s="21"/>
    </row>
    <row r="1160" spans="2:7">
      <c r="B1160" s="22" t="s">
        <v>1085</v>
      </c>
      <c r="C1160" s="23" t="s">
        <v>1086</v>
      </c>
      <c r="D1160" s="24" t="s">
        <v>1202</v>
      </c>
      <c r="E1160" s="25" t="s">
        <v>1745</v>
      </c>
      <c r="F1160" s="16" t="str">
        <f>_xlfn.XLOOKUP(D1160,[9]Sheet2!$C:$C,[9]Sheet2!$E:$E,"-")</f>
        <v>Muhammad Syaifullah</v>
      </c>
      <c r="G1160" s="21"/>
    </row>
    <row r="1161" spans="2:7">
      <c r="B1161" s="22" t="s">
        <v>1085</v>
      </c>
      <c r="C1161" s="23" t="s">
        <v>1086</v>
      </c>
      <c r="D1161" s="24" t="s">
        <v>1203</v>
      </c>
      <c r="E1161" s="25" t="s">
        <v>1745</v>
      </c>
      <c r="F1161" s="16" t="str">
        <f>_xlfn.XLOOKUP(D1161,[9]Sheet2!$C:$C,[9]Sheet2!$E:$E,"-")</f>
        <v>Diky Satriawan</v>
      </c>
      <c r="G1161" s="21"/>
    </row>
    <row r="1162" spans="2:7">
      <c r="B1162" s="22" t="s">
        <v>1085</v>
      </c>
      <c r="C1162" s="23" t="s">
        <v>1086</v>
      </c>
      <c r="D1162" s="24" t="s">
        <v>1204</v>
      </c>
      <c r="E1162" s="25" t="s">
        <v>1745</v>
      </c>
      <c r="F1162" s="16" t="str">
        <f>_xlfn.XLOOKUP(D1162,[9]Sheet2!$C:$C,[9]Sheet2!$E:$E,"-")</f>
        <v>Achmad Afandi</v>
      </c>
      <c r="G1162" s="21"/>
    </row>
    <row r="1163" spans="2:7">
      <c r="B1163" s="22" t="s">
        <v>1085</v>
      </c>
      <c r="C1163" s="23" t="s">
        <v>1086</v>
      </c>
      <c r="D1163" s="24" t="s">
        <v>1205</v>
      </c>
      <c r="E1163" s="25" t="s">
        <v>1745</v>
      </c>
      <c r="F1163" s="16" t="str">
        <f>_xlfn.XLOOKUP(D1163,[9]Sheet2!$C:$C,[9]Sheet2!$E:$E,"-")</f>
        <v>Nanang Arifianto</v>
      </c>
      <c r="G1163" s="21"/>
    </row>
    <row r="1164" spans="2:7">
      <c r="B1164" s="22" t="s">
        <v>1085</v>
      </c>
      <c r="C1164" s="23" t="s">
        <v>1086</v>
      </c>
      <c r="D1164" s="24" t="s">
        <v>1206</v>
      </c>
      <c r="E1164" s="25" t="s">
        <v>1745</v>
      </c>
      <c r="F1164" s="16" t="str">
        <f>_xlfn.XLOOKUP(D1164,[9]Sheet2!$C:$C,[9]Sheet2!$E:$E,"-")</f>
        <v>Rif'An Munawwir</v>
      </c>
      <c r="G1164" s="21"/>
    </row>
    <row r="1165" spans="2:7">
      <c r="B1165" s="22" t="s">
        <v>1085</v>
      </c>
      <c r="C1165" s="23" t="s">
        <v>1086</v>
      </c>
      <c r="D1165" s="24" t="s">
        <v>1207</v>
      </c>
      <c r="E1165" s="25" t="s">
        <v>1745</v>
      </c>
      <c r="F1165" s="16" t="str">
        <f>_xlfn.XLOOKUP(D1165,[9]Sheet2!$C:$C,[9]Sheet2!$E:$E,"-")</f>
        <v>Shokibul Kafi</v>
      </c>
      <c r="G1165" s="21"/>
    </row>
    <row r="1166" spans="2:7">
      <c r="B1166" s="22" t="s">
        <v>1085</v>
      </c>
      <c r="C1166" s="23" t="s">
        <v>1086</v>
      </c>
      <c r="D1166" s="24" t="s">
        <v>1208</v>
      </c>
      <c r="E1166" s="25" t="s">
        <v>1745</v>
      </c>
      <c r="F1166" s="16" t="str">
        <f>_xlfn.XLOOKUP(D1166,[9]Sheet2!$C:$C,[9]Sheet2!$E:$E,"-")</f>
        <v>Ahmad Fakhru Rozan</v>
      </c>
      <c r="G1166" s="21"/>
    </row>
    <row r="1167" spans="2:7">
      <c r="B1167" s="22" t="s">
        <v>1085</v>
      </c>
      <c r="C1167" s="23" t="s">
        <v>1086</v>
      </c>
      <c r="D1167" s="24" t="s">
        <v>1209</v>
      </c>
      <c r="E1167" s="25" t="s">
        <v>1745</v>
      </c>
      <c r="F1167" s="16" t="str">
        <f>_xlfn.XLOOKUP(D1167,[9]Sheet2!$C:$C,[9]Sheet2!$E:$E,"-")</f>
        <v>Afan Fardianto</v>
      </c>
      <c r="G1167" s="21"/>
    </row>
    <row r="1168" spans="2:7">
      <c r="B1168" s="22" t="s">
        <v>1085</v>
      </c>
      <c r="C1168" s="23" t="s">
        <v>1086</v>
      </c>
      <c r="D1168" s="24" t="s">
        <v>1210</v>
      </c>
      <c r="E1168" s="25" t="s">
        <v>1745</v>
      </c>
      <c r="F1168" s="16" t="str">
        <f>_xlfn.XLOOKUP(D1168,[9]Sheet2!$C:$C,[9]Sheet2!$E:$E,"-")</f>
        <v>Dwi Wahyu Wichaksono</v>
      </c>
      <c r="G1168" s="21"/>
    </row>
    <row r="1169" spans="2:7">
      <c r="B1169" s="22" t="s">
        <v>1085</v>
      </c>
      <c r="C1169" s="23" t="s">
        <v>1086</v>
      </c>
      <c r="D1169" s="24" t="s">
        <v>1211</v>
      </c>
      <c r="E1169" s="25" t="s">
        <v>1745</v>
      </c>
      <c r="F1169" s="16" t="str">
        <f>_xlfn.XLOOKUP(D1169,[9]Sheet2!$C:$C,[9]Sheet2!$E:$E,"-")</f>
        <v>Hafiz Adam Adidarmawan</v>
      </c>
      <c r="G1169" s="21"/>
    </row>
    <row r="1170" spans="2:7">
      <c r="B1170" s="22" t="s">
        <v>1085</v>
      </c>
      <c r="C1170" s="23" t="s">
        <v>1086</v>
      </c>
      <c r="D1170" s="24" t="s">
        <v>1212</v>
      </c>
      <c r="E1170" s="25" t="s">
        <v>1745</v>
      </c>
      <c r="F1170" s="16" t="str">
        <f>_xlfn.XLOOKUP(D1170,[9]Sheet2!$C:$C,[9]Sheet2!$E:$E,"-")</f>
        <v>Argo Lumaksana</v>
      </c>
      <c r="G1170" s="21"/>
    </row>
    <row r="1171" spans="2:7">
      <c r="B1171" s="22" t="s">
        <v>1085</v>
      </c>
      <c r="C1171" s="23" t="s">
        <v>1086</v>
      </c>
      <c r="D1171" s="24" t="s">
        <v>1213</v>
      </c>
      <c r="E1171" s="25" t="s">
        <v>1745</v>
      </c>
      <c r="F1171" s="16" t="str">
        <f>_xlfn.XLOOKUP(D1171,[9]Sheet2!$C:$C,[9]Sheet2!$E:$E,"-")</f>
        <v>Ahmad Fakhru Rozan</v>
      </c>
      <c r="G1171" s="21"/>
    </row>
    <row r="1172" spans="2:7">
      <c r="B1172" s="22" t="s">
        <v>1085</v>
      </c>
      <c r="C1172" s="23" t="s">
        <v>1086</v>
      </c>
      <c r="D1172" s="24" t="s">
        <v>1214</v>
      </c>
      <c r="E1172" s="25" t="s">
        <v>1745</v>
      </c>
      <c r="F1172" s="16" t="str">
        <f>_xlfn.XLOOKUP(D1172,[9]Sheet2!$C:$C,[9]Sheet2!$E:$E,"-")</f>
        <v>Hafiz Adam Adidarmawan</v>
      </c>
      <c r="G1172" s="21"/>
    </row>
    <row r="1173" spans="2:7">
      <c r="B1173" s="22" t="s">
        <v>1085</v>
      </c>
      <c r="C1173" s="23" t="s">
        <v>1086</v>
      </c>
      <c r="D1173" s="24" t="s">
        <v>1215</v>
      </c>
      <c r="E1173" s="25" t="s">
        <v>1745</v>
      </c>
      <c r="F1173" s="16" t="str">
        <f>_xlfn.XLOOKUP(D1173,[9]Sheet2!$C:$C,[9]Sheet2!$E:$E,"-")</f>
        <v>Rochma Ridho Permadi</v>
      </c>
      <c r="G1173" s="21"/>
    </row>
    <row r="1174" spans="2:7">
      <c r="B1174" s="22" t="s">
        <v>1085</v>
      </c>
      <c r="C1174" s="23" t="s">
        <v>1086</v>
      </c>
      <c r="D1174" s="24" t="s">
        <v>1216</v>
      </c>
      <c r="E1174" s="25" t="s">
        <v>1722</v>
      </c>
      <c r="F1174" s="16" t="str">
        <f>_xlfn.XLOOKUP(D1174,[9]Sheet2!$C:$C,[9]Sheet2!$E:$E,"-")</f>
        <v>Mohammad Chandra Hermawan</v>
      </c>
      <c r="G1174" s="21"/>
    </row>
    <row r="1175" spans="2:7">
      <c r="B1175" s="22" t="s">
        <v>1085</v>
      </c>
      <c r="C1175" s="23" t="s">
        <v>1086</v>
      </c>
      <c r="D1175" s="24" t="s">
        <v>1217</v>
      </c>
      <c r="E1175" s="25" t="s">
        <v>1745</v>
      </c>
      <c r="F1175" s="16" t="str">
        <f>_xlfn.XLOOKUP(D1175,[9]Sheet2!$C:$C,[9]Sheet2!$E:$E,"-")</f>
        <v>Setiyo Budi Iswanto</v>
      </c>
      <c r="G1175" s="21"/>
    </row>
    <row r="1176" spans="2:7">
      <c r="B1176" s="22" t="s">
        <v>1085</v>
      </c>
      <c r="C1176" s="23" t="s">
        <v>1086</v>
      </c>
      <c r="D1176" s="24" t="s">
        <v>1218</v>
      </c>
      <c r="E1176" s="25" t="s">
        <v>1722</v>
      </c>
      <c r="F1176" s="16" t="str">
        <f>_xlfn.XLOOKUP(D1176,[9]Sheet2!$C:$C,[9]Sheet2!$E:$E,"-")</f>
        <v>Muhammad Alfan Fauzi</v>
      </c>
      <c r="G1176" s="21"/>
    </row>
    <row r="1177" spans="2:7">
      <c r="B1177" s="22" t="s">
        <v>1085</v>
      </c>
      <c r="C1177" s="23" t="s">
        <v>1086</v>
      </c>
      <c r="D1177" s="24" t="s">
        <v>1219</v>
      </c>
      <c r="E1177" s="25" t="s">
        <v>1722</v>
      </c>
      <c r="F1177" s="16" t="str">
        <f>_xlfn.XLOOKUP(D1177,[9]Sheet2!$C:$C,[9]Sheet2!$E:$E,"-")</f>
        <v>Muhammad Ali Yusuf</v>
      </c>
      <c r="G1177" s="21"/>
    </row>
    <row r="1178" spans="2:7">
      <c r="B1178" s="22" t="s">
        <v>1085</v>
      </c>
      <c r="C1178" s="23" t="s">
        <v>1086</v>
      </c>
      <c r="D1178" s="24" t="s">
        <v>1220</v>
      </c>
      <c r="E1178" s="25" t="s">
        <v>1745</v>
      </c>
      <c r="F1178" s="16" t="str">
        <f>_xlfn.XLOOKUP(D1178,[9]Sheet2!$C:$C,[9]Sheet2!$E:$E,"-")</f>
        <v>Ali Ghofar</v>
      </c>
      <c r="G1178" s="21"/>
    </row>
    <row r="1179" spans="2:7">
      <c r="B1179" s="22" t="s">
        <v>1085</v>
      </c>
      <c r="C1179" s="23" t="s">
        <v>1086</v>
      </c>
      <c r="D1179" s="24" t="s">
        <v>1221</v>
      </c>
      <c r="E1179" s="25" t="s">
        <v>1722</v>
      </c>
      <c r="F1179" s="16" t="str">
        <f>_xlfn.XLOOKUP(D1179,[9]Sheet2!$C:$C,[9]Sheet2!$E:$E,"-")</f>
        <v>Muhammad Ali Yusuf</v>
      </c>
      <c r="G1179" s="21"/>
    </row>
    <row r="1180" spans="2:7">
      <c r="B1180" s="22" t="s">
        <v>1085</v>
      </c>
      <c r="C1180" s="23" t="s">
        <v>1086</v>
      </c>
      <c r="D1180" s="24" t="s">
        <v>1222</v>
      </c>
      <c r="E1180" s="25" t="s">
        <v>1722</v>
      </c>
      <c r="F1180" s="16" t="str">
        <f>_xlfn.XLOOKUP(D1180,[9]Sheet2!$C:$C,[9]Sheet2!$E:$E,"-")</f>
        <v>Muhammad Ghoniyyulloh</v>
      </c>
      <c r="G1180" s="21"/>
    </row>
    <row r="1181" spans="2:7">
      <c r="B1181" s="22" t="s">
        <v>1085</v>
      </c>
      <c r="C1181" s="23" t="s">
        <v>1086</v>
      </c>
      <c r="D1181" s="24" t="s">
        <v>1223</v>
      </c>
      <c r="E1181" s="25" t="s">
        <v>1722</v>
      </c>
      <c r="F1181" s="16" t="str">
        <f>_xlfn.XLOOKUP(D1181,[9]Sheet2!$C:$C,[9]Sheet2!$E:$E,"-")</f>
        <v>Agung Hendi Alparista</v>
      </c>
      <c r="G1181" s="21"/>
    </row>
    <row r="1182" spans="2:7">
      <c r="B1182" s="22" t="s">
        <v>1085</v>
      </c>
      <c r="C1182" s="23" t="s">
        <v>1086</v>
      </c>
      <c r="D1182" s="24" t="s">
        <v>1224</v>
      </c>
      <c r="E1182" s="25" t="s">
        <v>1722</v>
      </c>
      <c r="F1182" s="16" t="str">
        <f>_xlfn.XLOOKUP(D1182,[9]Sheet2!$C:$C,[9]Sheet2!$E:$E,"-")</f>
        <v>Agung Hendi Alparista</v>
      </c>
      <c r="G1182" s="21"/>
    </row>
    <row r="1183" spans="2:7">
      <c r="B1183" s="22" t="s">
        <v>1085</v>
      </c>
      <c r="C1183" s="23" t="s">
        <v>1086</v>
      </c>
      <c r="D1183" s="24" t="s">
        <v>1225</v>
      </c>
      <c r="E1183" s="25" t="s">
        <v>1745</v>
      </c>
      <c r="F1183" s="16" t="str">
        <f>_xlfn.XLOOKUP(D1183,[9]Sheet2!$C:$C,[9]Sheet2!$E:$E,"-")</f>
        <v>Muhammad Azam Khoirur Roziqin</v>
      </c>
      <c r="G1183" s="21"/>
    </row>
    <row r="1184" spans="2:7">
      <c r="B1184" s="22" t="s">
        <v>1085</v>
      </c>
      <c r="C1184" s="23" t="s">
        <v>1086</v>
      </c>
      <c r="D1184" s="24" t="s">
        <v>1226</v>
      </c>
      <c r="E1184" s="25" t="s">
        <v>1745</v>
      </c>
      <c r="F1184" s="16" t="str">
        <f>_xlfn.XLOOKUP(D1184,[9]Sheet2!$C:$C,[9]Sheet2!$E:$E,"-")</f>
        <v>Didit Adi Saputro</v>
      </c>
      <c r="G1184" s="21"/>
    </row>
    <row r="1185" spans="2:7">
      <c r="B1185" s="22" t="s">
        <v>1085</v>
      </c>
      <c r="C1185" s="23" t="s">
        <v>1086</v>
      </c>
      <c r="D1185" s="24" t="s">
        <v>1227</v>
      </c>
      <c r="E1185" s="25" t="s">
        <v>1745</v>
      </c>
      <c r="F1185" s="16" t="str">
        <f>_xlfn.XLOOKUP(D1185,[9]Sheet2!$C:$C,[9]Sheet2!$E:$E,"-")</f>
        <v>Ali Machtub</v>
      </c>
      <c r="G1185" s="21"/>
    </row>
    <row r="1186" spans="2:7">
      <c r="B1186" s="22" t="s">
        <v>1085</v>
      </c>
      <c r="C1186" s="23" t="s">
        <v>1086</v>
      </c>
      <c r="D1186" s="24" t="s">
        <v>1228</v>
      </c>
      <c r="E1186" s="25" t="s">
        <v>1745</v>
      </c>
      <c r="F1186" s="16" t="str">
        <f>_xlfn.XLOOKUP(D1186,[9]Sheet2!$C:$C,[9]Sheet2!$E:$E,"-")</f>
        <v>Didit Adi Saputro</v>
      </c>
      <c r="G1186" s="21"/>
    </row>
    <row r="1187" spans="2:7">
      <c r="B1187" s="22" t="s">
        <v>1085</v>
      </c>
      <c r="C1187" s="23" t="s">
        <v>1086</v>
      </c>
      <c r="D1187" s="24" t="s">
        <v>1229</v>
      </c>
      <c r="E1187" s="25" t="s">
        <v>1745</v>
      </c>
      <c r="F1187" s="16" t="str">
        <f>_xlfn.XLOOKUP(D1187,[9]Sheet2!$C:$C,[9]Sheet2!$E:$E,"-")</f>
        <v>Wanto Sugianto</v>
      </c>
      <c r="G1187" s="21"/>
    </row>
    <row r="1188" spans="2:7">
      <c r="B1188" s="22" t="s">
        <v>1085</v>
      </c>
      <c r="C1188" s="23" t="s">
        <v>1086</v>
      </c>
      <c r="D1188" s="24" t="s">
        <v>1230</v>
      </c>
      <c r="E1188" s="25" t="s">
        <v>1745</v>
      </c>
      <c r="F1188" s="16" t="str">
        <f>_xlfn.XLOOKUP(D1188,[9]Sheet2!$C:$C,[9]Sheet2!$E:$E,"-")</f>
        <v>Ali Machtub</v>
      </c>
      <c r="G1188" s="21"/>
    </row>
    <row r="1189" spans="2:7">
      <c r="B1189" s="22" t="s">
        <v>1085</v>
      </c>
      <c r="C1189" s="23" t="s">
        <v>1086</v>
      </c>
      <c r="D1189" s="24" t="s">
        <v>1231</v>
      </c>
      <c r="E1189" s="25" t="s">
        <v>1745</v>
      </c>
      <c r="F1189" s="16" t="str">
        <f>_xlfn.XLOOKUP(D1189,[9]Sheet2!$C:$C,[9]Sheet2!$E:$E,"-")</f>
        <v>Dedi Wibowo</v>
      </c>
      <c r="G1189" s="21"/>
    </row>
    <row r="1190" spans="2:7">
      <c r="B1190" s="22" t="s">
        <v>1085</v>
      </c>
      <c r="C1190" s="23" t="s">
        <v>1086</v>
      </c>
      <c r="D1190" s="24" t="s">
        <v>1232</v>
      </c>
      <c r="E1190" s="25" t="s">
        <v>1722</v>
      </c>
      <c r="F1190" s="16" t="str">
        <f>_xlfn.XLOOKUP(D1190,[9]Sheet2!$C:$C,[9]Sheet2!$E:$E,"-")</f>
        <v>Indra Kokasih</v>
      </c>
      <c r="G1190" s="21"/>
    </row>
    <row r="1191" spans="2:7">
      <c r="B1191" s="22" t="s">
        <v>1085</v>
      </c>
      <c r="C1191" s="23" t="s">
        <v>1086</v>
      </c>
      <c r="D1191" s="24" t="s">
        <v>1233</v>
      </c>
      <c r="E1191" s="25" t="s">
        <v>1722</v>
      </c>
      <c r="F1191" s="16" t="str">
        <f>_xlfn.XLOOKUP(D1191,[9]Sheet2!$C:$C,[9]Sheet2!$E:$E,"-")</f>
        <v>Dwi Harioseno</v>
      </c>
      <c r="G1191" s="21"/>
    </row>
    <row r="1192" spans="2:7">
      <c r="B1192" s="22" t="s">
        <v>1085</v>
      </c>
      <c r="C1192" s="23" t="s">
        <v>1086</v>
      </c>
      <c r="D1192" s="24" t="s">
        <v>1234</v>
      </c>
      <c r="E1192" s="25" t="s">
        <v>1722</v>
      </c>
      <c r="F1192" s="16" t="str">
        <f>_xlfn.XLOOKUP(D1192,[9]Sheet2!$C:$C,[9]Sheet2!$E:$E,"-")</f>
        <v>Harianto</v>
      </c>
      <c r="G1192" s="21"/>
    </row>
    <row r="1193" spans="2:7">
      <c r="B1193" s="22" t="s">
        <v>1085</v>
      </c>
      <c r="C1193" s="23" t="s">
        <v>1086</v>
      </c>
      <c r="D1193" s="24" t="s">
        <v>1235</v>
      </c>
      <c r="E1193" s="25" t="s">
        <v>1722</v>
      </c>
      <c r="F1193" s="16" t="str">
        <f>_xlfn.XLOOKUP(D1193,[9]Sheet2!$C:$C,[9]Sheet2!$E:$E,"-")</f>
        <v>Mokhammad Arif Pratama Wijaya</v>
      </c>
      <c r="G1193" s="21"/>
    </row>
    <row r="1194" spans="2:7">
      <c r="B1194" s="22" t="s">
        <v>1085</v>
      </c>
      <c r="C1194" s="23" t="s">
        <v>1086</v>
      </c>
      <c r="D1194" s="24" t="s">
        <v>1236</v>
      </c>
      <c r="E1194" s="25" t="s">
        <v>1722</v>
      </c>
      <c r="F1194" s="16" t="str">
        <f>_xlfn.XLOOKUP(D1194,[9]Sheet2!$C:$C,[9]Sheet2!$E:$E,"-")</f>
        <v>Harianto</v>
      </c>
      <c r="G1194" s="21"/>
    </row>
    <row r="1195" spans="2:7">
      <c r="B1195" s="22" t="s">
        <v>1085</v>
      </c>
      <c r="C1195" s="23" t="s">
        <v>1086</v>
      </c>
      <c r="D1195" s="24" t="s">
        <v>1237</v>
      </c>
      <c r="E1195" s="25" t="s">
        <v>1722</v>
      </c>
      <c r="F1195" s="16" t="str">
        <f>_xlfn.XLOOKUP(D1195,[9]Sheet2!$C:$C,[9]Sheet2!$E:$E,"-")</f>
        <v>Abdul Rauf Nafik</v>
      </c>
      <c r="G1195" s="21"/>
    </row>
    <row r="1196" spans="2:7">
      <c r="B1196" s="22" t="s">
        <v>1085</v>
      </c>
      <c r="C1196" s="23" t="s">
        <v>1086</v>
      </c>
      <c r="D1196" s="24" t="s">
        <v>1238</v>
      </c>
      <c r="E1196" s="25" t="s">
        <v>1722</v>
      </c>
      <c r="F1196" s="16" t="str">
        <f>_xlfn.XLOOKUP(D1196,[9]Sheet2!$C:$C,[9]Sheet2!$E:$E,"-")</f>
        <v>Abdul Rauf Nafik</v>
      </c>
      <c r="G1196" s="21"/>
    </row>
    <row r="1197" spans="2:7">
      <c r="B1197" s="22" t="s">
        <v>1085</v>
      </c>
      <c r="C1197" s="23" t="s">
        <v>1086</v>
      </c>
      <c r="D1197" s="24" t="s">
        <v>1239</v>
      </c>
      <c r="E1197" s="25" t="s">
        <v>1722</v>
      </c>
      <c r="F1197" s="16" t="str">
        <f>_xlfn.XLOOKUP(D1197,[9]Sheet2!$C:$C,[9]Sheet2!$E:$E,"-")</f>
        <v>Indra Kokasih</v>
      </c>
      <c r="G1197" s="21"/>
    </row>
    <row r="1198" spans="2:7">
      <c r="B1198" s="22" t="s">
        <v>1085</v>
      </c>
      <c r="C1198" s="23" t="s">
        <v>1086</v>
      </c>
      <c r="D1198" s="24" t="s">
        <v>1240</v>
      </c>
      <c r="E1198" s="25" t="s">
        <v>1722</v>
      </c>
      <c r="F1198" s="16" t="str">
        <f>_xlfn.XLOOKUP(D1198,[9]Sheet2!$C:$C,[9]Sheet2!$E:$E,"-")</f>
        <v>Ahmad Fariz Rohmatulloh</v>
      </c>
      <c r="G1198" s="21"/>
    </row>
    <row r="1199" spans="2:7">
      <c r="B1199" s="22" t="s">
        <v>1085</v>
      </c>
      <c r="C1199" s="23" t="s">
        <v>1086</v>
      </c>
      <c r="D1199" s="24" t="s">
        <v>1241</v>
      </c>
      <c r="E1199" s="25" t="s">
        <v>1722</v>
      </c>
      <c r="F1199" s="16" t="str">
        <f>_xlfn.XLOOKUP(D1199,[9]Sheet2!$C:$C,[9]Sheet2!$E:$E,"-")</f>
        <v>Mokhammad Arif Pratama Wijaya</v>
      </c>
      <c r="G1199" s="21"/>
    </row>
    <row r="1200" spans="2:7">
      <c r="B1200" s="22" t="s">
        <v>1085</v>
      </c>
      <c r="C1200" s="23" t="s">
        <v>1086</v>
      </c>
      <c r="D1200" s="24" t="s">
        <v>1242</v>
      </c>
      <c r="E1200" s="25" t="s">
        <v>1745</v>
      </c>
      <c r="F1200" s="16" t="str">
        <f>_xlfn.XLOOKUP(D1200,[9]Sheet2!$C:$C,[9]Sheet2!$E:$E,"-")</f>
        <v>Taufiq Hidayat</v>
      </c>
      <c r="G1200" s="21"/>
    </row>
    <row r="1201" spans="2:7">
      <c r="B1201" s="22" t="s">
        <v>1085</v>
      </c>
      <c r="C1201" s="23" t="s">
        <v>1086</v>
      </c>
      <c r="D1201" s="24" t="s">
        <v>1243</v>
      </c>
      <c r="E1201" s="25" t="s">
        <v>1745</v>
      </c>
      <c r="F1201" s="16" t="str">
        <f>_xlfn.XLOOKUP(D1201,[9]Sheet2!$C:$C,[9]Sheet2!$E:$E,"-")</f>
        <v>Wahyu Hari Prayitno</v>
      </c>
      <c r="G1201" s="21"/>
    </row>
    <row r="1202" spans="2:7">
      <c r="B1202" s="22" t="s">
        <v>1085</v>
      </c>
      <c r="C1202" s="23" t="s">
        <v>1086</v>
      </c>
      <c r="D1202" s="24" t="s">
        <v>1244</v>
      </c>
      <c r="E1202" s="25" t="s">
        <v>1745</v>
      </c>
      <c r="F1202" s="16" t="str">
        <f>_xlfn.XLOOKUP(D1202,[9]Sheet2!$C:$C,[9]Sheet2!$E:$E,"-")</f>
        <v>Achmad Findi Kurniawan</v>
      </c>
      <c r="G1202" s="21"/>
    </row>
    <row r="1203" spans="2:7">
      <c r="B1203" s="22" t="s">
        <v>1085</v>
      </c>
      <c r="C1203" s="23" t="s">
        <v>1086</v>
      </c>
      <c r="D1203" s="24" t="s">
        <v>1245</v>
      </c>
      <c r="E1203" s="25" t="s">
        <v>1745</v>
      </c>
      <c r="F1203" s="16" t="str">
        <f>_xlfn.XLOOKUP(D1203,[9]Sheet2!$C:$C,[9]Sheet2!$E:$E,"-")</f>
        <v>Hartoyo Utomo</v>
      </c>
      <c r="G1203" s="21"/>
    </row>
    <row r="1204" spans="2:7">
      <c r="B1204" s="22" t="s">
        <v>1085</v>
      </c>
      <c r="C1204" s="23" t="s">
        <v>1086</v>
      </c>
      <c r="D1204" s="24" t="s">
        <v>1246</v>
      </c>
      <c r="E1204" s="25" t="s">
        <v>1745</v>
      </c>
      <c r="F1204" s="16" t="str">
        <f>_xlfn.XLOOKUP(D1204,[9]Sheet2!$C:$C,[9]Sheet2!$E:$E,"-")</f>
        <v>Fani Putra Adi Pratama</v>
      </c>
      <c r="G1204" s="21"/>
    </row>
    <row r="1205" spans="2:7">
      <c r="B1205" s="22" t="s">
        <v>1085</v>
      </c>
      <c r="C1205" s="23" t="s">
        <v>1086</v>
      </c>
      <c r="D1205" s="24" t="s">
        <v>1247</v>
      </c>
      <c r="E1205" s="25" t="s">
        <v>1745</v>
      </c>
      <c r="F1205" s="16" t="str">
        <f>_xlfn.XLOOKUP(D1205,[9]Sheet2!$C:$C,[9]Sheet2!$E:$E,"-")</f>
        <v>Tarmuji</v>
      </c>
      <c r="G1205" s="21"/>
    </row>
    <row r="1206" spans="2:7">
      <c r="B1206" s="22" t="s">
        <v>1085</v>
      </c>
      <c r="C1206" s="23" t="s">
        <v>1086</v>
      </c>
      <c r="D1206" s="24" t="s">
        <v>1248</v>
      </c>
      <c r="E1206" s="25" t="s">
        <v>1745</v>
      </c>
      <c r="F1206" s="16" t="str">
        <f>_xlfn.XLOOKUP(D1206,[9]Sheet2!$C:$C,[9]Sheet2!$E:$E,"-")</f>
        <v>Hartoyo Utomo</v>
      </c>
      <c r="G1206" s="21"/>
    </row>
    <row r="1207" spans="2:7">
      <c r="B1207" s="22" t="s">
        <v>1085</v>
      </c>
      <c r="C1207" s="23" t="s">
        <v>1086</v>
      </c>
      <c r="D1207" s="24" t="s">
        <v>1249</v>
      </c>
      <c r="E1207" s="25" t="s">
        <v>1745</v>
      </c>
      <c r="F1207" s="16" t="str">
        <f>_xlfn.XLOOKUP(D1207,[9]Sheet2!$C:$C,[9]Sheet2!$E:$E,"-")</f>
        <v>Ainun Yahya, S.Kom</v>
      </c>
      <c r="G1207" s="21"/>
    </row>
    <row r="1208" spans="2:7">
      <c r="B1208" s="22" t="s">
        <v>1085</v>
      </c>
      <c r="C1208" s="23" t="s">
        <v>1086</v>
      </c>
      <c r="D1208" s="24" t="s">
        <v>1250</v>
      </c>
      <c r="E1208" s="25" t="s">
        <v>1722</v>
      </c>
      <c r="F1208" s="16" t="str">
        <f>_xlfn.XLOOKUP(D1208,[9]Sheet2!$C:$C,[9]Sheet2!$E:$E,"-")</f>
        <v>Roqi Andrianus Duka Djuma</v>
      </c>
      <c r="G1208" s="21"/>
    </row>
    <row r="1209" spans="2:7">
      <c r="B1209" s="22" t="s">
        <v>1085</v>
      </c>
      <c r="C1209" s="23" t="s">
        <v>1086</v>
      </c>
      <c r="D1209" s="24" t="s">
        <v>1251</v>
      </c>
      <c r="E1209" s="25" t="s">
        <v>1745</v>
      </c>
      <c r="F1209" s="16" t="str">
        <f>_xlfn.XLOOKUP(D1209,[9]Sheet2!$C:$C,[9]Sheet2!$E:$E,"-")</f>
        <v>-</v>
      </c>
      <c r="G1209" s="21"/>
    </row>
    <row r="1210" spans="2:7">
      <c r="B1210" s="22" t="s">
        <v>1085</v>
      </c>
      <c r="C1210" s="23" t="s">
        <v>1086</v>
      </c>
      <c r="D1210" s="24" t="s">
        <v>1252</v>
      </c>
      <c r="E1210" s="25" t="s">
        <v>1745</v>
      </c>
      <c r="F1210" s="16" t="str">
        <f>_xlfn.XLOOKUP(D1210,[9]Sheet2!$C:$C,[9]Sheet2!$E:$E,"-")</f>
        <v>Ahmad Syihab Taqiyulloh</v>
      </c>
      <c r="G1210" s="21"/>
    </row>
    <row r="1211" spans="2:7">
      <c r="B1211" s="22" t="s">
        <v>1085</v>
      </c>
      <c r="C1211" s="23" t="s">
        <v>1086</v>
      </c>
      <c r="D1211" s="24" t="s">
        <v>1253</v>
      </c>
      <c r="E1211" s="25" t="s">
        <v>1722</v>
      </c>
      <c r="F1211" s="16" t="str">
        <f>_xlfn.XLOOKUP(D1211,[9]Sheet2!$C:$C,[9]Sheet2!$E:$E,"-")</f>
        <v>Mochammad Nor Cholis</v>
      </c>
      <c r="G1211" s="21"/>
    </row>
    <row r="1212" spans="2:7">
      <c r="B1212" s="22" t="s">
        <v>1085</v>
      </c>
      <c r="C1212" s="23" t="s">
        <v>1086</v>
      </c>
      <c r="D1212" s="24" t="s">
        <v>1254</v>
      </c>
      <c r="E1212" s="25" t="s">
        <v>1745</v>
      </c>
      <c r="F1212" s="16" t="str">
        <f>_xlfn.XLOOKUP(D1212,[9]Sheet2!$C:$C,[9]Sheet2!$E:$E,"-")</f>
        <v>-</v>
      </c>
      <c r="G1212" s="21"/>
    </row>
    <row r="1213" spans="2:7">
      <c r="B1213" s="22" t="s">
        <v>1085</v>
      </c>
      <c r="C1213" s="23" t="s">
        <v>1086</v>
      </c>
      <c r="D1213" s="24" t="s">
        <v>1255</v>
      </c>
      <c r="E1213" s="25" t="s">
        <v>1745</v>
      </c>
      <c r="F1213" s="16" t="str">
        <f>_xlfn.XLOOKUP(D1213,[9]Sheet2!$C:$C,[9]Sheet2!$E:$E,"-")</f>
        <v>Pradiska Julianda Vebyola</v>
      </c>
      <c r="G1213" s="21"/>
    </row>
    <row r="1214" spans="2:7">
      <c r="B1214" s="22" t="s">
        <v>1085</v>
      </c>
      <c r="C1214" s="23" t="s">
        <v>1086</v>
      </c>
      <c r="D1214" s="24" t="s">
        <v>1256</v>
      </c>
      <c r="E1214" s="25" t="s">
        <v>1745</v>
      </c>
      <c r="F1214" s="16" t="str">
        <f>_xlfn.XLOOKUP(D1214,[9]Sheet2!$C:$C,[9]Sheet2!$E:$E,"-")</f>
        <v>Indra Bayu</v>
      </c>
      <c r="G1214" s="21"/>
    </row>
    <row r="1215" spans="2:7">
      <c r="B1215" s="22" t="s">
        <v>1085</v>
      </c>
      <c r="C1215" s="23" t="s">
        <v>1086</v>
      </c>
      <c r="D1215" s="24" t="s">
        <v>1257</v>
      </c>
      <c r="E1215" s="25" t="s">
        <v>1745</v>
      </c>
      <c r="F1215" s="16" t="str">
        <f>_xlfn.XLOOKUP(D1215,[9]Sheet2!$C:$C,[9]Sheet2!$E:$E,"-")</f>
        <v>Bagus Hermawan</v>
      </c>
      <c r="G1215" s="21"/>
    </row>
    <row r="1216" spans="2:7">
      <c r="B1216" s="22" t="s">
        <v>1085</v>
      </c>
      <c r="C1216" s="23" t="s">
        <v>1086</v>
      </c>
      <c r="D1216" s="24" t="s">
        <v>1258</v>
      </c>
      <c r="E1216" s="25" t="s">
        <v>1722</v>
      </c>
      <c r="F1216" s="16" t="str">
        <f>_xlfn.XLOOKUP(D1216,[9]Sheet2!$C:$C,[9]Sheet2!$E:$E,"-")</f>
        <v>-</v>
      </c>
      <c r="G1216" s="21"/>
    </row>
    <row r="1217" spans="2:7">
      <c r="B1217" s="22" t="s">
        <v>1085</v>
      </c>
      <c r="C1217" s="23" t="s">
        <v>1086</v>
      </c>
      <c r="D1217" s="24" t="s">
        <v>1259</v>
      </c>
      <c r="E1217" s="25" t="s">
        <v>1745</v>
      </c>
      <c r="F1217" s="16" t="str">
        <f>_xlfn.XLOOKUP(D1217,[9]Sheet2!$C:$C,[9]Sheet2!$E:$E,"-")</f>
        <v>Satrio Wahyu Nugroho</v>
      </c>
      <c r="G1217" s="21"/>
    </row>
    <row r="1218" spans="2:7">
      <c r="B1218" s="22" t="s">
        <v>1085</v>
      </c>
      <c r="C1218" s="23" t="s">
        <v>1086</v>
      </c>
      <c r="D1218" s="24" t="s">
        <v>1260</v>
      </c>
      <c r="E1218" s="25" t="s">
        <v>1722</v>
      </c>
      <c r="F1218" s="16" t="str">
        <f>_xlfn.XLOOKUP(D1218,[9]Sheet2!$C:$C,[9]Sheet2!$E:$E,"-")</f>
        <v>Bintang Zaesar Ramadan</v>
      </c>
      <c r="G1218" s="21"/>
    </row>
    <row r="1219" spans="2:7">
      <c r="B1219" s="22" t="s">
        <v>1085</v>
      </c>
      <c r="C1219" s="23" t="s">
        <v>1086</v>
      </c>
      <c r="D1219" s="24" t="s">
        <v>1261</v>
      </c>
      <c r="E1219" s="25" t="s">
        <v>1745</v>
      </c>
      <c r="F1219" s="16" t="str">
        <f>_xlfn.XLOOKUP(D1219,[9]Sheet2!$C:$C,[9]Sheet2!$E:$E,"-")</f>
        <v>-</v>
      </c>
      <c r="G1219" s="21"/>
    </row>
    <row r="1220" spans="2:7">
      <c r="B1220" s="22" t="s">
        <v>1085</v>
      </c>
      <c r="C1220" s="23" t="s">
        <v>1086</v>
      </c>
      <c r="D1220" s="24" t="s">
        <v>1262</v>
      </c>
      <c r="E1220" s="25" t="s">
        <v>1722</v>
      </c>
      <c r="F1220" s="16" t="str">
        <f>_xlfn.XLOOKUP(D1220,[9]Sheet2!$C:$C,[9]Sheet2!$E:$E,"-")</f>
        <v>Havid Rambu Sinaga</v>
      </c>
      <c r="G1220" s="21"/>
    </row>
    <row r="1221" spans="2:7">
      <c r="B1221" s="22" t="s">
        <v>1085</v>
      </c>
      <c r="C1221" s="23" t="s">
        <v>1086</v>
      </c>
      <c r="D1221" s="24" t="s">
        <v>1263</v>
      </c>
      <c r="E1221" s="25" t="s">
        <v>1745</v>
      </c>
      <c r="F1221" s="16" t="str">
        <f>_xlfn.XLOOKUP(D1221,[9]Sheet2!$C:$C,[9]Sheet2!$E:$E,"-")</f>
        <v>-</v>
      </c>
      <c r="G1221" s="21"/>
    </row>
    <row r="1222" spans="2:7">
      <c r="B1222" s="22" t="s">
        <v>1085</v>
      </c>
      <c r="C1222" s="23" t="s">
        <v>1086</v>
      </c>
      <c r="D1222" s="24" t="s">
        <v>1264</v>
      </c>
      <c r="E1222" s="25" t="s">
        <v>1745</v>
      </c>
      <c r="F1222" s="16" t="str">
        <f>_xlfn.XLOOKUP(D1222,[9]Sheet2!$C:$C,[9]Sheet2!$E:$E,"-")</f>
        <v>Angga Yulistyawan</v>
      </c>
      <c r="G1222" s="21"/>
    </row>
    <row r="1223" spans="2:7">
      <c r="B1223" s="22" t="s">
        <v>1085</v>
      </c>
      <c r="C1223" s="23" t="s">
        <v>1086</v>
      </c>
      <c r="D1223" s="24" t="s">
        <v>1265</v>
      </c>
      <c r="E1223" s="25" t="s">
        <v>1745</v>
      </c>
      <c r="F1223" s="16" t="str">
        <f>_xlfn.XLOOKUP(D1223,[9]Sheet2!$C:$C,[9]Sheet2!$E:$E,"-")</f>
        <v>Moch. Irsyad</v>
      </c>
      <c r="G1223" s="21"/>
    </row>
    <row r="1224" spans="2:7">
      <c r="B1224" s="22" t="s">
        <v>1085</v>
      </c>
      <c r="C1224" s="23" t="s">
        <v>1086</v>
      </c>
      <c r="D1224" s="24" t="s">
        <v>1266</v>
      </c>
      <c r="E1224" s="25" t="s">
        <v>1745</v>
      </c>
      <c r="F1224" s="16" t="str">
        <f>_xlfn.XLOOKUP(D1224,[9]Sheet2!$C:$C,[9]Sheet2!$E:$E,"-")</f>
        <v>Alfiyatuz Zahra</v>
      </c>
      <c r="G1224" s="21"/>
    </row>
    <row r="1225" spans="2:7">
      <c r="B1225" s="22" t="s">
        <v>1085</v>
      </c>
      <c r="C1225" s="23" t="s">
        <v>1086</v>
      </c>
      <c r="D1225" s="24" t="s">
        <v>1267</v>
      </c>
      <c r="E1225" s="25" t="s">
        <v>1722</v>
      </c>
      <c r="F1225" s="16" t="str">
        <f>_xlfn.XLOOKUP(D1225,[9]Sheet2!$C:$C,[9]Sheet2!$E:$E,"-")</f>
        <v>Impron Suryadi</v>
      </c>
      <c r="G1225" s="21"/>
    </row>
    <row r="1226" spans="2:7">
      <c r="B1226" s="22" t="s">
        <v>1085</v>
      </c>
      <c r="C1226" s="23" t="s">
        <v>1086</v>
      </c>
      <c r="D1226" s="24" t="s">
        <v>1268</v>
      </c>
      <c r="E1226" s="25" t="s">
        <v>1745</v>
      </c>
      <c r="F1226" s="16" t="str">
        <f>_xlfn.XLOOKUP(D1226,[9]Sheet2!$C:$C,[9]Sheet2!$E:$E,"-")</f>
        <v>Wahyu Sujatmiko</v>
      </c>
      <c r="G1226" s="21"/>
    </row>
    <row r="1227" spans="2:7">
      <c r="B1227" s="22" t="s">
        <v>1085</v>
      </c>
      <c r="C1227" s="23" t="s">
        <v>1086</v>
      </c>
      <c r="D1227" s="24" t="s">
        <v>1269</v>
      </c>
      <c r="E1227" s="25" t="s">
        <v>1745</v>
      </c>
      <c r="F1227" s="16" t="str">
        <f>_xlfn.XLOOKUP(D1227,[9]Sheet2!$C:$C,[9]Sheet2!$E:$E,"-")</f>
        <v>Wahyu Sujatmiko</v>
      </c>
      <c r="G1227" s="21"/>
    </row>
    <row r="1228" spans="2:7">
      <c r="B1228" s="22" t="s">
        <v>1085</v>
      </c>
      <c r="C1228" s="23" t="s">
        <v>1086</v>
      </c>
      <c r="D1228" s="24" t="s">
        <v>1270</v>
      </c>
      <c r="E1228" s="25" t="s">
        <v>1745</v>
      </c>
      <c r="F1228" s="16" t="str">
        <f>_xlfn.XLOOKUP(D1228,[9]Sheet2!$C:$C,[9]Sheet2!$E:$E,"-")</f>
        <v>-</v>
      </c>
      <c r="G1228" s="21"/>
    </row>
    <row r="1229" spans="2:7">
      <c r="B1229" s="22" t="s">
        <v>1085</v>
      </c>
      <c r="C1229" s="23" t="s">
        <v>1086</v>
      </c>
      <c r="D1229" s="24" t="s">
        <v>1271</v>
      </c>
      <c r="E1229" s="25" t="s">
        <v>1745</v>
      </c>
      <c r="F1229" s="16" t="str">
        <f>_xlfn.XLOOKUP(D1229,[9]Sheet2!$C:$C,[9]Sheet2!$E:$E,"-")</f>
        <v>Bayu Dian Krisdianto</v>
      </c>
      <c r="G1229" s="21"/>
    </row>
    <row r="1230" spans="2:7">
      <c r="B1230" s="22" t="s">
        <v>1085</v>
      </c>
      <c r="C1230" s="23" t="s">
        <v>1086</v>
      </c>
      <c r="D1230" s="24" t="s">
        <v>1272</v>
      </c>
      <c r="E1230" s="25" t="s">
        <v>1745</v>
      </c>
      <c r="F1230" s="16" t="str">
        <f>_xlfn.XLOOKUP(D1230,[9]Sheet2!$C:$C,[9]Sheet2!$E:$E,"-")</f>
        <v>Enggar Ida Ariawan</v>
      </c>
      <c r="G1230" s="21"/>
    </row>
    <row r="1231" spans="2:7">
      <c r="B1231" s="22" t="s">
        <v>1085</v>
      </c>
      <c r="C1231" s="23" t="s">
        <v>1086</v>
      </c>
      <c r="D1231" s="24" t="s">
        <v>1273</v>
      </c>
      <c r="E1231" s="25" t="s">
        <v>1745</v>
      </c>
      <c r="F1231" s="16" t="str">
        <f>_xlfn.XLOOKUP(D1231,[9]Sheet2!$C:$C,[9]Sheet2!$E:$E,"-")</f>
        <v>Ghifar Zakatus Suaidah</v>
      </c>
      <c r="G1231" s="21"/>
    </row>
    <row r="1232" spans="2:7">
      <c r="B1232" s="22" t="s">
        <v>1085</v>
      </c>
      <c r="C1232" s="23" t="s">
        <v>1086</v>
      </c>
      <c r="D1232" s="24" t="s">
        <v>1274</v>
      </c>
      <c r="E1232" s="25" t="s">
        <v>1745</v>
      </c>
      <c r="F1232" s="16" t="str">
        <f>_xlfn.XLOOKUP(D1232,[9]Sheet2!$C:$C,[9]Sheet2!$E:$E,"-")</f>
        <v>Agus Prianto</v>
      </c>
      <c r="G1232" s="21"/>
    </row>
    <row r="1233" spans="2:7">
      <c r="B1233" s="22" t="s">
        <v>1085</v>
      </c>
      <c r="C1233" s="23" t="s">
        <v>1086</v>
      </c>
      <c r="D1233" s="24" t="s">
        <v>1275</v>
      </c>
      <c r="E1233" s="25" t="s">
        <v>1745</v>
      </c>
      <c r="F1233" s="16" t="str">
        <f>_xlfn.XLOOKUP(D1233,[9]Sheet2!$C:$C,[9]Sheet2!$E:$E,"-")</f>
        <v>Moch. Ragil Januar</v>
      </c>
      <c r="G1233" s="21"/>
    </row>
    <row r="1234" spans="2:7">
      <c r="B1234" s="22" t="s">
        <v>1085</v>
      </c>
      <c r="C1234" s="23" t="s">
        <v>1086</v>
      </c>
      <c r="D1234" s="24" t="s">
        <v>1276</v>
      </c>
      <c r="E1234" s="25" t="s">
        <v>1745</v>
      </c>
      <c r="F1234" s="16" t="str">
        <f>_xlfn.XLOOKUP(D1234,[9]Sheet2!$C:$C,[9]Sheet2!$E:$E,"-")</f>
        <v>Hasan Mahmudi</v>
      </c>
      <c r="G1234" s="21"/>
    </row>
    <row r="1235" spans="2:7">
      <c r="B1235" s="22" t="s">
        <v>1085</v>
      </c>
      <c r="C1235" s="23" t="s">
        <v>1086</v>
      </c>
      <c r="D1235" s="24" t="s">
        <v>1277</v>
      </c>
      <c r="E1235" s="25" t="s">
        <v>1745</v>
      </c>
      <c r="F1235" s="16" t="str">
        <f>_xlfn.XLOOKUP(D1235,[9]Sheet2!$C:$C,[9]Sheet2!$E:$E,"-")</f>
        <v>Moch. Ragil Januar</v>
      </c>
      <c r="G1235" s="21"/>
    </row>
    <row r="1236" spans="2:7">
      <c r="B1236" s="22" t="s">
        <v>1085</v>
      </c>
      <c r="C1236" s="23" t="s">
        <v>1086</v>
      </c>
      <c r="D1236" s="24" t="s">
        <v>1278</v>
      </c>
      <c r="E1236" s="25" t="s">
        <v>1745</v>
      </c>
      <c r="F1236" s="16" t="str">
        <f>_xlfn.XLOOKUP(D1236,[9]Sheet2!$C:$C,[9]Sheet2!$E:$E,"-")</f>
        <v>Dwi Novitasari</v>
      </c>
      <c r="G1236" s="21"/>
    </row>
    <row r="1237" spans="2:7">
      <c r="B1237" s="22" t="s">
        <v>1085</v>
      </c>
      <c r="C1237" s="23" t="s">
        <v>1086</v>
      </c>
      <c r="D1237" s="24" t="s">
        <v>1279</v>
      </c>
      <c r="E1237" s="25" t="s">
        <v>1745</v>
      </c>
      <c r="F1237" s="16" t="str">
        <f>_xlfn.XLOOKUP(D1237,[9]Sheet2!$C:$C,[9]Sheet2!$E:$E,"-")</f>
        <v>Agus Prianto</v>
      </c>
      <c r="G1237" s="21"/>
    </row>
    <row r="1238" spans="2:7">
      <c r="B1238" s="22" t="s">
        <v>1085</v>
      </c>
      <c r="C1238" s="23" t="s">
        <v>1086</v>
      </c>
      <c r="D1238" s="24" t="s">
        <v>1280</v>
      </c>
      <c r="E1238" s="25" t="s">
        <v>1745</v>
      </c>
      <c r="F1238" s="16" t="str">
        <f>_xlfn.XLOOKUP(D1238,[9]Sheet2!$C:$C,[9]Sheet2!$E:$E,"-")</f>
        <v>Fanny Zubiatmoko</v>
      </c>
      <c r="G1238" s="21"/>
    </row>
    <row r="1239" spans="2:7">
      <c r="B1239" s="22" t="s">
        <v>1085</v>
      </c>
      <c r="C1239" s="23" t="s">
        <v>1086</v>
      </c>
      <c r="D1239" s="24" t="s">
        <v>1281</v>
      </c>
      <c r="E1239" s="25" t="s">
        <v>1745</v>
      </c>
      <c r="F1239" s="16" t="str">
        <f>_xlfn.XLOOKUP(D1239,[9]Sheet2!$C:$C,[9]Sheet2!$E:$E,"-")</f>
        <v>Bonifacius Edo Prasetio</v>
      </c>
      <c r="G1239" s="21"/>
    </row>
    <row r="1240" spans="2:7">
      <c r="B1240" s="22" t="s">
        <v>1085</v>
      </c>
      <c r="C1240" s="23" t="s">
        <v>1086</v>
      </c>
      <c r="D1240" s="24" t="s">
        <v>1282</v>
      </c>
      <c r="E1240" s="25" t="s">
        <v>1722</v>
      </c>
      <c r="F1240" s="16" t="str">
        <f>_xlfn.XLOOKUP(D1240,[9]Sheet2!$C:$C,[9]Sheet2!$E:$E,"-")</f>
        <v>Adha Mubarok</v>
      </c>
      <c r="G1240" s="21"/>
    </row>
    <row r="1241" spans="2:7">
      <c r="B1241" s="22" t="s">
        <v>1085</v>
      </c>
      <c r="C1241" s="23" t="s">
        <v>1086</v>
      </c>
      <c r="D1241" s="24" t="s">
        <v>1283</v>
      </c>
      <c r="E1241" s="25" t="s">
        <v>1722</v>
      </c>
      <c r="F1241" s="16" t="str">
        <f>_xlfn.XLOOKUP(D1241,[9]Sheet2!$C:$C,[9]Sheet2!$E:$E,"-")</f>
        <v>Adha Mubarok</v>
      </c>
      <c r="G1241" s="21"/>
    </row>
    <row r="1242" spans="2:7">
      <c r="B1242" s="22" t="s">
        <v>1085</v>
      </c>
      <c r="C1242" s="23" t="s">
        <v>1086</v>
      </c>
      <c r="D1242" s="24" t="s">
        <v>1284</v>
      </c>
      <c r="E1242" s="25" t="s">
        <v>1722</v>
      </c>
      <c r="F1242" s="16" t="str">
        <f>_xlfn.XLOOKUP(D1242,[9]Sheet2!$C:$C,[9]Sheet2!$E:$E,"-")</f>
        <v>Gilang Sabastian Vernando</v>
      </c>
      <c r="G1242" s="21"/>
    </row>
    <row r="1243" spans="2:7">
      <c r="B1243" s="22" t="s">
        <v>1085</v>
      </c>
      <c r="C1243" s="23" t="s">
        <v>1086</v>
      </c>
      <c r="D1243" s="24" t="s">
        <v>1285</v>
      </c>
      <c r="E1243" s="25" t="s">
        <v>1722</v>
      </c>
      <c r="F1243" s="16" t="str">
        <f>_xlfn.XLOOKUP(D1243,[9]Sheet2!$C:$C,[9]Sheet2!$E:$E,"-")</f>
        <v>Legowo Herlambang</v>
      </c>
      <c r="G1243" s="21"/>
    </row>
    <row r="1244" spans="2:7">
      <c r="B1244" s="22" t="s">
        <v>1085</v>
      </c>
      <c r="C1244" s="23" t="s">
        <v>1086</v>
      </c>
      <c r="D1244" s="24" t="s">
        <v>1286</v>
      </c>
      <c r="E1244" s="25" t="s">
        <v>1722</v>
      </c>
      <c r="F1244" s="16" t="str">
        <f>_xlfn.XLOOKUP(D1244,[9]Sheet2!$C:$C,[9]Sheet2!$E:$E,"-")</f>
        <v>Afid Mahardianto</v>
      </c>
      <c r="G1244" s="21"/>
    </row>
    <row r="1245" spans="2:7">
      <c r="B1245" s="22" t="s">
        <v>1085</v>
      </c>
      <c r="C1245" s="23" t="s">
        <v>1086</v>
      </c>
      <c r="D1245" s="24" t="s">
        <v>1287</v>
      </c>
      <c r="E1245" s="25" t="s">
        <v>1722</v>
      </c>
      <c r="F1245" s="16" t="str">
        <f>_xlfn.XLOOKUP(D1245,[9]Sheet2!$C:$C,[9]Sheet2!$E:$E,"-")</f>
        <v>Yusky Ali</v>
      </c>
      <c r="G1245" s="21"/>
    </row>
    <row r="1246" spans="2:7">
      <c r="B1246" s="22" t="s">
        <v>1085</v>
      </c>
      <c r="C1246" s="23" t="s">
        <v>1086</v>
      </c>
      <c r="D1246" s="24" t="s">
        <v>1288</v>
      </c>
      <c r="E1246" s="25" t="s">
        <v>1745</v>
      </c>
      <c r="F1246" s="16" t="str">
        <f>_xlfn.XLOOKUP(D1246,[9]Sheet2!$C:$C,[9]Sheet2!$E:$E,"-")</f>
        <v>Rofi Firmansyah</v>
      </c>
      <c r="G1246" s="21"/>
    </row>
    <row r="1247" spans="2:7">
      <c r="B1247" s="22" t="s">
        <v>1085</v>
      </c>
      <c r="C1247" s="23" t="s">
        <v>1086</v>
      </c>
      <c r="D1247" s="24" t="s">
        <v>1289</v>
      </c>
      <c r="E1247" s="25" t="s">
        <v>1745</v>
      </c>
      <c r="F1247" s="16" t="str">
        <f>_xlfn.XLOOKUP(D1247,[9]Sheet2!$C:$C,[9]Sheet2!$E:$E,"-")</f>
        <v>Annur Rahman Hakim</v>
      </c>
      <c r="G1247" s="21"/>
    </row>
    <row r="1248" spans="2:7">
      <c r="B1248" s="22" t="s">
        <v>1085</v>
      </c>
      <c r="C1248" s="23" t="s">
        <v>1086</v>
      </c>
      <c r="D1248" s="24" t="s">
        <v>1290</v>
      </c>
      <c r="E1248" s="25" t="s">
        <v>1722</v>
      </c>
      <c r="F1248" s="16" t="str">
        <f>_xlfn.XLOOKUP(D1248,[9]Sheet2!$C:$C,[9]Sheet2!$E:$E,"-")</f>
        <v>Rifki Maghrobi Putra Pamungkas</v>
      </c>
      <c r="G1248" s="21"/>
    </row>
    <row r="1249" spans="2:7">
      <c r="B1249" s="22" t="s">
        <v>1085</v>
      </c>
      <c r="C1249" s="23" t="s">
        <v>1086</v>
      </c>
      <c r="D1249" s="24" t="s">
        <v>1291</v>
      </c>
      <c r="E1249" s="25" t="s">
        <v>1722</v>
      </c>
      <c r="F1249" s="16" t="str">
        <f>_xlfn.XLOOKUP(D1249,[9]Sheet2!$C:$C,[9]Sheet2!$E:$E,"-")</f>
        <v>Rifki Maghrobi Putra Pamungkas</v>
      </c>
      <c r="G1249" s="21"/>
    </row>
    <row r="1250" spans="2:7">
      <c r="B1250" s="22" t="s">
        <v>1085</v>
      </c>
      <c r="C1250" s="23" t="s">
        <v>1086</v>
      </c>
      <c r="D1250" s="24" t="s">
        <v>1292</v>
      </c>
      <c r="E1250" s="25" t="s">
        <v>1722</v>
      </c>
      <c r="F1250" s="16" t="str">
        <f>_xlfn.XLOOKUP(D1250,[9]Sheet2!$C:$C,[9]Sheet2!$E:$E,"-")</f>
        <v>Fajar Fir Rizky</v>
      </c>
      <c r="G1250" s="21"/>
    </row>
    <row r="1251" spans="2:7">
      <c r="B1251" s="22" t="s">
        <v>1085</v>
      </c>
      <c r="C1251" s="23" t="s">
        <v>1086</v>
      </c>
      <c r="D1251" s="24" t="s">
        <v>1293</v>
      </c>
      <c r="E1251" s="25" t="s">
        <v>1722</v>
      </c>
      <c r="F1251" s="16" t="str">
        <f>_xlfn.XLOOKUP(D1251,[9]Sheet2!$C:$C,[9]Sheet2!$E:$E,"-")</f>
        <v>Yusky Ali</v>
      </c>
      <c r="G1251" s="21"/>
    </row>
    <row r="1252" spans="2:7">
      <c r="B1252" s="22" t="s">
        <v>1085</v>
      </c>
      <c r="C1252" s="23" t="s">
        <v>1086</v>
      </c>
      <c r="D1252" s="24" t="s">
        <v>1294</v>
      </c>
      <c r="E1252" s="25" t="s">
        <v>1745</v>
      </c>
      <c r="F1252" s="16" t="str">
        <f>_xlfn.XLOOKUP(D1252,[9]Sheet2!$C:$C,[9]Sheet2!$E:$E,"-")</f>
        <v>Annur Rahman Hakim</v>
      </c>
      <c r="G1252" s="21"/>
    </row>
    <row r="1253" spans="2:7">
      <c r="B1253" s="22" t="s">
        <v>1085</v>
      </c>
      <c r="C1253" s="23" t="s">
        <v>1086</v>
      </c>
      <c r="D1253" s="24" t="s">
        <v>1295</v>
      </c>
      <c r="E1253" s="25" t="s">
        <v>1745</v>
      </c>
      <c r="F1253" s="16" t="str">
        <f>_xlfn.XLOOKUP(D1253,[9]Sheet2!$C:$C,[9]Sheet2!$E:$E,"-")</f>
        <v>Annur Rahman Hakim</v>
      </c>
      <c r="G1253" s="21"/>
    </row>
    <row r="1254" spans="2:7">
      <c r="B1254" s="22" t="s">
        <v>1085</v>
      </c>
      <c r="C1254" s="23" t="s">
        <v>1086</v>
      </c>
      <c r="D1254" s="24" t="s">
        <v>1296</v>
      </c>
      <c r="E1254" s="25" t="s">
        <v>1722</v>
      </c>
      <c r="F1254" s="16" t="str">
        <f>_xlfn.XLOOKUP(D1254,[9]Sheet2!$C:$C,[9]Sheet2!$E:$E,"-")</f>
        <v>Fajar Fir Rizky</v>
      </c>
      <c r="G1254" s="21"/>
    </row>
    <row r="1255" spans="2:7">
      <c r="B1255" s="22" t="s">
        <v>1085</v>
      </c>
      <c r="C1255" s="23" t="s">
        <v>1086</v>
      </c>
      <c r="D1255" s="24" t="s">
        <v>1297</v>
      </c>
      <c r="E1255" s="25" t="s">
        <v>1745</v>
      </c>
      <c r="F1255" s="16" t="str">
        <f>_xlfn.XLOOKUP(D1255,[9]Sheet2!$C:$C,[9]Sheet2!$E:$E,"-")</f>
        <v>Rofi Firmansyah</v>
      </c>
      <c r="G1255" s="21"/>
    </row>
    <row r="1256" spans="2:7">
      <c r="B1256" s="22" t="s">
        <v>1085</v>
      </c>
      <c r="C1256" s="23" t="s">
        <v>1086</v>
      </c>
      <c r="D1256" s="24" t="s">
        <v>1298</v>
      </c>
      <c r="E1256" s="25" t="s">
        <v>1722</v>
      </c>
      <c r="F1256" s="16" t="str">
        <f>_xlfn.XLOOKUP(D1256,[9]Sheet2!$C:$C,[9]Sheet2!$E:$E,"-")</f>
        <v>Aries Firman Widiansyah</v>
      </c>
      <c r="G1256" s="21"/>
    </row>
    <row r="1257" spans="2:7">
      <c r="B1257" s="22" t="s">
        <v>1085</v>
      </c>
      <c r="C1257" s="23" t="s">
        <v>1086</v>
      </c>
      <c r="D1257" s="24" t="s">
        <v>1299</v>
      </c>
      <c r="E1257" s="25" t="s">
        <v>1745</v>
      </c>
      <c r="F1257" s="16" t="str">
        <f>_xlfn.XLOOKUP(D1257,[9]Sheet2!$C:$C,[9]Sheet2!$E:$E,"-")</f>
        <v>Moch Erfan</v>
      </c>
      <c r="G1257" s="21"/>
    </row>
    <row r="1258" spans="2:7">
      <c r="B1258" s="22" t="s">
        <v>1085</v>
      </c>
      <c r="C1258" s="23" t="s">
        <v>1086</v>
      </c>
      <c r="D1258" s="24" t="s">
        <v>1300</v>
      </c>
      <c r="E1258" s="25" t="s">
        <v>1745</v>
      </c>
      <c r="F1258" s="16" t="str">
        <f>_xlfn.XLOOKUP(D1258,[9]Sheet2!$C:$C,[9]Sheet2!$E:$E,"-")</f>
        <v>Olivia Sukma Rini Widyananda</v>
      </c>
      <c r="G1258" s="21"/>
    </row>
    <row r="1259" spans="2:7">
      <c r="B1259" s="22" t="s">
        <v>1085</v>
      </c>
      <c r="C1259" s="23" t="s">
        <v>1086</v>
      </c>
      <c r="D1259" s="24" t="s">
        <v>1301</v>
      </c>
      <c r="E1259" s="25" t="s">
        <v>1722</v>
      </c>
      <c r="F1259" s="16" t="str">
        <f>_xlfn.XLOOKUP(D1259,[9]Sheet2!$C:$C,[9]Sheet2!$E:$E,"-")</f>
        <v>Aries Firman Widiansyah</v>
      </c>
      <c r="G1259" s="21"/>
    </row>
    <row r="1260" spans="2:7">
      <c r="B1260" s="22" t="s">
        <v>1085</v>
      </c>
      <c r="C1260" s="23" t="s">
        <v>1086</v>
      </c>
      <c r="D1260" s="24" t="s">
        <v>1302</v>
      </c>
      <c r="E1260" s="25" t="s">
        <v>1722</v>
      </c>
      <c r="F1260" s="16" t="str">
        <f>_xlfn.XLOOKUP(D1260,[9]Sheet2!$C:$C,[9]Sheet2!$E:$E,"-")</f>
        <v>Yusril Abdillah</v>
      </c>
      <c r="G1260" s="21"/>
    </row>
    <row r="1261" spans="2:7">
      <c r="B1261" s="22" t="s">
        <v>1085</v>
      </c>
      <c r="C1261" s="23" t="s">
        <v>1086</v>
      </c>
      <c r="D1261" s="24" t="s">
        <v>1303</v>
      </c>
      <c r="E1261" s="25" t="s">
        <v>1722</v>
      </c>
      <c r="F1261" s="16" t="str">
        <f>_xlfn.XLOOKUP(D1261,[9]Sheet2!$C:$C,[9]Sheet2!$E:$E,"-")</f>
        <v>Vidya Putri Ramadhanti</v>
      </c>
      <c r="G1261" s="21"/>
    </row>
    <row r="1262" spans="2:7">
      <c r="B1262" s="22" t="s">
        <v>1085</v>
      </c>
      <c r="C1262" s="23" t="s">
        <v>1086</v>
      </c>
      <c r="D1262" s="24" t="s">
        <v>1304</v>
      </c>
      <c r="E1262" s="25" t="s">
        <v>1722</v>
      </c>
      <c r="F1262" s="16" t="str">
        <f>_xlfn.XLOOKUP(D1262,[9]Sheet2!$C:$C,[9]Sheet2!$E:$E,"-")</f>
        <v>Yusril Abdillah</v>
      </c>
      <c r="G1262" s="21"/>
    </row>
    <row r="1263" spans="2:7">
      <c r="B1263" s="22" t="s">
        <v>1085</v>
      </c>
      <c r="C1263" s="23" t="s">
        <v>1086</v>
      </c>
      <c r="D1263" s="24" t="s">
        <v>1305</v>
      </c>
      <c r="E1263" s="25" t="s">
        <v>1745</v>
      </c>
      <c r="F1263" s="16" t="str">
        <f>_xlfn.XLOOKUP(D1263,[9]Sheet2!$C:$C,[9]Sheet2!$E:$E,"-")</f>
        <v>Olivia Sukma Rini Widyananda</v>
      </c>
      <c r="G1263" s="21"/>
    </row>
    <row r="1264" spans="2:7">
      <c r="B1264" s="22" t="s">
        <v>1085</v>
      </c>
      <c r="C1264" s="23" t="s">
        <v>1086</v>
      </c>
      <c r="D1264" s="24" t="s">
        <v>1306</v>
      </c>
      <c r="E1264" s="25" t="s">
        <v>1745</v>
      </c>
      <c r="F1264" s="16" t="str">
        <f>_xlfn.XLOOKUP(D1264,[9]Sheet2!$C:$C,[9]Sheet2!$E:$E,"-")</f>
        <v>Moch Erfan</v>
      </c>
      <c r="G1264" s="21"/>
    </row>
    <row r="1265" spans="2:7">
      <c r="B1265" s="22" t="s">
        <v>1085</v>
      </c>
      <c r="C1265" s="23" t="s">
        <v>1086</v>
      </c>
      <c r="D1265" s="24" t="s">
        <v>1307</v>
      </c>
      <c r="E1265" s="25" t="s">
        <v>1745</v>
      </c>
      <c r="F1265" s="16" t="str">
        <f>_xlfn.XLOOKUP(D1265,[9]Sheet2!$C:$C,[9]Sheet2!$E:$E,"-")</f>
        <v>Moch Erfan</v>
      </c>
      <c r="G1265" s="21"/>
    </row>
    <row r="1266" spans="2:7">
      <c r="B1266" s="22" t="s">
        <v>1085</v>
      </c>
      <c r="C1266" s="23" t="s">
        <v>1086</v>
      </c>
      <c r="D1266" s="24" t="s">
        <v>1308</v>
      </c>
      <c r="E1266" s="25" t="s">
        <v>1722</v>
      </c>
      <c r="F1266" s="16" t="str">
        <f>_xlfn.XLOOKUP(D1266,[9]Sheet2!$C:$C,[9]Sheet2!$E:$E,"-")</f>
        <v>Erwin Purwanto</v>
      </c>
      <c r="G1266" s="21"/>
    </row>
    <row r="1267" spans="2:7">
      <c r="B1267" s="22" t="s">
        <v>1085</v>
      </c>
      <c r="C1267" s="23" t="s">
        <v>1086</v>
      </c>
      <c r="D1267" s="24" t="s">
        <v>1309</v>
      </c>
      <c r="E1267" s="25" t="s">
        <v>1722</v>
      </c>
      <c r="F1267" s="16" t="str">
        <f>_xlfn.XLOOKUP(D1267,[9]Sheet2!$C:$C,[9]Sheet2!$E:$E,"-")</f>
        <v>Erwin Purwanto</v>
      </c>
      <c r="G1267" s="21"/>
    </row>
    <row r="1268" spans="2:7">
      <c r="B1268" s="22" t="s">
        <v>1085</v>
      </c>
      <c r="C1268" s="23" t="s">
        <v>1086</v>
      </c>
      <c r="D1268" s="24" t="s">
        <v>1310</v>
      </c>
      <c r="E1268" s="25" t="s">
        <v>1722</v>
      </c>
      <c r="F1268" s="16" t="str">
        <f>_xlfn.XLOOKUP(D1268,[9]Sheet2!$C:$C,[9]Sheet2!$E:$E,"-")</f>
        <v>Rendhy Bhaskara Putra</v>
      </c>
      <c r="G1268" s="21"/>
    </row>
    <row r="1269" spans="2:7">
      <c r="B1269" s="22" t="s">
        <v>1085</v>
      </c>
      <c r="C1269" s="23" t="s">
        <v>1086</v>
      </c>
      <c r="D1269" s="24" t="s">
        <v>1311</v>
      </c>
      <c r="E1269" s="25" t="s">
        <v>1722</v>
      </c>
      <c r="F1269" s="16" t="str">
        <f>_xlfn.XLOOKUP(D1269,[9]Sheet2!$C:$C,[9]Sheet2!$E:$E,"-")</f>
        <v>Deby Alief Intan Permata</v>
      </c>
      <c r="G1269" s="21"/>
    </row>
    <row r="1270" spans="2:7">
      <c r="B1270" s="22" t="s">
        <v>1085</v>
      </c>
      <c r="C1270" s="23" t="s">
        <v>1086</v>
      </c>
      <c r="D1270" s="24" t="s">
        <v>1312</v>
      </c>
      <c r="E1270" s="25" t="s">
        <v>1722</v>
      </c>
      <c r="F1270" s="16" t="str">
        <f>_xlfn.XLOOKUP(D1270,[9]Sheet2!$C:$C,[9]Sheet2!$E:$E,"-")</f>
        <v>Rizki Fajar Kurniawan</v>
      </c>
      <c r="G1270" s="21"/>
    </row>
    <row r="1271" spans="2:7">
      <c r="B1271" s="22" t="s">
        <v>1085</v>
      </c>
      <c r="C1271" s="23" t="s">
        <v>1086</v>
      </c>
      <c r="D1271" s="24" t="s">
        <v>1313</v>
      </c>
      <c r="E1271" s="25" t="s">
        <v>1722</v>
      </c>
      <c r="F1271" s="16" t="str">
        <f>_xlfn.XLOOKUP(D1271,[9]Sheet2!$C:$C,[9]Sheet2!$E:$E,"-")</f>
        <v>Imam Safiudin Mustaqim</v>
      </c>
      <c r="G1271" s="21"/>
    </row>
    <row r="1272" spans="2:7">
      <c r="B1272" s="22" t="s">
        <v>1085</v>
      </c>
      <c r="C1272" s="23" t="s">
        <v>1086</v>
      </c>
      <c r="D1272" s="24" t="s">
        <v>1314</v>
      </c>
      <c r="E1272" s="25" t="s">
        <v>1722</v>
      </c>
      <c r="F1272" s="16" t="str">
        <f>_xlfn.XLOOKUP(D1272,[9]Sheet2!$C:$C,[9]Sheet2!$E:$E,"-")</f>
        <v>Imam Safiudin Mustaqim</v>
      </c>
      <c r="G1272" s="21"/>
    </row>
    <row r="1273" spans="2:7">
      <c r="B1273" s="22" t="s">
        <v>1085</v>
      </c>
      <c r="C1273" s="23" t="s">
        <v>1086</v>
      </c>
      <c r="D1273" s="24" t="s">
        <v>1315</v>
      </c>
      <c r="E1273" s="25" t="s">
        <v>1722</v>
      </c>
      <c r="F1273" s="16" t="str">
        <f>_xlfn.XLOOKUP(D1273,[9]Sheet2!$C:$C,[9]Sheet2!$E:$E,"-")</f>
        <v>Muhammad Yasin</v>
      </c>
      <c r="G1273" s="21"/>
    </row>
    <row r="1274" spans="2:7">
      <c r="B1274" s="22" t="s">
        <v>1085</v>
      </c>
      <c r="C1274" s="23" t="s">
        <v>1086</v>
      </c>
      <c r="D1274" s="24" t="s">
        <v>1316</v>
      </c>
      <c r="E1274" s="25" t="s">
        <v>1722</v>
      </c>
      <c r="F1274" s="16" t="str">
        <f>_xlfn.XLOOKUP(D1274,[9]Sheet2!$C:$C,[9]Sheet2!$E:$E,"-")</f>
        <v>Mohammad Sholehhuddin</v>
      </c>
      <c r="G1274" s="21"/>
    </row>
    <row r="1275" spans="2:7">
      <c r="B1275" s="22" t="s">
        <v>1085</v>
      </c>
      <c r="C1275" s="23" t="s">
        <v>1086</v>
      </c>
      <c r="D1275" s="24" t="s">
        <v>1317</v>
      </c>
      <c r="E1275" s="25" t="s">
        <v>1722</v>
      </c>
      <c r="F1275" s="16" t="str">
        <f>_xlfn.XLOOKUP(D1275,[9]Sheet2!$C:$C,[9]Sheet2!$E:$E,"-")</f>
        <v>Riki Yuhan Diantoro</v>
      </c>
      <c r="G1275" s="21"/>
    </row>
    <row r="1276" spans="2:7">
      <c r="B1276" s="22" t="s">
        <v>1085</v>
      </c>
      <c r="C1276" s="23" t="s">
        <v>1086</v>
      </c>
      <c r="D1276" s="24" t="s">
        <v>1318</v>
      </c>
      <c r="E1276" s="25" t="s">
        <v>1722</v>
      </c>
      <c r="F1276" s="16" t="str">
        <f>_xlfn.XLOOKUP(D1276,[9]Sheet2!$C:$C,[9]Sheet2!$E:$E,"-")</f>
        <v>Mohammad Sholehhuddin</v>
      </c>
      <c r="G1276" s="21"/>
    </row>
    <row r="1277" spans="2:7">
      <c r="B1277" s="22" t="s">
        <v>1085</v>
      </c>
      <c r="C1277" s="23" t="s">
        <v>1086</v>
      </c>
      <c r="D1277" s="24" t="s">
        <v>1319</v>
      </c>
      <c r="E1277" s="25" t="s">
        <v>1722</v>
      </c>
      <c r="F1277" s="16" t="str">
        <f>_xlfn.XLOOKUP(D1277,[9]Sheet2!$C:$C,[9]Sheet2!$E:$E,"-")</f>
        <v>Deby Alief Intan Permata</v>
      </c>
      <c r="G1277" s="21"/>
    </row>
    <row r="1278" spans="2:7">
      <c r="B1278" s="22" t="s">
        <v>1085</v>
      </c>
      <c r="C1278" s="23" t="s">
        <v>1086</v>
      </c>
      <c r="D1278" s="24" t="s">
        <v>1320</v>
      </c>
      <c r="E1278" s="25" t="s">
        <v>1722</v>
      </c>
      <c r="F1278" s="16" t="str">
        <f>_xlfn.XLOOKUP(D1278,[9]Sheet2!$C:$C,[9]Sheet2!$E:$E,"-")</f>
        <v>Riki Yuhan Diantoro</v>
      </c>
      <c r="G1278" s="21"/>
    </row>
    <row r="1279" spans="2:7">
      <c r="B1279" s="22" t="s">
        <v>1085</v>
      </c>
      <c r="C1279" s="23" t="s">
        <v>1086</v>
      </c>
      <c r="D1279" s="24" t="s">
        <v>1321</v>
      </c>
      <c r="E1279" s="25" t="s">
        <v>1722</v>
      </c>
      <c r="F1279" s="16" t="str">
        <f>_xlfn.XLOOKUP(D1279,[9]Sheet2!$C:$C,[9]Sheet2!$E:$E,"-")</f>
        <v>Muhammad Yasin</v>
      </c>
      <c r="G1279" s="21"/>
    </row>
    <row r="1280" spans="2:7">
      <c r="B1280" s="22" t="s">
        <v>1085</v>
      </c>
      <c r="C1280" s="23" t="s">
        <v>1086</v>
      </c>
      <c r="D1280" s="24" t="s">
        <v>1322</v>
      </c>
      <c r="E1280" s="25" t="s">
        <v>1745</v>
      </c>
      <c r="F1280" s="16" t="str">
        <f>_xlfn.XLOOKUP(D1280,[9]Sheet2!$C:$C,[9]Sheet2!$E:$E,"-")</f>
        <v>Miftahul Rahman</v>
      </c>
      <c r="G1280" s="21"/>
    </row>
    <row r="1281" spans="2:7">
      <c r="B1281" s="22" t="s">
        <v>1085</v>
      </c>
      <c r="C1281" s="23" t="s">
        <v>1086</v>
      </c>
      <c r="D1281" s="24" t="s">
        <v>1323</v>
      </c>
      <c r="E1281" s="25" t="s">
        <v>1722</v>
      </c>
      <c r="F1281" s="16" t="str">
        <f>_xlfn.XLOOKUP(D1281,[9]Sheet2!$C:$C,[9]Sheet2!$E:$E,"-")</f>
        <v>Dwi Rahman Saleh</v>
      </c>
      <c r="G1281" s="21"/>
    </row>
    <row r="1282" spans="2:7">
      <c r="B1282" s="22" t="s">
        <v>1085</v>
      </c>
      <c r="C1282" s="23" t="s">
        <v>1086</v>
      </c>
      <c r="D1282" s="24" t="s">
        <v>1324</v>
      </c>
      <c r="E1282" s="25" t="s">
        <v>1722</v>
      </c>
      <c r="F1282" s="16" t="str">
        <f>_xlfn.XLOOKUP(D1282,[9]Sheet2!$C:$C,[9]Sheet2!$E:$E,"-")</f>
        <v>Ilham Tri Cahyono</v>
      </c>
      <c r="G1282" s="21"/>
    </row>
    <row r="1283" spans="2:7">
      <c r="B1283" s="22" t="s">
        <v>1085</v>
      </c>
      <c r="C1283" s="23" t="s">
        <v>1086</v>
      </c>
      <c r="D1283" s="24" t="s">
        <v>1325</v>
      </c>
      <c r="E1283" s="25" t="s">
        <v>1722</v>
      </c>
      <c r="F1283" s="16" t="str">
        <f>_xlfn.XLOOKUP(D1283,[9]Sheet2!$C:$C,[9]Sheet2!$E:$E,"-")</f>
        <v>Rizki Eki Prayoga</v>
      </c>
      <c r="G1283" s="21"/>
    </row>
    <row r="1284" spans="2:7">
      <c r="B1284" s="22" t="s">
        <v>1085</v>
      </c>
      <c r="C1284" s="23" t="s">
        <v>1086</v>
      </c>
      <c r="D1284" s="24" t="s">
        <v>1326</v>
      </c>
      <c r="E1284" s="25" t="s">
        <v>1745</v>
      </c>
      <c r="F1284" s="16" t="str">
        <f>_xlfn.XLOOKUP(D1284,[9]Sheet2!$C:$C,[9]Sheet2!$E:$E,"-")</f>
        <v>Farid Amrullah</v>
      </c>
      <c r="G1284" s="21"/>
    </row>
    <row r="1285" spans="2:7">
      <c r="B1285" s="22" t="s">
        <v>1085</v>
      </c>
      <c r="C1285" s="23" t="s">
        <v>1086</v>
      </c>
      <c r="D1285" s="24" t="s">
        <v>1327</v>
      </c>
      <c r="E1285" s="25" t="s">
        <v>1745</v>
      </c>
      <c r="F1285" s="16" t="str">
        <f>_xlfn.XLOOKUP(D1285,[9]Sheet2!$C:$C,[9]Sheet2!$E:$E,"-")</f>
        <v>Miftahul Rahman</v>
      </c>
      <c r="G1285" s="21"/>
    </row>
    <row r="1286" spans="2:7">
      <c r="B1286" s="22" t="s">
        <v>1085</v>
      </c>
      <c r="C1286" s="23" t="s">
        <v>1086</v>
      </c>
      <c r="D1286" s="24" t="s">
        <v>1328</v>
      </c>
      <c r="E1286" s="25" t="s">
        <v>1745</v>
      </c>
      <c r="F1286" s="16" t="str">
        <f>_xlfn.XLOOKUP(D1286,[9]Sheet2!$C:$C,[9]Sheet2!$E:$E,"-")</f>
        <v>Moh. Kusnadi</v>
      </c>
      <c r="G1286" s="21"/>
    </row>
    <row r="1287" spans="2:7">
      <c r="B1287" s="22" t="s">
        <v>1085</v>
      </c>
      <c r="C1287" s="23" t="s">
        <v>1086</v>
      </c>
      <c r="D1287" s="24" t="s">
        <v>1329</v>
      </c>
      <c r="E1287" s="25" t="s">
        <v>1745</v>
      </c>
      <c r="F1287" s="16" t="str">
        <f>_xlfn.XLOOKUP(D1287,[9]Sheet2!$C:$C,[9]Sheet2!$E:$E,"-")</f>
        <v>Moh. Kusnadi</v>
      </c>
      <c r="G1287" s="21"/>
    </row>
    <row r="1288" spans="2:7">
      <c r="B1288" s="22" t="s">
        <v>1085</v>
      </c>
      <c r="C1288" s="23" t="s">
        <v>1086</v>
      </c>
      <c r="D1288" s="24" t="s">
        <v>1330</v>
      </c>
      <c r="E1288" s="25" t="s">
        <v>1722</v>
      </c>
      <c r="F1288" s="16" t="str">
        <f>_xlfn.XLOOKUP(D1288,[9]Sheet2!$C:$C,[9]Sheet2!$E:$E,"-")</f>
        <v>Imro'Atul Azizah</v>
      </c>
      <c r="G1288" s="21"/>
    </row>
    <row r="1289" spans="2:7">
      <c r="B1289" s="22" t="s">
        <v>1085</v>
      </c>
      <c r="C1289" s="23" t="s">
        <v>1086</v>
      </c>
      <c r="D1289" s="24" t="s">
        <v>1331</v>
      </c>
      <c r="E1289" s="25" t="s">
        <v>1722</v>
      </c>
      <c r="F1289" s="16" t="str">
        <f>_xlfn.XLOOKUP(D1289,[9]Sheet2!$C:$C,[9]Sheet2!$E:$E,"-")</f>
        <v>Dwi Rahman Saleh</v>
      </c>
      <c r="G1289" s="21"/>
    </row>
    <row r="1290" spans="2:7">
      <c r="B1290" s="22" t="s">
        <v>1085</v>
      </c>
      <c r="C1290" s="23" t="s">
        <v>1086</v>
      </c>
      <c r="D1290" s="24" t="s">
        <v>1332</v>
      </c>
      <c r="E1290" s="25" t="s">
        <v>1745</v>
      </c>
      <c r="F1290" s="16" t="str">
        <f>_xlfn.XLOOKUP(D1290,[9]Sheet2!$C:$C,[9]Sheet2!$E:$E,"-")</f>
        <v>Muhammad Suhir</v>
      </c>
      <c r="G1290" s="21"/>
    </row>
    <row r="1291" spans="2:7">
      <c r="B1291" s="22" t="s">
        <v>1085</v>
      </c>
      <c r="C1291" s="23" t="s">
        <v>1086</v>
      </c>
      <c r="D1291" s="24" t="s">
        <v>1333</v>
      </c>
      <c r="E1291" s="25" t="s">
        <v>1745</v>
      </c>
      <c r="F1291" s="16" t="str">
        <f>_xlfn.XLOOKUP(D1291,[9]Sheet2!$C:$C,[9]Sheet2!$E:$E,"-")</f>
        <v>Farid Amrullah</v>
      </c>
      <c r="G1291" s="21"/>
    </row>
    <row r="1292" spans="2:7">
      <c r="B1292" s="22" t="s">
        <v>1085</v>
      </c>
      <c r="C1292" s="23" t="s">
        <v>1086</v>
      </c>
      <c r="D1292" s="24" t="s">
        <v>1334</v>
      </c>
      <c r="E1292" s="25" t="s">
        <v>1722</v>
      </c>
      <c r="F1292" s="16" t="str">
        <f>_xlfn.XLOOKUP(D1292,[9]Sheet2!$C:$C,[9]Sheet2!$E:$E,"-")</f>
        <v>Vigil Setya Sembada</v>
      </c>
      <c r="G1292" s="21"/>
    </row>
    <row r="1293" spans="2:7">
      <c r="B1293" s="22" t="s">
        <v>1085</v>
      </c>
      <c r="C1293" s="23" t="s">
        <v>1086</v>
      </c>
      <c r="D1293" s="24" t="s">
        <v>1335</v>
      </c>
      <c r="E1293" s="25" t="s">
        <v>1722</v>
      </c>
      <c r="F1293" s="16" t="str">
        <f>_xlfn.XLOOKUP(D1293,[9]Sheet2!$C:$C,[9]Sheet2!$E:$E,"-")</f>
        <v>Putra Pratama Iwan Wahyudi</v>
      </c>
      <c r="G1293" s="21"/>
    </row>
    <row r="1294" spans="2:7">
      <c r="B1294" s="22" t="s">
        <v>1085</v>
      </c>
      <c r="C1294" s="23" t="s">
        <v>1086</v>
      </c>
      <c r="D1294" s="24" t="s">
        <v>1336</v>
      </c>
      <c r="E1294" s="25" t="s">
        <v>1722</v>
      </c>
      <c r="F1294" s="16" t="str">
        <f>_xlfn.XLOOKUP(D1294,[9]Sheet2!$C:$C,[9]Sheet2!$E:$E,"-")</f>
        <v>Putra Pratama Iwan Wahyudi</v>
      </c>
      <c r="G1294" s="21"/>
    </row>
    <row r="1295" spans="2:7">
      <c r="B1295" s="22" t="s">
        <v>1085</v>
      </c>
      <c r="C1295" s="23" t="s">
        <v>1086</v>
      </c>
      <c r="D1295" s="24" t="s">
        <v>1337</v>
      </c>
      <c r="E1295" s="25" t="s">
        <v>1722</v>
      </c>
      <c r="F1295" s="16" t="str">
        <f>_xlfn.XLOOKUP(D1295,[9]Sheet2!$C:$C,[9]Sheet2!$E:$E,"-")</f>
        <v>Akhmad Taufikqul Hakim</v>
      </c>
      <c r="G1295" s="21"/>
    </row>
    <row r="1296" spans="2:7">
      <c r="B1296" s="22" t="s">
        <v>1085</v>
      </c>
      <c r="C1296" s="23" t="s">
        <v>1086</v>
      </c>
      <c r="D1296" s="24" t="s">
        <v>1338</v>
      </c>
      <c r="E1296" s="25" t="s">
        <v>1722</v>
      </c>
      <c r="F1296" s="16" t="str">
        <f>_xlfn.XLOOKUP(D1296,[9]Sheet2!$C:$C,[9]Sheet2!$E:$E,"-")</f>
        <v>Putra Pratama Iwan Wahyudi</v>
      </c>
      <c r="G1296" s="21"/>
    </row>
    <row r="1297" spans="2:7">
      <c r="B1297" s="22" t="s">
        <v>1085</v>
      </c>
      <c r="C1297" s="23" t="s">
        <v>1086</v>
      </c>
      <c r="D1297" s="24" t="s">
        <v>1339</v>
      </c>
      <c r="E1297" s="25" t="s">
        <v>1722</v>
      </c>
      <c r="F1297" s="16" t="str">
        <f>_xlfn.XLOOKUP(D1297,[9]Sheet2!$C:$C,[9]Sheet2!$E:$E,"-")</f>
        <v>Akhmad Taufikqul Hakim</v>
      </c>
      <c r="G1297" s="21"/>
    </row>
    <row r="1298" spans="2:7">
      <c r="B1298" s="22" t="s">
        <v>1085</v>
      </c>
      <c r="C1298" s="23" t="s">
        <v>1086</v>
      </c>
      <c r="D1298" s="24" t="s">
        <v>1340</v>
      </c>
      <c r="E1298" s="25" t="s">
        <v>1722</v>
      </c>
      <c r="F1298" s="16" t="str">
        <f>_xlfn.XLOOKUP(D1298,[9]Sheet2!$C:$C,[9]Sheet2!$E:$E,"-")</f>
        <v>Akhmad Taufikqul Hakim</v>
      </c>
      <c r="G1298" s="21"/>
    </row>
    <row r="1299" spans="2:7">
      <c r="B1299" s="22" t="s">
        <v>1085</v>
      </c>
      <c r="C1299" s="23" t="s">
        <v>1086</v>
      </c>
      <c r="D1299" s="24" t="s">
        <v>1341</v>
      </c>
      <c r="E1299" s="25" t="s">
        <v>1722</v>
      </c>
      <c r="F1299" s="16" t="str">
        <f>_xlfn.XLOOKUP(D1299,[9]Sheet2!$C:$C,[9]Sheet2!$E:$E,"-")</f>
        <v>Akhmad Taufikqul Hakim</v>
      </c>
      <c r="G1299" s="21"/>
    </row>
    <row r="1300" spans="2:7">
      <c r="B1300" s="22" t="s">
        <v>1085</v>
      </c>
      <c r="C1300" s="23" t="s">
        <v>1086</v>
      </c>
      <c r="D1300" s="24" t="s">
        <v>1342</v>
      </c>
      <c r="E1300" s="25" t="s">
        <v>1722</v>
      </c>
      <c r="F1300" s="16" t="str">
        <f>_xlfn.XLOOKUP(D1300,[9]Sheet2!$C:$C,[9]Sheet2!$E:$E,"-")</f>
        <v>Putra Pratama Iwan Wahyudi</v>
      </c>
      <c r="G1300" s="21"/>
    </row>
    <row r="1301" spans="2:7">
      <c r="B1301" s="22" t="s">
        <v>1085</v>
      </c>
      <c r="C1301" s="23" t="s">
        <v>1086</v>
      </c>
      <c r="D1301" s="24" t="s">
        <v>1343</v>
      </c>
      <c r="E1301" s="25" t="s">
        <v>1722</v>
      </c>
      <c r="F1301" s="16" t="str">
        <f>_xlfn.XLOOKUP(D1301,[9]Sheet2!$C:$C,[9]Sheet2!$E:$E,"-")</f>
        <v>Hermanto</v>
      </c>
      <c r="G1301" s="21"/>
    </row>
    <row r="1302" spans="2:7">
      <c r="B1302" s="22" t="s">
        <v>1085</v>
      </c>
      <c r="C1302" s="23" t="s">
        <v>1086</v>
      </c>
      <c r="D1302" s="24" t="s">
        <v>1344</v>
      </c>
      <c r="E1302" s="25" t="s">
        <v>1722</v>
      </c>
      <c r="F1302" s="16" t="str">
        <f>_xlfn.XLOOKUP(D1302,[9]Sheet2!$C:$C,[9]Sheet2!$E:$E,"-")</f>
        <v>Satrio Aji Pamungkas</v>
      </c>
      <c r="G1302" s="21"/>
    </row>
    <row r="1303" spans="2:7">
      <c r="B1303" s="22" t="s">
        <v>1085</v>
      </c>
      <c r="C1303" s="23" t="s">
        <v>1086</v>
      </c>
      <c r="D1303" s="24" t="s">
        <v>1345</v>
      </c>
      <c r="E1303" s="25" t="s">
        <v>1722</v>
      </c>
      <c r="F1303" s="16" t="str">
        <f>_xlfn.XLOOKUP(D1303,[9]Sheet2!$C:$C,[9]Sheet2!$E:$E,"-")</f>
        <v>Hermanto</v>
      </c>
      <c r="G1303" s="21"/>
    </row>
    <row r="1304" spans="2:7">
      <c r="B1304" s="22" t="s">
        <v>1085</v>
      </c>
      <c r="C1304" s="23" t="s">
        <v>1086</v>
      </c>
      <c r="D1304" s="24" t="s">
        <v>1346</v>
      </c>
      <c r="E1304" s="25" t="s">
        <v>1722</v>
      </c>
      <c r="F1304" s="16" t="str">
        <f>_xlfn.XLOOKUP(D1304,[9]Sheet2!$C:$C,[9]Sheet2!$E:$E,"-")</f>
        <v>Moh. Ria Sholeh</v>
      </c>
      <c r="G1304" s="21"/>
    </row>
    <row r="1305" spans="2:7">
      <c r="B1305" s="22" t="s">
        <v>1085</v>
      </c>
      <c r="C1305" s="23" t="s">
        <v>1086</v>
      </c>
      <c r="D1305" s="24" t="s">
        <v>1347</v>
      </c>
      <c r="E1305" s="25" t="s">
        <v>1722</v>
      </c>
      <c r="F1305" s="16" t="str">
        <f>_xlfn.XLOOKUP(D1305,[9]Sheet2!$C:$C,[9]Sheet2!$E:$E,"-")</f>
        <v>Agung Permana</v>
      </c>
      <c r="G1305" s="21"/>
    </row>
    <row r="1306" spans="2:7">
      <c r="B1306" s="22" t="s">
        <v>1085</v>
      </c>
      <c r="C1306" s="23" t="s">
        <v>1086</v>
      </c>
      <c r="D1306" s="24" t="s">
        <v>1348</v>
      </c>
      <c r="E1306" s="25" t="s">
        <v>1722</v>
      </c>
      <c r="F1306" s="16" t="str">
        <f>_xlfn.XLOOKUP(D1306,[9]Sheet2!$C:$C,[9]Sheet2!$E:$E,"-")</f>
        <v>Agung Permana</v>
      </c>
      <c r="G1306" s="21"/>
    </row>
    <row r="1307" spans="2:7">
      <c r="B1307" s="22" t="s">
        <v>1085</v>
      </c>
      <c r="C1307" s="23" t="s">
        <v>1086</v>
      </c>
      <c r="D1307" s="24" t="s">
        <v>1349</v>
      </c>
      <c r="E1307" s="25" t="s">
        <v>1722</v>
      </c>
      <c r="F1307" s="16" t="str">
        <f>_xlfn.XLOOKUP(D1307,[9]Sheet2!$C:$C,[9]Sheet2!$E:$E,"-")</f>
        <v>Moh. Ria Sholeh</v>
      </c>
      <c r="G1307" s="21"/>
    </row>
    <row r="1308" spans="2:7">
      <c r="B1308" s="22" t="s">
        <v>1085</v>
      </c>
      <c r="C1308" s="23" t="s">
        <v>1086</v>
      </c>
      <c r="D1308" s="24" t="s">
        <v>1350</v>
      </c>
      <c r="E1308" s="25" t="s">
        <v>1722</v>
      </c>
      <c r="F1308" s="16" t="str">
        <f>_xlfn.XLOOKUP(D1308,[9]Sheet2!$C:$C,[9]Sheet2!$E:$E,"-")</f>
        <v>Satrio Aji Pamungkas</v>
      </c>
      <c r="G1308" s="21"/>
    </row>
    <row r="1309" spans="2:7">
      <c r="B1309" s="22" t="s">
        <v>1085</v>
      </c>
      <c r="C1309" s="23" t="s">
        <v>1086</v>
      </c>
      <c r="D1309" s="24" t="s">
        <v>1351</v>
      </c>
      <c r="E1309" s="25" t="s">
        <v>1722</v>
      </c>
      <c r="F1309" s="16" t="str">
        <f>_xlfn.XLOOKUP(D1309,[9]Sheet2!$C:$C,[9]Sheet2!$E:$E,"-")</f>
        <v>Mochammad Rifqi Riva</v>
      </c>
      <c r="G1309" s="21"/>
    </row>
    <row r="1310" spans="2:7">
      <c r="B1310" s="22" t="s">
        <v>1085</v>
      </c>
      <c r="C1310" s="23" t="s">
        <v>1086</v>
      </c>
      <c r="D1310" s="24" t="s">
        <v>1352</v>
      </c>
      <c r="E1310" s="25" t="s">
        <v>1745</v>
      </c>
      <c r="F1310" s="16" t="str">
        <f>_xlfn.XLOOKUP(D1310,[9]Sheet2!$C:$C,[9]Sheet2!$E:$E,"-")</f>
        <v>Bingar Restu Wiyana</v>
      </c>
      <c r="G1310" s="21"/>
    </row>
    <row r="1311" spans="2:7">
      <c r="B1311" s="22" t="s">
        <v>1085</v>
      </c>
      <c r="C1311" s="23" t="s">
        <v>1086</v>
      </c>
      <c r="D1311" s="24" t="s">
        <v>1353</v>
      </c>
      <c r="E1311" s="25" t="s">
        <v>1722</v>
      </c>
      <c r="F1311" s="16" t="str">
        <f>_xlfn.XLOOKUP(D1311,[9]Sheet2!$C:$C,[9]Sheet2!$E:$E,"-")</f>
        <v>Jefri Biantoro</v>
      </c>
      <c r="G1311" s="21"/>
    </row>
    <row r="1312" spans="2:7">
      <c r="B1312" s="22" t="s">
        <v>1085</v>
      </c>
      <c r="C1312" s="23" t="s">
        <v>1086</v>
      </c>
      <c r="D1312" s="24" t="s">
        <v>1354</v>
      </c>
      <c r="E1312" s="25" t="s">
        <v>1745</v>
      </c>
      <c r="F1312" s="16" t="str">
        <f>_xlfn.XLOOKUP(D1312,[9]Sheet2!$C:$C,[9]Sheet2!$E:$E,"-")</f>
        <v>Mohammad Rizky Adhe Nugraha</v>
      </c>
      <c r="G1312" s="21"/>
    </row>
    <row r="1313" spans="2:7">
      <c r="B1313" s="22" t="s">
        <v>1085</v>
      </c>
      <c r="C1313" s="23" t="s">
        <v>1086</v>
      </c>
      <c r="D1313" s="24" t="s">
        <v>1355</v>
      </c>
      <c r="E1313" s="25" t="s">
        <v>1722</v>
      </c>
      <c r="F1313" s="16" t="str">
        <f>_xlfn.XLOOKUP(D1313,[9]Sheet2!$C:$C,[9]Sheet2!$E:$E,"-")</f>
        <v>Nor Dwi Prakoso</v>
      </c>
      <c r="G1313" s="21"/>
    </row>
    <row r="1314" spans="2:7">
      <c r="B1314" s="22" t="s">
        <v>1085</v>
      </c>
      <c r="C1314" s="23" t="s">
        <v>1086</v>
      </c>
      <c r="D1314" s="24" t="s">
        <v>1356</v>
      </c>
      <c r="E1314" s="25" t="s">
        <v>1722</v>
      </c>
      <c r="F1314" s="16" t="str">
        <f>_xlfn.XLOOKUP(D1314,[9]Sheet2!$C:$C,[9]Sheet2!$E:$E,"-")</f>
        <v>Nor Dwi Prakoso</v>
      </c>
      <c r="G1314" s="21"/>
    </row>
    <row r="1315" spans="2:7">
      <c r="B1315" s="22" t="s">
        <v>1085</v>
      </c>
      <c r="C1315" s="23" t="s">
        <v>1086</v>
      </c>
      <c r="D1315" s="24" t="s">
        <v>1357</v>
      </c>
      <c r="E1315" s="25" t="s">
        <v>1722</v>
      </c>
      <c r="F1315" s="16" t="str">
        <f>_xlfn.XLOOKUP(D1315,[9]Sheet2!$C:$C,[9]Sheet2!$E:$E,"-")</f>
        <v>Muhammad Robit</v>
      </c>
      <c r="G1315" s="21"/>
    </row>
    <row r="1316" spans="2:7">
      <c r="B1316" s="22" t="s">
        <v>1085</v>
      </c>
      <c r="C1316" s="23" t="s">
        <v>1086</v>
      </c>
      <c r="D1316" s="24" t="s">
        <v>1358</v>
      </c>
      <c r="E1316" s="25" t="s">
        <v>1722</v>
      </c>
      <c r="F1316" s="16" t="str">
        <f>_xlfn.XLOOKUP(D1316,[9]Sheet2!$C:$C,[9]Sheet2!$E:$E,"-")</f>
        <v>Tri Ari Febriyanto</v>
      </c>
      <c r="G1316" s="21"/>
    </row>
    <row r="1317" spans="2:7">
      <c r="B1317" s="22" t="s">
        <v>1085</v>
      </c>
      <c r="C1317" s="23" t="s">
        <v>1086</v>
      </c>
      <c r="D1317" s="24" t="s">
        <v>1359</v>
      </c>
      <c r="E1317" s="25" t="s">
        <v>1722</v>
      </c>
      <c r="F1317" s="16" t="str">
        <f>_xlfn.XLOOKUP(D1317,[9]Sheet2!$C:$C,[9]Sheet2!$E:$E,"-")</f>
        <v>Mochammad Rifqi Riva</v>
      </c>
      <c r="G1317" s="21"/>
    </row>
    <row r="1318" spans="2:7">
      <c r="B1318" s="22" t="s">
        <v>1085</v>
      </c>
      <c r="C1318" s="23" t="s">
        <v>1086</v>
      </c>
      <c r="D1318" s="24" t="s">
        <v>1360</v>
      </c>
      <c r="E1318" s="25" t="s">
        <v>1722</v>
      </c>
      <c r="F1318" s="16" t="str">
        <f>_xlfn.XLOOKUP(D1318,[9]Sheet2!$C:$C,[9]Sheet2!$E:$E,"-")</f>
        <v>Mochammad Rifqi Riva</v>
      </c>
      <c r="G1318" s="21"/>
    </row>
    <row r="1319" spans="2:7">
      <c r="B1319" s="22" t="s">
        <v>1085</v>
      </c>
      <c r="C1319" s="23" t="s">
        <v>1086</v>
      </c>
      <c r="D1319" s="24" t="s">
        <v>1361</v>
      </c>
      <c r="E1319" s="25" t="s">
        <v>1745</v>
      </c>
      <c r="F1319" s="16" t="str">
        <f>_xlfn.XLOOKUP(D1319,[9]Sheet2!$C:$C,[9]Sheet2!$E:$E,"-")</f>
        <v>Lutfiyanto</v>
      </c>
      <c r="G1319" s="21"/>
    </row>
    <row r="1320" spans="2:7">
      <c r="B1320" s="22" t="s">
        <v>1085</v>
      </c>
      <c r="C1320" s="23" t="s">
        <v>1086</v>
      </c>
      <c r="D1320" s="24" t="s">
        <v>1362</v>
      </c>
      <c r="E1320" s="25" t="s">
        <v>1722</v>
      </c>
      <c r="F1320" s="16" t="str">
        <f>_xlfn.XLOOKUP(D1320,[9]Sheet2!$C:$C,[9]Sheet2!$E:$E,"-")</f>
        <v>Jefri Biantoro</v>
      </c>
      <c r="G1320" s="21"/>
    </row>
    <row r="1321" spans="2:7">
      <c r="B1321" s="22" t="s">
        <v>1085</v>
      </c>
      <c r="C1321" s="23" t="s">
        <v>1086</v>
      </c>
      <c r="D1321" s="24" t="s">
        <v>1363</v>
      </c>
      <c r="E1321" s="25" t="s">
        <v>1745</v>
      </c>
      <c r="F1321" s="16" t="str">
        <f>_xlfn.XLOOKUP(D1321,[9]Sheet2!$C:$C,[9]Sheet2!$E:$E,"-")</f>
        <v>Lutfiyanto</v>
      </c>
      <c r="G1321" s="21"/>
    </row>
    <row r="1322" spans="2:7">
      <c r="B1322" s="22" t="s">
        <v>1085</v>
      </c>
      <c r="C1322" s="23" t="s">
        <v>1086</v>
      </c>
      <c r="D1322" s="24" t="s">
        <v>1364</v>
      </c>
      <c r="E1322" s="25" t="s">
        <v>1722</v>
      </c>
      <c r="F1322" s="16" t="str">
        <f>_xlfn.XLOOKUP(D1322,[9]Sheet2!$C:$C,[9]Sheet2!$E:$E,"-")</f>
        <v>Muhammad Robit</v>
      </c>
      <c r="G1322" s="21"/>
    </row>
    <row r="1323" spans="2:7">
      <c r="B1323" s="22" t="s">
        <v>1085</v>
      </c>
      <c r="C1323" s="23" t="s">
        <v>1086</v>
      </c>
      <c r="D1323" s="24" t="s">
        <v>1365</v>
      </c>
      <c r="E1323" s="25" t="s">
        <v>1745</v>
      </c>
      <c r="F1323" s="16" t="str">
        <f>_xlfn.XLOOKUP(D1323,[9]Sheet2!$C:$C,[9]Sheet2!$E:$E,"-")</f>
        <v>Mohammad Rizky Adhe Nugraha</v>
      </c>
      <c r="G1323" s="21"/>
    </row>
    <row r="1324" spans="2:7">
      <c r="B1324" s="22" t="s">
        <v>1085</v>
      </c>
      <c r="C1324" s="23" t="s">
        <v>1086</v>
      </c>
      <c r="D1324" s="24" t="s">
        <v>1366</v>
      </c>
      <c r="E1324" s="25" t="s">
        <v>1745</v>
      </c>
      <c r="F1324" s="16" t="str">
        <f>_xlfn.XLOOKUP(D1324,[9]Sheet2!$C:$C,[9]Sheet2!$E:$E,"-")</f>
        <v>Bingar Restu Wiyana</v>
      </c>
      <c r="G1324" s="21"/>
    </row>
    <row r="1325" spans="2:7">
      <c r="B1325" s="22" t="s">
        <v>1085</v>
      </c>
      <c r="C1325" s="23" t="s">
        <v>1086</v>
      </c>
      <c r="D1325" s="24" t="s">
        <v>1367</v>
      </c>
      <c r="E1325" s="25" t="s">
        <v>1745</v>
      </c>
      <c r="F1325" s="16" t="str">
        <f>_xlfn.XLOOKUP(D1325,[9]Sheet2!$C:$C,[9]Sheet2!$E:$E,"-")</f>
        <v>Rizka Azizi</v>
      </c>
      <c r="G1325" s="21"/>
    </row>
    <row r="1326" spans="2:7">
      <c r="B1326" s="22" t="s">
        <v>1085</v>
      </c>
      <c r="C1326" s="23" t="s">
        <v>1086</v>
      </c>
      <c r="D1326" s="24" t="s">
        <v>1368</v>
      </c>
      <c r="E1326" s="25" t="s">
        <v>1722</v>
      </c>
      <c r="F1326" s="16" t="str">
        <f>_xlfn.XLOOKUP(D1326,[9]Sheet2!$C:$C,[9]Sheet2!$E:$E,"-")</f>
        <v>Nor Dwi Prakoso</v>
      </c>
      <c r="G1326" s="21"/>
    </row>
    <row r="1327" spans="2:7">
      <c r="B1327" s="22" t="s">
        <v>1085</v>
      </c>
      <c r="C1327" s="23" t="s">
        <v>1086</v>
      </c>
      <c r="D1327" s="24" t="s">
        <v>1369</v>
      </c>
      <c r="E1327" s="25" t="s">
        <v>1722</v>
      </c>
      <c r="F1327" s="16" t="str">
        <f>_xlfn.XLOOKUP(D1327,[9]Sheet2!$C:$C,[9]Sheet2!$E:$E,"-")</f>
        <v>Nor Dwi Prakoso</v>
      </c>
      <c r="G1327" s="21"/>
    </row>
    <row r="1328" spans="2:7">
      <c r="B1328" s="22" t="s">
        <v>1085</v>
      </c>
      <c r="C1328" s="23" t="s">
        <v>1086</v>
      </c>
      <c r="D1328" s="24" t="s">
        <v>1370</v>
      </c>
      <c r="E1328" s="25" t="s">
        <v>1745</v>
      </c>
      <c r="F1328" s="16" t="str">
        <f>_xlfn.XLOOKUP(D1328,[9]Sheet2!$C:$C,[9]Sheet2!$E:$E,"-")</f>
        <v>Galih Christian Kusworo</v>
      </c>
      <c r="G1328" s="21"/>
    </row>
    <row r="1329" spans="2:7">
      <c r="B1329" s="22" t="s">
        <v>1085</v>
      </c>
      <c r="C1329" s="23" t="s">
        <v>1086</v>
      </c>
      <c r="D1329" s="24" t="s">
        <v>1371</v>
      </c>
      <c r="E1329" s="25" t="s">
        <v>1722</v>
      </c>
      <c r="F1329" s="16" t="str">
        <f>_xlfn.XLOOKUP(D1329,[9]Sheet2!$C:$C,[9]Sheet2!$E:$E,"-")</f>
        <v>Yohanes Tri Agung Laksono</v>
      </c>
      <c r="G1329" s="21"/>
    </row>
    <row r="1330" spans="2:7">
      <c r="B1330" s="22" t="s">
        <v>1085</v>
      </c>
      <c r="C1330" s="23" t="s">
        <v>1086</v>
      </c>
      <c r="D1330" s="24" t="s">
        <v>1372</v>
      </c>
      <c r="E1330" s="25" t="s">
        <v>1745</v>
      </c>
      <c r="F1330" s="16" t="str">
        <f>_xlfn.XLOOKUP(D1330,[9]Sheet2!$C:$C,[9]Sheet2!$E:$E,"-")</f>
        <v>Hafid Arie Prastyo</v>
      </c>
      <c r="G1330" s="21"/>
    </row>
    <row r="1331" spans="2:7">
      <c r="B1331" s="22" t="s">
        <v>1085</v>
      </c>
      <c r="C1331" s="23" t="s">
        <v>1086</v>
      </c>
      <c r="D1331" s="24" t="s">
        <v>1373</v>
      </c>
      <c r="E1331" s="25" t="s">
        <v>1722</v>
      </c>
      <c r="F1331" s="16" t="str">
        <f>_xlfn.XLOOKUP(D1331,[9]Sheet2!$C:$C,[9]Sheet2!$E:$E,"-")</f>
        <v>Mochamad Rizky Maulana</v>
      </c>
      <c r="G1331" s="21"/>
    </row>
    <row r="1332" spans="2:7">
      <c r="B1332" s="22" t="s">
        <v>1085</v>
      </c>
      <c r="C1332" s="23" t="s">
        <v>1086</v>
      </c>
      <c r="D1332" s="24" t="s">
        <v>1374</v>
      </c>
      <c r="E1332" s="25" t="s">
        <v>1722</v>
      </c>
      <c r="F1332" s="16" t="str">
        <f>_xlfn.XLOOKUP(D1332,[9]Sheet2!$C:$C,[9]Sheet2!$E:$E,"-")</f>
        <v>Hervin Samsul Bakhri</v>
      </c>
      <c r="G1332" s="21"/>
    </row>
    <row r="1333" spans="2:7">
      <c r="B1333" s="22" t="s">
        <v>1085</v>
      </c>
      <c r="C1333" s="23" t="s">
        <v>1086</v>
      </c>
      <c r="D1333" s="24" t="s">
        <v>1375</v>
      </c>
      <c r="E1333" s="25" t="s">
        <v>1745</v>
      </c>
      <c r="F1333" s="16" t="str">
        <f>_xlfn.XLOOKUP(D1333,[9]Sheet2!$C:$C,[9]Sheet2!$E:$E,"-")</f>
        <v>Tedy Eko Saputra</v>
      </c>
      <c r="G1333" s="21"/>
    </row>
    <row r="1334" spans="2:7">
      <c r="B1334" s="22" t="s">
        <v>1085</v>
      </c>
      <c r="C1334" s="23" t="s">
        <v>1086</v>
      </c>
      <c r="D1334" s="24" t="s">
        <v>1376</v>
      </c>
      <c r="E1334" s="25" t="s">
        <v>1745</v>
      </c>
      <c r="F1334" s="16" t="str">
        <f>_xlfn.XLOOKUP(D1334,[9]Sheet2!$C:$C,[9]Sheet2!$E:$E,"-")</f>
        <v>Frendy Satria Nugraha</v>
      </c>
      <c r="G1334" s="21"/>
    </row>
    <row r="1335" spans="2:7">
      <c r="B1335" s="22" t="s">
        <v>1085</v>
      </c>
      <c r="C1335" s="23" t="s">
        <v>1086</v>
      </c>
      <c r="D1335" s="24" t="s">
        <v>1377</v>
      </c>
      <c r="E1335" s="25" t="s">
        <v>1722</v>
      </c>
      <c r="F1335" s="16" t="str">
        <f>_xlfn.XLOOKUP(D1335,[9]Sheet2!$C:$C,[9]Sheet2!$E:$E,"-")</f>
        <v>Rizki Dio Reza Andriawan</v>
      </c>
      <c r="G1335" s="21"/>
    </row>
    <row r="1336" spans="2:7">
      <c r="B1336" s="22" t="s">
        <v>1085</v>
      </c>
      <c r="C1336" s="23" t="s">
        <v>1086</v>
      </c>
      <c r="D1336" s="24" t="s">
        <v>1378</v>
      </c>
      <c r="E1336" s="25" t="s">
        <v>1745</v>
      </c>
      <c r="F1336" s="16" t="str">
        <f>_xlfn.XLOOKUP(D1336,[9]Sheet2!$C:$C,[9]Sheet2!$E:$E,"-")</f>
        <v>Wahyu Doniansyah</v>
      </c>
      <c r="G1336" s="21"/>
    </row>
    <row r="1337" spans="2:7">
      <c r="B1337" s="22" t="s">
        <v>1085</v>
      </c>
      <c r="C1337" s="23" t="s">
        <v>1086</v>
      </c>
      <c r="D1337" s="24" t="s">
        <v>1379</v>
      </c>
      <c r="E1337" s="25" t="s">
        <v>1745</v>
      </c>
      <c r="F1337" s="16" t="str">
        <f>_xlfn.XLOOKUP(D1337,[9]Sheet2!$C:$C,[9]Sheet2!$E:$E,"-")</f>
        <v>Galih Christian Kusworo</v>
      </c>
      <c r="G1337" s="21"/>
    </row>
    <row r="1338" spans="2:7">
      <c r="B1338" s="22" t="s">
        <v>1085</v>
      </c>
      <c r="C1338" s="23" t="s">
        <v>1086</v>
      </c>
      <c r="D1338" s="24" t="s">
        <v>1380</v>
      </c>
      <c r="E1338" s="25" t="s">
        <v>1745</v>
      </c>
      <c r="F1338" s="16" t="str">
        <f>_xlfn.XLOOKUP(D1338,[9]Sheet2!$C:$C,[9]Sheet2!$E:$E,"-")</f>
        <v>Wahyu Doniansyah</v>
      </c>
      <c r="G1338" s="21"/>
    </row>
    <row r="1339" spans="2:7">
      <c r="B1339" s="22" t="s">
        <v>1085</v>
      </c>
      <c r="C1339" s="23" t="s">
        <v>1086</v>
      </c>
      <c r="D1339" s="24" t="s">
        <v>1381</v>
      </c>
      <c r="E1339" s="25" t="s">
        <v>1722</v>
      </c>
      <c r="F1339" s="16" t="str">
        <f>_xlfn.XLOOKUP(D1339,[9]Sheet2!$C:$C,[9]Sheet2!$E:$E,"-")</f>
        <v>Irfan Wahyu Bahtiar</v>
      </c>
      <c r="G1339" s="21"/>
    </row>
    <row r="1340" spans="2:7">
      <c r="B1340" s="22" t="s">
        <v>1085</v>
      </c>
      <c r="C1340" s="23" t="s">
        <v>1086</v>
      </c>
      <c r="D1340" s="24" t="s">
        <v>1382</v>
      </c>
      <c r="E1340" s="25" t="s">
        <v>1722</v>
      </c>
      <c r="F1340" s="16" t="str">
        <f>_xlfn.XLOOKUP(D1340,[9]Sheet2!$C:$C,[9]Sheet2!$E:$E,"-")</f>
        <v>Irfan Wahyu Bahtiar</v>
      </c>
      <c r="G1340" s="21"/>
    </row>
    <row r="1341" spans="2:7">
      <c r="B1341" s="22" t="s">
        <v>1085</v>
      </c>
      <c r="C1341" s="23" t="s">
        <v>1086</v>
      </c>
      <c r="D1341" s="24" t="s">
        <v>1383</v>
      </c>
      <c r="E1341" s="25" t="s">
        <v>1722</v>
      </c>
      <c r="F1341" s="16" t="str">
        <f>_xlfn.XLOOKUP(D1341,[9]Sheet2!$C:$C,[9]Sheet2!$E:$E,"-")</f>
        <v>Umi Hanik</v>
      </c>
      <c r="G1341" s="21"/>
    </row>
    <row r="1342" spans="2:7">
      <c r="B1342" s="22" t="s">
        <v>1085</v>
      </c>
      <c r="C1342" s="23" t="s">
        <v>1086</v>
      </c>
      <c r="D1342" s="24" t="s">
        <v>1384</v>
      </c>
      <c r="E1342" s="25" t="s">
        <v>1722</v>
      </c>
      <c r="F1342" s="16" t="str">
        <f>_xlfn.XLOOKUP(D1342,[9]Sheet2!$C:$C,[9]Sheet2!$E:$E,"-")</f>
        <v>Much Zainuri</v>
      </c>
      <c r="G1342" s="21"/>
    </row>
    <row r="1343" spans="2:7">
      <c r="B1343" s="22" t="s">
        <v>1085</v>
      </c>
      <c r="C1343" s="23" t="s">
        <v>1086</v>
      </c>
      <c r="D1343" s="24" t="s">
        <v>1385</v>
      </c>
      <c r="E1343" s="25" t="s">
        <v>1722</v>
      </c>
      <c r="F1343" s="16" t="str">
        <f>_xlfn.XLOOKUP(D1343,[9]Sheet2!$C:$C,[9]Sheet2!$E:$E,"-")</f>
        <v>Wisnu Mahesa Murti</v>
      </c>
      <c r="G1343" s="21"/>
    </row>
    <row r="1344" spans="2:7">
      <c r="B1344" s="22" t="s">
        <v>1085</v>
      </c>
      <c r="C1344" s="23" t="s">
        <v>1086</v>
      </c>
      <c r="D1344" s="24" t="s">
        <v>1386</v>
      </c>
      <c r="E1344" s="25" t="s">
        <v>1722</v>
      </c>
      <c r="F1344" s="16" t="str">
        <f>_xlfn.XLOOKUP(D1344,[9]Sheet2!$C:$C,[9]Sheet2!$E:$E,"-")</f>
        <v>Muhammad Angga Saputra</v>
      </c>
      <c r="G1344" s="21"/>
    </row>
    <row r="1345" spans="2:7">
      <c r="B1345" s="22" t="s">
        <v>1085</v>
      </c>
      <c r="C1345" s="23" t="s">
        <v>1086</v>
      </c>
      <c r="D1345" s="24" t="s">
        <v>1387</v>
      </c>
      <c r="E1345" s="25" t="s">
        <v>1722</v>
      </c>
      <c r="F1345" s="16" t="str">
        <f>_xlfn.XLOOKUP(D1345,[9]Sheet2!$C:$C,[9]Sheet2!$E:$E,"-")</f>
        <v>Muhammad Angga Saputra</v>
      </c>
      <c r="G1345" s="21"/>
    </row>
    <row r="1346" spans="2:7">
      <c r="B1346" s="22" t="s">
        <v>1085</v>
      </c>
      <c r="C1346" s="23" t="s">
        <v>1086</v>
      </c>
      <c r="D1346" s="24" t="s">
        <v>1388</v>
      </c>
      <c r="E1346" s="25" t="s">
        <v>1722</v>
      </c>
      <c r="F1346" s="16" t="str">
        <f>_xlfn.XLOOKUP(D1346,[9]Sheet2!$C:$C,[9]Sheet2!$E:$E,"-")</f>
        <v>Dading Tustiyan Pratama</v>
      </c>
      <c r="G1346" s="21"/>
    </row>
    <row r="1347" spans="2:7">
      <c r="B1347" s="22" t="s">
        <v>1085</v>
      </c>
      <c r="C1347" s="23" t="s">
        <v>1086</v>
      </c>
      <c r="D1347" s="24" t="s">
        <v>1389</v>
      </c>
      <c r="E1347" s="25" t="s">
        <v>1722</v>
      </c>
      <c r="F1347" s="16" t="str">
        <f>_xlfn.XLOOKUP(D1347,[9]Sheet2!$C:$C,[9]Sheet2!$E:$E,"-")</f>
        <v>Wisnu Mahesa Murti</v>
      </c>
      <c r="G1347" s="21"/>
    </row>
    <row r="1348" spans="2:7">
      <c r="B1348" s="22" t="s">
        <v>1085</v>
      </c>
      <c r="C1348" s="23" t="s">
        <v>1086</v>
      </c>
      <c r="D1348" s="24" t="s">
        <v>1390</v>
      </c>
      <c r="E1348" s="25" t="s">
        <v>1722</v>
      </c>
      <c r="F1348" s="16" t="str">
        <f>_xlfn.XLOOKUP(D1348,[9]Sheet2!$C:$C,[9]Sheet2!$E:$E,"-")</f>
        <v>Doni Hadi Prasetyo</v>
      </c>
      <c r="G1348" s="21"/>
    </row>
    <row r="1349" spans="2:7">
      <c r="B1349" s="22" t="s">
        <v>1085</v>
      </c>
      <c r="C1349" s="23" t="s">
        <v>1086</v>
      </c>
      <c r="D1349" s="24" t="s">
        <v>1391</v>
      </c>
      <c r="E1349" s="25" t="s">
        <v>1722</v>
      </c>
      <c r="F1349" s="16" t="str">
        <f>_xlfn.XLOOKUP(D1349,[9]Sheet2!$C:$C,[9]Sheet2!$E:$E,"-")</f>
        <v>Dading Tustiyan Pratama</v>
      </c>
      <c r="G1349" s="21"/>
    </row>
    <row r="1350" spans="2:7">
      <c r="B1350" s="22" t="s">
        <v>1085</v>
      </c>
      <c r="C1350" s="23" t="s">
        <v>1086</v>
      </c>
      <c r="D1350" s="24" t="s">
        <v>1392</v>
      </c>
      <c r="E1350" s="25" t="s">
        <v>1745</v>
      </c>
      <c r="F1350" s="16" t="str">
        <f>_xlfn.XLOOKUP(D1350,[9]Sheet2!$C:$C,[9]Sheet2!$E:$E,"-")</f>
        <v>Presma Havila Manggara</v>
      </c>
      <c r="G1350" s="21"/>
    </row>
    <row r="1351" spans="2:7">
      <c r="B1351" s="22" t="s">
        <v>1085</v>
      </c>
      <c r="C1351" s="23" t="s">
        <v>1086</v>
      </c>
      <c r="D1351" s="24" t="s">
        <v>1393</v>
      </c>
      <c r="E1351" s="25" t="s">
        <v>1722</v>
      </c>
      <c r="F1351" s="16" t="str">
        <f>_xlfn.XLOOKUP(D1351,[9]Sheet2!$C:$C,[9]Sheet2!$E:$E,"-")</f>
        <v>Feri Ardiansyah</v>
      </c>
      <c r="G1351" s="21"/>
    </row>
    <row r="1352" spans="2:7">
      <c r="B1352" s="22" t="s">
        <v>1085</v>
      </c>
      <c r="C1352" s="23" t="s">
        <v>1086</v>
      </c>
      <c r="D1352" s="24" t="s">
        <v>1394</v>
      </c>
      <c r="E1352" s="25" t="s">
        <v>1745</v>
      </c>
      <c r="F1352" s="16" t="str">
        <f>_xlfn.XLOOKUP(D1352,[9]Sheet2!$C:$C,[9]Sheet2!$E:$E,"-")</f>
        <v>Andrean Pradhana Putra Maulana</v>
      </c>
      <c r="G1352" s="21"/>
    </row>
    <row r="1353" spans="2:7">
      <c r="B1353" s="22" t="s">
        <v>1085</v>
      </c>
      <c r="C1353" s="23" t="s">
        <v>1086</v>
      </c>
      <c r="D1353" s="24" t="s">
        <v>1395</v>
      </c>
      <c r="E1353" s="25" t="s">
        <v>1745</v>
      </c>
      <c r="F1353" s="16" t="str">
        <f>_xlfn.XLOOKUP(D1353,[9]Sheet2!$C:$C,[9]Sheet2!$E:$E,"-")</f>
        <v>Gayuh Triasa</v>
      </c>
      <c r="G1353" s="21"/>
    </row>
    <row r="1354" spans="2:7">
      <c r="B1354" s="22" t="s">
        <v>1085</v>
      </c>
      <c r="C1354" s="23" t="s">
        <v>1086</v>
      </c>
      <c r="D1354" s="24" t="s">
        <v>1396</v>
      </c>
      <c r="E1354" s="25" t="s">
        <v>1745</v>
      </c>
      <c r="F1354" s="16" t="str">
        <f>_xlfn.XLOOKUP(D1354,[9]Sheet2!$C:$C,[9]Sheet2!$E:$E,"-")</f>
        <v>Wahyu Kristanto</v>
      </c>
      <c r="G1354" s="21"/>
    </row>
    <row r="1355" spans="2:7">
      <c r="B1355" s="22" t="s">
        <v>1085</v>
      </c>
      <c r="C1355" s="23" t="s">
        <v>1086</v>
      </c>
      <c r="D1355" s="24" t="s">
        <v>1397</v>
      </c>
      <c r="E1355" s="25" t="s">
        <v>1745</v>
      </c>
      <c r="F1355" s="16" t="str">
        <f>_xlfn.XLOOKUP(D1355,[9]Sheet2!$C:$C,[9]Sheet2!$E:$E,"-")</f>
        <v>Andrean Pradhana Putra Maulana</v>
      </c>
      <c r="G1355" s="21"/>
    </row>
    <row r="1356" spans="2:7">
      <c r="B1356" s="22" t="s">
        <v>1085</v>
      </c>
      <c r="C1356" s="23" t="s">
        <v>1086</v>
      </c>
      <c r="D1356" s="24" t="s">
        <v>1398</v>
      </c>
      <c r="E1356" s="25" t="s">
        <v>1722</v>
      </c>
      <c r="F1356" s="16" t="str">
        <f>_xlfn.XLOOKUP(D1356,[9]Sheet2!$C:$C,[9]Sheet2!$E:$E,"-")</f>
        <v>Bayu Indiarto Wisnu Barata</v>
      </c>
      <c r="G1356" s="21"/>
    </row>
    <row r="1357" spans="2:7">
      <c r="B1357" s="22" t="s">
        <v>1085</v>
      </c>
      <c r="C1357" s="23" t="s">
        <v>1086</v>
      </c>
      <c r="D1357" s="24" t="s">
        <v>1399</v>
      </c>
      <c r="E1357" s="25" t="s">
        <v>1745</v>
      </c>
      <c r="F1357" s="16" t="str">
        <f>_xlfn.XLOOKUP(D1357,[9]Sheet2!$C:$C,[9]Sheet2!$E:$E,"-")</f>
        <v>Roffik Ari Wibowo</v>
      </c>
      <c r="G1357" s="21"/>
    </row>
    <row r="1358" spans="2:7">
      <c r="B1358" s="22" t="s">
        <v>1085</v>
      </c>
      <c r="C1358" s="23" t="s">
        <v>1086</v>
      </c>
      <c r="D1358" s="24" t="s">
        <v>1400</v>
      </c>
      <c r="E1358" s="25" t="s">
        <v>1722</v>
      </c>
      <c r="F1358" s="16" t="str">
        <f>_xlfn.XLOOKUP(D1358,[9]Sheet2!$C:$C,[9]Sheet2!$E:$E,"-")</f>
        <v>Catur Budi Cahyono</v>
      </c>
      <c r="G1358" s="21"/>
    </row>
    <row r="1359" spans="2:7">
      <c r="B1359" s="22" t="s">
        <v>1085</v>
      </c>
      <c r="C1359" s="23" t="s">
        <v>1086</v>
      </c>
      <c r="D1359" s="24" t="s">
        <v>1401</v>
      </c>
      <c r="E1359" s="25" t="s">
        <v>1745</v>
      </c>
      <c r="F1359" s="16" t="str">
        <f>_xlfn.XLOOKUP(D1359,[9]Sheet2!$C:$C,[9]Sheet2!$E:$E,"-")</f>
        <v>Andru Hindriyat Saputra</v>
      </c>
      <c r="G1359" s="21"/>
    </row>
    <row r="1360" spans="2:7">
      <c r="B1360" s="22" t="s">
        <v>1085</v>
      </c>
      <c r="C1360" s="23" t="s">
        <v>1086</v>
      </c>
      <c r="D1360" s="24" t="s">
        <v>1402</v>
      </c>
      <c r="E1360" s="25" t="s">
        <v>1722</v>
      </c>
      <c r="F1360" s="16" t="str">
        <f>_xlfn.XLOOKUP(D1360,[9]Sheet2!$C:$C,[9]Sheet2!$E:$E,"-")</f>
        <v>Catur Budi Cahyono</v>
      </c>
      <c r="G1360" s="21"/>
    </row>
    <row r="1361" spans="2:7">
      <c r="B1361" s="22" t="s">
        <v>1085</v>
      </c>
      <c r="C1361" s="23" t="s">
        <v>1086</v>
      </c>
      <c r="D1361" s="24" t="s">
        <v>1403</v>
      </c>
      <c r="E1361" s="25" t="s">
        <v>1745</v>
      </c>
      <c r="F1361" s="16" t="str">
        <f>_xlfn.XLOOKUP(D1361,[9]Sheet2!$C:$C,[9]Sheet2!$E:$E,"-")</f>
        <v>Essa Abdiandiri</v>
      </c>
      <c r="G1361" s="21"/>
    </row>
    <row r="1362" spans="2:7">
      <c r="B1362" s="22" t="s">
        <v>1085</v>
      </c>
      <c r="C1362" s="23" t="s">
        <v>1086</v>
      </c>
      <c r="D1362" s="24" t="s">
        <v>1404</v>
      </c>
      <c r="E1362" s="25" t="s">
        <v>1745</v>
      </c>
      <c r="F1362" s="16" t="str">
        <f>_xlfn.XLOOKUP(D1362,[9]Sheet2!$C:$C,[9]Sheet2!$E:$E,"-")</f>
        <v>Achmad Misbachul Munir</v>
      </c>
      <c r="G1362" s="21"/>
    </row>
    <row r="1363" spans="2:7">
      <c r="B1363" s="22" t="s">
        <v>1085</v>
      </c>
      <c r="C1363" s="23" t="s">
        <v>1086</v>
      </c>
      <c r="D1363" s="24" t="s">
        <v>1405</v>
      </c>
      <c r="E1363" s="25" t="s">
        <v>1745</v>
      </c>
      <c r="F1363" s="16" t="str">
        <f>_xlfn.XLOOKUP(D1363,[9]Sheet2!$C:$C,[9]Sheet2!$E:$E,"-")</f>
        <v>Achmad Misbachul Munir</v>
      </c>
      <c r="G1363" s="21"/>
    </row>
    <row r="1364" spans="2:7">
      <c r="B1364" s="22" t="s">
        <v>1085</v>
      </c>
      <c r="C1364" s="23" t="s">
        <v>1086</v>
      </c>
      <c r="D1364" s="24" t="s">
        <v>1406</v>
      </c>
      <c r="E1364" s="25" t="s">
        <v>1745</v>
      </c>
      <c r="F1364" s="16" t="str">
        <f>_xlfn.XLOOKUP(D1364,[9]Sheet2!$C:$C,[9]Sheet2!$E:$E,"-")</f>
        <v>Achmad Misbachul Munir</v>
      </c>
      <c r="G1364" s="21"/>
    </row>
    <row r="1365" spans="2:7">
      <c r="B1365" s="22" t="s">
        <v>1085</v>
      </c>
      <c r="C1365" s="23" t="s">
        <v>1086</v>
      </c>
      <c r="D1365" s="24" t="s">
        <v>1407</v>
      </c>
      <c r="E1365" s="25" t="s">
        <v>1745</v>
      </c>
      <c r="F1365" s="16" t="str">
        <f>_xlfn.XLOOKUP(D1365,[9]Sheet2!$C:$C,[9]Sheet2!$E:$E,"-")</f>
        <v>Roffik Ari Wibowo</v>
      </c>
      <c r="G1365" s="21"/>
    </row>
    <row r="1366" spans="2:7">
      <c r="B1366" s="22" t="s">
        <v>1085</v>
      </c>
      <c r="C1366" s="23" t="s">
        <v>1086</v>
      </c>
      <c r="D1366" s="24" t="s">
        <v>1408</v>
      </c>
      <c r="E1366" s="25" t="s">
        <v>1722</v>
      </c>
      <c r="F1366" s="16" t="str">
        <f>_xlfn.XLOOKUP(D1366,[9]Sheet2!$C:$C,[9]Sheet2!$E:$E,"-")</f>
        <v>Catur Budi Cahyono</v>
      </c>
      <c r="G1366" s="21"/>
    </row>
    <row r="1367" spans="2:7">
      <c r="B1367" s="22" t="s">
        <v>1085</v>
      </c>
      <c r="C1367" s="23" t="s">
        <v>1086</v>
      </c>
      <c r="D1367" s="24" t="s">
        <v>1409</v>
      </c>
      <c r="E1367" s="25" t="s">
        <v>1722</v>
      </c>
      <c r="F1367" s="16" t="str">
        <f>_xlfn.XLOOKUP(D1367,[9]Sheet2!$C:$C,[9]Sheet2!$E:$E,"-")</f>
        <v>Moh Abdul Rozaq</v>
      </c>
      <c r="G1367" s="21"/>
    </row>
    <row r="1368" spans="2:7">
      <c r="B1368" s="22" t="s">
        <v>1085</v>
      </c>
      <c r="C1368" s="23" t="s">
        <v>1086</v>
      </c>
      <c r="D1368" s="24" t="s">
        <v>1410</v>
      </c>
      <c r="E1368" s="25" t="s">
        <v>1745</v>
      </c>
      <c r="F1368" s="16" t="str">
        <f>_xlfn.XLOOKUP(D1368,[9]Sheet2!$C:$C,[9]Sheet2!$E:$E,"-")</f>
        <v>Andru Hindriyat Saputra</v>
      </c>
      <c r="G1368" s="21"/>
    </row>
    <row r="1369" spans="2:7">
      <c r="B1369" s="22" t="s">
        <v>1085</v>
      </c>
      <c r="C1369" s="23" t="s">
        <v>1086</v>
      </c>
      <c r="D1369" s="24" t="s">
        <v>1411</v>
      </c>
      <c r="E1369" s="25" t="s">
        <v>1722</v>
      </c>
      <c r="F1369" s="16" t="str">
        <f>_xlfn.XLOOKUP(D1369,[9]Sheet2!$C:$C,[9]Sheet2!$E:$E,"-")</f>
        <v>Moh Abdul Rozaq</v>
      </c>
      <c r="G1369" s="21"/>
    </row>
    <row r="1370" spans="2:7">
      <c r="B1370" s="22" t="s">
        <v>1085</v>
      </c>
      <c r="C1370" s="23" t="s">
        <v>1086</v>
      </c>
      <c r="D1370" s="24" t="s">
        <v>1412</v>
      </c>
      <c r="E1370" s="25" t="s">
        <v>1722</v>
      </c>
      <c r="F1370" s="16" t="str">
        <f>_xlfn.XLOOKUP(D1370,[9]Sheet2!$C:$C,[9]Sheet2!$E:$E,"-")</f>
        <v>Moh Abdul Rozaq</v>
      </c>
      <c r="G1370" s="21"/>
    </row>
    <row r="1371" spans="2:7">
      <c r="B1371" s="22" t="s">
        <v>1085</v>
      </c>
      <c r="C1371" s="23" t="s">
        <v>1086</v>
      </c>
      <c r="D1371" s="24" t="s">
        <v>1413</v>
      </c>
      <c r="E1371" s="25" t="s">
        <v>1745</v>
      </c>
      <c r="F1371" s="16" t="str">
        <f>_xlfn.XLOOKUP(D1371,[9]Sheet2!$C:$C,[9]Sheet2!$E:$E,"-")</f>
        <v>Rifqi Auliaq Humaidi</v>
      </c>
      <c r="G1371" s="21"/>
    </row>
    <row r="1372" spans="2:7">
      <c r="B1372" s="22" t="s">
        <v>1085</v>
      </c>
      <c r="C1372" s="23" t="s">
        <v>1086</v>
      </c>
      <c r="D1372" s="24" t="s">
        <v>1414</v>
      </c>
      <c r="E1372" s="25" t="s">
        <v>1722</v>
      </c>
      <c r="F1372" s="16" t="str">
        <f>_xlfn.XLOOKUP(D1372,[9]Sheet2!$C:$C,[9]Sheet2!$E:$E,"-")</f>
        <v>Novan Yogmaputra</v>
      </c>
      <c r="G1372" s="21"/>
    </row>
    <row r="1373" spans="2:7">
      <c r="B1373" s="22" t="s">
        <v>1085</v>
      </c>
      <c r="C1373" s="23" t="s">
        <v>1086</v>
      </c>
      <c r="D1373" s="24" t="s">
        <v>1415</v>
      </c>
      <c r="E1373" s="25" t="s">
        <v>1745</v>
      </c>
      <c r="F1373" s="16" t="str">
        <f>_xlfn.XLOOKUP(D1373,[9]Sheet2!$C:$C,[9]Sheet2!$E:$E,"-")</f>
        <v>Rizky Kurniawan</v>
      </c>
      <c r="G1373" s="21"/>
    </row>
    <row r="1374" spans="2:7">
      <c r="B1374" s="22" t="s">
        <v>1085</v>
      </c>
      <c r="C1374" s="23" t="s">
        <v>1086</v>
      </c>
      <c r="D1374" s="24" t="s">
        <v>1416</v>
      </c>
      <c r="E1374" s="25" t="s">
        <v>1722</v>
      </c>
      <c r="F1374" s="16" t="str">
        <f>_xlfn.XLOOKUP(D1374,[9]Sheet2!$C:$C,[9]Sheet2!$E:$E,"-")</f>
        <v>Nurul Hidayatullah</v>
      </c>
      <c r="G1374" s="21"/>
    </row>
    <row r="1375" spans="2:7">
      <c r="B1375" s="22" t="s">
        <v>1085</v>
      </c>
      <c r="C1375" s="23" t="s">
        <v>1086</v>
      </c>
      <c r="D1375" s="24" t="s">
        <v>1417</v>
      </c>
      <c r="E1375" s="25" t="s">
        <v>1722</v>
      </c>
      <c r="F1375" s="16" t="str">
        <f>_xlfn.XLOOKUP(D1375,[9]Sheet2!$C:$C,[9]Sheet2!$E:$E,"-")</f>
        <v>Yudhy Indra Prasetya</v>
      </c>
      <c r="G1375" s="21"/>
    </row>
    <row r="1376" spans="2:7">
      <c r="B1376" s="22" t="s">
        <v>1085</v>
      </c>
      <c r="C1376" s="23" t="s">
        <v>1086</v>
      </c>
      <c r="D1376" s="24" t="s">
        <v>1418</v>
      </c>
      <c r="E1376" s="25" t="s">
        <v>1722</v>
      </c>
      <c r="F1376" s="16" t="str">
        <f>_xlfn.XLOOKUP(D1376,[9]Sheet2!$C:$C,[9]Sheet2!$E:$E,"-")</f>
        <v>Ridwan Fatarudin</v>
      </c>
      <c r="G1376" s="21"/>
    </row>
    <row r="1377" spans="2:7">
      <c r="B1377" s="22" t="s">
        <v>1085</v>
      </c>
      <c r="C1377" s="23" t="s">
        <v>1086</v>
      </c>
      <c r="D1377" s="24" t="s">
        <v>1419</v>
      </c>
      <c r="E1377" s="25" t="s">
        <v>1722</v>
      </c>
      <c r="F1377" s="16" t="str">
        <f>_xlfn.XLOOKUP(D1377,[9]Sheet2!$C:$C,[9]Sheet2!$E:$E,"-")</f>
        <v>Anang Prasetyo</v>
      </c>
      <c r="G1377" s="21"/>
    </row>
    <row r="1378" spans="2:7">
      <c r="B1378" s="22" t="s">
        <v>1085</v>
      </c>
      <c r="C1378" s="23" t="s">
        <v>1086</v>
      </c>
      <c r="D1378" s="24" t="s">
        <v>1420</v>
      </c>
      <c r="E1378" s="25" t="s">
        <v>1722</v>
      </c>
      <c r="F1378" s="16" t="str">
        <f>_xlfn.XLOOKUP(D1378,[9]Sheet2!$C:$C,[9]Sheet2!$E:$E,"-")</f>
        <v>Ridwan Fatarudin</v>
      </c>
      <c r="G1378" s="21"/>
    </row>
    <row r="1379" spans="2:7">
      <c r="B1379" s="22" t="s">
        <v>1085</v>
      </c>
      <c r="C1379" s="23" t="s">
        <v>1086</v>
      </c>
      <c r="D1379" s="24" t="s">
        <v>1421</v>
      </c>
      <c r="E1379" s="25" t="s">
        <v>1722</v>
      </c>
      <c r="F1379" s="16" t="str">
        <f>_xlfn.XLOOKUP(D1379,[9]Sheet2!$C:$C,[9]Sheet2!$E:$E,"-")</f>
        <v>Nurul Hidayatullah</v>
      </c>
      <c r="G1379" s="21"/>
    </row>
    <row r="1380" spans="2:7">
      <c r="B1380" s="22" t="s">
        <v>1085</v>
      </c>
      <c r="C1380" s="23" t="s">
        <v>1086</v>
      </c>
      <c r="D1380" s="24" t="s">
        <v>1422</v>
      </c>
      <c r="E1380" s="25" t="s">
        <v>1722</v>
      </c>
      <c r="F1380" s="16" t="str">
        <f>_xlfn.XLOOKUP(D1380,[9]Sheet2!$C:$C,[9]Sheet2!$E:$E,"-")</f>
        <v>Imam Nawawi</v>
      </c>
      <c r="G1380" s="21"/>
    </row>
    <row r="1381" spans="2:7">
      <c r="B1381" s="22" t="s">
        <v>1085</v>
      </c>
      <c r="C1381" s="23" t="s">
        <v>1086</v>
      </c>
      <c r="D1381" s="24" t="s">
        <v>1423</v>
      </c>
      <c r="E1381" s="25" t="s">
        <v>1722</v>
      </c>
      <c r="F1381" s="16" t="str">
        <f>_xlfn.XLOOKUP(D1381,[9]Sheet2!$C:$C,[9]Sheet2!$E:$E,"-")</f>
        <v>Fauzi Permana Putra</v>
      </c>
      <c r="G1381" s="21"/>
    </row>
    <row r="1382" spans="2:7">
      <c r="B1382" s="22" t="s">
        <v>1085</v>
      </c>
      <c r="C1382" s="23" t="s">
        <v>1086</v>
      </c>
      <c r="D1382" s="24" t="s">
        <v>1424</v>
      </c>
      <c r="E1382" s="25" t="s">
        <v>1722</v>
      </c>
      <c r="F1382" s="16" t="str">
        <f>_xlfn.XLOOKUP(D1382,[9]Sheet2!$C:$C,[9]Sheet2!$E:$E,"-")</f>
        <v>Alif Septian Nur Alamsyah</v>
      </c>
      <c r="G1382" s="21"/>
    </row>
    <row r="1383" spans="2:7">
      <c r="B1383" s="22" t="s">
        <v>1085</v>
      </c>
      <c r="C1383" s="23" t="s">
        <v>1086</v>
      </c>
      <c r="D1383" s="24" t="s">
        <v>1425</v>
      </c>
      <c r="E1383" s="25" t="s">
        <v>1722</v>
      </c>
      <c r="F1383" s="16" t="str">
        <f>_xlfn.XLOOKUP(D1383,[9]Sheet2!$C:$C,[9]Sheet2!$E:$E,"-")</f>
        <v>Lasio Efendi</v>
      </c>
      <c r="G1383" s="21"/>
    </row>
    <row r="1384" spans="2:7">
      <c r="B1384" s="22" t="s">
        <v>1085</v>
      </c>
      <c r="C1384" s="23" t="s">
        <v>1086</v>
      </c>
      <c r="D1384" s="24" t="s">
        <v>1426</v>
      </c>
      <c r="E1384" s="25" t="s">
        <v>1722</v>
      </c>
      <c r="F1384" s="16" t="str">
        <f>_xlfn.XLOOKUP(D1384,[9]Sheet2!$C:$C,[9]Sheet2!$E:$E,"-")</f>
        <v>Ilham Ramadhan</v>
      </c>
      <c r="G1384" s="21"/>
    </row>
    <row r="1385" spans="2:7">
      <c r="B1385" s="22" t="s">
        <v>1085</v>
      </c>
      <c r="C1385" s="23" t="s">
        <v>1086</v>
      </c>
      <c r="D1385" s="24" t="s">
        <v>1427</v>
      </c>
      <c r="E1385" s="25" t="s">
        <v>1722</v>
      </c>
      <c r="F1385" s="16" t="str">
        <f>_xlfn.XLOOKUP(D1385,[9]Sheet2!$C:$C,[9]Sheet2!$E:$E,"-")</f>
        <v>Muhammad Irsan Junud</v>
      </c>
      <c r="G1385" s="21"/>
    </row>
    <row r="1386" spans="2:7">
      <c r="B1386" s="22" t="s">
        <v>1085</v>
      </c>
      <c r="C1386" s="23" t="s">
        <v>1086</v>
      </c>
      <c r="D1386" s="24" t="s">
        <v>1428</v>
      </c>
      <c r="E1386" s="25" t="s">
        <v>1722</v>
      </c>
      <c r="F1386" s="16" t="str">
        <f>_xlfn.XLOOKUP(D1386,[9]Sheet2!$C:$C,[9]Sheet2!$E:$E,"-")</f>
        <v>Imam Nawawi</v>
      </c>
      <c r="G1386" s="21"/>
    </row>
    <row r="1387" spans="2:7">
      <c r="B1387" s="22" t="s">
        <v>1085</v>
      </c>
      <c r="C1387" s="23" t="s">
        <v>1086</v>
      </c>
      <c r="D1387" s="24" t="s">
        <v>1429</v>
      </c>
      <c r="E1387" s="25" t="s">
        <v>1722</v>
      </c>
      <c r="F1387" s="16" t="str">
        <f>_xlfn.XLOOKUP(D1387,[9]Sheet2!$C:$C,[9]Sheet2!$E:$E,"-")</f>
        <v>Muhammad Irsan Junud</v>
      </c>
      <c r="G1387" s="21"/>
    </row>
    <row r="1388" spans="2:7">
      <c r="B1388" s="22" t="s">
        <v>1085</v>
      </c>
      <c r="C1388" s="23" t="s">
        <v>1086</v>
      </c>
      <c r="D1388" s="24" t="s">
        <v>1430</v>
      </c>
      <c r="E1388" s="25" t="s">
        <v>1722</v>
      </c>
      <c r="F1388" s="16" t="str">
        <f>_xlfn.XLOOKUP(D1388,[9]Sheet2!$C:$C,[9]Sheet2!$E:$E,"-")</f>
        <v>Muhammad Irsan Junud</v>
      </c>
      <c r="G1388" s="21"/>
    </row>
    <row r="1389" spans="2:7">
      <c r="B1389" s="22" t="s">
        <v>1085</v>
      </c>
      <c r="C1389" s="23" t="s">
        <v>1086</v>
      </c>
      <c r="D1389" s="24" t="s">
        <v>1431</v>
      </c>
      <c r="E1389" s="25" t="s">
        <v>1722</v>
      </c>
      <c r="F1389" s="16" t="str">
        <f>_xlfn.XLOOKUP(D1389,[9]Sheet2!$C:$C,[9]Sheet2!$E:$E,"-")</f>
        <v>Leo Fajar Saputra</v>
      </c>
      <c r="G1389" s="21"/>
    </row>
    <row r="1390" spans="2:7">
      <c r="B1390" s="22" t="s">
        <v>1085</v>
      </c>
      <c r="C1390" s="23" t="s">
        <v>1086</v>
      </c>
      <c r="D1390" s="24" t="s">
        <v>1432</v>
      </c>
      <c r="E1390" s="25" t="s">
        <v>1722</v>
      </c>
      <c r="F1390" s="16" t="str">
        <f>_xlfn.XLOOKUP(D1390,[9]Sheet2!$C:$C,[9]Sheet2!$E:$E,"-")</f>
        <v>Fauzi Permana Putra</v>
      </c>
      <c r="G1390" s="21"/>
    </row>
    <row r="1391" spans="2:7">
      <c r="B1391" s="22" t="s">
        <v>1085</v>
      </c>
      <c r="C1391" s="23" t="s">
        <v>1086</v>
      </c>
      <c r="D1391" s="24" t="s">
        <v>1433</v>
      </c>
      <c r="E1391" s="25" t="s">
        <v>1722</v>
      </c>
      <c r="F1391" s="16" t="str">
        <f>_xlfn.XLOOKUP(D1391,[9]Sheet2!$C:$C,[9]Sheet2!$E:$E,"-")</f>
        <v>Budi Achirianto</v>
      </c>
      <c r="G1391" s="21"/>
    </row>
    <row r="1392" spans="2:7">
      <c r="B1392" s="22" t="s">
        <v>1085</v>
      </c>
      <c r="C1392" s="23" t="s">
        <v>1086</v>
      </c>
      <c r="D1392" s="24" t="s">
        <v>1434</v>
      </c>
      <c r="E1392" s="25" t="s">
        <v>1722</v>
      </c>
      <c r="F1392" s="16" t="str">
        <f>_xlfn.XLOOKUP(D1392,[9]Sheet2!$C:$C,[9]Sheet2!$E:$E,"-")</f>
        <v>Candra Robianto</v>
      </c>
      <c r="G1392" s="21"/>
    </row>
    <row r="1393" spans="2:7">
      <c r="B1393" s="22" t="s">
        <v>1085</v>
      </c>
      <c r="C1393" s="23" t="s">
        <v>1086</v>
      </c>
      <c r="D1393" s="24" t="s">
        <v>1435</v>
      </c>
      <c r="E1393" s="25" t="s">
        <v>1722</v>
      </c>
      <c r="F1393" s="16" t="str">
        <f>_xlfn.XLOOKUP(D1393,[9]Sheet2!$C:$C,[9]Sheet2!$E:$E,"-")</f>
        <v>Moh. Sihabudin Zuhri, S.Pd</v>
      </c>
      <c r="G1393" s="21"/>
    </row>
    <row r="1394" spans="2:7">
      <c r="B1394" s="22" t="s">
        <v>1085</v>
      </c>
      <c r="C1394" s="23" t="s">
        <v>1086</v>
      </c>
      <c r="D1394" s="24" t="s">
        <v>1436</v>
      </c>
      <c r="E1394" s="25" t="s">
        <v>1722</v>
      </c>
      <c r="F1394" s="16" t="str">
        <f>_xlfn.XLOOKUP(D1394,[9]Sheet2!$C:$C,[9]Sheet2!$E:$E,"-")</f>
        <v>Ahmad Luky Cahyono</v>
      </c>
      <c r="G1394" s="21"/>
    </row>
    <row r="1395" spans="2:7">
      <c r="B1395" s="22" t="s">
        <v>1085</v>
      </c>
      <c r="C1395" s="23" t="s">
        <v>1086</v>
      </c>
      <c r="D1395" s="24" t="s">
        <v>1437</v>
      </c>
      <c r="E1395" s="25" t="s">
        <v>1722</v>
      </c>
      <c r="F1395" s="16" t="str">
        <f>_xlfn.XLOOKUP(D1395,[9]Sheet2!$C:$C,[9]Sheet2!$E:$E,"-")</f>
        <v>Achmad Subairi</v>
      </c>
      <c r="G1395" s="21"/>
    </row>
    <row r="1396" spans="2:7">
      <c r="B1396" s="22" t="s">
        <v>1085</v>
      </c>
      <c r="C1396" s="23" t="s">
        <v>1086</v>
      </c>
      <c r="D1396" s="24" t="s">
        <v>1438</v>
      </c>
      <c r="E1396" s="25" t="s">
        <v>1722</v>
      </c>
      <c r="F1396" s="16" t="str">
        <f>_xlfn.XLOOKUP(D1396,[9]Sheet2!$C:$C,[9]Sheet2!$E:$E,"-")</f>
        <v>Joko Purnomo</v>
      </c>
      <c r="G1396" s="21"/>
    </row>
    <row r="1397" spans="2:7">
      <c r="B1397" s="22" t="s">
        <v>1085</v>
      </c>
      <c r="C1397" s="23" t="s">
        <v>1086</v>
      </c>
      <c r="D1397" s="24" t="s">
        <v>1439</v>
      </c>
      <c r="E1397" s="25" t="s">
        <v>1722</v>
      </c>
      <c r="F1397" s="16" t="str">
        <f>_xlfn.XLOOKUP(D1397,[9]Sheet2!$C:$C,[9]Sheet2!$E:$E,"-")</f>
        <v>Mochamad Zaini</v>
      </c>
      <c r="G1397" s="21"/>
    </row>
    <row r="1398" spans="2:7">
      <c r="B1398" s="22" t="s">
        <v>1085</v>
      </c>
      <c r="C1398" s="23" t="s">
        <v>1086</v>
      </c>
      <c r="D1398" s="24" t="s">
        <v>1440</v>
      </c>
      <c r="E1398" s="25" t="s">
        <v>1722</v>
      </c>
      <c r="F1398" s="16" t="str">
        <f>_xlfn.XLOOKUP(D1398,[9]Sheet2!$C:$C,[9]Sheet2!$E:$E,"-")</f>
        <v>Fery Hardianto Setiawan</v>
      </c>
      <c r="G1398" s="21"/>
    </row>
    <row r="1399" spans="2:7">
      <c r="B1399" s="22" t="s">
        <v>1085</v>
      </c>
      <c r="C1399" s="23" t="s">
        <v>1086</v>
      </c>
      <c r="D1399" s="24" t="s">
        <v>1441</v>
      </c>
      <c r="E1399" s="25" t="s">
        <v>1722</v>
      </c>
      <c r="F1399" s="16" t="str">
        <f>_xlfn.XLOOKUP(D1399,[9]Sheet2!$C:$C,[9]Sheet2!$E:$E,"-")</f>
        <v>Alfi Abidin</v>
      </c>
      <c r="G1399" s="21"/>
    </row>
    <row r="1400" spans="2:7">
      <c r="B1400" s="22" t="s">
        <v>1085</v>
      </c>
      <c r="C1400" s="23" t="s">
        <v>1086</v>
      </c>
      <c r="D1400" s="24" t="s">
        <v>1442</v>
      </c>
      <c r="E1400" s="25" t="s">
        <v>1722</v>
      </c>
      <c r="F1400" s="16" t="str">
        <f>_xlfn.XLOOKUP(D1400,[9]Sheet2!$C:$C,[9]Sheet2!$E:$E,"-")</f>
        <v>Vavan Aldi Zulkarnain</v>
      </c>
      <c r="G1400" s="21"/>
    </row>
    <row r="1401" spans="2:7">
      <c r="B1401" s="22" t="s">
        <v>1085</v>
      </c>
      <c r="C1401" s="23" t="s">
        <v>1086</v>
      </c>
      <c r="D1401" s="24" t="s">
        <v>1443</v>
      </c>
      <c r="E1401" s="25" t="s">
        <v>1722</v>
      </c>
      <c r="F1401" s="16" t="str">
        <f>_xlfn.XLOOKUP(D1401,[9]Sheet2!$C:$C,[9]Sheet2!$E:$E,"-")</f>
        <v>Aldo Irwansyah</v>
      </c>
      <c r="G1401" s="21"/>
    </row>
    <row r="1402" spans="2:7">
      <c r="B1402" s="22" t="s">
        <v>1085</v>
      </c>
      <c r="C1402" s="23" t="s">
        <v>1086</v>
      </c>
      <c r="D1402" s="24" t="s">
        <v>1444</v>
      </c>
      <c r="E1402" s="25" t="s">
        <v>1722</v>
      </c>
      <c r="F1402" s="16" t="str">
        <f>_xlfn.XLOOKUP(D1402,[9]Sheet2!$C:$C,[9]Sheet2!$E:$E,"-")</f>
        <v>Roni Nofendra Trimanto</v>
      </c>
      <c r="G1402" s="21"/>
    </row>
    <row r="1403" spans="2:7">
      <c r="B1403" s="22" t="s">
        <v>1085</v>
      </c>
      <c r="C1403" s="23" t="s">
        <v>1086</v>
      </c>
      <c r="D1403" s="24" t="s">
        <v>1445</v>
      </c>
      <c r="E1403" s="25" t="s">
        <v>1722</v>
      </c>
      <c r="F1403" s="16" t="str">
        <f>_xlfn.XLOOKUP(D1403,[9]Sheet2!$C:$C,[9]Sheet2!$E:$E,"-")</f>
        <v>Tri Atmojo</v>
      </c>
      <c r="G1403" s="21"/>
    </row>
    <row r="1404" spans="2:7">
      <c r="B1404" s="22" t="s">
        <v>1085</v>
      </c>
      <c r="C1404" s="23" t="s">
        <v>1086</v>
      </c>
      <c r="D1404" s="24" t="s">
        <v>1446</v>
      </c>
      <c r="E1404" s="25" t="s">
        <v>1745</v>
      </c>
      <c r="F1404" s="16" t="str">
        <f>_xlfn.XLOOKUP(D1404,[9]Sheet2!$C:$C,[9]Sheet2!$E:$E,"-")</f>
        <v>Luhur Setya Budi</v>
      </c>
      <c r="G1404" s="21"/>
    </row>
    <row r="1405" spans="2:7">
      <c r="B1405" s="22" t="s">
        <v>1085</v>
      </c>
      <c r="C1405" s="23" t="s">
        <v>1086</v>
      </c>
      <c r="D1405" s="24" t="s">
        <v>1447</v>
      </c>
      <c r="E1405" s="25" t="s">
        <v>1745</v>
      </c>
      <c r="F1405" s="16" t="str">
        <f>_xlfn.XLOOKUP(D1405,[9]Sheet2!$C:$C,[9]Sheet2!$E:$E,"-")</f>
        <v>Rundi Atmoko</v>
      </c>
      <c r="G1405" s="21"/>
    </row>
    <row r="1406" spans="2:7">
      <c r="B1406" s="22" t="s">
        <v>1085</v>
      </c>
      <c r="C1406" s="23" t="s">
        <v>1086</v>
      </c>
      <c r="D1406" s="24" t="s">
        <v>1448</v>
      </c>
      <c r="E1406" s="25" t="s">
        <v>1745</v>
      </c>
      <c r="F1406" s="16" t="str">
        <f>_xlfn.XLOOKUP(D1406,[9]Sheet2!$C:$C,[9]Sheet2!$E:$E,"-")</f>
        <v>Rundi Atmoko</v>
      </c>
      <c r="G1406" s="21"/>
    </row>
    <row r="1407" spans="2:7">
      <c r="B1407" s="22" t="s">
        <v>1085</v>
      </c>
      <c r="C1407" s="23" t="s">
        <v>1086</v>
      </c>
      <c r="D1407" s="24" t="s">
        <v>1449</v>
      </c>
      <c r="E1407" s="25" t="s">
        <v>1745</v>
      </c>
      <c r="F1407" s="16" t="str">
        <f>_xlfn.XLOOKUP(D1407,[9]Sheet2!$C:$C,[9]Sheet2!$E:$E,"-")</f>
        <v>Luhur Setya Budi</v>
      </c>
      <c r="G1407" s="21"/>
    </row>
    <row r="1408" spans="2:7">
      <c r="B1408" s="22" t="s">
        <v>1085</v>
      </c>
      <c r="C1408" s="23" t="s">
        <v>1086</v>
      </c>
      <c r="D1408" s="24" t="s">
        <v>1450</v>
      </c>
      <c r="E1408" s="25" t="s">
        <v>1722</v>
      </c>
      <c r="F1408" s="16" t="str">
        <f>_xlfn.XLOOKUP(D1408,[9]Sheet2!$C:$C,[9]Sheet2!$E:$E,"-")</f>
        <v>Alvin Aviandika Aksanah Pu</v>
      </c>
      <c r="G1408" s="21"/>
    </row>
    <row r="1409" spans="2:7">
      <c r="B1409" s="22" t="s">
        <v>1085</v>
      </c>
      <c r="C1409" s="23" t="s">
        <v>1086</v>
      </c>
      <c r="D1409" s="24" t="s">
        <v>1451</v>
      </c>
      <c r="E1409" s="25" t="s">
        <v>1745</v>
      </c>
      <c r="F1409" s="16" t="str">
        <f>_xlfn.XLOOKUP(D1409,[9]Sheet2!$C:$C,[9]Sheet2!$E:$E,"-")</f>
        <v>Muhammad Ikhwanul Masruri</v>
      </c>
      <c r="G1409" s="21"/>
    </row>
    <row r="1410" spans="2:7">
      <c r="B1410" s="22" t="s">
        <v>1085</v>
      </c>
      <c r="C1410" s="23" t="s">
        <v>1086</v>
      </c>
      <c r="D1410" s="24" t="s">
        <v>1453</v>
      </c>
      <c r="E1410" s="25" t="s">
        <v>1722</v>
      </c>
      <c r="F1410" s="16" t="str">
        <f>_xlfn.XLOOKUP(D1410,[9]Sheet2!$C:$C,[9]Sheet2!$E:$E,"-")</f>
        <v>-</v>
      </c>
      <c r="G1410" s="21"/>
    </row>
    <row r="1411" spans="2:7">
      <c r="B1411" s="22" t="s">
        <v>1085</v>
      </c>
      <c r="C1411" s="23" t="s">
        <v>1086</v>
      </c>
      <c r="D1411" s="24" t="s">
        <v>1454</v>
      </c>
      <c r="E1411" s="25" t="s">
        <v>1722</v>
      </c>
      <c r="F1411" s="16" t="str">
        <f>_xlfn.XLOOKUP(D1411,[9]Sheet2!$C:$C,[9]Sheet2!$E:$E,"-")</f>
        <v>-</v>
      </c>
      <c r="G1411" s="21"/>
    </row>
    <row r="1412" spans="2:7">
      <c r="B1412" s="22" t="s">
        <v>1455</v>
      </c>
      <c r="C1412" s="23" t="s">
        <v>1456</v>
      </c>
      <c r="D1412" s="24" t="s">
        <v>1457</v>
      </c>
      <c r="E1412" s="25" t="s">
        <v>1745</v>
      </c>
      <c r="F1412" s="16" t="str">
        <f>_xlfn.XLOOKUP(D1412,[10]ALL!$C:$C,[10]ALL!$N:$N,"Tidak Ditemukan")</f>
        <v>KADEK DWIPA ANGGARASTRA</v>
      </c>
      <c r="G1412" s="21"/>
    </row>
    <row r="1413" spans="2:7">
      <c r="B1413" s="22" t="s">
        <v>1455</v>
      </c>
      <c r="C1413" s="23" t="s">
        <v>1456</v>
      </c>
      <c r="D1413" s="24" t="s">
        <v>1458</v>
      </c>
      <c r="E1413" s="25" t="s">
        <v>1745</v>
      </c>
      <c r="F1413" s="16" t="str">
        <f>_xlfn.XLOOKUP(D1413,[10]ALL!$C:$C,[10]ALL!$N:$N,"Tidak Ditemukan")</f>
        <v>NI WAYAN ELSA SEPTIANA INDRIANI</v>
      </c>
      <c r="G1413" s="21"/>
    </row>
    <row r="1414" spans="2:7">
      <c r="B1414" s="22" t="s">
        <v>1455</v>
      </c>
      <c r="C1414" s="23" t="s">
        <v>1456</v>
      </c>
      <c r="D1414" s="24" t="s">
        <v>1459</v>
      </c>
      <c r="E1414" s="25" t="s">
        <v>1745</v>
      </c>
      <c r="F1414" s="16" t="str">
        <f>_xlfn.XLOOKUP(D1414,[10]ALL!$C:$C,[10]ALL!$N:$N,"Tidak Ditemukan")</f>
        <v>DEAR RAMOS DAMANIK</v>
      </c>
      <c r="G1414" s="21"/>
    </row>
    <row r="1415" spans="2:7">
      <c r="B1415" s="22" t="s">
        <v>1455</v>
      </c>
      <c r="C1415" s="23" t="s">
        <v>1456</v>
      </c>
      <c r="D1415" s="24" t="s">
        <v>1460</v>
      </c>
      <c r="E1415" s="25" t="s">
        <v>1745</v>
      </c>
      <c r="F1415" s="16" t="str">
        <f>_xlfn.XLOOKUP(D1415,[10]ALL!$C:$C,[10]ALL!$N:$N,"Tidak Ditemukan")</f>
        <v>DWIKY REZA ARDANI WINAHARA</v>
      </c>
      <c r="G1415" s="21"/>
    </row>
    <row r="1416" spans="2:7">
      <c r="B1416" s="22" t="s">
        <v>1455</v>
      </c>
      <c r="C1416" s="23" t="s">
        <v>1456</v>
      </c>
      <c r="D1416" s="24" t="s">
        <v>1461</v>
      </c>
      <c r="E1416" s="25" t="s">
        <v>1745</v>
      </c>
      <c r="F1416" s="16" t="str">
        <f>_xlfn.XLOOKUP(D1416,[10]ALL!$C:$C,[10]ALL!$N:$N,"Tidak Ditemukan")</f>
        <v>NI WAYAN ELSA SEPTIANA INDRIANI</v>
      </c>
      <c r="G1416" s="21"/>
    </row>
    <row r="1417" spans="2:7">
      <c r="B1417" s="22" t="s">
        <v>1455</v>
      </c>
      <c r="C1417" s="23" t="s">
        <v>1456</v>
      </c>
      <c r="D1417" s="24" t="s">
        <v>1462</v>
      </c>
      <c r="E1417" s="25" t="s">
        <v>1745</v>
      </c>
      <c r="F1417" s="16" t="str">
        <f>_xlfn.XLOOKUP(D1417,[10]ALL!$C:$C,[10]ALL!$N:$N,"Tidak Ditemukan")</f>
        <v>NI PUTU DEWI LASTINI</v>
      </c>
      <c r="G1417" s="21"/>
    </row>
    <row r="1418" spans="2:7">
      <c r="B1418" s="22" t="s">
        <v>1455</v>
      </c>
      <c r="C1418" s="23" t="s">
        <v>1456</v>
      </c>
      <c r="D1418" s="24" t="s">
        <v>1463</v>
      </c>
      <c r="E1418" s="25" t="s">
        <v>1745</v>
      </c>
      <c r="F1418" s="16" t="str">
        <f>_xlfn.XLOOKUP(D1418,[10]ALL!$C:$C,[10]ALL!$N:$N,"Tidak Ditemukan")</f>
        <v>NI WAYAN ELSA SEPTIANA INDRIANI</v>
      </c>
      <c r="G1418" s="21"/>
    </row>
    <row r="1419" spans="2:7">
      <c r="B1419" s="22" t="s">
        <v>1455</v>
      </c>
      <c r="C1419" s="23" t="s">
        <v>1456</v>
      </c>
      <c r="D1419" s="24" t="s">
        <v>1464</v>
      </c>
      <c r="E1419" s="25" t="s">
        <v>1745</v>
      </c>
      <c r="F1419" s="16" t="str">
        <f>_xlfn.XLOOKUP(D1419,[10]ALL!$C:$C,[10]ALL!$N:$N,"Tidak Ditemukan")</f>
        <v>GUSTI NGURAH ARY RAKA DARMAYASA, SE.MM</v>
      </c>
      <c r="G1419" s="21"/>
    </row>
    <row r="1420" spans="2:7">
      <c r="B1420" s="22" t="s">
        <v>1455</v>
      </c>
      <c r="C1420" s="23" t="s">
        <v>1456</v>
      </c>
      <c r="D1420" s="24" t="s">
        <v>1465</v>
      </c>
      <c r="E1420" s="25" t="s">
        <v>1745</v>
      </c>
      <c r="F1420" s="16" t="str">
        <f>_xlfn.XLOOKUP(D1420,[10]ALL!$C:$C,[10]ALL!$N:$N,"Tidak Ditemukan")</f>
        <v>NI PUTU DEWI LASTINI</v>
      </c>
      <c r="G1420" s="21"/>
    </row>
    <row r="1421" spans="2:7">
      <c r="B1421" s="22" t="s">
        <v>1455</v>
      </c>
      <c r="C1421" s="23" t="s">
        <v>1456</v>
      </c>
      <c r="D1421" s="24" t="s">
        <v>1466</v>
      </c>
      <c r="E1421" s="25" t="s">
        <v>1745</v>
      </c>
      <c r="F1421" s="16" t="str">
        <f>_xlfn.XLOOKUP(D1421,[10]ALL!$C:$C,[10]ALL!$N:$N,"Tidak Ditemukan")</f>
        <v>AGUS PRADNYANA</v>
      </c>
      <c r="G1421" s="21"/>
    </row>
    <row r="1422" spans="2:7">
      <c r="B1422" s="22" t="s">
        <v>1455</v>
      </c>
      <c r="C1422" s="23" t="s">
        <v>1456</v>
      </c>
      <c r="D1422" s="24" t="s">
        <v>1467</v>
      </c>
      <c r="E1422" s="25" t="s">
        <v>1745</v>
      </c>
      <c r="F1422" s="16" t="str">
        <f>_xlfn.XLOOKUP(D1422,[10]ALL!$C:$C,[10]ALL!$N:$N,"Tidak Ditemukan")</f>
        <v>NI WAYAN ELSA SEPTIANA INDRIANI</v>
      </c>
      <c r="G1422" s="21"/>
    </row>
    <row r="1423" spans="2:7">
      <c r="B1423" s="22" t="s">
        <v>1455</v>
      </c>
      <c r="C1423" s="23" t="s">
        <v>1456</v>
      </c>
      <c r="D1423" s="24" t="s">
        <v>1468</v>
      </c>
      <c r="E1423" s="25" t="s">
        <v>1745</v>
      </c>
      <c r="F1423" s="16" t="str">
        <f>_xlfn.XLOOKUP(D1423,[10]ALL!$C:$C,[10]ALL!$N:$N,"Tidak Ditemukan")</f>
        <v>I Gd Andika Adi Prasetya Murya</v>
      </c>
      <c r="G1423" s="21"/>
    </row>
    <row r="1424" spans="2:7">
      <c r="B1424" s="22" t="s">
        <v>1455</v>
      </c>
      <c r="C1424" s="23" t="s">
        <v>1456</v>
      </c>
      <c r="D1424" s="24" t="s">
        <v>1469</v>
      </c>
      <c r="E1424" s="25" t="s">
        <v>1745</v>
      </c>
      <c r="F1424" s="16" t="str">
        <f>_xlfn.XLOOKUP(D1424,[10]ALL!$C:$C,[10]ALL!$N:$N,"Tidak Ditemukan")</f>
        <v>DWIKY REZA ARDANI WINAHARA</v>
      </c>
      <c r="G1424" s="21"/>
    </row>
    <row r="1425" spans="2:7">
      <c r="B1425" s="22" t="s">
        <v>1455</v>
      </c>
      <c r="C1425" s="23" t="s">
        <v>1456</v>
      </c>
      <c r="D1425" s="24" t="s">
        <v>1470</v>
      </c>
      <c r="E1425" s="25" t="s">
        <v>1745</v>
      </c>
      <c r="F1425" s="16" t="str">
        <f>_xlfn.XLOOKUP(D1425,[10]ALL!$C:$C,[10]ALL!$N:$N,"Tidak Ditemukan")</f>
        <v>NI WAYAN ELSA SEPTIANA INDRIANI</v>
      </c>
      <c r="G1425" s="21"/>
    </row>
    <row r="1426" spans="2:7">
      <c r="B1426" s="22" t="s">
        <v>1455</v>
      </c>
      <c r="C1426" s="23" t="s">
        <v>1456</v>
      </c>
      <c r="D1426" s="24" t="s">
        <v>1471</v>
      </c>
      <c r="E1426" s="25" t="s">
        <v>1745</v>
      </c>
      <c r="F1426" s="16" t="str">
        <f>_xlfn.XLOOKUP(D1426,[10]ALL!$C:$C,[10]ALL!$N:$N,"Tidak Ditemukan")</f>
        <v>GUSTI NGURAH ARY RAKA DARMAYASA, SE.MM</v>
      </c>
      <c r="G1426" s="21"/>
    </row>
    <row r="1427" spans="2:7">
      <c r="B1427" s="22" t="s">
        <v>1455</v>
      </c>
      <c r="C1427" s="23" t="s">
        <v>1456</v>
      </c>
      <c r="D1427" s="24" t="s">
        <v>1472</v>
      </c>
      <c r="E1427" s="25" t="s">
        <v>1745</v>
      </c>
      <c r="F1427" s="16" t="str">
        <f>_xlfn.XLOOKUP(D1427,[10]ALL!$C:$C,[10]ALL!$N:$N,"Tidak Ditemukan")</f>
        <v>YUNAN FURQONA RAMADHANI</v>
      </c>
      <c r="G1427" s="21"/>
    </row>
    <row r="1428" spans="2:7">
      <c r="B1428" s="22" t="s">
        <v>1455</v>
      </c>
      <c r="C1428" s="23" t="s">
        <v>1456</v>
      </c>
      <c r="D1428" s="24" t="s">
        <v>1473</v>
      </c>
      <c r="E1428" s="25" t="s">
        <v>1745</v>
      </c>
      <c r="F1428" s="16" t="str">
        <f>_xlfn.XLOOKUP(D1428,[10]ALL!$C:$C,[10]ALL!$N:$N,"Tidak Ditemukan")</f>
        <v>KADEK DWIPA ANGGARASTRA</v>
      </c>
      <c r="G1428" s="21"/>
    </row>
    <row r="1429" spans="2:7">
      <c r="B1429" s="22" t="s">
        <v>1455</v>
      </c>
      <c r="C1429" s="23" t="s">
        <v>1456</v>
      </c>
      <c r="D1429" s="24" t="s">
        <v>1474</v>
      </c>
      <c r="E1429" s="25" t="s">
        <v>1745</v>
      </c>
      <c r="F1429" s="16" t="str">
        <f>_xlfn.XLOOKUP(D1429,[10]ALL!$C:$C,[10]ALL!$N:$N,"Tidak Ditemukan")</f>
        <v>I GEDE BAGUS ADI SURYAWAN , ST</v>
      </c>
      <c r="G1429" s="21"/>
    </row>
    <row r="1430" spans="2:7">
      <c r="B1430" s="22" t="s">
        <v>1455</v>
      </c>
      <c r="C1430" s="23" t="s">
        <v>1456</v>
      </c>
      <c r="D1430" s="24" t="s">
        <v>1475</v>
      </c>
      <c r="E1430" s="25" t="s">
        <v>1745</v>
      </c>
      <c r="F1430" s="16" t="str">
        <f>_xlfn.XLOOKUP(D1430,[10]ALL!$C:$C,[10]ALL!$N:$N,"Tidak Ditemukan")</f>
        <v>NI PUTU DEWI LASTINI</v>
      </c>
      <c r="G1430" s="21"/>
    </row>
    <row r="1431" spans="2:7">
      <c r="B1431" s="22" t="s">
        <v>1455</v>
      </c>
      <c r="C1431" s="23" t="s">
        <v>1456</v>
      </c>
      <c r="D1431" s="24" t="s">
        <v>1476</v>
      </c>
      <c r="E1431" s="25" t="s">
        <v>1745</v>
      </c>
      <c r="F1431" s="16" t="str">
        <f>_xlfn.XLOOKUP(D1431,[10]ALL!$C:$C,[10]ALL!$N:$N,"Tidak Ditemukan")</f>
        <v>Suhardi</v>
      </c>
      <c r="G1431" s="21"/>
    </row>
    <row r="1432" spans="2:7">
      <c r="B1432" s="22" t="s">
        <v>1455</v>
      </c>
      <c r="C1432" s="23" t="s">
        <v>1456</v>
      </c>
      <c r="D1432" s="24" t="s">
        <v>1477</v>
      </c>
      <c r="E1432" s="25" t="s">
        <v>1745</v>
      </c>
      <c r="F1432" s="16" t="str">
        <f>_xlfn.XLOOKUP(D1432,[10]ALL!$C:$C,[10]ALL!$N:$N,"Tidak Ditemukan")</f>
        <v>DEAR RAMOS DAMANIK</v>
      </c>
      <c r="G1432" s="21"/>
    </row>
    <row r="1433" spans="2:7">
      <c r="B1433" s="22" t="s">
        <v>1455</v>
      </c>
      <c r="C1433" s="23" t="s">
        <v>1456</v>
      </c>
      <c r="D1433" s="24" t="s">
        <v>1478</v>
      </c>
      <c r="E1433" s="25" t="s">
        <v>1745</v>
      </c>
      <c r="F1433" s="16" t="str">
        <f>_xlfn.XLOOKUP(D1433,[10]ALL!$C:$C,[10]ALL!$N:$N,"Tidak Ditemukan")</f>
        <v>KADEK DWIPA ANGGARASTRA</v>
      </c>
      <c r="G1433" s="21"/>
    </row>
    <row r="1434" spans="2:7">
      <c r="B1434" s="22" t="s">
        <v>1455</v>
      </c>
      <c r="C1434" s="23" t="s">
        <v>1456</v>
      </c>
      <c r="D1434" s="24" t="s">
        <v>1479</v>
      </c>
      <c r="E1434" s="25" t="s">
        <v>1745</v>
      </c>
      <c r="F1434" s="16" t="str">
        <f>_xlfn.XLOOKUP(D1434,[10]ALL!$C:$C,[10]ALL!$N:$N,"Tidak Ditemukan")</f>
        <v>I GEDE BAGUS ADI SURYAWAN , ST</v>
      </c>
      <c r="G1434" s="21"/>
    </row>
    <row r="1435" spans="2:7">
      <c r="B1435" s="22" t="s">
        <v>1455</v>
      </c>
      <c r="C1435" s="23" t="s">
        <v>1456</v>
      </c>
      <c r="D1435" s="24" t="s">
        <v>1480</v>
      </c>
      <c r="E1435" s="25" t="s">
        <v>1745</v>
      </c>
      <c r="F1435" s="16" t="str">
        <f>_xlfn.XLOOKUP(D1435,[10]ALL!$C:$C,[10]ALL!$N:$N,"Tidak Ditemukan")</f>
        <v>I GEDE BAGUS ADI SURYAWAN , ST</v>
      </c>
      <c r="G1435" s="21"/>
    </row>
    <row r="1436" spans="2:7">
      <c r="B1436" s="22" t="s">
        <v>1455</v>
      </c>
      <c r="C1436" s="23" t="s">
        <v>1456</v>
      </c>
      <c r="D1436" s="24" t="s">
        <v>1481</v>
      </c>
      <c r="E1436" s="25" t="s">
        <v>1745</v>
      </c>
      <c r="F1436" s="16" t="str">
        <f>_xlfn.XLOOKUP(D1436,[10]ALL!$C:$C,[10]ALL!$N:$N,"Tidak Ditemukan")</f>
        <v>Abi Hilmawan</v>
      </c>
      <c r="G1436" s="21"/>
    </row>
    <row r="1437" spans="2:7">
      <c r="B1437" s="22" t="s">
        <v>1455</v>
      </c>
      <c r="C1437" s="23" t="s">
        <v>1456</v>
      </c>
      <c r="D1437" s="24" t="s">
        <v>1482</v>
      </c>
      <c r="E1437" s="25" t="s">
        <v>1745</v>
      </c>
      <c r="F1437" s="16" t="str">
        <f>_xlfn.XLOOKUP(D1437,[10]ALL!$C:$C,[10]ALL!$N:$N,"Tidak Ditemukan")</f>
        <v>I KOMANG FERI INDRAJAYA</v>
      </c>
      <c r="G1437" s="21"/>
    </row>
    <row r="1438" spans="2:7">
      <c r="B1438" s="22" t="s">
        <v>1455</v>
      </c>
      <c r="C1438" s="23" t="s">
        <v>1456</v>
      </c>
      <c r="D1438" s="24" t="s">
        <v>1483</v>
      </c>
      <c r="E1438" s="25" t="s">
        <v>1745</v>
      </c>
      <c r="F1438" s="16" t="str">
        <f>_xlfn.XLOOKUP(D1438,[10]ALL!$C:$C,[10]ALL!$N:$N,"Tidak Ditemukan")</f>
        <v>MUHAMMAD JUMADIL</v>
      </c>
      <c r="G1438" s="21"/>
    </row>
    <row r="1439" spans="2:7">
      <c r="B1439" s="22" t="s">
        <v>1455</v>
      </c>
      <c r="C1439" s="23" t="s">
        <v>1456</v>
      </c>
      <c r="D1439" s="24" t="s">
        <v>1484</v>
      </c>
      <c r="E1439" s="25" t="s">
        <v>1745</v>
      </c>
      <c r="F1439" s="16" t="str">
        <f>_xlfn.XLOOKUP(D1439,[10]ALL!$C:$C,[10]ALL!$N:$N,"Tidak Ditemukan")</f>
        <v>KADEK DWIPA ANGGARASTRA</v>
      </c>
      <c r="G1439" s="21"/>
    </row>
    <row r="1440" spans="2:7">
      <c r="B1440" s="22" t="s">
        <v>1455</v>
      </c>
      <c r="C1440" s="23" t="s">
        <v>1456</v>
      </c>
      <c r="D1440" s="24" t="s">
        <v>1485</v>
      </c>
      <c r="E1440" s="25" t="s">
        <v>1745</v>
      </c>
      <c r="F1440" s="16" t="str">
        <f>_xlfn.XLOOKUP(D1440,[10]ALL!$C:$C,[10]ALL!$N:$N,"Tidak Ditemukan")</f>
        <v>GUSTI NGURAH ARY RAKA DARMAYASA, SE.MM</v>
      </c>
      <c r="G1440" s="21"/>
    </row>
    <row r="1441" spans="2:7">
      <c r="B1441" s="22" t="s">
        <v>1455</v>
      </c>
      <c r="C1441" s="23" t="s">
        <v>1456</v>
      </c>
      <c r="D1441" s="24" t="s">
        <v>1486</v>
      </c>
      <c r="E1441" s="25" t="s">
        <v>1745</v>
      </c>
      <c r="F1441" s="16" t="str">
        <f>_xlfn.XLOOKUP(D1441,[10]ALL!$C:$C,[10]ALL!$N:$N,"Tidak Ditemukan")</f>
        <v>DWIKY REZA ARDANI WINAHARA</v>
      </c>
      <c r="G1441" s="21"/>
    </row>
    <row r="1442" spans="2:7">
      <c r="B1442" s="22" t="s">
        <v>1455</v>
      </c>
      <c r="C1442" s="23" t="s">
        <v>1456</v>
      </c>
      <c r="D1442" s="24" t="s">
        <v>1487</v>
      </c>
      <c r="E1442" s="25" t="s">
        <v>1745</v>
      </c>
      <c r="F1442" s="16" t="str">
        <f>_xlfn.XLOOKUP(D1442,[10]ALL!$C:$C,[10]ALL!$N:$N,"Tidak Ditemukan")</f>
        <v>NI WAYAN ELSA SEPTIANA INDRIANI</v>
      </c>
      <c r="G1442" s="21"/>
    </row>
    <row r="1443" spans="2:7">
      <c r="B1443" s="22" t="s">
        <v>1455</v>
      </c>
      <c r="C1443" s="23" t="s">
        <v>1456</v>
      </c>
      <c r="D1443" s="24" t="s">
        <v>1488</v>
      </c>
      <c r="E1443" s="25" t="s">
        <v>1745</v>
      </c>
      <c r="F1443" s="16" t="str">
        <f>_xlfn.XLOOKUP(D1443,[10]ALL!$C:$C,[10]ALL!$N:$N,"Tidak Ditemukan")</f>
        <v>GUSTI NGURAH ARY RAKA DARMAYASA, SE.MM</v>
      </c>
      <c r="G1443" s="21"/>
    </row>
    <row r="1444" spans="2:7">
      <c r="B1444" s="22" t="s">
        <v>1455</v>
      </c>
      <c r="C1444" s="23" t="s">
        <v>1456</v>
      </c>
      <c r="D1444" s="24" t="s">
        <v>1489</v>
      </c>
      <c r="E1444" s="25" t="s">
        <v>1745</v>
      </c>
      <c r="F1444" s="16" t="str">
        <f>_xlfn.XLOOKUP(D1444,[10]ALL!$C:$C,[10]ALL!$N:$N,"Tidak Ditemukan")</f>
        <v>GUSTI NGURAH ARY RAKA DARMAYASA, SE.MM</v>
      </c>
      <c r="G1444" s="21"/>
    </row>
    <row r="1445" spans="2:7">
      <c r="B1445" s="22" t="s">
        <v>1455</v>
      </c>
      <c r="C1445" s="23" t="s">
        <v>1456</v>
      </c>
      <c r="D1445" s="24" t="s">
        <v>1490</v>
      </c>
      <c r="E1445" s="25" t="s">
        <v>1745</v>
      </c>
      <c r="F1445" s="16" t="str">
        <f>_xlfn.XLOOKUP(D1445,[10]ALL!$C:$C,[10]ALL!$N:$N,"Tidak Ditemukan")</f>
        <v>NI WAYAN ELSA SEPTIANA INDRIANI</v>
      </c>
      <c r="G1445" s="21"/>
    </row>
    <row r="1446" spans="2:7">
      <c r="B1446" s="22" t="s">
        <v>1455</v>
      </c>
      <c r="C1446" s="23" t="s">
        <v>1456</v>
      </c>
      <c r="D1446" s="24" t="s">
        <v>1491</v>
      </c>
      <c r="E1446" s="25" t="s">
        <v>1745</v>
      </c>
      <c r="F1446" s="16" t="str">
        <f>_xlfn.XLOOKUP(D1446,[10]ALL!$C:$C,[10]ALL!$N:$N,"Tidak Ditemukan")</f>
        <v>KADEK DWIPA ANGGARASTRA</v>
      </c>
      <c r="G1446" s="21"/>
    </row>
    <row r="1447" spans="2:7">
      <c r="B1447" s="22" t="s">
        <v>1455</v>
      </c>
      <c r="C1447" s="23" t="s">
        <v>1456</v>
      </c>
      <c r="D1447" s="24" t="s">
        <v>1492</v>
      </c>
      <c r="E1447" s="25" t="s">
        <v>1722</v>
      </c>
      <c r="F1447" s="16" t="str">
        <f>_xlfn.XLOOKUP(D1447,[10]ALL!$C:$C,[10]ALL!$N:$N,"Tidak Ditemukan")</f>
        <v>MUHAMMAD TONY NUGRAHA</v>
      </c>
      <c r="G1447" s="21"/>
    </row>
    <row r="1448" spans="2:7">
      <c r="B1448" s="22" t="s">
        <v>1455</v>
      </c>
      <c r="C1448" s="23" t="s">
        <v>1456</v>
      </c>
      <c r="D1448" s="24" t="s">
        <v>1493</v>
      </c>
      <c r="E1448" s="25" t="s">
        <v>1722</v>
      </c>
      <c r="F1448" s="16" t="str">
        <f>_xlfn.XLOOKUP(D1448,[10]ALL!$C:$C,[10]ALL!$N:$N,"Tidak Ditemukan")</f>
        <v>Abi Hilmawan</v>
      </c>
      <c r="G1448" s="21"/>
    </row>
    <row r="1449" spans="2:7">
      <c r="B1449" s="22" t="s">
        <v>1455</v>
      </c>
      <c r="C1449" s="23" t="s">
        <v>1456</v>
      </c>
      <c r="D1449" s="24" t="s">
        <v>1494</v>
      </c>
      <c r="E1449" s="25" t="s">
        <v>1722</v>
      </c>
      <c r="F1449" s="16" t="str">
        <f>_xlfn.XLOOKUP(D1449,[10]ALL!$C:$C,[10]ALL!$N:$N,"Tidak Ditemukan")</f>
        <v>CICI TRISNAWATI NGGILLI</v>
      </c>
      <c r="G1449" s="21"/>
    </row>
    <row r="1450" spans="2:7">
      <c r="B1450" s="22" t="s">
        <v>1455</v>
      </c>
      <c r="C1450" s="23" t="s">
        <v>1456</v>
      </c>
      <c r="D1450" s="24" t="s">
        <v>1495</v>
      </c>
      <c r="E1450" s="25" t="s">
        <v>1722</v>
      </c>
      <c r="F1450" s="16" t="str">
        <f>_xlfn.XLOOKUP(D1450,[10]ALL!$C:$C,[10]ALL!$N:$N,"Tidak Ditemukan")</f>
        <v>PETRUS TRIMULIA WANGGA DALA</v>
      </c>
      <c r="G1450" s="21"/>
    </row>
    <row r="1451" spans="2:7">
      <c r="B1451" s="22" t="s">
        <v>1455</v>
      </c>
      <c r="C1451" s="23" t="s">
        <v>1456</v>
      </c>
      <c r="D1451" s="24" t="s">
        <v>1496</v>
      </c>
      <c r="E1451" s="25" t="s">
        <v>1722</v>
      </c>
      <c r="F1451" s="16" t="str">
        <f>_xlfn.XLOOKUP(D1451,[10]ALL!$C:$C,[10]ALL!$N:$N,"Tidak Ditemukan")</f>
        <v>SYARIFUDDIN</v>
      </c>
      <c r="G1451" s="21"/>
    </row>
    <row r="1452" spans="2:7">
      <c r="B1452" s="22" t="s">
        <v>1455</v>
      </c>
      <c r="C1452" s="23" t="s">
        <v>1456</v>
      </c>
      <c r="D1452" s="24" t="s">
        <v>1497</v>
      </c>
      <c r="E1452" s="25" t="s">
        <v>1722</v>
      </c>
      <c r="F1452" s="16" t="str">
        <f>_xlfn.XLOOKUP(D1452,[10]ALL!$C:$C,[10]ALL!$N:$N,"Tidak Ditemukan")</f>
        <v>Suhardi</v>
      </c>
      <c r="G1452" s="21"/>
    </row>
    <row r="1453" spans="2:7">
      <c r="B1453" s="22" t="s">
        <v>1455</v>
      </c>
      <c r="C1453" s="23" t="s">
        <v>1456</v>
      </c>
      <c r="D1453" s="24" t="s">
        <v>1498</v>
      </c>
      <c r="E1453" s="25" t="s">
        <v>1722</v>
      </c>
      <c r="F1453" s="16" t="str">
        <f>_xlfn.XLOOKUP(D1453,[10]ALL!$C:$C,[10]ALL!$N:$N,"Tidak Ditemukan")</f>
        <v>M. SALAHUDIN</v>
      </c>
      <c r="G1453" s="21"/>
    </row>
    <row r="1454" spans="2:7">
      <c r="B1454" s="22" t="s">
        <v>1455</v>
      </c>
      <c r="C1454" s="23" t="s">
        <v>1456</v>
      </c>
      <c r="D1454" s="24" t="s">
        <v>1499</v>
      </c>
      <c r="E1454" s="25" t="s">
        <v>1722</v>
      </c>
      <c r="F1454" s="16" t="str">
        <f>_xlfn.XLOOKUP(D1454,[10]ALL!$C:$C,[10]ALL!$N:$N,"Tidak Ditemukan")</f>
        <v>Abi Hilmawan</v>
      </c>
      <c r="G1454" s="21"/>
    </row>
    <row r="1455" spans="2:7">
      <c r="B1455" s="22" t="s">
        <v>1455</v>
      </c>
      <c r="C1455" s="23" t="s">
        <v>1456</v>
      </c>
      <c r="D1455" s="24" t="s">
        <v>1500</v>
      </c>
      <c r="E1455" s="25" t="s">
        <v>1722</v>
      </c>
      <c r="F1455" s="16" t="str">
        <f>_xlfn.XLOOKUP(D1455,[10]ALL!$C:$C,[10]ALL!$N:$N,"Tidak Ditemukan")</f>
        <v>RITA HERMAWATI</v>
      </c>
      <c r="G1455" s="21"/>
    </row>
    <row r="1456" spans="2:7">
      <c r="B1456" s="22" t="s">
        <v>1455</v>
      </c>
      <c r="C1456" s="23" t="s">
        <v>1456</v>
      </c>
      <c r="D1456" s="24" t="s">
        <v>1501</v>
      </c>
      <c r="E1456" s="25" t="s">
        <v>1722</v>
      </c>
      <c r="F1456" s="16" t="str">
        <f>_xlfn.XLOOKUP(D1456,[10]ALL!$C:$C,[10]ALL!$N:$N,"Tidak Ditemukan")</f>
        <v>DENI SUSATYO</v>
      </c>
      <c r="G1456" s="21"/>
    </row>
    <row r="1457" spans="2:7">
      <c r="B1457" s="22" t="s">
        <v>1455</v>
      </c>
      <c r="C1457" s="23" t="s">
        <v>1456</v>
      </c>
      <c r="D1457" s="24" t="s">
        <v>1502</v>
      </c>
      <c r="E1457" s="25" t="s">
        <v>1722</v>
      </c>
      <c r="F1457" s="16" t="str">
        <f>_xlfn.XLOOKUP(D1457,[10]ALL!$C:$C,[10]ALL!$N:$N,"Tidak Ditemukan")</f>
        <v>MUHAMMAD TONY NUGRAHA</v>
      </c>
      <c r="G1457" s="21"/>
    </row>
    <row r="1458" spans="2:7">
      <c r="B1458" s="22" t="s">
        <v>1455</v>
      </c>
      <c r="C1458" s="23" t="s">
        <v>1456</v>
      </c>
      <c r="D1458" s="24" t="s">
        <v>1503</v>
      </c>
      <c r="E1458" s="25" t="s">
        <v>1722</v>
      </c>
      <c r="F1458" s="16" t="str">
        <f>_xlfn.XLOOKUP(D1458,[10]ALL!$C:$C,[10]ALL!$N:$N,"Tidak Ditemukan")</f>
        <v>MUHAMMAD JUMADIL</v>
      </c>
      <c r="G1458" s="21"/>
    </row>
    <row r="1459" spans="2:7">
      <c r="B1459" s="22" t="s">
        <v>1455</v>
      </c>
      <c r="C1459" s="23" t="s">
        <v>1456</v>
      </c>
      <c r="D1459" s="24" t="s">
        <v>1504</v>
      </c>
      <c r="E1459" s="25" t="s">
        <v>1722</v>
      </c>
      <c r="F1459" s="16" t="str">
        <f>_xlfn.XLOOKUP(D1459,[10]ALL!$C:$C,[10]ALL!$N:$N,"Tidak Ditemukan")</f>
        <v>EKAYASA EBENHAEZER SANDY KALLA</v>
      </c>
      <c r="G1459" s="21"/>
    </row>
    <row r="1460" spans="2:7">
      <c r="B1460" s="22" t="s">
        <v>1455</v>
      </c>
      <c r="C1460" s="23" t="s">
        <v>1456</v>
      </c>
      <c r="D1460" s="24" t="s">
        <v>1505</v>
      </c>
      <c r="E1460" s="25" t="s">
        <v>1722</v>
      </c>
      <c r="F1460" s="16" t="str">
        <f>_xlfn.XLOOKUP(D1460,[10]ALL!$C:$C,[10]ALL!$N:$N,"Tidak Ditemukan")</f>
        <v>CICI TRISNAWATI NGGILLI</v>
      </c>
      <c r="G1460" s="21"/>
    </row>
    <row r="1461" spans="2:7">
      <c r="B1461" s="22" t="s">
        <v>1455</v>
      </c>
      <c r="C1461" s="23" t="s">
        <v>1456</v>
      </c>
      <c r="D1461" s="24" t="s">
        <v>1506</v>
      </c>
      <c r="E1461" s="25" t="s">
        <v>1722</v>
      </c>
      <c r="F1461" s="16" t="str">
        <f>_xlfn.XLOOKUP(D1461,[10]ALL!$C:$C,[10]ALL!$N:$N,"Tidak Ditemukan")</f>
        <v>ALOYSIUS RIWANTO</v>
      </c>
      <c r="G1461" s="21"/>
    </row>
    <row r="1462" spans="2:7">
      <c r="B1462" s="22" t="s">
        <v>1455</v>
      </c>
      <c r="C1462" s="23" t="s">
        <v>1456</v>
      </c>
      <c r="D1462" s="24" t="s">
        <v>1507</v>
      </c>
      <c r="E1462" s="25" t="s">
        <v>1722</v>
      </c>
      <c r="F1462" s="16" t="str">
        <f>_xlfn.XLOOKUP(D1462,[10]ALL!$C:$C,[10]ALL!$N:$N,"Tidak Ditemukan")</f>
        <v>SYARIFUDDIN</v>
      </c>
      <c r="G1462" s="21"/>
    </row>
    <row r="1463" spans="2:7">
      <c r="B1463" s="22" t="s">
        <v>1455</v>
      </c>
      <c r="C1463" s="23" t="s">
        <v>1456</v>
      </c>
      <c r="D1463" s="24" t="s">
        <v>1508</v>
      </c>
      <c r="E1463" s="25" t="s">
        <v>1722</v>
      </c>
      <c r="F1463" s="16" t="str">
        <f>_xlfn.XLOOKUP(D1463,[10]ALL!$C:$C,[10]ALL!$N:$N,"Tidak Ditemukan")</f>
        <v>CICI TRISNAWATI NGGILLI</v>
      </c>
      <c r="G1463" s="21"/>
    </row>
    <row r="1464" spans="2:7">
      <c r="B1464" s="22" t="s">
        <v>1455</v>
      </c>
      <c r="C1464" s="23" t="s">
        <v>1456</v>
      </c>
      <c r="D1464" s="24" t="s">
        <v>1509</v>
      </c>
      <c r="E1464" s="25" t="s">
        <v>1722</v>
      </c>
      <c r="F1464" s="16" t="str">
        <f>_xlfn.XLOOKUP(D1464,[10]ALL!$C:$C,[10]ALL!$N:$N,"Tidak Ditemukan")</f>
        <v>CICI TRISNAWATI NGGILLI</v>
      </c>
      <c r="G1464" s="21"/>
    </row>
    <row r="1465" spans="2:7">
      <c r="B1465" s="22" t="s">
        <v>1455</v>
      </c>
      <c r="C1465" s="23" t="s">
        <v>1456</v>
      </c>
      <c r="D1465" s="24" t="s">
        <v>1510</v>
      </c>
      <c r="E1465" s="25" t="s">
        <v>1722</v>
      </c>
      <c r="F1465" s="16" t="str">
        <f>_xlfn.XLOOKUP(D1465,[10]ALL!$C:$C,[10]ALL!$N:$N,"Tidak Ditemukan")</f>
        <v>PETRUS TRIMULIA WANGGA DALA</v>
      </c>
      <c r="G1465" s="21"/>
    </row>
    <row r="1466" spans="2:7">
      <c r="B1466" s="22" t="s">
        <v>1455</v>
      </c>
      <c r="C1466" s="23" t="s">
        <v>1456</v>
      </c>
      <c r="D1466" s="24" t="s">
        <v>1511</v>
      </c>
      <c r="E1466" s="25" t="s">
        <v>1722</v>
      </c>
      <c r="F1466" s="16" t="str">
        <f>_xlfn.XLOOKUP(D1466,[10]ALL!$C:$C,[10]ALL!$N:$N,"Tidak Ditemukan")</f>
        <v>Abi Hilmawan</v>
      </c>
      <c r="G1466" s="21"/>
    </row>
    <row r="1467" spans="2:7">
      <c r="B1467" s="22" t="s">
        <v>1455</v>
      </c>
      <c r="C1467" s="23" t="s">
        <v>1456</v>
      </c>
      <c r="D1467" s="24" t="s">
        <v>1512</v>
      </c>
      <c r="E1467" s="25" t="s">
        <v>1722</v>
      </c>
      <c r="F1467" s="16" t="str">
        <f>_xlfn.XLOOKUP(D1467,[10]ALL!$C:$C,[10]ALL!$N:$N,"Tidak Ditemukan")</f>
        <v>CHINDY BIRE</v>
      </c>
      <c r="G1467" s="21"/>
    </row>
    <row r="1468" spans="2:7">
      <c r="B1468" s="22" t="s">
        <v>1455</v>
      </c>
      <c r="C1468" s="23" t="s">
        <v>1456</v>
      </c>
      <c r="D1468" s="24" t="s">
        <v>1513</v>
      </c>
      <c r="E1468" s="25" t="s">
        <v>1722</v>
      </c>
      <c r="F1468" s="16" t="str">
        <f>_xlfn.XLOOKUP(D1468,[10]ALL!$C:$C,[10]ALL!$N:$N,"Tidak Ditemukan")</f>
        <v>MANAHAN SIMATUPANG SIBURIAN</v>
      </c>
      <c r="G1468" s="21"/>
    </row>
    <row r="1469" spans="2:7">
      <c r="B1469" s="22" t="s">
        <v>1455</v>
      </c>
      <c r="C1469" s="23" t="s">
        <v>1456</v>
      </c>
      <c r="D1469" s="24" t="s">
        <v>1514</v>
      </c>
      <c r="E1469" s="25" t="s">
        <v>1722</v>
      </c>
      <c r="F1469" s="16" t="str">
        <f>_xlfn.XLOOKUP(D1469,[10]ALL!$C:$C,[10]ALL!$N:$N,"Tidak Ditemukan")</f>
        <v>ADRIAN ALFANDION BENU</v>
      </c>
      <c r="G1469" s="21"/>
    </row>
    <row r="1470" spans="2:7">
      <c r="B1470" s="22" t="s">
        <v>1455</v>
      </c>
      <c r="C1470" s="23" t="s">
        <v>1456</v>
      </c>
      <c r="D1470" s="24" t="s">
        <v>1515</v>
      </c>
      <c r="E1470" s="25" t="s">
        <v>1722</v>
      </c>
      <c r="F1470" s="16" t="str">
        <f>_xlfn.XLOOKUP(D1470,[10]ALL!$C:$C,[10]ALL!$N:$N,"Tidak Ditemukan")</f>
        <v>MUHAMMAD JUMADIL</v>
      </c>
      <c r="G1470" s="21"/>
    </row>
    <row r="1471" spans="2:7">
      <c r="B1471" s="22" t="s">
        <v>1455</v>
      </c>
      <c r="C1471" s="23" t="s">
        <v>1456</v>
      </c>
      <c r="D1471" s="24" t="s">
        <v>1516</v>
      </c>
      <c r="E1471" s="25" t="s">
        <v>1722</v>
      </c>
      <c r="F1471" s="16" t="str">
        <f>_xlfn.XLOOKUP(D1471,[10]ALL!$C:$C,[10]ALL!$N:$N,"Tidak Ditemukan")</f>
        <v>MUHAMMAD JUMADIL</v>
      </c>
      <c r="G1471" s="21"/>
    </row>
    <row r="1472" spans="2:7">
      <c r="B1472" s="22" t="s">
        <v>1455</v>
      </c>
      <c r="C1472" s="23" t="s">
        <v>1456</v>
      </c>
      <c r="D1472" s="24" t="s">
        <v>1517</v>
      </c>
      <c r="E1472" s="25" t="s">
        <v>1722</v>
      </c>
      <c r="F1472" s="16" t="str">
        <f>_xlfn.XLOOKUP(D1472,[10]ALL!$C:$C,[10]ALL!$N:$N,"Tidak Ditemukan")</f>
        <v>MUHAMMAD JUMADIL</v>
      </c>
      <c r="G1472" s="21"/>
    </row>
    <row r="1473" spans="2:7">
      <c r="B1473" s="22" t="s">
        <v>1455</v>
      </c>
      <c r="C1473" s="23" t="s">
        <v>1456</v>
      </c>
      <c r="D1473" s="24" t="s">
        <v>1518</v>
      </c>
      <c r="E1473" s="25" t="s">
        <v>1722</v>
      </c>
      <c r="F1473" s="16" t="str">
        <f>_xlfn.XLOOKUP(D1473,[10]ALL!$C:$C,[10]ALL!$N:$N,"Tidak Ditemukan")</f>
        <v>CHINDY BIRE</v>
      </c>
      <c r="G1473" s="21"/>
    </row>
    <row r="1474" spans="2:7">
      <c r="B1474" s="22" t="s">
        <v>1455</v>
      </c>
      <c r="C1474" s="23" t="s">
        <v>1456</v>
      </c>
      <c r="D1474" s="24" t="s">
        <v>1519</v>
      </c>
      <c r="E1474" s="25" t="s">
        <v>1722</v>
      </c>
      <c r="F1474" s="16" t="str">
        <f>_xlfn.XLOOKUP(D1474,[10]ALL!$C:$C,[10]ALL!$N:$N,"Tidak Ditemukan")</f>
        <v>JUNEIDI ANDRI MANDALA</v>
      </c>
      <c r="G1474" s="21"/>
    </row>
    <row r="1475" spans="2:7">
      <c r="B1475" s="22" t="s">
        <v>1455</v>
      </c>
      <c r="C1475" s="23" t="s">
        <v>1456</v>
      </c>
      <c r="D1475" s="24" t="s">
        <v>1520</v>
      </c>
      <c r="E1475" s="25" t="s">
        <v>1722</v>
      </c>
      <c r="F1475" s="16" t="str">
        <f>_xlfn.XLOOKUP(D1475,[10]ALL!$C:$C,[10]ALL!$N:$N,"Tidak Ditemukan")</f>
        <v>FELIX DEMASIUS FOENAY</v>
      </c>
      <c r="G1475" s="21"/>
    </row>
    <row r="1476" spans="2:7">
      <c r="B1476" s="22" t="s">
        <v>1455</v>
      </c>
      <c r="C1476" s="23" t="s">
        <v>1456</v>
      </c>
      <c r="D1476" s="24" t="s">
        <v>1521</v>
      </c>
      <c r="E1476" s="25" t="s">
        <v>1722</v>
      </c>
      <c r="F1476" s="16" t="str">
        <f>_xlfn.XLOOKUP(D1476,[10]ALL!$C:$C,[10]ALL!$N:$N,"Tidak Ditemukan")</f>
        <v>MUHAMMAD JUMADIL</v>
      </c>
      <c r="G1476" s="21"/>
    </row>
    <row r="1477" spans="2:7">
      <c r="B1477" s="22" t="s">
        <v>1455</v>
      </c>
      <c r="C1477" s="23" t="s">
        <v>1456</v>
      </c>
      <c r="D1477" s="24" t="s">
        <v>1522</v>
      </c>
      <c r="E1477" s="25" t="s">
        <v>1722</v>
      </c>
      <c r="F1477" s="16" t="str">
        <f>_xlfn.XLOOKUP(D1477,[10]ALL!$C:$C,[10]ALL!$N:$N,"Tidak Ditemukan")</f>
        <v>ARMIYATI BULU</v>
      </c>
      <c r="G1477" s="21"/>
    </row>
    <row r="1478" spans="2:7">
      <c r="B1478" s="22" t="s">
        <v>1455</v>
      </c>
      <c r="C1478" s="23" t="s">
        <v>1456</v>
      </c>
      <c r="D1478" s="24" t="s">
        <v>1523</v>
      </c>
      <c r="E1478" s="25" t="s">
        <v>1722</v>
      </c>
      <c r="F1478" s="16" t="str">
        <f>_xlfn.XLOOKUP(D1478,[10]ALL!$C:$C,[10]ALL!$N:$N,"Tidak Ditemukan")</f>
        <v>PETRUS TRIMULIA WANGGA DALA</v>
      </c>
      <c r="G1478" s="21"/>
    </row>
    <row r="1479" spans="2:7">
      <c r="B1479" s="22" t="s">
        <v>1455</v>
      </c>
      <c r="C1479" s="23" t="s">
        <v>1456</v>
      </c>
      <c r="D1479" s="24" t="s">
        <v>1524</v>
      </c>
      <c r="E1479" s="25" t="s">
        <v>1722</v>
      </c>
      <c r="F1479" s="16" t="str">
        <f>_xlfn.XLOOKUP(D1479,[10]ALL!$C:$C,[10]ALL!$N:$N,"Tidak Ditemukan")</f>
        <v>CICI TRISNAWATI NGGILLI</v>
      </c>
      <c r="G1479" s="21"/>
    </row>
    <row r="1480" spans="2:7">
      <c r="B1480" s="22" t="s">
        <v>1455</v>
      </c>
      <c r="C1480" s="23" t="s">
        <v>1456</v>
      </c>
      <c r="D1480" s="24" t="s">
        <v>1525</v>
      </c>
      <c r="E1480" s="25" t="s">
        <v>1722</v>
      </c>
      <c r="F1480" s="16" t="str">
        <f>_xlfn.XLOOKUP(D1480,[10]ALL!$C:$C,[10]ALL!$N:$N,"Tidak Ditemukan")</f>
        <v>MUHAMMAD JUMADIL</v>
      </c>
      <c r="G1480" s="21"/>
    </row>
    <row r="1481" spans="2:7">
      <c r="B1481" s="22" t="s">
        <v>1455</v>
      </c>
      <c r="C1481" s="23" t="s">
        <v>1456</v>
      </c>
      <c r="D1481" s="24" t="s">
        <v>1526</v>
      </c>
      <c r="E1481" s="25" t="s">
        <v>1722</v>
      </c>
      <c r="F1481" s="16" t="str">
        <f>_xlfn.XLOOKUP(D1481,[10]ALL!$C:$C,[10]ALL!$N:$N,"Tidak Ditemukan")</f>
        <v>PUTRY PRATIWY ELISABETH KAMEO</v>
      </c>
      <c r="G1481" s="21"/>
    </row>
    <row r="1482" spans="2:7">
      <c r="B1482" s="22" t="s">
        <v>1455</v>
      </c>
      <c r="C1482" s="23" t="s">
        <v>1456</v>
      </c>
      <c r="D1482" s="24" t="s">
        <v>1527</v>
      </c>
      <c r="E1482" s="25" t="s">
        <v>1722</v>
      </c>
      <c r="F1482" s="16" t="str">
        <f>_xlfn.XLOOKUP(D1482,[10]ALL!$C:$C,[10]ALL!$N:$N,"Tidak Ditemukan")</f>
        <v>M. SALAHUDIN</v>
      </c>
      <c r="G1482" s="21"/>
    </row>
    <row r="1483" spans="2:7">
      <c r="B1483" s="22" t="s">
        <v>1455</v>
      </c>
      <c r="C1483" s="23" t="s">
        <v>1456</v>
      </c>
      <c r="D1483" s="24" t="s">
        <v>1528</v>
      </c>
      <c r="E1483" s="25" t="s">
        <v>1722</v>
      </c>
      <c r="F1483" s="16" t="str">
        <f>_xlfn.XLOOKUP(D1483,[10]ALL!$C:$C,[10]ALL!$N:$N,"Tidak Ditemukan")</f>
        <v>ARMIYATI BULU</v>
      </c>
      <c r="G1483" s="21"/>
    </row>
    <row r="1484" spans="2:7">
      <c r="B1484" s="22" t="s">
        <v>1455</v>
      </c>
      <c r="C1484" s="23" t="s">
        <v>1456</v>
      </c>
      <c r="D1484" s="24" t="s">
        <v>1529</v>
      </c>
      <c r="E1484" s="25" t="s">
        <v>1722</v>
      </c>
      <c r="F1484" s="16" t="str">
        <f>_xlfn.XLOOKUP(D1484,[10]ALL!$C:$C,[10]ALL!$N:$N,"Tidak Ditemukan")</f>
        <v>ISMAIL ABDURAHMAN MARO</v>
      </c>
      <c r="G1484" s="21"/>
    </row>
    <row r="1485" spans="2:7">
      <c r="B1485" s="22" t="s">
        <v>1455</v>
      </c>
      <c r="C1485" s="23" t="s">
        <v>1456</v>
      </c>
      <c r="D1485" s="24" t="s">
        <v>1530</v>
      </c>
      <c r="E1485" s="25" t="s">
        <v>1722</v>
      </c>
      <c r="F1485" s="16" t="str">
        <f>_xlfn.XLOOKUP(D1485,[10]ALL!$C:$C,[10]ALL!$N:$N,"Tidak Ditemukan")</f>
        <v>ALOYSIUS RIWANTO</v>
      </c>
      <c r="G1485" s="21"/>
    </row>
    <row r="1486" spans="2:7">
      <c r="B1486" s="22" t="s">
        <v>1455</v>
      </c>
      <c r="C1486" s="23" t="s">
        <v>1456</v>
      </c>
      <c r="D1486" s="24" t="s">
        <v>1531</v>
      </c>
      <c r="E1486" s="25" t="s">
        <v>1722</v>
      </c>
      <c r="F1486" s="16" t="str">
        <f>_xlfn.XLOOKUP(D1486,[10]ALL!$C:$C,[10]ALL!$N:$N,"Tidak Ditemukan")</f>
        <v>ALOYSIUS RIWANTO</v>
      </c>
      <c r="G1486" s="21"/>
    </row>
    <row r="1487" spans="2:7">
      <c r="B1487" s="22" t="s">
        <v>1455</v>
      </c>
      <c r="C1487" s="23" t="s">
        <v>1456</v>
      </c>
      <c r="D1487" s="24" t="s">
        <v>1532</v>
      </c>
      <c r="E1487" s="25" t="s">
        <v>1722</v>
      </c>
      <c r="F1487" s="16" t="str">
        <f>_xlfn.XLOOKUP(D1487,[10]ALL!$C:$C,[10]ALL!$N:$N,"Tidak Ditemukan")</f>
        <v>PETRUS TRIMULIA WANGGA DALA</v>
      </c>
      <c r="G1487" s="21"/>
    </row>
    <row r="1488" spans="2:7">
      <c r="B1488" s="22" t="s">
        <v>1455</v>
      </c>
      <c r="C1488" s="23" t="s">
        <v>1456</v>
      </c>
      <c r="D1488" s="24" t="s">
        <v>1533</v>
      </c>
      <c r="E1488" s="25" t="s">
        <v>1722</v>
      </c>
      <c r="F1488" s="16" t="str">
        <f>_xlfn.XLOOKUP(D1488,[10]ALL!$C:$C,[10]ALL!$N:$N,"Tidak Ditemukan")</f>
        <v>ARMIYATI BULU</v>
      </c>
      <c r="G1488" s="21"/>
    </row>
    <row r="1489" spans="2:7">
      <c r="B1489" s="22" t="s">
        <v>1455</v>
      </c>
      <c r="C1489" s="23" t="s">
        <v>1456</v>
      </c>
      <c r="D1489" s="24" t="s">
        <v>1534</v>
      </c>
      <c r="E1489" s="25" t="s">
        <v>1722</v>
      </c>
      <c r="F1489" s="16" t="str">
        <f>_xlfn.XLOOKUP(D1489,[10]ALL!$C:$C,[10]ALL!$N:$N,"Tidak Ditemukan")</f>
        <v>ALOYSIUS RIWANTO</v>
      </c>
      <c r="G1489" s="21"/>
    </row>
    <row r="1490" spans="2:7">
      <c r="B1490" s="22" t="s">
        <v>1455</v>
      </c>
      <c r="C1490" s="23" t="s">
        <v>1456</v>
      </c>
      <c r="D1490" s="24" t="s">
        <v>1535</v>
      </c>
      <c r="E1490" s="25" t="s">
        <v>1722</v>
      </c>
      <c r="F1490" s="16" t="str">
        <f>_xlfn.XLOOKUP(D1490,[10]ALL!$C:$C,[10]ALL!$N:$N,"Tidak Ditemukan")</f>
        <v>PETRUS TRIMULIA WANGGA DALA</v>
      </c>
      <c r="G1490" s="21"/>
    </row>
    <row r="1491" spans="2:7">
      <c r="B1491" s="22" t="s">
        <v>1455</v>
      </c>
      <c r="C1491" s="23" t="s">
        <v>1456</v>
      </c>
      <c r="D1491" s="24" t="s">
        <v>1536</v>
      </c>
      <c r="E1491" s="25" t="s">
        <v>1722</v>
      </c>
      <c r="F1491" s="16" t="str">
        <f>_xlfn.XLOOKUP(D1491,[10]ALL!$C:$C,[10]ALL!$N:$N,"Tidak Ditemukan")</f>
        <v>CHINDY BIRE</v>
      </c>
      <c r="G1491" s="21"/>
    </row>
    <row r="1492" spans="2:7">
      <c r="B1492" s="22" t="s">
        <v>1455</v>
      </c>
      <c r="C1492" s="23" t="s">
        <v>1456</v>
      </c>
      <c r="D1492" s="24" t="s">
        <v>1537</v>
      </c>
      <c r="E1492" s="25" t="s">
        <v>1722</v>
      </c>
      <c r="F1492" s="16" t="str">
        <f>_xlfn.XLOOKUP(D1492,[10]ALL!$C:$C,[10]ALL!$N:$N,"Tidak Ditemukan")</f>
        <v>FAHRURRAZI</v>
      </c>
      <c r="G1492" s="21"/>
    </row>
    <row r="1493" spans="2:7">
      <c r="B1493" s="22" t="s">
        <v>1455</v>
      </c>
      <c r="C1493" s="23" t="s">
        <v>1456</v>
      </c>
      <c r="D1493" s="24" t="s">
        <v>1538</v>
      </c>
      <c r="E1493" s="25" t="s">
        <v>1722</v>
      </c>
      <c r="F1493" s="16" t="str">
        <f>_xlfn.XLOOKUP(D1493,[10]ALL!$C:$C,[10]ALL!$N:$N,"Tidak Ditemukan")</f>
        <v>PETRUS TRIMULIA WANGGA DALA</v>
      </c>
      <c r="G1493" s="21"/>
    </row>
    <row r="1494" spans="2:7">
      <c r="B1494" s="22" t="s">
        <v>1455</v>
      </c>
      <c r="C1494" s="23" t="s">
        <v>1456</v>
      </c>
      <c r="D1494" s="24" t="s">
        <v>1539</v>
      </c>
      <c r="E1494" s="25" t="s">
        <v>1722</v>
      </c>
      <c r="F1494" s="16" t="str">
        <f>_xlfn.XLOOKUP(D1494,[10]ALL!$C:$C,[10]ALL!$N:$N,"Tidak Ditemukan")</f>
        <v>ALOYSIUS RIWANTO</v>
      </c>
      <c r="G1494" s="21"/>
    </row>
    <row r="1495" spans="2:7">
      <c r="B1495" s="22" t="s">
        <v>1455</v>
      </c>
      <c r="C1495" s="23" t="s">
        <v>1456</v>
      </c>
      <c r="D1495" s="24" t="s">
        <v>1540</v>
      </c>
      <c r="E1495" s="25" t="s">
        <v>1722</v>
      </c>
      <c r="F1495" s="16" t="str">
        <f>_xlfn.XLOOKUP(D1495,[10]ALL!$C:$C,[10]ALL!$N:$N,"Tidak Ditemukan")</f>
        <v>MUHAMMAD JUMADIL</v>
      </c>
      <c r="G1495" s="21"/>
    </row>
    <row r="1496" spans="2:7">
      <c r="B1496" s="22" t="s">
        <v>1455</v>
      </c>
      <c r="C1496" s="23" t="s">
        <v>1456</v>
      </c>
      <c r="D1496" s="24" t="s">
        <v>1541</v>
      </c>
      <c r="E1496" s="25" t="s">
        <v>1722</v>
      </c>
      <c r="F1496" s="16" t="str">
        <f>_xlfn.XLOOKUP(D1496,[10]ALL!$C:$C,[10]ALL!$N:$N,"Tidak Ditemukan")</f>
        <v>I Gd Andika Adi Prasetya Murya</v>
      </c>
      <c r="G1496" s="21"/>
    </row>
    <row r="1497" spans="2:7">
      <c r="B1497" s="22" t="s">
        <v>1455</v>
      </c>
      <c r="C1497" s="23" t="s">
        <v>1456</v>
      </c>
      <c r="D1497" s="24" t="s">
        <v>1542</v>
      </c>
      <c r="E1497" s="25" t="s">
        <v>1722</v>
      </c>
      <c r="F1497" s="16" t="str">
        <f>_xlfn.XLOOKUP(D1497,[10]ALL!$C:$C,[10]ALL!$N:$N,"Tidak Ditemukan")</f>
        <v>MUHAMMAD JUMADIL</v>
      </c>
      <c r="G1497" s="21"/>
    </row>
    <row r="1498" spans="2:7">
      <c r="B1498" s="22" t="s">
        <v>1455</v>
      </c>
      <c r="C1498" s="23" t="s">
        <v>1456</v>
      </c>
      <c r="D1498" s="24" t="s">
        <v>1543</v>
      </c>
      <c r="E1498" s="25" t="s">
        <v>1722</v>
      </c>
      <c r="F1498" s="16" t="str">
        <f>_xlfn.XLOOKUP(D1498,[10]ALL!$C:$C,[10]ALL!$N:$N,"Tidak Ditemukan")</f>
        <v>GUSTI NGURAH ARY RAKA DARMAYASA, SE.MM</v>
      </c>
      <c r="G1498" s="21"/>
    </row>
    <row r="1499" spans="2:7">
      <c r="B1499" s="22" t="s">
        <v>1455</v>
      </c>
      <c r="C1499" s="23" t="s">
        <v>1456</v>
      </c>
      <c r="D1499" s="24" t="s">
        <v>1544</v>
      </c>
      <c r="E1499" s="25" t="s">
        <v>1722</v>
      </c>
      <c r="F1499" s="16" t="str">
        <f>_xlfn.XLOOKUP(D1499,[10]ALL!$C:$C,[10]ALL!$N:$N,"Tidak Ditemukan")</f>
        <v>MUHAMMAD TONY NUGRAHA</v>
      </c>
      <c r="G1499" s="21"/>
    </row>
    <row r="1500" spans="2:7">
      <c r="B1500" s="22" t="s">
        <v>1455</v>
      </c>
      <c r="C1500" s="23" t="s">
        <v>1456</v>
      </c>
      <c r="D1500" s="24" t="s">
        <v>1545</v>
      </c>
      <c r="E1500" s="25" t="s">
        <v>1722</v>
      </c>
      <c r="F1500" s="16" t="str">
        <f>_xlfn.XLOOKUP(D1500,[10]ALL!$C:$C,[10]ALL!$N:$N,"Tidak Ditemukan")</f>
        <v>MUHAMMAD TONY NUGRAHA</v>
      </c>
      <c r="G1500" s="21"/>
    </row>
    <row r="1501" spans="2:7">
      <c r="B1501" s="22" t="s">
        <v>1455</v>
      </c>
      <c r="C1501" s="23" t="s">
        <v>1456</v>
      </c>
      <c r="D1501" s="24" t="s">
        <v>1546</v>
      </c>
      <c r="E1501" s="25" t="s">
        <v>1722</v>
      </c>
      <c r="F1501" s="16" t="str">
        <f>_xlfn.XLOOKUP(D1501,[10]ALL!$C:$C,[10]ALL!$N:$N,"Tidak Ditemukan")</f>
        <v>GUSTI NGURAH ARY RAKA DARMAYASA, SE.MM</v>
      </c>
      <c r="G1501" s="21"/>
    </row>
    <row r="1502" spans="2:7">
      <c r="B1502" s="22" t="s">
        <v>1455</v>
      </c>
      <c r="C1502" s="23" t="s">
        <v>1456</v>
      </c>
      <c r="D1502" s="24" t="s">
        <v>1547</v>
      </c>
      <c r="E1502" s="25" t="s">
        <v>1722</v>
      </c>
      <c r="F1502" s="16" t="str">
        <f>_xlfn.XLOOKUP(D1502,[10]ALL!$C:$C,[10]ALL!$N:$N,"Tidak Ditemukan")</f>
        <v>GEMAYA WANGSA</v>
      </c>
      <c r="G1502" s="21"/>
    </row>
    <row r="1503" spans="2:7">
      <c r="B1503" s="22" t="s">
        <v>1455</v>
      </c>
      <c r="C1503" s="23" t="s">
        <v>1456</v>
      </c>
      <c r="D1503" s="24" t="s">
        <v>1548</v>
      </c>
      <c r="E1503" s="25" t="s">
        <v>1722</v>
      </c>
      <c r="F1503" s="16" t="str">
        <f>_xlfn.XLOOKUP(D1503,[10]ALL!$C:$C,[10]ALL!$N:$N,"Tidak Ditemukan")</f>
        <v>AGUS KADE DIVA RAMANA</v>
      </c>
      <c r="G1503" s="21"/>
    </row>
    <row r="1504" spans="2:7">
      <c r="B1504" s="22" t="s">
        <v>1455</v>
      </c>
      <c r="C1504" s="23" t="s">
        <v>1456</v>
      </c>
      <c r="D1504" s="24" t="s">
        <v>1549</v>
      </c>
      <c r="E1504" s="25" t="s">
        <v>1722</v>
      </c>
      <c r="F1504" s="16" t="str">
        <f>_xlfn.XLOOKUP(D1504,[10]ALL!$C:$C,[10]ALL!$N:$N,"Tidak Ditemukan")</f>
        <v>GEMAYA WANGSA</v>
      </c>
      <c r="G1504" s="21"/>
    </row>
    <row r="1505" spans="2:7">
      <c r="B1505" s="22" t="s">
        <v>1455</v>
      </c>
      <c r="C1505" s="23" t="s">
        <v>1456</v>
      </c>
      <c r="D1505" s="24" t="s">
        <v>1550</v>
      </c>
      <c r="E1505" s="25" t="s">
        <v>1722</v>
      </c>
      <c r="F1505" s="16" t="str">
        <f>_xlfn.XLOOKUP(D1505,[10]ALL!$C:$C,[10]ALL!$N:$N,"Tidak Ditemukan")</f>
        <v>YUNAN FURQONA RAMADHANI</v>
      </c>
      <c r="G1505" s="21"/>
    </row>
    <row r="1506" spans="2:7">
      <c r="B1506" s="22" t="s">
        <v>1455</v>
      </c>
      <c r="C1506" s="23" t="s">
        <v>1456</v>
      </c>
      <c r="D1506" s="24" t="s">
        <v>1551</v>
      </c>
      <c r="E1506" s="25" t="s">
        <v>1722</v>
      </c>
      <c r="F1506" s="16" t="str">
        <f>_xlfn.XLOOKUP(D1506,[10]ALL!$C:$C,[10]ALL!$N:$N,"Tidak Ditemukan")</f>
        <v>I Gd Andika Adi Prasetya Murya</v>
      </c>
      <c r="G1506" s="21"/>
    </row>
    <row r="1507" spans="2:7">
      <c r="B1507" s="22" t="s">
        <v>1455</v>
      </c>
      <c r="C1507" s="23" t="s">
        <v>1456</v>
      </c>
      <c r="D1507" s="24" t="s">
        <v>1552</v>
      </c>
      <c r="E1507" s="25" t="s">
        <v>1722</v>
      </c>
      <c r="F1507" s="16" t="str">
        <f>_xlfn.XLOOKUP(D1507,[10]ALL!$C:$C,[10]ALL!$N:$N,"Tidak Ditemukan")</f>
        <v>I Gd Andika Adi Prasetya Murya</v>
      </c>
      <c r="G1507" s="21"/>
    </row>
    <row r="1508" spans="2:7">
      <c r="B1508" s="22" t="s">
        <v>1455</v>
      </c>
      <c r="C1508" s="23" t="s">
        <v>1456</v>
      </c>
      <c r="D1508" s="24" t="s">
        <v>1553</v>
      </c>
      <c r="E1508" s="25" t="s">
        <v>1722</v>
      </c>
      <c r="F1508" s="16" t="str">
        <f>_xlfn.XLOOKUP(D1508,[10]ALL!$C:$C,[10]ALL!$N:$N,"Tidak Ditemukan")</f>
        <v>AGUSTINUS DICKY PURWONO</v>
      </c>
      <c r="G1508" s="21"/>
    </row>
    <row r="1509" spans="2:7">
      <c r="B1509" s="22" t="s">
        <v>1455</v>
      </c>
      <c r="C1509" s="23" t="s">
        <v>1456</v>
      </c>
      <c r="D1509" s="24" t="s">
        <v>1554</v>
      </c>
      <c r="E1509" s="25" t="s">
        <v>1722</v>
      </c>
      <c r="F1509" s="16" t="str">
        <f>_xlfn.XLOOKUP(D1509,[10]ALL!$C:$C,[10]ALL!$N:$N,"Tidak Ditemukan")</f>
        <v>AGUSTINUS DICKY PURWONO</v>
      </c>
      <c r="G1509" s="21"/>
    </row>
    <row r="1510" spans="2:7">
      <c r="B1510" s="22" t="s">
        <v>1455</v>
      </c>
      <c r="C1510" s="23" t="s">
        <v>1456</v>
      </c>
      <c r="D1510" s="24" t="s">
        <v>1555</v>
      </c>
      <c r="E1510" s="25" t="s">
        <v>1722</v>
      </c>
      <c r="F1510" s="16" t="str">
        <f>_xlfn.XLOOKUP(D1510,[10]ALL!$C:$C,[10]ALL!$N:$N,"Tidak Ditemukan")</f>
        <v>AGUSTINUS DICKY PURWONO</v>
      </c>
      <c r="G1510" s="21"/>
    </row>
    <row r="1511" spans="2:7">
      <c r="B1511" s="22" t="s">
        <v>1455</v>
      </c>
      <c r="C1511" s="23" t="s">
        <v>1456</v>
      </c>
      <c r="D1511" s="24" t="s">
        <v>1556</v>
      </c>
      <c r="E1511" s="25" t="s">
        <v>1722</v>
      </c>
      <c r="F1511" s="16" t="str">
        <f>_xlfn.XLOOKUP(D1511,[10]ALL!$C:$C,[10]ALL!$N:$N,"Tidak Ditemukan")</f>
        <v>AGUSTINUS DICKY PURWONO</v>
      </c>
      <c r="G1511" s="21"/>
    </row>
    <row r="1512" spans="2:7">
      <c r="B1512" s="22" t="s">
        <v>1455</v>
      </c>
      <c r="C1512" s="23" t="s">
        <v>1456</v>
      </c>
      <c r="D1512" s="24" t="s">
        <v>1557</v>
      </c>
      <c r="E1512" s="25" t="s">
        <v>1722</v>
      </c>
      <c r="F1512" s="16" t="str">
        <f>_xlfn.XLOOKUP(D1512,[10]ALL!$C:$C,[10]ALL!$N:$N,"Tidak Ditemukan")</f>
        <v>I Gd Andika Adi Prasetya Murya</v>
      </c>
      <c r="G1512" s="21"/>
    </row>
    <row r="1513" spans="2:7">
      <c r="B1513" s="22" t="s">
        <v>1455</v>
      </c>
      <c r="C1513" s="23" t="s">
        <v>1456</v>
      </c>
      <c r="D1513" s="24" t="s">
        <v>1558</v>
      </c>
      <c r="E1513" s="25" t="s">
        <v>1722</v>
      </c>
      <c r="F1513" s="16" t="str">
        <f>_xlfn.XLOOKUP(D1513,[10]ALL!$C:$C,[10]ALL!$N:$N,"Tidak Ditemukan")</f>
        <v>YUNAN FURQONA RAMADHANI</v>
      </c>
      <c r="G1513" s="21"/>
    </row>
    <row r="1514" spans="2:7">
      <c r="B1514" s="22" t="s">
        <v>1455</v>
      </c>
      <c r="C1514" s="23" t="s">
        <v>1456</v>
      </c>
      <c r="D1514" s="24" t="s">
        <v>1559</v>
      </c>
      <c r="E1514" s="25" t="s">
        <v>1722</v>
      </c>
      <c r="F1514" s="16" t="str">
        <f>_xlfn.XLOOKUP(D1514,[10]ALL!$C:$C,[10]ALL!$N:$N,"Tidak Ditemukan")</f>
        <v>GUSTI NGURAH ARY RAKA DARMAYASA, SE.MM</v>
      </c>
      <c r="G1514" s="21"/>
    </row>
    <row r="1515" spans="2:7">
      <c r="B1515" s="22" t="s">
        <v>1455</v>
      </c>
      <c r="C1515" s="23" t="s">
        <v>1456</v>
      </c>
      <c r="D1515" s="24" t="s">
        <v>1560</v>
      </c>
      <c r="E1515" s="25" t="s">
        <v>1722</v>
      </c>
      <c r="F1515" s="16" t="str">
        <f>_xlfn.XLOOKUP(D1515,[10]ALL!$C:$C,[10]ALL!$N:$N,"Tidak Ditemukan")</f>
        <v>AGUSTINUS DICKY PURWONO</v>
      </c>
      <c r="G1515" s="21"/>
    </row>
    <row r="1516" spans="2:7">
      <c r="B1516" s="22" t="s">
        <v>1455</v>
      </c>
      <c r="C1516" s="23" t="s">
        <v>1456</v>
      </c>
      <c r="D1516" s="24" t="s">
        <v>1561</v>
      </c>
      <c r="E1516" s="25" t="s">
        <v>1722</v>
      </c>
      <c r="F1516" s="16" t="str">
        <f>_xlfn.XLOOKUP(D1516,[10]ALL!$C:$C,[10]ALL!$N:$N,"Tidak Ditemukan")</f>
        <v>GUSTI NGURAH ARY RAKA DARMAYASA, SE.MM</v>
      </c>
      <c r="G1516" s="21"/>
    </row>
    <row r="1517" spans="2:7">
      <c r="B1517" s="22" t="s">
        <v>1455</v>
      </c>
      <c r="C1517" s="23" t="s">
        <v>1456</v>
      </c>
      <c r="D1517" s="24" t="s">
        <v>1562</v>
      </c>
      <c r="E1517" s="25" t="s">
        <v>1722</v>
      </c>
      <c r="F1517" s="16" t="str">
        <f>_xlfn.XLOOKUP(D1517,[10]ALL!$C:$C,[10]ALL!$N:$N,"Tidak Ditemukan")</f>
        <v>YUNAN FURQONA RAMADHANI</v>
      </c>
      <c r="G1517" s="21"/>
    </row>
    <row r="1518" spans="2:7">
      <c r="B1518" s="22" t="s">
        <v>1455</v>
      </c>
      <c r="C1518" s="23" t="s">
        <v>1456</v>
      </c>
      <c r="D1518" s="24" t="s">
        <v>1563</v>
      </c>
      <c r="E1518" s="25" t="s">
        <v>1722</v>
      </c>
      <c r="F1518" s="16" t="str">
        <f>_xlfn.XLOOKUP(D1518,[10]ALL!$C:$C,[10]ALL!$N:$N,"Tidak Ditemukan")</f>
        <v>YUNAN FURQONA RAMADHANI</v>
      </c>
      <c r="G1518" s="21"/>
    </row>
    <row r="1519" spans="2:7">
      <c r="B1519" s="22" t="s">
        <v>1455</v>
      </c>
      <c r="C1519" s="23" t="s">
        <v>1456</v>
      </c>
      <c r="D1519" s="24" t="s">
        <v>1564</v>
      </c>
      <c r="E1519" s="25" t="s">
        <v>1722</v>
      </c>
      <c r="F1519" s="16" t="str">
        <f>_xlfn.XLOOKUP(D1519,[10]ALL!$C:$C,[10]ALL!$N:$N,"Tidak Ditemukan")</f>
        <v>DEAR RAMOS DAMANIK</v>
      </c>
      <c r="G1519" s="21"/>
    </row>
    <row r="1520" spans="2:7">
      <c r="B1520" s="22" t="s">
        <v>1455</v>
      </c>
      <c r="C1520" s="23" t="s">
        <v>1456</v>
      </c>
      <c r="D1520" s="24" t="s">
        <v>1565</v>
      </c>
      <c r="E1520" s="25" t="s">
        <v>1722</v>
      </c>
      <c r="F1520" s="16" t="str">
        <f>_xlfn.XLOOKUP(D1520,[10]ALL!$C:$C,[10]ALL!$N:$N,"Tidak Ditemukan")</f>
        <v>DEAR RAMOS DAMANIK</v>
      </c>
      <c r="G1520" s="21"/>
    </row>
    <row r="1521" spans="2:7">
      <c r="B1521" s="22" t="s">
        <v>1455</v>
      </c>
      <c r="C1521" s="23" t="s">
        <v>1456</v>
      </c>
      <c r="D1521" s="24" t="s">
        <v>1566</v>
      </c>
      <c r="E1521" s="25" t="s">
        <v>1722</v>
      </c>
      <c r="F1521" s="16" t="str">
        <f>_xlfn.XLOOKUP(D1521,[10]ALL!$C:$C,[10]ALL!$N:$N,"Tidak Ditemukan")</f>
        <v>AGUS KADE DIVA RAMANA</v>
      </c>
      <c r="G1521" s="21"/>
    </row>
    <row r="1522" spans="2:7">
      <c r="B1522" s="22" t="s">
        <v>1455</v>
      </c>
      <c r="C1522" s="23" t="s">
        <v>1456</v>
      </c>
      <c r="D1522" s="24" t="s">
        <v>1567</v>
      </c>
      <c r="E1522" s="25" t="s">
        <v>1722</v>
      </c>
      <c r="F1522" s="16" t="str">
        <f>_xlfn.XLOOKUP(D1522,[10]ALL!$C:$C,[10]ALL!$N:$N,"Tidak Ditemukan")</f>
        <v>DEAR RAMOS DAMANIK</v>
      </c>
      <c r="G1522" s="21"/>
    </row>
    <row r="1523" spans="2:7">
      <c r="B1523" s="22" t="s">
        <v>1455</v>
      </c>
      <c r="C1523" s="23" t="s">
        <v>1456</v>
      </c>
      <c r="D1523" s="24" t="s">
        <v>1568</v>
      </c>
      <c r="E1523" s="25" t="s">
        <v>1722</v>
      </c>
      <c r="F1523" s="16" t="str">
        <f>_xlfn.XLOOKUP(D1523,[10]ALL!$C:$C,[10]ALL!$N:$N,"Tidak Ditemukan")</f>
        <v>AGUS KADE DIVA RAMANA</v>
      </c>
      <c r="G1523" s="21"/>
    </row>
    <row r="1524" spans="2:7">
      <c r="B1524" s="22" t="s">
        <v>1455</v>
      </c>
      <c r="C1524" s="23" t="s">
        <v>1456</v>
      </c>
      <c r="D1524" s="24" t="s">
        <v>1569</v>
      </c>
      <c r="E1524" s="25" t="s">
        <v>1722</v>
      </c>
      <c r="F1524" s="16" t="str">
        <f>_xlfn.XLOOKUP(D1524,[10]ALL!$C:$C,[10]ALL!$N:$N,"Tidak Ditemukan")</f>
        <v>DEAR RAMOS DAMANIK</v>
      </c>
      <c r="G1524" s="21"/>
    </row>
    <row r="1525" spans="2:7">
      <c r="B1525" s="22" t="s">
        <v>1455</v>
      </c>
      <c r="C1525" s="23" t="s">
        <v>1456</v>
      </c>
      <c r="D1525" s="24" t="s">
        <v>1570</v>
      </c>
      <c r="E1525" s="25" t="s">
        <v>1722</v>
      </c>
      <c r="F1525" s="16" t="str">
        <f>_xlfn.XLOOKUP(D1525,[10]ALL!$C:$C,[10]ALL!$N:$N,"Tidak Ditemukan")</f>
        <v>DEAR RAMOS DAMANIK</v>
      </c>
      <c r="G1525" s="21"/>
    </row>
    <row r="1526" spans="2:7">
      <c r="B1526" s="22" t="s">
        <v>1455</v>
      </c>
      <c r="C1526" s="23" t="s">
        <v>1456</v>
      </c>
      <c r="D1526" s="24" t="s">
        <v>1571</v>
      </c>
      <c r="E1526" s="25" t="s">
        <v>1722</v>
      </c>
      <c r="F1526" s="16" t="str">
        <f>_xlfn.XLOOKUP(D1526,[10]ALL!$C:$C,[10]ALL!$N:$N,"Tidak Ditemukan")</f>
        <v>DEAR RAMOS DAMANIK</v>
      </c>
      <c r="G1526" s="21"/>
    </row>
    <row r="1527" spans="2:7">
      <c r="B1527" s="22" t="s">
        <v>1455</v>
      </c>
      <c r="C1527" s="23" t="s">
        <v>1456</v>
      </c>
      <c r="D1527" s="24" t="s">
        <v>1572</v>
      </c>
      <c r="E1527" s="25" t="s">
        <v>1722</v>
      </c>
      <c r="F1527" s="16" t="str">
        <f>_xlfn.XLOOKUP(D1527,[10]ALL!$C:$C,[10]ALL!$N:$N,"Tidak Ditemukan")</f>
        <v>Rino Prasetya Wibowo</v>
      </c>
      <c r="G1527" s="21"/>
    </row>
    <row r="1528" spans="2:7">
      <c r="B1528" s="22" t="s">
        <v>1455</v>
      </c>
      <c r="C1528" s="23" t="s">
        <v>1456</v>
      </c>
      <c r="D1528" s="24" t="s">
        <v>1573</v>
      </c>
      <c r="E1528" s="25" t="s">
        <v>1722</v>
      </c>
      <c r="F1528" s="16" t="str">
        <f>_xlfn.XLOOKUP(D1528,[10]ALL!$C:$C,[10]ALL!$N:$N,"Tidak Ditemukan")</f>
        <v>I GEDE BAGUS ADI SURYAWAN , ST</v>
      </c>
      <c r="G1528" s="21"/>
    </row>
    <row r="1529" spans="2:7">
      <c r="B1529" s="22" t="s">
        <v>1455</v>
      </c>
      <c r="C1529" s="23" t="s">
        <v>1456</v>
      </c>
      <c r="D1529" s="24" t="s">
        <v>1574</v>
      </c>
      <c r="E1529" s="25" t="s">
        <v>1722</v>
      </c>
      <c r="F1529" s="16" t="str">
        <f>_xlfn.XLOOKUP(D1529,[10]ALL!$C:$C,[10]ALL!$N:$N,"Tidak Ditemukan")</f>
        <v>Rino Prasetya Wibowo</v>
      </c>
      <c r="G1529" s="21"/>
    </row>
    <row r="1530" spans="2:7">
      <c r="B1530" s="22" t="s">
        <v>1455</v>
      </c>
      <c r="C1530" s="23" t="s">
        <v>1456</v>
      </c>
      <c r="D1530" s="24" t="s">
        <v>1575</v>
      </c>
      <c r="E1530" s="25" t="s">
        <v>1722</v>
      </c>
      <c r="F1530" s="16" t="str">
        <f>_xlfn.XLOOKUP(D1530,[10]ALL!$C:$C,[10]ALL!$N:$N,"Tidak Ditemukan")</f>
        <v>AGUS PRADNYANA</v>
      </c>
      <c r="G1530" s="21"/>
    </row>
    <row r="1531" spans="2:7">
      <c r="B1531" s="22" t="s">
        <v>1455</v>
      </c>
      <c r="C1531" s="23" t="s">
        <v>1456</v>
      </c>
      <c r="D1531" s="24" t="s">
        <v>1576</v>
      </c>
      <c r="E1531" s="25" t="s">
        <v>1722</v>
      </c>
      <c r="F1531" s="16" t="str">
        <f>_xlfn.XLOOKUP(D1531,[10]ALL!$C:$C,[10]ALL!$N:$N,"Tidak Ditemukan")</f>
        <v>I KOMANG FERI INDRAJAYA</v>
      </c>
      <c r="G1531" s="21"/>
    </row>
    <row r="1532" spans="2:7">
      <c r="B1532" s="22" t="s">
        <v>1455</v>
      </c>
      <c r="C1532" s="23" t="s">
        <v>1456</v>
      </c>
      <c r="D1532" s="24" t="s">
        <v>1577</v>
      </c>
      <c r="E1532" s="25" t="s">
        <v>1722</v>
      </c>
      <c r="F1532" s="16" t="str">
        <f>_xlfn.XLOOKUP(D1532,[10]ALL!$C:$C,[10]ALL!$N:$N,"Tidak Ditemukan")</f>
        <v>AGUS PRADNYANA</v>
      </c>
      <c r="G1532" s="21"/>
    </row>
    <row r="1533" spans="2:7">
      <c r="B1533" s="22" t="s">
        <v>1455</v>
      </c>
      <c r="C1533" s="23" t="s">
        <v>1456</v>
      </c>
      <c r="D1533" s="24" t="s">
        <v>1578</v>
      </c>
      <c r="E1533" s="25" t="s">
        <v>1722</v>
      </c>
      <c r="F1533" s="16" t="str">
        <f>_xlfn.XLOOKUP(D1533,[10]ALL!$C:$C,[10]ALL!$N:$N,"Tidak Ditemukan")</f>
        <v>YUNAN FURQONA RAMADHANI</v>
      </c>
      <c r="G1533" s="21"/>
    </row>
    <row r="1534" spans="2:7">
      <c r="B1534" s="22" t="s">
        <v>1455</v>
      </c>
      <c r="C1534" s="23" t="s">
        <v>1456</v>
      </c>
      <c r="D1534" s="24" t="s">
        <v>1579</v>
      </c>
      <c r="E1534" s="25" t="s">
        <v>1722</v>
      </c>
      <c r="F1534" s="16" t="str">
        <f>_xlfn.XLOOKUP(D1534,[10]ALL!$C:$C,[10]ALL!$N:$N,"Tidak Ditemukan")</f>
        <v>Suhardi</v>
      </c>
      <c r="G1534" s="21"/>
    </row>
    <row r="1535" spans="2:7">
      <c r="B1535" s="22" t="s">
        <v>1455</v>
      </c>
      <c r="C1535" s="23" t="s">
        <v>1456</v>
      </c>
      <c r="D1535" s="24" t="s">
        <v>1580</v>
      </c>
      <c r="E1535" s="25" t="s">
        <v>1722</v>
      </c>
      <c r="F1535" s="16" t="str">
        <f>_xlfn.XLOOKUP(D1535,[10]ALL!$C:$C,[10]ALL!$N:$N,"Tidak Ditemukan")</f>
        <v>I Gd Andika Adi Prasetya Murya</v>
      </c>
      <c r="G1535" s="21"/>
    </row>
    <row r="1536" spans="2:7">
      <c r="B1536" s="22" t="s">
        <v>1455</v>
      </c>
      <c r="C1536" s="23" t="s">
        <v>1456</v>
      </c>
      <c r="D1536" s="24" t="s">
        <v>1581</v>
      </c>
      <c r="E1536" s="25" t="s">
        <v>1722</v>
      </c>
      <c r="F1536" s="16" t="str">
        <f>_xlfn.XLOOKUP(D1536,[10]ALL!$C:$C,[10]ALL!$N:$N,"Tidak Ditemukan")</f>
        <v>DEAR RAMOS DAMANIK</v>
      </c>
      <c r="G1536" s="21"/>
    </row>
    <row r="1537" spans="2:7">
      <c r="B1537" s="22" t="s">
        <v>1455</v>
      </c>
      <c r="C1537" s="23" t="s">
        <v>1456</v>
      </c>
      <c r="D1537" s="24" t="s">
        <v>1582</v>
      </c>
      <c r="E1537" s="25" t="s">
        <v>1722</v>
      </c>
      <c r="F1537" s="16" t="str">
        <f>_xlfn.XLOOKUP(D1537,[10]ALL!$C:$C,[10]ALL!$N:$N,"Tidak Ditemukan")</f>
        <v>DEAR RAMOS DAMANIK</v>
      </c>
      <c r="G1537" s="21"/>
    </row>
    <row r="1538" spans="2:7">
      <c r="B1538" s="22" t="s">
        <v>1455</v>
      </c>
      <c r="C1538" s="23" t="s">
        <v>1456</v>
      </c>
      <c r="D1538" s="24" t="s">
        <v>1583</v>
      </c>
      <c r="E1538" s="25" t="s">
        <v>1722</v>
      </c>
      <c r="F1538" s="16" t="str">
        <f>_xlfn.XLOOKUP(D1538,[10]ALL!$C:$C,[10]ALL!$N:$N,"Tidak Ditemukan")</f>
        <v>GEMAYA WANGSA</v>
      </c>
      <c r="G1538" s="21"/>
    </row>
    <row r="1539" spans="2:7">
      <c r="B1539" s="22" t="s">
        <v>1455</v>
      </c>
      <c r="C1539" s="23" t="s">
        <v>1456</v>
      </c>
      <c r="D1539" s="24" t="s">
        <v>1584</v>
      </c>
      <c r="E1539" s="25" t="s">
        <v>1722</v>
      </c>
      <c r="F1539" s="16" t="str">
        <f>_xlfn.XLOOKUP(D1539,[10]ALL!$C:$C,[10]ALL!$N:$N,"Tidak Ditemukan")</f>
        <v>DEAR RAMOS DAMANIK</v>
      </c>
      <c r="G1539" s="21"/>
    </row>
    <row r="1540" spans="2:7">
      <c r="B1540" s="22" t="s">
        <v>1455</v>
      </c>
      <c r="C1540" s="23" t="s">
        <v>1456</v>
      </c>
      <c r="D1540" s="24" t="s">
        <v>1585</v>
      </c>
      <c r="E1540" s="25" t="e">
        <v>#N/A</v>
      </c>
      <c r="F1540" s="16" t="str">
        <f>_xlfn.XLOOKUP(D1540,[10]ALL!$C:$C,[10]ALL!$N:$N,"Tidak Ditemukan")</f>
        <v>DEAR RAMOS DAMANIK</v>
      </c>
      <c r="G1540" s="21"/>
    </row>
    <row r="1541" spans="2:7">
      <c r="B1541" s="22" t="s">
        <v>1455</v>
      </c>
      <c r="C1541" s="23" t="s">
        <v>1456</v>
      </c>
      <c r="D1541" s="24" t="s">
        <v>1586</v>
      </c>
      <c r="E1541" s="25" t="s">
        <v>1722</v>
      </c>
      <c r="F1541" s="16" t="str">
        <f>_xlfn.XLOOKUP(D1541,[10]ALL!$C:$C,[10]ALL!$N:$N,"Tidak Ditemukan")</f>
        <v>Suhardi</v>
      </c>
      <c r="G1541" s="21"/>
    </row>
    <row r="1542" spans="2:7">
      <c r="B1542" s="22" t="s">
        <v>1455</v>
      </c>
      <c r="C1542" s="23" t="s">
        <v>1456</v>
      </c>
      <c r="D1542" s="24" t="s">
        <v>1587</v>
      </c>
      <c r="E1542" s="25" t="s">
        <v>1722</v>
      </c>
      <c r="F1542" s="16" t="str">
        <f>_xlfn.XLOOKUP(D1542,[10]ALL!$C:$C,[10]ALL!$N:$N,"Tidak Ditemukan")</f>
        <v>M. SALAHUDIN</v>
      </c>
      <c r="G1542" s="21"/>
    </row>
    <row r="1543" spans="2:7">
      <c r="B1543" s="22" t="s">
        <v>1455</v>
      </c>
      <c r="C1543" s="23" t="s">
        <v>1456</v>
      </c>
      <c r="D1543" s="24" t="s">
        <v>1588</v>
      </c>
      <c r="E1543" s="25" t="s">
        <v>1722</v>
      </c>
      <c r="F1543" s="16" t="str">
        <f>_xlfn.XLOOKUP(D1543,[10]ALL!$C:$C,[10]ALL!$N:$N,"Tidak Ditemukan")</f>
        <v>Abi Hilmawan</v>
      </c>
      <c r="G1543" s="21"/>
    </row>
    <row r="1544" spans="2:7">
      <c r="B1544" s="22" t="s">
        <v>1455</v>
      </c>
      <c r="C1544" s="23" t="s">
        <v>1456</v>
      </c>
      <c r="D1544" s="24" t="s">
        <v>1589</v>
      </c>
      <c r="E1544" s="25" t="s">
        <v>1722</v>
      </c>
      <c r="F1544" s="16" t="str">
        <f>_xlfn.XLOOKUP(D1544,[10]ALL!$C:$C,[10]ALL!$N:$N,"Tidak Ditemukan")</f>
        <v>Abi Hilmawan</v>
      </c>
      <c r="G1544" s="21"/>
    </row>
    <row r="1545" spans="2:7">
      <c r="B1545" s="22" t="s">
        <v>1455</v>
      </c>
      <c r="C1545" s="23" t="s">
        <v>1456</v>
      </c>
      <c r="D1545" s="24" t="s">
        <v>1590</v>
      </c>
      <c r="E1545" s="25" t="s">
        <v>1722</v>
      </c>
      <c r="F1545" s="16" t="str">
        <f>_xlfn.XLOOKUP(D1545,[10]ALL!$C:$C,[10]ALL!$N:$N,"Tidak Ditemukan")</f>
        <v>I Kadek Sandiyasa</v>
      </c>
      <c r="G1545" s="21"/>
    </row>
    <row r="1546" spans="2:7">
      <c r="B1546" s="22" t="s">
        <v>1455</v>
      </c>
      <c r="C1546" s="23" t="s">
        <v>1456</v>
      </c>
      <c r="D1546" s="24" t="s">
        <v>1591</v>
      </c>
      <c r="E1546" s="25" t="s">
        <v>1722</v>
      </c>
      <c r="F1546" s="16" t="str">
        <f>_xlfn.XLOOKUP(D1546,[10]ALL!$C:$C,[10]ALL!$N:$N,"Tidak Ditemukan")</f>
        <v>Ari Ardiansyah</v>
      </c>
      <c r="G1546" s="21"/>
    </row>
    <row r="1547" spans="2:7">
      <c r="B1547" s="22" t="s">
        <v>1455</v>
      </c>
      <c r="C1547" s="23" t="s">
        <v>1456</v>
      </c>
      <c r="D1547" s="24" t="s">
        <v>1592</v>
      </c>
      <c r="E1547" s="25" t="s">
        <v>1722</v>
      </c>
      <c r="F1547" s="16" t="str">
        <f>_xlfn.XLOOKUP(D1547,[10]ALL!$C:$C,[10]ALL!$N:$N,"Tidak Ditemukan")</f>
        <v>SYARIFUDDIN</v>
      </c>
      <c r="G1547" s="21"/>
    </row>
    <row r="1548" spans="2:7">
      <c r="B1548" s="22" t="s">
        <v>1455</v>
      </c>
      <c r="C1548" s="23" t="s">
        <v>1456</v>
      </c>
      <c r="D1548" s="24" t="s">
        <v>1593</v>
      </c>
      <c r="E1548" s="25" t="s">
        <v>1722</v>
      </c>
      <c r="F1548" s="16" t="str">
        <f>_xlfn.XLOOKUP(D1548,[10]ALL!$C:$C,[10]ALL!$N:$N,"Tidak Ditemukan")</f>
        <v>DENI SUSATYO</v>
      </c>
      <c r="G1548" s="21"/>
    </row>
    <row r="1549" spans="2:7">
      <c r="B1549" s="22" t="s">
        <v>1455</v>
      </c>
      <c r="C1549" s="23" t="s">
        <v>1456</v>
      </c>
      <c r="D1549" s="24" t="s">
        <v>1594</v>
      </c>
      <c r="E1549" s="25" t="s">
        <v>1722</v>
      </c>
      <c r="F1549" s="16" t="str">
        <f>_xlfn.XLOOKUP(D1549,[10]ALL!$C:$C,[10]ALL!$N:$N,"Tidak Ditemukan")</f>
        <v>Syamsul Bahri</v>
      </c>
      <c r="G1549" s="21"/>
    </row>
    <row r="1550" spans="2:7">
      <c r="B1550" s="22" t="s">
        <v>1455</v>
      </c>
      <c r="C1550" s="23" t="s">
        <v>1456</v>
      </c>
      <c r="D1550" s="24" t="s">
        <v>1595</v>
      </c>
      <c r="E1550" s="25" t="s">
        <v>1722</v>
      </c>
      <c r="F1550" s="16" t="str">
        <f>_xlfn.XLOOKUP(D1550,[10]ALL!$C:$C,[10]ALL!$N:$N,"Tidak Ditemukan")</f>
        <v>FAHRURRAZI</v>
      </c>
      <c r="G1550" s="21"/>
    </row>
    <row r="1551" spans="2:7">
      <c r="B1551" s="22" t="s">
        <v>1455</v>
      </c>
      <c r="C1551" s="23" t="s">
        <v>1456</v>
      </c>
      <c r="D1551" s="24" t="s">
        <v>1596</v>
      </c>
      <c r="E1551" s="25" t="s">
        <v>1722</v>
      </c>
      <c r="F1551" s="16" t="str">
        <f>_xlfn.XLOOKUP(D1551,[10]ALL!$C:$C,[10]ALL!$N:$N,"Tidak Ditemukan")</f>
        <v>Abi Hilmawan</v>
      </c>
      <c r="G1551" s="21"/>
    </row>
    <row r="1552" spans="2:7">
      <c r="B1552" s="22" t="s">
        <v>1455</v>
      </c>
      <c r="C1552" s="23" t="s">
        <v>1456</v>
      </c>
      <c r="D1552" s="24" t="s">
        <v>1597</v>
      </c>
      <c r="E1552" s="25" t="s">
        <v>1722</v>
      </c>
      <c r="F1552" s="16" t="str">
        <f>_xlfn.XLOOKUP(D1552,[10]ALL!$C:$C,[10]ALL!$N:$N,"Tidak Ditemukan")</f>
        <v>GEMAYA WANGSA</v>
      </c>
      <c r="G1552" s="21"/>
    </row>
    <row r="1553" spans="2:7">
      <c r="B1553" s="22" t="s">
        <v>1455</v>
      </c>
      <c r="C1553" s="23" t="s">
        <v>1456</v>
      </c>
      <c r="D1553" s="24" t="s">
        <v>1598</v>
      </c>
      <c r="E1553" s="25" t="s">
        <v>1722</v>
      </c>
      <c r="F1553" s="226" t="str">
        <f>_xlfn.XLOOKUP(D1553,[10]ALL!$C:$C,[10]ALL!$N:$N,"Tidak Ditemukan")</f>
        <v>Muhammad Aqil Fadhilah</v>
      </c>
      <c r="G1553" s="21"/>
    </row>
    <row r="1554" spans="2:7">
      <c r="B1554" s="22" t="s">
        <v>1455</v>
      </c>
      <c r="C1554" s="23" t="s">
        <v>1456</v>
      </c>
      <c r="D1554" s="24" t="s">
        <v>1599</v>
      </c>
      <c r="E1554" s="25" t="s">
        <v>1722</v>
      </c>
      <c r="F1554" s="16" t="str">
        <f>_xlfn.XLOOKUP(D1554,[10]ALL!$C:$C,[10]ALL!$N:$N,"Tidak Ditemukan")</f>
        <v>SYARIFUDDIN</v>
      </c>
      <c r="G1554" s="21"/>
    </row>
    <row r="1555" spans="2:7">
      <c r="B1555" s="22" t="s">
        <v>1455</v>
      </c>
      <c r="C1555" s="23" t="s">
        <v>1456</v>
      </c>
      <c r="D1555" s="24" t="s">
        <v>1600</v>
      </c>
      <c r="E1555" s="25" t="s">
        <v>1722</v>
      </c>
      <c r="F1555" s="16" t="str">
        <f>_xlfn.XLOOKUP(D1555,[10]ALL!$C:$C,[10]ALL!$N:$N,"Tidak Ditemukan")</f>
        <v>GEMAYA WANGSA</v>
      </c>
      <c r="G1555" s="21"/>
    </row>
    <row r="1556" spans="2:7">
      <c r="B1556" s="22" t="s">
        <v>1455</v>
      </c>
      <c r="C1556" s="23" t="s">
        <v>1456</v>
      </c>
      <c r="D1556" s="24" t="s">
        <v>1601</v>
      </c>
      <c r="E1556" s="25" t="s">
        <v>1722</v>
      </c>
      <c r="F1556" s="16" t="str">
        <f>_xlfn.XLOOKUP(D1556,[10]ALL!$C:$C,[10]ALL!$N:$N,"Tidak Ditemukan")</f>
        <v>Abi Hilmawan</v>
      </c>
      <c r="G1556" s="21"/>
    </row>
    <row r="1557" spans="2:7">
      <c r="B1557" s="22" t="s">
        <v>1455</v>
      </c>
      <c r="C1557" s="23" t="s">
        <v>1456</v>
      </c>
      <c r="D1557" s="24" t="s">
        <v>1602</v>
      </c>
      <c r="E1557" s="25" t="s">
        <v>1722</v>
      </c>
      <c r="F1557" s="16" t="str">
        <f>_xlfn.XLOOKUP(D1557,[10]ALL!$C:$C,[10]ALL!$N:$N,"Tidak Ditemukan")</f>
        <v>I Kadek Sandiyasa</v>
      </c>
      <c r="G1557" s="21"/>
    </row>
    <row r="1558" spans="2:7">
      <c r="B1558" s="22" t="s">
        <v>1455</v>
      </c>
      <c r="C1558" s="23" t="s">
        <v>1456</v>
      </c>
      <c r="D1558" s="24" t="s">
        <v>1603</v>
      </c>
      <c r="E1558" s="25" t="s">
        <v>1722</v>
      </c>
      <c r="F1558" s="16" t="str">
        <f>_xlfn.XLOOKUP(D1558,[10]ALL!$C:$C,[10]ALL!$N:$N,"Tidak Ditemukan")</f>
        <v>FAHRURRAZI</v>
      </c>
      <c r="G1558" s="21"/>
    </row>
    <row r="1559" spans="2:7">
      <c r="B1559" s="22" t="s">
        <v>1455</v>
      </c>
      <c r="C1559" s="23" t="s">
        <v>1456</v>
      </c>
      <c r="D1559" s="24" t="s">
        <v>1604</v>
      </c>
      <c r="E1559" s="25" t="s">
        <v>1722</v>
      </c>
      <c r="F1559" s="16" t="str">
        <f>_xlfn.XLOOKUP(D1559,[10]ALL!$C:$C,[10]ALL!$N:$N,"Tidak Ditemukan")</f>
        <v>Ari Ardiansyah</v>
      </c>
      <c r="G1559" s="21"/>
    </row>
    <row r="1560" spans="2:7">
      <c r="B1560" s="22" t="s">
        <v>1455</v>
      </c>
      <c r="C1560" s="23" t="s">
        <v>1456</v>
      </c>
      <c r="D1560" s="24" t="s">
        <v>1605</v>
      </c>
      <c r="E1560" s="25" t="s">
        <v>1722</v>
      </c>
      <c r="F1560" s="16" t="str">
        <f>_xlfn.XLOOKUP(D1560,[10]ALL!$C:$C,[10]ALL!$N:$N,"Tidak Ditemukan")</f>
        <v>Suhardi</v>
      </c>
      <c r="G1560" s="21"/>
    </row>
    <row r="1561" spans="2:7">
      <c r="B1561" s="22" t="s">
        <v>1455</v>
      </c>
      <c r="C1561" s="23" t="s">
        <v>1456</v>
      </c>
      <c r="D1561" s="24" t="s">
        <v>1606</v>
      </c>
      <c r="E1561" s="25" t="s">
        <v>1722</v>
      </c>
      <c r="F1561" s="16" t="str">
        <f>_xlfn.XLOOKUP(D1561,[10]ALL!$C:$C,[10]ALL!$N:$N,"Tidak Ditemukan")</f>
        <v>FAHRURRAZI</v>
      </c>
      <c r="G1561" s="21"/>
    </row>
    <row r="1562" spans="2:7">
      <c r="B1562" s="22" t="s">
        <v>1455</v>
      </c>
      <c r="C1562" s="23" t="s">
        <v>1456</v>
      </c>
      <c r="D1562" s="24" t="s">
        <v>1607</v>
      </c>
      <c r="E1562" s="25" t="s">
        <v>1722</v>
      </c>
      <c r="F1562" s="16" t="str">
        <f>_xlfn.XLOOKUP(D1562,[10]ALL!$C:$C,[10]ALL!$N:$N,"Tidak Ditemukan")</f>
        <v>Ari Ardiansyah</v>
      </c>
      <c r="G1562" s="21"/>
    </row>
    <row r="1563" spans="2:7">
      <c r="B1563" s="22" t="s">
        <v>1455</v>
      </c>
      <c r="C1563" s="23" t="s">
        <v>1456</v>
      </c>
      <c r="D1563" s="24" t="s">
        <v>1608</v>
      </c>
      <c r="E1563" s="25" t="s">
        <v>1722</v>
      </c>
      <c r="F1563" s="16" t="str">
        <f>_xlfn.XLOOKUP(D1563,[10]ALL!$C:$C,[10]ALL!$N:$N,"Tidak Ditemukan")</f>
        <v>ANTON IQRA ANUGRA</v>
      </c>
      <c r="G1563" s="21"/>
    </row>
    <row r="1564" spans="2:7">
      <c r="B1564" s="22" t="s">
        <v>1455</v>
      </c>
      <c r="C1564" s="23" t="s">
        <v>1456</v>
      </c>
      <c r="D1564" s="24" t="s">
        <v>1609</v>
      </c>
      <c r="E1564" s="25" t="s">
        <v>1722</v>
      </c>
      <c r="F1564" s="16" t="str">
        <f>_xlfn.XLOOKUP(D1564,[10]ALL!$C:$C,[10]ALL!$N:$N,"Tidak Ditemukan")</f>
        <v>Ari Ardiansyah</v>
      </c>
      <c r="G1564" s="21"/>
    </row>
    <row r="1565" spans="2:7">
      <c r="B1565" s="22" t="s">
        <v>1455</v>
      </c>
      <c r="C1565" s="23" t="s">
        <v>1456</v>
      </c>
      <c r="D1565" s="24" t="s">
        <v>1610</v>
      </c>
      <c r="E1565" s="25" t="s">
        <v>1722</v>
      </c>
      <c r="F1565" s="16" t="str">
        <f>_xlfn.XLOOKUP(D1565,[10]ALL!$C:$C,[10]ALL!$N:$N,"Tidak Ditemukan")</f>
        <v>DENI SUSATYO</v>
      </c>
      <c r="G1565" s="21"/>
    </row>
    <row r="1566" spans="2:7">
      <c r="B1566" s="22" t="s">
        <v>1455</v>
      </c>
      <c r="C1566" s="23" t="s">
        <v>1456</v>
      </c>
      <c r="D1566" s="24" t="s">
        <v>1611</v>
      </c>
      <c r="E1566" s="25" t="s">
        <v>1722</v>
      </c>
      <c r="F1566" s="16" t="str">
        <f>_xlfn.XLOOKUP(D1566,[10]ALL!$C:$C,[10]ALL!$N:$N,"Tidak Ditemukan")</f>
        <v>Suhardi</v>
      </c>
      <c r="G1566" s="21"/>
    </row>
    <row r="1567" spans="2:7">
      <c r="B1567" s="22" t="s">
        <v>1455</v>
      </c>
      <c r="C1567" s="23" t="s">
        <v>1456</v>
      </c>
      <c r="D1567" s="24" t="s">
        <v>1612</v>
      </c>
      <c r="E1567" s="25" t="s">
        <v>1722</v>
      </c>
      <c r="F1567" s="16" t="str">
        <f>_xlfn.XLOOKUP(D1567,[10]ALL!$C:$C,[10]ALL!$N:$N,"Tidak Ditemukan")</f>
        <v>MUHAMMAD TONY NUGRAHA</v>
      </c>
      <c r="G1567" s="21"/>
    </row>
    <row r="1568" spans="2:7">
      <c r="B1568" s="22" t="s">
        <v>1455</v>
      </c>
      <c r="C1568" s="23" t="s">
        <v>1456</v>
      </c>
      <c r="D1568" s="24" t="s">
        <v>1613</v>
      </c>
      <c r="E1568" s="25" t="s">
        <v>1722</v>
      </c>
      <c r="F1568" s="16" t="str">
        <f>_xlfn.XLOOKUP(D1568,[10]ALL!$C:$C,[10]ALL!$N:$N,"Tidak Ditemukan")</f>
        <v>MUHAMMAD TONY NUGRAHA</v>
      </c>
      <c r="G1568" s="21"/>
    </row>
    <row r="1569" spans="2:7">
      <c r="B1569" s="22" t="s">
        <v>1455</v>
      </c>
      <c r="C1569" s="23" t="s">
        <v>1456</v>
      </c>
      <c r="D1569" s="24" t="s">
        <v>1614</v>
      </c>
      <c r="E1569" s="25" t="s">
        <v>1722</v>
      </c>
      <c r="F1569" s="16" t="str">
        <f>_xlfn.XLOOKUP(D1569,[10]ALL!$C:$C,[10]ALL!$N:$N,"Tidak Ditemukan")</f>
        <v>Abi Hilmawan</v>
      </c>
      <c r="G1569" s="21"/>
    </row>
    <row r="1570" spans="2:7">
      <c r="B1570" s="22" t="s">
        <v>1455</v>
      </c>
      <c r="C1570" s="23" t="s">
        <v>1456</v>
      </c>
      <c r="D1570" s="24" t="s">
        <v>1615</v>
      </c>
      <c r="E1570" s="25" t="s">
        <v>1722</v>
      </c>
      <c r="F1570" s="16" t="str">
        <f>_xlfn.XLOOKUP(D1570,[10]ALL!$C:$C,[10]ALL!$N:$N,"Tidak Ditemukan")</f>
        <v>Suhardi</v>
      </c>
      <c r="G1570" s="21"/>
    </row>
    <row r="1571" spans="2:7">
      <c r="B1571" s="22" t="s">
        <v>1455</v>
      </c>
      <c r="C1571" s="23" t="s">
        <v>1456</v>
      </c>
      <c r="D1571" s="24" t="s">
        <v>1616</v>
      </c>
      <c r="E1571" s="25" t="s">
        <v>1722</v>
      </c>
      <c r="F1571" s="16" t="str">
        <f>_xlfn.XLOOKUP(D1571,[10]ALL!$C:$C,[10]ALL!$N:$N,"Tidak Ditemukan")</f>
        <v>MUHAMMAD JUMADIL</v>
      </c>
      <c r="G1571" s="21"/>
    </row>
    <row r="1572" spans="2:7">
      <c r="B1572" s="22" t="s">
        <v>1455</v>
      </c>
      <c r="C1572" s="23" t="s">
        <v>1456</v>
      </c>
      <c r="D1572" s="24" t="s">
        <v>1617</v>
      </c>
      <c r="E1572" s="25" t="s">
        <v>1722</v>
      </c>
      <c r="F1572" s="16" t="str">
        <f>_xlfn.XLOOKUP(D1572,[10]ALL!$C:$C,[10]ALL!$N:$N,"Tidak Ditemukan")</f>
        <v>DENI SUSATYO</v>
      </c>
      <c r="G1572" s="21"/>
    </row>
    <row r="1573" spans="2:7">
      <c r="B1573" s="22" t="s">
        <v>1455</v>
      </c>
      <c r="C1573" s="23" t="s">
        <v>1456</v>
      </c>
      <c r="D1573" s="24" t="s">
        <v>1618</v>
      </c>
      <c r="E1573" s="25" t="s">
        <v>1722</v>
      </c>
      <c r="F1573" s="16" t="str">
        <f>_xlfn.XLOOKUP(D1573,[10]ALL!$C:$C,[10]ALL!$N:$N,"Tidak Ditemukan")</f>
        <v>I Kadek Sandiyasa</v>
      </c>
      <c r="G1573" s="21"/>
    </row>
    <row r="1574" spans="2:7">
      <c r="B1574" s="22" t="s">
        <v>1455</v>
      </c>
      <c r="C1574" s="23" t="s">
        <v>1456</v>
      </c>
      <c r="D1574" s="24" t="s">
        <v>1619</v>
      </c>
      <c r="E1574" s="25" t="s">
        <v>1722</v>
      </c>
      <c r="F1574" s="16" t="str">
        <f>_xlfn.XLOOKUP(D1574,[10]ALL!$C:$C,[10]ALL!$N:$N,"Tidak Ditemukan")</f>
        <v>MUHAMMAD TONY NUGRAHA</v>
      </c>
      <c r="G1574" s="21"/>
    </row>
    <row r="1575" spans="2:7">
      <c r="B1575" s="22" t="s">
        <v>1455</v>
      </c>
      <c r="C1575" s="23" t="s">
        <v>1456</v>
      </c>
      <c r="D1575" s="24" t="s">
        <v>1620</v>
      </c>
      <c r="E1575" s="25" t="s">
        <v>1722</v>
      </c>
      <c r="F1575" s="16" t="str">
        <f>_xlfn.XLOOKUP(D1575,[10]ALL!$C:$C,[10]ALL!$N:$N,"Tidak Ditemukan")</f>
        <v>Resi Marsila</v>
      </c>
      <c r="G1575" s="21"/>
    </row>
    <row r="1576" spans="2:7">
      <c r="B1576" s="22" t="s">
        <v>1455</v>
      </c>
      <c r="C1576" s="23" t="s">
        <v>1456</v>
      </c>
      <c r="D1576" s="24" t="s">
        <v>1621</v>
      </c>
      <c r="E1576" s="25" t="s">
        <v>1722</v>
      </c>
      <c r="F1576" s="16" t="str">
        <f>_xlfn.XLOOKUP(D1576,[10]ALL!$C:$C,[10]ALL!$N:$N,"Tidak Ditemukan")</f>
        <v>DENI SUSATYO</v>
      </c>
      <c r="G1576" s="21"/>
    </row>
    <row r="1577" spans="2:7">
      <c r="B1577" s="22" t="s">
        <v>1455</v>
      </c>
      <c r="C1577" s="23" t="s">
        <v>1456</v>
      </c>
      <c r="D1577" s="24" t="s">
        <v>1622</v>
      </c>
      <c r="E1577" s="25" t="s">
        <v>1722</v>
      </c>
      <c r="F1577" s="16" t="str">
        <f>_xlfn.XLOOKUP(D1577,[10]ALL!$C:$C,[10]ALL!$N:$N,"Tidak Ditemukan")</f>
        <v>GEMAYA WANGSA</v>
      </c>
      <c r="G1577" s="21"/>
    </row>
    <row r="1578" spans="2:7">
      <c r="B1578" s="22" t="s">
        <v>1455</v>
      </c>
      <c r="C1578" s="23" t="s">
        <v>1456</v>
      </c>
      <c r="D1578" s="24" t="s">
        <v>1623</v>
      </c>
      <c r="E1578" s="25" t="s">
        <v>1722</v>
      </c>
      <c r="F1578" s="16" t="str">
        <f>_xlfn.XLOOKUP(D1578,[10]ALL!$C:$C,[10]ALL!$N:$N,"Tidak Ditemukan")</f>
        <v>I Kadek Sandiyasa</v>
      </c>
      <c r="G1578" s="21"/>
    </row>
    <row r="1579" spans="2:7">
      <c r="B1579" s="22" t="s">
        <v>1455</v>
      </c>
      <c r="C1579" s="23" t="s">
        <v>1456</v>
      </c>
      <c r="D1579" s="24" t="s">
        <v>1624</v>
      </c>
      <c r="E1579" s="25" t="s">
        <v>1722</v>
      </c>
      <c r="F1579" s="16" t="str">
        <f>_xlfn.XLOOKUP(D1579,[10]ALL!$C:$C,[10]ALL!$N:$N,"Tidak Ditemukan")</f>
        <v>MUHAMMAD JUMADIL</v>
      </c>
      <c r="G1579" s="21"/>
    </row>
    <row r="1580" spans="2:7">
      <c r="B1580" s="22" t="s">
        <v>1455</v>
      </c>
      <c r="C1580" s="23" t="s">
        <v>1456</v>
      </c>
      <c r="D1580" s="24" t="s">
        <v>1625</v>
      </c>
      <c r="E1580" s="25" t="s">
        <v>1722</v>
      </c>
      <c r="F1580" s="16" t="str">
        <f>_xlfn.XLOOKUP(D1580,[10]ALL!$C:$C,[10]ALL!$N:$N,"Tidak Ditemukan")</f>
        <v>MUHAMMAD JUMADIL</v>
      </c>
      <c r="G1580" s="21"/>
    </row>
    <row r="1581" spans="2:7">
      <c r="B1581" s="22" t="s">
        <v>1455</v>
      </c>
      <c r="C1581" s="23" t="s">
        <v>1456</v>
      </c>
      <c r="D1581" s="24" t="s">
        <v>1626</v>
      </c>
      <c r="E1581" s="25" t="s">
        <v>1722</v>
      </c>
      <c r="F1581" s="16" t="str">
        <f>_xlfn.XLOOKUP(D1581,[10]ALL!$C:$C,[10]ALL!$N:$N,"Tidak Ditemukan")</f>
        <v>Abi Hilmawan</v>
      </c>
      <c r="G1581" s="21"/>
    </row>
    <row r="1582" spans="2:7">
      <c r="B1582" s="22" t="s">
        <v>1455</v>
      </c>
      <c r="C1582" s="23" t="s">
        <v>1456</v>
      </c>
      <c r="D1582" s="24" t="s">
        <v>1627</v>
      </c>
      <c r="E1582" s="25" t="s">
        <v>1722</v>
      </c>
      <c r="F1582" s="16" t="str">
        <f>_xlfn.XLOOKUP(D1582,[10]ALL!$C:$C,[10]ALL!$N:$N,"Tidak Ditemukan")</f>
        <v>AGUS KADE DIVA RAMANA</v>
      </c>
      <c r="G1582" s="21"/>
    </row>
    <row r="1583" spans="2:7">
      <c r="B1583" s="22" t="s">
        <v>1455</v>
      </c>
      <c r="C1583" s="23" t="s">
        <v>1456</v>
      </c>
      <c r="D1583" s="24" t="s">
        <v>1628</v>
      </c>
      <c r="E1583" s="25" t="s">
        <v>1722</v>
      </c>
      <c r="F1583" s="16" t="str">
        <f>_xlfn.XLOOKUP(D1583,[10]ALL!$C:$C,[10]ALL!$N:$N,"Tidak Ditemukan")</f>
        <v>Rino Prasetya Wibowo</v>
      </c>
      <c r="G1583" s="21"/>
    </row>
    <row r="1584" spans="2:7">
      <c r="B1584" s="22" t="s">
        <v>1455</v>
      </c>
      <c r="C1584" s="23" t="s">
        <v>1456</v>
      </c>
      <c r="D1584" s="24" t="s">
        <v>1629</v>
      </c>
      <c r="E1584" s="25" t="s">
        <v>1722</v>
      </c>
      <c r="F1584" s="16" t="str">
        <f>_xlfn.XLOOKUP(D1584,[10]ALL!$C:$C,[10]ALL!$N:$N,"Tidak Ditemukan")</f>
        <v>I GEDE BAGUS ADI SURYAWAN , ST</v>
      </c>
      <c r="G1584" s="21"/>
    </row>
    <row r="1585" spans="2:7">
      <c r="B1585" s="22" t="s">
        <v>1455</v>
      </c>
      <c r="C1585" s="23" t="s">
        <v>1456</v>
      </c>
      <c r="D1585" s="24" t="s">
        <v>1630</v>
      </c>
      <c r="E1585" s="25" t="s">
        <v>1722</v>
      </c>
      <c r="F1585" s="16" t="str">
        <f>_xlfn.XLOOKUP(D1585,[10]ALL!$C:$C,[10]ALL!$N:$N,"Tidak Ditemukan")</f>
        <v>Rino Prasetya Wibowo</v>
      </c>
      <c r="G1585" s="21"/>
    </row>
    <row r="1586" spans="2:7">
      <c r="B1586" s="22" t="s">
        <v>1455</v>
      </c>
      <c r="C1586" s="23" t="s">
        <v>1456</v>
      </c>
      <c r="D1586" s="24" t="s">
        <v>1631</v>
      </c>
      <c r="E1586" s="25" t="s">
        <v>1722</v>
      </c>
      <c r="F1586" s="16" t="str">
        <f>_xlfn.XLOOKUP(D1586,[10]ALL!$C:$C,[10]ALL!$N:$N,"Tidak Ditemukan")</f>
        <v>I KOMANG FERI INDRAJAYA</v>
      </c>
      <c r="G1586" s="21"/>
    </row>
    <row r="1587" spans="2:7">
      <c r="B1587" s="22" t="s">
        <v>1455</v>
      </c>
      <c r="C1587" s="23" t="s">
        <v>1456</v>
      </c>
      <c r="D1587" s="24" t="s">
        <v>1632</v>
      </c>
      <c r="E1587" s="25" t="s">
        <v>1722</v>
      </c>
      <c r="F1587" s="16" t="str">
        <f>_xlfn.XLOOKUP(D1587,[10]ALL!$C:$C,[10]ALL!$N:$N,"Tidak Ditemukan")</f>
        <v>AGUS PRADNYANA</v>
      </c>
      <c r="G1587" s="21"/>
    </row>
    <row r="1588" spans="2:7">
      <c r="B1588" s="22" t="s">
        <v>1455</v>
      </c>
      <c r="C1588" s="23" t="s">
        <v>1456</v>
      </c>
      <c r="D1588" s="24" t="s">
        <v>1633</v>
      </c>
      <c r="E1588" s="25" t="s">
        <v>1722</v>
      </c>
      <c r="F1588" s="16" t="str">
        <f>_xlfn.XLOOKUP(D1588,[10]ALL!$C:$C,[10]ALL!$N:$N,"Tidak Ditemukan")</f>
        <v>I GEDE BAGUS ADI SURYAWAN , ST</v>
      </c>
      <c r="G1588" s="21"/>
    </row>
    <row r="1589" spans="2:7">
      <c r="B1589" s="22" t="s">
        <v>1455</v>
      </c>
      <c r="C1589" s="23" t="s">
        <v>1456</v>
      </c>
      <c r="D1589" s="24" t="s">
        <v>1634</v>
      </c>
      <c r="E1589" s="25" t="s">
        <v>1722</v>
      </c>
      <c r="F1589" s="16" t="str">
        <f>_xlfn.XLOOKUP(D1589,[10]ALL!$C:$C,[10]ALL!$N:$N,"Tidak Ditemukan")</f>
        <v>I GEDE BAGUS ADI SURYAWAN , ST</v>
      </c>
      <c r="G1589" s="21"/>
    </row>
    <row r="1590" spans="2:7">
      <c r="B1590" s="22" t="s">
        <v>1455</v>
      </c>
      <c r="C1590" s="23" t="s">
        <v>1456</v>
      </c>
      <c r="D1590" s="24" t="s">
        <v>1635</v>
      </c>
      <c r="E1590" s="25" t="s">
        <v>1722</v>
      </c>
      <c r="F1590" s="16" t="str">
        <f>_xlfn.XLOOKUP(D1590,[10]ALL!$C:$C,[10]ALL!$N:$N,"Tidak Ditemukan")</f>
        <v>I GEDE BAGUS ADI SURYAWAN , ST</v>
      </c>
      <c r="G1590" s="21"/>
    </row>
    <row r="1591" spans="2:7">
      <c r="B1591" s="22" t="s">
        <v>1455</v>
      </c>
      <c r="C1591" s="23" t="s">
        <v>1456</v>
      </c>
      <c r="D1591" s="24" t="s">
        <v>1636</v>
      </c>
      <c r="E1591" s="25" t="s">
        <v>1722</v>
      </c>
      <c r="F1591" s="16" t="str">
        <f>_xlfn.XLOOKUP(D1591,[10]ALL!$C:$C,[10]ALL!$N:$N,"Tidak Ditemukan")</f>
        <v>I GEDE BAGUS ADI SURYAWAN , ST</v>
      </c>
      <c r="G1591" s="21"/>
    </row>
    <row r="1592" spans="2:7">
      <c r="B1592" s="22" t="s">
        <v>1455</v>
      </c>
      <c r="C1592" s="23" t="s">
        <v>1456</v>
      </c>
      <c r="D1592" s="24" t="s">
        <v>1637</v>
      </c>
      <c r="E1592" s="25" t="s">
        <v>1722</v>
      </c>
      <c r="F1592" s="16" t="str">
        <f>_xlfn.XLOOKUP(D1592,[10]ALL!$C:$C,[10]ALL!$N:$N,"Tidak Ditemukan")</f>
        <v>I GEDE BAGUS ADI SURYAWAN , ST</v>
      </c>
      <c r="G1592" s="21"/>
    </row>
    <row r="1593" spans="2:7">
      <c r="B1593" s="22" t="s">
        <v>1455</v>
      </c>
      <c r="C1593" s="23" t="s">
        <v>1456</v>
      </c>
      <c r="D1593" s="24" t="s">
        <v>1638</v>
      </c>
      <c r="E1593" s="25" t="s">
        <v>1722</v>
      </c>
      <c r="F1593" s="16" t="str">
        <f>_xlfn.XLOOKUP(D1593,[10]ALL!$C:$C,[10]ALL!$N:$N,"Tidak Ditemukan")</f>
        <v>KADEK DWIPA ANGGARASTRA</v>
      </c>
      <c r="G1593" s="21"/>
    </row>
    <row r="1594" spans="2:7">
      <c r="B1594" s="22" t="s">
        <v>1455</v>
      </c>
      <c r="C1594" s="23" t="s">
        <v>1456</v>
      </c>
      <c r="D1594" s="24" t="s">
        <v>1639</v>
      </c>
      <c r="E1594" s="25" t="s">
        <v>1722</v>
      </c>
      <c r="F1594" s="16" t="str">
        <f>_xlfn.XLOOKUP(D1594,[10]ALL!$C:$C,[10]ALL!$N:$N,"Tidak Ditemukan")</f>
        <v>DWIKY REZA ARDANI WINAHARA</v>
      </c>
      <c r="G1594" s="21"/>
    </row>
    <row r="1595" spans="2:7">
      <c r="B1595" s="22" t="s">
        <v>1455</v>
      </c>
      <c r="C1595" s="23" t="s">
        <v>1456</v>
      </c>
      <c r="D1595" s="24" t="s">
        <v>1640</v>
      </c>
      <c r="E1595" s="25" t="s">
        <v>1722</v>
      </c>
      <c r="F1595" s="16" t="str">
        <f>_xlfn.XLOOKUP(D1595,[10]ALL!$C:$C,[10]ALL!$N:$N,"Tidak Ditemukan")</f>
        <v>NI PUTU DEWI LASTINI</v>
      </c>
      <c r="G1595" s="21"/>
    </row>
    <row r="1596" spans="2:7">
      <c r="B1596" s="22" t="s">
        <v>1455</v>
      </c>
      <c r="C1596" s="23" t="s">
        <v>1456</v>
      </c>
      <c r="D1596" s="24" t="s">
        <v>1641</v>
      </c>
      <c r="E1596" s="25" t="s">
        <v>1722</v>
      </c>
      <c r="F1596" s="16" t="str">
        <f>_xlfn.XLOOKUP(D1596,[10]ALL!$C:$C,[10]ALL!$N:$N,"Tidak Ditemukan")</f>
        <v>NI PUTU DEWI LASTINI</v>
      </c>
      <c r="G1596" s="21"/>
    </row>
    <row r="1597" spans="2:7">
      <c r="B1597" s="22" t="s">
        <v>1455</v>
      </c>
      <c r="C1597" s="23" t="s">
        <v>1456</v>
      </c>
      <c r="D1597" s="24" t="s">
        <v>1642</v>
      </c>
      <c r="E1597" s="25" t="s">
        <v>1722</v>
      </c>
      <c r="F1597" s="16" t="str">
        <f>_xlfn.XLOOKUP(D1597,[10]ALL!$C:$C,[10]ALL!$N:$N,"Tidak Ditemukan")</f>
        <v>NI PUTU DEWI LASTINI</v>
      </c>
      <c r="G1597" s="21"/>
    </row>
    <row r="1598" spans="2:7">
      <c r="B1598" s="22" t="s">
        <v>1455</v>
      </c>
      <c r="C1598" s="23" t="s">
        <v>1456</v>
      </c>
      <c r="D1598" s="24" t="s">
        <v>1643</v>
      </c>
      <c r="E1598" s="25" t="s">
        <v>1722</v>
      </c>
      <c r="F1598" s="16" t="str">
        <f>_xlfn.XLOOKUP(D1598,[10]ALL!$C:$C,[10]ALL!$N:$N,"Tidak Ditemukan")</f>
        <v>NI PUTU DEWI LASTINI</v>
      </c>
      <c r="G1598" s="21"/>
    </row>
    <row r="1599" spans="2:7">
      <c r="B1599" s="22" t="s">
        <v>1455</v>
      </c>
      <c r="C1599" s="23" t="s">
        <v>1456</v>
      </c>
      <c r="D1599" s="24" t="s">
        <v>1644</v>
      </c>
      <c r="E1599" s="25" t="s">
        <v>1722</v>
      </c>
      <c r="F1599" s="16" t="str">
        <f>_xlfn.XLOOKUP(D1599,[10]ALL!$C:$C,[10]ALL!$N:$N,"Tidak Ditemukan")</f>
        <v>DWIKY REZA ARDANI WINAHARA</v>
      </c>
      <c r="G1599" s="21"/>
    </row>
    <row r="1600" spans="2:7">
      <c r="B1600" s="22" t="s">
        <v>1455</v>
      </c>
      <c r="C1600" s="23" t="s">
        <v>1456</v>
      </c>
      <c r="D1600" s="24" t="s">
        <v>1645</v>
      </c>
      <c r="E1600" s="25" t="s">
        <v>1722</v>
      </c>
      <c r="F1600" s="16" t="str">
        <f>_xlfn.XLOOKUP(D1600,[10]ALL!$C:$C,[10]ALL!$N:$N,"Tidak Ditemukan")</f>
        <v>NI PUTU DEWI LASTINI</v>
      </c>
      <c r="G1600" s="21"/>
    </row>
    <row r="1601" spans="2:7">
      <c r="B1601" s="22" t="s">
        <v>1455</v>
      </c>
      <c r="C1601" s="23" t="s">
        <v>1456</v>
      </c>
      <c r="D1601" s="24" t="s">
        <v>1646</v>
      </c>
      <c r="E1601" s="25" t="s">
        <v>1722</v>
      </c>
      <c r="F1601" s="16" t="str">
        <f>_xlfn.XLOOKUP(D1601,[10]ALL!$C:$C,[10]ALL!$N:$N,"Tidak Ditemukan")</f>
        <v>KADEK DWIPA ANGGARASTRA</v>
      </c>
      <c r="G1601" s="21"/>
    </row>
    <row r="1602" spans="2:7">
      <c r="B1602" s="22" t="s">
        <v>1455</v>
      </c>
      <c r="C1602" s="23" t="s">
        <v>1456</v>
      </c>
      <c r="D1602" s="24" t="s">
        <v>1647</v>
      </c>
      <c r="E1602" s="25" t="s">
        <v>1722</v>
      </c>
      <c r="F1602" s="16" t="str">
        <f>_xlfn.XLOOKUP(D1602,[10]ALL!$C:$C,[10]ALL!$N:$N,"Tidak Ditemukan")</f>
        <v>KADEK DWIPA ANGGARASTRA</v>
      </c>
      <c r="G1602" s="21"/>
    </row>
    <row r="1603" spans="2:7">
      <c r="B1603" s="22" t="s">
        <v>1455</v>
      </c>
      <c r="C1603" s="23" t="s">
        <v>1456</v>
      </c>
      <c r="D1603" s="24" t="s">
        <v>1648</v>
      </c>
      <c r="E1603" s="25" t="s">
        <v>1722</v>
      </c>
      <c r="F1603" s="16" t="str">
        <f>_xlfn.XLOOKUP(D1603,[10]ALL!$C:$C,[10]ALL!$N:$N,"Tidak Ditemukan")</f>
        <v>DWIKY REZA ARDANI WINAHARA</v>
      </c>
      <c r="G1603" s="21"/>
    </row>
    <row r="1604" spans="2:7">
      <c r="B1604" s="22" t="s">
        <v>1455</v>
      </c>
      <c r="C1604" s="23" t="s">
        <v>1456</v>
      </c>
      <c r="D1604" s="24" t="s">
        <v>1649</v>
      </c>
      <c r="E1604" s="25" t="s">
        <v>1722</v>
      </c>
      <c r="F1604" s="16" t="str">
        <f>_xlfn.XLOOKUP(D1604,[10]ALL!$C:$C,[10]ALL!$N:$N,"Tidak Ditemukan")</f>
        <v>NI WAYAN ELSA SEPTIANA INDRIANI</v>
      </c>
      <c r="G1604" s="21"/>
    </row>
    <row r="1605" spans="2:7">
      <c r="B1605" s="22" t="s">
        <v>1455</v>
      </c>
      <c r="C1605" s="23" t="s">
        <v>1456</v>
      </c>
      <c r="D1605" s="24" t="s">
        <v>1650</v>
      </c>
      <c r="E1605" s="25" t="s">
        <v>1722</v>
      </c>
      <c r="F1605" s="16" t="str">
        <f>_xlfn.XLOOKUP(D1605,[10]ALL!$C:$C,[10]ALL!$N:$N,"Tidak Ditemukan")</f>
        <v>NI PUTU DEWI LASTINI</v>
      </c>
      <c r="G1605" s="21"/>
    </row>
    <row r="1606" spans="2:7">
      <c r="B1606" s="22" t="s">
        <v>1455</v>
      </c>
      <c r="C1606" s="23" t="s">
        <v>1456</v>
      </c>
      <c r="D1606" s="24" t="s">
        <v>1651</v>
      </c>
      <c r="E1606" s="25" t="s">
        <v>1722</v>
      </c>
      <c r="F1606" s="16" t="str">
        <f>_xlfn.XLOOKUP(D1606,[10]ALL!$C:$C,[10]ALL!$N:$N,"Tidak Ditemukan")</f>
        <v>KADEK DWIPA ANGGARASTRA</v>
      </c>
      <c r="G1606" s="21"/>
    </row>
    <row r="1607" spans="2:7">
      <c r="B1607" s="22" t="s">
        <v>1455</v>
      </c>
      <c r="C1607" s="23" t="s">
        <v>1456</v>
      </c>
      <c r="D1607" s="24" t="s">
        <v>1652</v>
      </c>
      <c r="E1607" s="25" t="s">
        <v>1722</v>
      </c>
      <c r="F1607" s="16" t="str">
        <f>_xlfn.XLOOKUP(D1607,[10]ALL!$C:$C,[10]ALL!$N:$N,"Tidak Ditemukan")</f>
        <v>KADEK DWIPA ANGGARASTRA</v>
      </c>
      <c r="G1607" s="21"/>
    </row>
    <row r="1608" spans="2:7">
      <c r="B1608" s="22" t="s">
        <v>1455</v>
      </c>
      <c r="C1608" s="23" t="s">
        <v>1456</v>
      </c>
      <c r="D1608" s="24" t="s">
        <v>1653</v>
      </c>
      <c r="E1608" s="25" t="s">
        <v>1722</v>
      </c>
      <c r="F1608" s="16" t="str">
        <f>_xlfn.XLOOKUP(D1608,[10]ALL!$C:$C,[10]ALL!$N:$N,"Tidak Ditemukan")</f>
        <v>KADEK DWIPA ANGGARASTRA</v>
      </c>
      <c r="G1608" s="21"/>
    </row>
    <row r="1609" spans="2:7">
      <c r="B1609" s="22" t="s">
        <v>1455</v>
      </c>
      <c r="C1609" s="23" t="s">
        <v>1456</v>
      </c>
      <c r="D1609" s="24" t="s">
        <v>1654</v>
      </c>
      <c r="E1609" s="25" t="s">
        <v>1722</v>
      </c>
      <c r="F1609" s="16" t="str">
        <f>_xlfn.XLOOKUP(D1609,[10]ALL!$C:$C,[10]ALL!$N:$N,"Tidak Ditemukan")</f>
        <v>KADEK DWIPA ANGGARASTRA</v>
      </c>
      <c r="G1609" s="21"/>
    </row>
    <row r="1610" spans="2:7">
      <c r="B1610" s="22" t="s">
        <v>1455</v>
      </c>
      <c r="C1610" s="23" t="s">
        <v>1456</v>
      </c>
      <c r="D1610" s="24" t="s">
        <v>1655</v>
      </c>
      <c r="E1610" s="25" t="s">
        <v>1722</v>
      </c>
      <c r="F1610" s="16" t="str">
        <f>_xlfn.XLOOKUP(D1610,[10]ALL!$C:$C,[10]ALL!$N:$N,"Tidak Ditemukan")</f>
        <v>NI WAYAN ELSA SEPTIANA INDRIANI</v>
      </c>
      <c r="G1610" s="21"/>
    </row>
    <row r="1611" spans="2:7">
      <c r="B1611" s="22" t="s">
        <v>1455</v>
      </c>
      <c r="C1611" s="23" t="s">
        <v>1456</v>
      </c>
      <c r="D1611" s="24" t="s">
        <v>1656</v>
      </c>
      <c r="E1611" s="25" t="s">
        <v>1722</v>
      </c>
      <c r="F1611" s="16" t="str">
        <f>_xlfn.XLOOKUP(D1611,[10]ALL!$C:$C,[10]ALL!$N:$N,"Tidak Ditemukan")</f>
        <v>KADEK DWIPA ANGGARASTRA</v>
      </c>
      <c r="G1611" s="21"/>
    </row>
    <row r="1612" spans="2:7">
      <c r="B1612" s="22" t="s">
        <v>1455</v>
      </c>
      <c r="C1612" s="23" t="s">
        <v>1456</v>
      </c>
      <c r="D1612" s="24" t="s">
        <v>1657</v>
      </c>
      <c r="E1612" s="25" t="s">
        <v>1722</v>
      </c>
      <c r="F1612" s="16" t="str">
        <f>_xlfn.XLOOKUP(D1612,[10]ALL!$C:$C,[10]ALL!$N:$N,"Tidak Ditemukan")</f>
        <v>KADEK DWIPA ANGGARASTRA</v>
      </c>
      <c r="G1612" s="21"/>
    </row>
    <row r="1613" spans="2:7">
      <c r="B1613" s="22" t="s">
        <v>1455</v>
      </c>
      <c r="C1613" s="23" t="s">
        <v>1456</v>
      </c>
      <c r="D1613" s="24" t="s">
        <v>1658</v>
      </c>
      <c r="E1613" s="25" t="s">
        <v>1722</v>
      </c>
      <c r="F1613" s="16" t="str">
        <f>_xlfn.XLOOKUP(D1613,[10]ALL!$C:$C,[10]ALL!$N:$N,"Tidak Ditemukan")</f>
        <v>NI PUTU DEWI LASTINI</v>
      </c>
      <c r="G1613" s="21"/>
    </row>
    <row r="1614" spans="2:7">
      <c r="B1614" s="22" t="s">
        <v>1455</v>
      </c>
      <c r="C1614" s="23" t="s">
        <v>1456</v>
      </c>
      <c r="D1614" s="24" t="s">
        <v>1659</v>
      </c>
      <c r="E1614" s="25" t="s">
        <v>1722</v>
      </c>
      <c r="F1614" s="16" t="str">
        <f>_xlfn.XLOOKUP(D1614,[10]ALL!$C:$C,[10]ALL!$N:$N,"Tidak Ditemukan")</f>
        <v>NI WAYAN ELSA SEPTIANA INDRIANI</v>
      </c>
      <c r="G1614" s="21"/>
    </row>
    <row r="1615" spans="2:7">
      <c r="B1615" s="22" t="s">
        <v>1455</v>
      </c>
      <c r="C1615" s="23" t="s">
        <v>1456</v>
      </c>
      <c r="D1615" s="24" t="s">
        <v>1660</v>
      </c>
      <c r="E1615" s="25" t="s">
        <v>1722</v>
      </c>
      <c r="F1615" s="16" t="str">
        <f>_xlfn.XLOOKUP(D1615,[10]ALL!$C:$C,[10]ALL!$N:$N,"Tidak Ditemukan")</f>
        <v>DWIKY REZA ARDANI WINAHARA</v>
      </c>
      <c r="G1615" s="21"/>
    </row>
    <row r="1616" spans="2:7">
      <c r="B1616" s="22" t="s">
        <v>1455</v>
      </c>
      <c r="C1616" s="23" t="s">
        <v>1456</v>
      </c>
      <c r="D1616" s="24" t="s">
        <v>1661</v>
      </c>
      <c r="E1616" s="25" t="s">
        <v>1722</v>
      </c>
      <c r="F1616" s="16" t="str">
        <f>_xlfn.XLOOKUP(D1616,[10]ALL!$C:$C,[10]ALL!$N:$N,"Tidak Ditemukan")</f>
        <v>DWIKY REZA ARDANI WINAHARA</v>
      </c>
      <c r="G1616" s="21"/>
    </row>
    <row r="1617" spans="2:7">
      <c r="B1617" s="22" t="s">
        <v>1455</v>
      </c>
      <c r="C1617" s="23" t="s">
        <v>1456</v>
      </c>
      <c r="D1617" s="24" t="s">
        <v>1662</v>
      </c>
      <c r="E1617" s="25" t="s">
        <v>1722</v>
      </c>
      <c r="F1617" s="16" t="str">
        <f>_xlfn.XLOOKUP(D1617,[10]ALL!$C:$C,[10]ALL!$N:$N,"Tidak Ditemukan")</f>
        <v>NI WAYAN ELSA SEPTIANA INDRIANI</v>
      </c>
      <c r="G1617" s="21"/>
    </row>
    <row r="1618" spans="2:7">
      <c r="B1618" s="22" t="s">
        <v>1455</v>
      </c>
      <c r="C1618" s="23" t="s">
        <v>1456</v>
      </c>
      <c r="D1618" s="24" t="s">
        <v>1663</v>
      </c>
      <c r="E1618" s="25" t="s">
        <v>1722</v>
      </c>
      <c r="F1618" s="16" t="str">
        <f>_xlfn.XLOOKUP(D1618,[10]ALL!$C:$C,[10]ALL!$N:$N,"Tidak Ditemukan")</f>
        <v>AGUS KADE DIVA RAMANA</v>
      </c>
      <c r="G1618" s="21"/>
    </row>
    <row r="1619" spans="2:7">
      <c r="B1619" s="22" t="s">
        <v>1455</v>
      </c>
      <c r="C1619" s="23" t="s">
        <v>1456</v>
      </c>
      <c r="D1619" s="24" t="s">
        <v>1664</v>
      </c>
      <c r="E1619" s="25" t="s">
        <v>1722</v>
      </c>
      <c r="F1619" s="16" t="str">
        <f>_xlfn.XLOOKUP(D1619,[10]ALL!$C:$C,[10]ALL!$N:$N,"Tidak Ditemukan")</f>
        <v>KADEK DWIPA ANGGARASTRA</v>
      </c>
      <c r="G1619" s="21"/>
    </row>
    <row r="1620" spans="2:7">
      <c r="B1620" s="22" t="s">
        <v>1455</v>
      </c>
      <c r="C1620" s="23" t="s">
        <v>1456</v>
      </c>
      <c r="D1620" s="24" t="s">
        <v>1665</v>
      </c>
      <c r="E1620" s="25" t="s">
        <v>1722</v>
      </c>
      <c r="F1620" s="16" t="str">
        <f>_xlfn.XLOOKUP(D1620,[10]ALL!$C:$C,[10]ALL!$N:$N,"Tidak Ditemukan")</f>
        <v>I GEDE BAGUS ADI SURYAWAN , ST</v>
      </c>
      <c r="G1620" s="21"/>
    </row>
    <row r="1621" spans="2:7">
      <c r="B1621" s="22" t="s">
        <v>1455</v>
      </c>
      <c r="C1621" s="23" t="s">
        <v>1456</v>
      </c>
      <c r="D1621" s="24" t="s">
        <v>1666</v>
      </c>
      <c r="E1621" s="25" t="s">
        <v>1722</v>
      </c>
      <c r="F1621" s="16" t="str">
        <f>_xlfn.XLOOKUP(D1621,[10]ALL!$C:$C,[10]ALL!$N:$N,"Tidak Ditemukan")</f>
        <v>I GEDE BAGUS ADI SURYAWAN , ST</v>
      </c>
      <c r="G1621" s="21"/>
    </row>
    <row r="1622" spans="2:7">
      <c r="B1622" s="22" t="s">
        <v>1455</v>
      </c>
      <c r="C1622" s="23" t="s">
        <v>1456</v>
      </c>
      <c r="D1622" s="24" t="s">
        <v>1667</v>
      </c>
      <c r="E1622" s="25" t="s">
        <v>1722</v>
      </c>
      <c r="F1622" s="16" t="str">
        <f>_xlfn.XLOOKUP(D1622,[10]ALL!$C:$C,[10]ALL!$N:$N,"Tidak Ditemukan")</f>
        <v>I KOMANG FERI INDRAJAYA</v>
      </c>
      <c r="G1622" s="21"/>
    </row>
    <row r="1623" spans="2:7">
      <c r="B1623" s="22" t="s">
        <v>1455</v>
      </c>
      <c r="C1623" s="23" t="s">
        <v>1456</v>
      </c>
      <c r="D1623" s="24" t="s">
        <v>1668</v>
      </c>
      <c r="E1623" s="25" t="s">
        <v>1722</v>
      </c>
      <c r="F1623" s="16" t="str">
        <f>_xlfn.XLOOKUP(D1623,[10]ALL!$C:$C,[10]ALL!$N:$N,"Tidak Ditemukan")</f>
        <v>NI WAYAN ELSA SEPTIANA INDRIANI</v>
      </c>
      <c r="G1623" s="21"/>
    </row>
    <row r="1624" spans="2:7">
      <c r="B1624" s="22" t="s">
        <v>1455</v>
      </c>
      <c r="C1624" s="23" t="s">
        <v>1456</v>
      </c>
      <c r="D1624" s="24" t="s">
        <v>1669</v>
      </c>
      <c r="E1624" s="25" t="s">
        <v>1722</v>
      </c>
      <c r="F1624" s="16" t="str">
        <f>_xlfn.XLOOKUP(D1624,[10]ALL!$C:$C,[10]ALL!$N:$N,"Tidak Ditemukan")</f>
        <v>NI WAYAN ELSA SEPTIANA INDRIANI</v>
      </c>
      <c r="G1624" s="21"/>
    </row>
    <row r="1625" spans="2:7">
      <c r="B1625" s="22" t="s">
        <v>1455</v>
      </c>
      <c r="C1625" s="23" t="s">
        <v>1456</v>
      </c>
      <c r="D1625" s="24" t="s">
        <v>1670</v>
      </c>
      <c r="E1625" s="25" t="s">
        <v>1722</v>
      </c>
      <c r="F1625" s="16" t="str">
        <f>_xlfn.XLOOKUP(D1625,[10]ALL!$C:$C,[10]ALL!$N:$N,"Tidak Ditemukan")</f>
        <v>AGUS KADE DIVA RAMANA</v>
      </c>
      <c r="G1625" s="21"/>
    </row>
    <row r="1626" spans="2:7">
      <c r="B1626" s="22" t="s">
        <v>1455</v>
      </c>
      <c r="C1626" s="23" t="s">
        <v>1456</v>
      </c>
      <c r="D1626" s="24" t="s">
        <v>1671</v>
      </c>
      <c r="E1626" s="25" t="s">
        <v>1722</v>
      </c>
      <c r="F1626" s="16" t="str">
        <f>_xlfn.XLOOKUP(D1626,[10]ALL!$C:$C,[10]ALL!$N:$N,"Tidak Ditemukan")</f>
        <v>Rino Prasetya Wibowo</v>
      </c>
      <c r="G1626" s="21"/>
    </row>
    <row r="1627" spans="2:7">
      <c r="B1627" s="22" t="s">
        <v>1455</v>
      </c>
      <c r="C1627" s="23" t="s">
        <v>1456</v>
      </c>
      <c r="D1627" s="24" t="s">
        <v>1672</v>
      </c>
      <c r="E1627" s="25" t="s">
        <v>1722</v>
      </c>
      <c r="F1627" s="16" t="str">
        <f>_xlfn.XLOOKUP(D1627,[10]ALL!$C:$C,[10]ALL!$N:$N,"Tidak Ditemukan")</f>
        <v>AGUS KADE DIVA RAMANA</v>
      </c>
      <c r="G1627" s="21"/>
    </row>
    <row r="1628" spans="2:7">
      <c r="B1628" s="22" t="s">
        <v>1455</v>
      </c>
      <c r="C1628" s="23" t="s">
        <v>1456</v>
      </c>
      <c r="D1628" s="24" t="s">
        <v>1673</v>
      </c>
      <c r="E1628" s="25" t="s">
        <v>1722</v>
      </c>
      <c r="F1628" s="16" t="str">
        <f>_xlfn.XLOOKUP(D1628,[10]ALL!$C:$C,[10]ALL!$N:$N,"Tidak Ditemukan")</f>
        <v>NI PUTU DEWI LASTINI</v>
      </c>
      <c r="G1628" s="21"/>
    </row>
    <row r="1629" spans="2:7">
      <c r="B1629" s="22" t="s">
        <v>1455</v>
      </c>
      <c r="C1629" s="23" t="s">
        <v>1456</v>
      </c>
      <c r="D1629" s="24" t="s">
        <v>1674</v>
      </c>
      <c r="E1629" s="25" t="s">
        <v>1722</v>
      </c>
      <c r="F1629" s="16" t="str">
        <f>_xlfn.XLOOKUP(D1629,[10]ALL!$C:$C,[10]ALL!$N:$N,"Tidak Ditemukan")</f>
        <v>DWIKY REZA ARDANI WINAHARA</v>
      </c>
      <c r="G1629" s="21"/>
    </row>
    <row r="1630" spans="2:7">
      <c r="B1630" s="22" t="s">
        <v>1455</v>
      </c>
      <c r="C1630" s="23" t="s">
        <v>1456</v>
      </c>
      <c r="D1630" s="24" t="s">
        <v>1675</v>
      </c>
      <c r="E1630" s="25" t="s">
        <v>1722</v>
      </c>
      <c r="F1630" s="16" t="str">
        <f>_xlfn.XLOOKUP(D1630,[10]ALL!$C:$C,[10]ALL!$N:$N,"Tidak Ditemukan")</f>
        <v>KADEK DWIPA ANGGARASTRA</v>
      </c>
      <c r="G1630" s="21"/>
    </row>
    <row r="1631" spans="2:7">
      <c r="B1631" s="22" t="s">
        <v>1455</v>
      </c>
      <c r="C1631" s="23" t="s">
        <v>1456</v>
      </c>
      <c r="D1631" s="24" t="s">
        <v>1676</v>
      </c>
      <c r="E1631" s="25" t="s">
        <v>1722</v>
      </c>
      <c r="F1631" s="16" t="str">
        <f>_xlfn.XLOOKUP(D1631,[10]ALL!$C:$C,[10]ALL!$N:$N,"Tidak Ditemukan")</f>
        <v>AGUS KADE DIVA RAMANA</v>
      </c>
      <c r="G1631" s="21"/>
    </row>
    <row r="1632" spans="2:7">
      <c r="B1632" s="22" t="s">
        <v>1455</v>
      </c>
      <c r="C1632" s="23" t="s">
        <v>1456</v>
      </c>
      <c r="D1632" s="24" t="s">
        <v>1677</v>
      </c>
      <c r="E1632" s="25" t="s">
        <v>1722</v>
      </c>
      <c r="F1632" s="16" t="str">
        <f>_xlfn.XLOOKUP(D1632,[10]ALL!$C:$C,[10]ALL!$N:$N,"Tidak Ditemukan")</f>
        <v>DWIKY REZA ARDANI WINAHARA</v>
      </c>
      <c r="G1632" s="21"/>
    </row>
    <row r="1633" spans="2:7">
      <c r="B1633" s="22" t="s">
        <v>1455</v>
      </c>
      <c r="C1633" s="23" t="s">
        <v>1456</v>
      </c>
      <c r="D1633" s="24" t="s">
        <v>1678</v>
      </c>
      <c r="E1633" s="25" t="s">
        <v>1722</v>
      </c>
      <c r="F1633" s="16" t="str">
        <f>_xlfn.XLOOKUP(D1633,[10]ALL!$C:$C,[10]ALL!$N:$N,"Tidak Ditemukan")</f>
        <v>NI PUTU DEWI LASTINI</v>
      </c>
      <c r="G1633" s="21"/>
    </row>
    <row r="1634" spans="2:7">
      <c r="B1634" s="22" t="s">
        <v>1455</v>
      </c>
      <c r="C1634" s="23" t="s">
        <v>1456</v>
      </c>
      <c r="D1634" s="24" t="s">
        <v>1679</v>
      </c>
      <c r="E1634" s="25" t="s">
        <v>1722</v>
      </c>
      <c r="F1634" s="16" t="str">
        <f>_xlfn.XLOOKUP(D1634,[10]ALL!$C:$C,[10]ALL!$N:$N,"Tidak Ditemukan")</f>
        <v>NI PUTU DEWI LASTINI</v>
      </c>
      <c r="G1634" s="21"/>
    </row>
    <row r="1635" spans="2:7">
      <c r="B1635" s="22" t="s">
        <v>1455</v>
      </c>
      <c r="C1635" s="23" t="s">
        <v>1456</v>
      </c>
      <c r="D1635" s="24" t="s">
        <v>1680</v>
      </c>
      <c r="E1635" s="25" t="s">
        <v>1722</v>
      </c>
      <c r="F1635" s="16" t="str">
        <f>_xlfn.XLOOKUP(D1635,[10]ALL!$C:$C,[10]ALL!$N:$N,"Tidak Ditemukan")</f>
        <v>KADEK DWIPA ANGGARASTRA</v>
      </c>
      <c r="G1635" s="21"/>
    </row>
    <row r="1636" spans="2:7">
      <c r="B1636" s="22" t="s">
        <v>1455</v>
      </c>
      <c r="C1636" s="23" t="s">
        <v>1456</v>
      </c>
      <c r="D1636" s="24" t="s">
        <v>1681</v>
      </c>
      <c r="E1636" s="25" t="s">
        <v>1722</v>
      </c>
      <c r="F1636" s="16" t="str">
        <f>_xlfn.XLOOKUP(D1636,[10]ALL!$C:$C,[10]ALL!$N:$N,"Tidak Ditemukan")</f>
        <v>KADEK DWIPA ANGGARASTRA</v>
      </c>
      <c r="G1636" s="21"/>
    </row>
    <row r="1637" spans="2:7">
      <c r="B1637" s="22" t="s">
        <v>1455</v>
      </c>
      <c r="C1637" s="23" t="s">
        <v>1456</v>
      </c>
      <c r="D1637" s="24" t="s">
        <v>1682</v>
      </c>
      <c r="E1637" s="25" t="s">
        <v>1722</v>
      </c>
      <c r="F1637" s="16" t="str">
        <f>_xlfn.XLOOKUP(D1637,[10]ALL!$C:$C,[10]ALL!$N:$N,"Tidak Ditemukan")</f>
        <v>I KOMANG FERI INDRAJAYA</v>
      </c>
      <c r="G1637" s="21"/>
    </row>
    <row r="1638" spans="2:7">
      <c r="B1638" s="22" t="s">
        <v>1455</v>
      </c>
      <c r="C1638" s="23" t="s">
        <v>1456</v>
      </c>
      <c r="D1638" s="24" t="s">
        <v>1683</v>
      </c>
      <c r="E1638" s="25" t="s">
        <v>1722</v>
      </c>
      <c r="F1638" s="16" t="str">
        <f>_xlfn.XLOOKUP(D1638,[10]ALL!$C:$C,[10]ALL!$N:$N,"Tidak Ditemukan")</f>
        <v>I GEDE BAGUS ADI SURYAWAN , ST</v>
      </c>
      <c r="G1638" s="21"/>
    </row>
    <row r="1639" spans="2:7">
      <c r="B1639" s="22" t="s">
        <v>1455</v>
      </c>
      <c r="C1639" s="23" t="s">
        <v>1456</v>
      </c>
      <c r="D1639" s="24" t="s">
        <v>1684</v>
      </c>
      <c r="E1639" s="25" t="s">
        <v>1722</v>
      </c>
      <c r="F1639" s="16" t="str">
        <f>_xlfn.XLOOKUP(D1639,[10]ALL!$C:$C,[10]ALL!$N:$N,"Tidak Ditemukan")</f>
        <v>DWIKY REZA ARDANI WINAHARA</v>
      </c>
      <c r="G1639" s="21"/>
    </row>
    <row r="1640" spans="2:7">
      <c r="B1640" s="22" t="s">
        <v>1455</v>
      </c>
      <c r="C1640" s="23" t="s">
        <v>1456</v>
      </c>
      <c r="D1640" s="24" t="s">
        <v>1685</v>
      </c>
      <c r="E1640" s="25" t="s">
        <v>1722</v>
      </c>
      <c r="F1640" s="16" t="str">
        <f>_xlfn.XLOOKUP(D1640,[10]ALL!$C:$C,[10]ALL!$N:$N,"Tidak Ditemukan")</f>
        <v>NI WAYAN ELSA SEPTIANA INDRIANI</v>
      </c>
      <c r="G1640" s="21"/>
    </row>
    <row r="1641" spans="2:7">
      <c r="B1641" s="22" t="s">
        <v>1455</v>
      </c>
      <c r="C1641" s="23" t="s">
        <v>1456</v>
      </c>
      <c r="D1641" s="24" t="s">
        <v>1686</v>
      </c>
      <c r="E1641" s="25" t="e">
        <v>#N/A</v>
      </c>
      <c r="F1641" s="16" t="str">
        <f>_xlfn.XLOOKUP(D1641,[10]ALL!$C:$C,[10]ALL!$N:$N,"Tidak Ditemukan")</f>
        <v>NI PUTU DEWI LASTINI</v>
      </c>
      <c r="G1641" s="21"/>
    </row>
    <row r="1642" spans="2:7">
      <c r="B1642" s="22" t="s">
        <v>1455</v>
      </c>
      <c r="C1642" s="23" t="s">
        <v>1456</v>
      </c>
      <c r="D1642" s="24" t="s">
        <v>1687</v>
      </c>
      <c r="E1642" s="25" t="e">
        <v>#N/A</v>
      </c>
      <c r="F1642" s="16" t="str">
        <f>_xlfn.XLOOKUP(D1642,[10]ALL!$C:$C,[10]ALL!$N:$N,"Tidak Ditemukan")</f>
        <v>NI WAYAN ELSA SEPTIANA INDRIANI</v>
      </c>
      <c r="G1642" s="21"/>
    </row>
    <row r="1643" spans="2:7">
      <c r="B1643" s="22" t="s">
        <v>1455</v>
      </c>
      <c r="C1643" s="23" t="s">
        <v>1456</v>
      </c>
      <c r="D1643" s="24" t="s">
        <v>1688</v>
      </c>
      <c r="E1643" s="25" t="s">
        <v>1745</v>
      </c>
      <c r="F1643" s="16" t="str">
        <f>_xlfn.XLOOKUP(D1643,[10]ALL!$C:$C,[10]ALL!$N:$N,"Tidak Ditemukan")</f>
        <v>I GEDE BAGUS ADI SURYAWAN , ST</v>
      </c>
      <c r="G1643" s="21"/>
    </row>
    <row r="1644" spans="2:7">
      <c r="B1644" s="22" t="s">
        <v>1455</v>
      </c>
      <c r="C1644" s="23" t="s">
        <v>1456</v>
      </c>
      <c r="D1644" s="24" t="s">
        <v>1689</v>
      </c>
      <c r="E1644" s="25" t="s">
        <v>1722</v>
      </c>
      <c r="F1644" s="16" t="str">
        <f>_xlfn.XLOOKUP(D1644,[10]ALL!$C:$C,[10]ALL!$N:$N,"Tidak Ditemukan")</f>
        <v>DWIKY REZA ARDANI WINAHARA</v>
      </c>
      <c r="G1644" s="21"/>
    </row>
    <row r="1645" spans="2:7">
      <c r="B1645" s="22" t="s">
        <v>1455</v>
      </c>
      <c r="C1645" s="23" t="s">
        <v>1456</v>
      </c>
      <c r="D1645" s="24" t="s">
        <v>1690</v>
      </c>
      <c r="E1645" s="25" t="s">
        <v>1722</v>
      </c>
      <c r="F1645" s="16" t="str">
        <f>_xlfn.XLOOKUP(D1645,[10]ALL!$C:$C,[10]ALL!$N:$N,"Tidak Ditemukan")</f>
        <v>NI WAYAN ELSA SEPTIANA INDRIANI</v>
      </c>
      <c r="G1645" s="21"/>
    </row>
    <row r="1646" spans="2:7">
      <c r="B1646" s="22" t="s">
        <v>1455</v>
      </c>
      <c r="C1646" s="23" t="s">
        <v>1456</v>
      </c>
      <c r="D1646" s="24" t="s">
        <v>1691</v>
      </c>
      <c r="E1646" s="25" t="s">
        <v>1722</v>
      </c>
      <c r="F1646" s="16" t="str">
        <f>_xlfn.XLOOKUP(D1646,[10]ALL!$C:$C,[10]ALL!$N:$N,"Tidak Ditemukan")</f>
        <v>AGUS PRADNYANA</v>
      </c>
      <c r="G1646" s="21"/>
    </row>
    <row r="1647" spans="2:7">
      <c r="B1647" s="22" t="s">
        <v>1455</v>
      </c>
      <c r="C1647" s="23" t="s">
        <v>1456</v>
      </c>
      <c r="D1647" s="24" t="s">
        <v>1692</v>
      </c>
      <c r="E1647" s="25" t="s">
        <v>1722</v>
      </c>
      <c r="F1647" s="16" t="str">
        <f>_xlfn.XLOOKUP(D1647,[10]ALL!$C:$C,[10]ALL!$N:$N,"Tidak Ditemukan")</f>
        <v>NI WAYAN ELSA SEPTIANA INDRIANI</v>
      </c>
      <c r="G1647" s="21"/>
    </row>
    <row r="1648" spans="2:7">
      <c r="B1648" s="22" t="s">
        <v>1455</v>
      </c>
      <c r="C1648" s="23" t="s">
        <v>1456</v>
      </c>
      <c r="D1648" s="24" t="s">
        <v>1693</v>
      </c>
      <c r="E1648" s="25" t="s">
        <v>1722</v>
      </c>
      <c r="F1648" s="16" t="str">
        <f>_xlfn.XLOOKUP(D1648,[10]ALL!$C:$C,[10]ALL!$N:$N,"Tidak Ditemukan")</f>
        <v>NI WAYAN ELSA SEPTIANA INDRIANI</v>
      </c>
      <c r="G1648" s="21"/>
    </row>
    <row r="1649" spans="2:7">
      <c r="B1649" s="22" t="s">
        <v>1455</v>
      </c>
      <c r="C1649" s="23" t="s">
        <v>1456</v>
      </c>
      <c r="D1649" s="24" t="s">
        <v>1694</v>
      </c>
      <c r="E1649" s="25" t="s">
        <v>1722</v>
      </c>
      <c r="F1649" s="16" t="str">
        <f>_xlfn.XLOOKUP(D1649,[10]ALL!$C:$C,[10]ALL!$N:$N,"Tidak Ditemukan")</f>
        <v>NI WAYAN ELSA SEPTIANA INDRIANI</v>
      </c>
      <c r="G1649" s="21"/>
    </row>
    <row r="1650" spans="2:7">
      <c r="B1650" s="22" t="s">
        <v>1455</v>
      </c>
      <c r="C1650" s="23" t="s">
        <v>1456</v>
      </c>
      <c r="D1650" s="24" t="s">
        <v>1695</v>
      </c>
      <c r="E1650" s="25" t="s">
        <v>1722</v>
      </c>
      <c r="F1650" s="16" t="str">
        <f>_xlfn.XLOOKUP(D1650,[10]ALL!$C:$C,[10]ALL!$N:$N,"Tidak Ditemukan")</f>
        <v>AGUS PRADNYANA</v>
      </c>
      <c r="G1650" s="21"/>
    </row>
    <row r="1651" spans="2:7">
      <c r="B1651" s="22" t="s">
        <v>1455</v>
      </c>
      <c r="C1651" s="23" t="s">
        <v>1456</v>
      </c>
      <c r="D1651" s="24" t="s">
        <v>1696</v>
      </c>
      <c r="E1651" s="25" t="s">
        <v>1722</v>
      </c>
      <c r="F1651" s="16" t="str">
        <f>_xlfn.XLOOKUP(D1651,[10]ALL!$C:$C,[10]ALL!$N:$N,"Tidak Ditemukan")</f>
        <v>DWIKY REZA ARDANI WINAHARA</v>
      </c>
      <c r="G1651" s="21"/>
    </row>
    <row r="1652" spans="2:7">
      <c r="B1652" s="22" t="s">
        <v>1455</v>
      </c>
      <c r="C1652" s="23" t="s">
        <v>1456</v>
      </c>
      <c r="D1652" s="24" t="s">
        <v>1697</v>
      </c>
      <c r="E1652" s="25" t="s">
        <v>1722</v>
      </c>
      <c r="F1652" s="16" t="str">
        <f>_xlfn.XLOOKUP(D1652,[10]ALL!$C:$C,[10]ALL!$N:$N,"Tidak Ditemukan")</f>
        <v>DWIKY REZA ARDANI WINAHARA</v>
      </c>
      <c r="G1652" s="21"/>
    </row>
    <row r="1653" spans="2:7">
      <c r="B1653" s="22" t="s">
        <v>1455</v>
      </c>
      <c r="C1653" s="23" t="s">
        <v>1456</v>
      </c>
      <c r="D1653" s="24" t="s">
        <v>1698</v>
      </c>
      <c r="E1653" s="25" t="s">
        <v>1722</v>
      </c>
      <c r="F1653" s="16" t="str">
        <f>_xlfn.XLOOKUP(D1653,[10]ALL!$C:$C,[10]ALL!$N:$N,"Tidak Ditemukan")</f>
        <v>NI WAYAN ELSA SEPTIANA INDRIANI</v>
      </c>
      <c r="G1653" s="21"/>
    </row>
    <row r="1654" spans="2:7">
      <c r="B1654" s="22" t="s">
        <v>1455</v>
      </c>
      <c r="C1654" s="23" t="s">
        <v>1456</v>
      </c>
      <c r="D1654" s="24" t="s">
        <v>1699</v>
      </c>
      <c r="E1654" s="25" t="s">
        <v>1722</v>
      </c>
      <c r="F1654" s="16" t="str">
        <f>_xlfn.XLOOKUP(D1654,[10]ALL!$C:$C,[10]ALL!$N:$N,"Tidak Ditemukan")</f>
        <v>Ari Ardiansyah</v>
      </c>
      <c r="G1654" s="21"/>
    </row>
    <row r="1655" spans="2:7">
      <c r="B1655" s="22" t="s">
        <v>1455</v>
      </c>
      <c r="C1655" s="23" t="s">
        <v>1456</v>
      </c>
      <c r="D1655" s="24" t="s">
        <v>1700</v>
      </c>
      <c r="E1655" s="25" t="s">
        <v>1722</v>
      </c>
      <c r="F1655" s="16" t="str">
        <f>_xlfn.XLOOKUP(D1655,[10]ALL!$C:$C,[10]ALL!$N:$N,"Tidak Ditemukan")</f>
        <v>Suhardi</v>
      </c>
      <c r="G1655" s="21"/>
    </row>
    <row r="1656" spans="2:7">
      <c r="B1656" s="22" t="s">
        <v>1455</v>
      </c>
      <c r="C1656" s="23" t="s">
        <v>1456</v>
      </c>
      <c r="D1656" s="24" t="s">
        <v>1701</v>
      </c>
      <c r="E1656" s="25" t="s">
        <v>1722</v>
      </c>
      <c r="F1656" s="16" t="str">
        <f>_xlfn.XLOOKUP(D1656,[10]ALL!$C:$C,[10]ALL!$N:$N,"Tidak Ditemukan")</f>
        <v>ADE HARYANTO</v>
      </c>
      <c r="G1656" s="21"/>
    </row>
    <row r="1657" spans="2:7">
      <c r="B1657" s="22" t="s">
        <v>1455</v>
      </c>
      <c r="C1657" s="23" t="s">
        <v>1456</v>
      </c>
      <c r="D1657" s="24" t="s">
        <v>1702</v>
      </c>
      <c r="E1657" s="25" t="s">
        <v>1722</v>
      </c>
      <c r="F1657" s="16" t="str">
        <f>_xlfn.XLOOKUP(D1657,[10]ALL!$C:$C,[10]ALL!$N:$N,"Tidak Ditemukan")</f>
        <v>NOFITA</v>
      </c>
      <c r="G1657" s="21"/>
    </row>
    <row r="1658" spans="2:7">
      <c r="B1658" s="22" t="s">
        <v>1455</v>
      </c>
      <c r="C1658" s="23" t="s">
        <v>1456</v>
      </c>
      <c r="D1658" s="24" t="s">
        <v>1703</v>
      </c>
      <c r="E1658" s="25" t="s">
        <v>1722</v>
      </c>
      <c r="F1658" s="16" t="str">
        <f>_xlfn.XLOOKUP(D1658,[10]ALL!$C:$C,[10]ALL!$N:$N,"Tidak Ditemukan")</f>
        <v>PANJI PRATAMA</v>
      </c>
      <c r="G1658" s="21"/>
    </row>
    <row r="1659" spans="2:7">
      <c r="B1659" s="22" t="s">
        <v>1455</v>
      </c>
      <c r="C1659" s="23" t="s">
        <v>1456</v>
      </c>
      <c r="D1659" s="24" t="s">
        <v>1704</v>
      </c>
      <c r="E1659" s="25" t="s">
        <v>1722</v>
      </c>
      <c r="F1659" s="16" t="str">
        <f>_xlfn.XLOOKUP(D1659,[10]ALL!$C:$C,[10]ALL!$N:$N,"Tidak Ditemukan")</f>
        <v>PANJI PRATAMA</v>
      </c>
      <c r="G1659" s="21"/>
    </row>
    <row r="1660" spans="2:7">
      <c r="B1660" s="22" t="s">
        <v>1455</v>
      </c>
      <c r="C1660" s="23" t="s">
        <v>1456</v>
      </c>
      <c r="D1660" s="24" t="s">
        <v>1705</v>
      </c>
      <c r="E1660" s="25" t="s">
        <v>1722</v>
      </c>
      <c r="F1660" s="16" t="str">
        <f>_xlfn.XLOOKUP(D1660,[10]ALL!$C:$C,[10]ALL!$N:$N,"Tidak Ditemukan")</f>
        <v>Panji Pratama</v>
      </c>
      <c r="G1660" s="21"/>
    </row>
    <row r="1661" spans="2:7">
      <c r="B1661" s="22" t="s">
        <v>1455</v>
      </c>
      <c r="C1661" s="23" t="s">
        <v>1456</v>
      </c>
      <c r="D1661" s="24" t="s">
        <v>1706</v>
      </c>
      <c r="E1661" s="25" t="s">
        <v>1722</v>
      </c>
      <c r="F1661" s="16" t="str">
        <f>_xlfn.XLOOKUP(D1661,[10]ALL!$C:$C,[10]ALL!$N:$N,"Tidak Ditemukan")</f>
        <v>Suhardi</v>
      </c>
      <c r="G1661" s="21"/>
    </row>
    <row r="1662" spans="2:7">
      <c r="B1662" s="22" t="s">
        <v>1455</v>
      </c>
      <c r="C1662" s="23" t="s">
        <v>1456</v>
      </c>
      <c r="D1662" s="24" t="s">
        <v>1707</v>
      </c>
      <c r="E1662" s="25" t="s">
        <v>1722</v>
      </c>
      <c r="F1662" s="16" t="str">
        <f>_xlfn.XLOOKUP(D1662,[10]ALL!$C:$C,[10]ALL!$N:$N,"Tidak Ditemukan")</f>
        <v>FAHRURRAZI</v>
      </c>
      <c r="G1662" s="21"/>
    </row>
    <row r="1663" spans="2:7">
      <c r="B1663" s="22" t="s">
        <v>1455</v>
      </c>
      <c r="C1663" s="23" t="s">
        <v>1456</v>
      </c>
      <c r="D1663" s="24" t="s">
        <v>1708</v>
      </c>
      <c r="E1663" s="25" t="s">
        <v>1722</v>
      </c>
      <c r="F1663" s="16" t="str">
        <f>_xlfn.XLOOKUP(D1663,[10]ALL!$C:$C,[10]ALL!$N:$N,"Tidak Ditemukan")</f>
        <v>AGUSTINUS DICKY PURWONO</v>
      </c>
      <c r="G1663" s="21"/>
    </row>
    <row r="1664" spans="2:7">
      <c r="B1664" s="22" t="s">
        <v>1455</v>
      </c>
      <c r="C1664" s="23" t="s">
        <v>1456</v>
      </c>
      <c r="D1664" s="24" t="s">
        <v>1709</v>
      </c>
      <c r="E1664" s="25" t="s">
        <v>1722</v>
      </c>
      <c r="F1664" s="16" t="str">
        <f>_xlfn.XLOOKUP(D1664,[10]ALL!$C:$C,[10]ALL!$N:$N,"Tidak Ditemukan")</f>
        <v>AGUS KADE DIVA RAMANA</v>
      </c>
      <c r="G1664" s="21"/>
    </row>
    <row r="1665" spans="2:7">
      <c r="B1665" s="22" t="s">
        <v>1455</v>
      </c>
      <c r="C1665" s="23" t="s">
        <v>1456</v>
      </c>
      <c r="D1665" s="24" t="s">
        <v>1710</v>
      </c>
      <c r="E1665" s="25" t="s">
        <v>1722</v>
      </c>
      <c r="F1665" s="16" t="str">
        <f>_xlfn.XLOOKUP(D1665,[10]ALL!$C:$C,[10]ALL!$N:$N,"Tidak Ditemukan")</f>
        <v>I Kadek Sandiyasa</v>
      </c>
      <c r="G1665" s="21"/>
    </row>
    <row r="1666" spans="2:7">
      <c r="B1666" s="22" t="s">
        <v>1455</v>
      </c>
      <c r="C1666" s="23" t="s">
        <v>1456</v>
      </c>
      <c r="D1666" s="24" t="s">
        <v>1711</v>
      </c>
      <c r="E1666" s="25" t="s">
        <v>1722</v>
      </c>
      <c r="F1666" s="16" t="str">
        <f>_xlfn.XLOOKUP(D1666,[10]ALL!$C:$C,[10]ALL!$N:$N,"Tidak Ditemukan")</f>
        <v>Resi Marsila</v>
      </c>
      <c r="G1666" s="21"/>
    </row>
    <row r="1667" spans="2:7">
      <c r="B1667" s="22" t="s">
        <v>1455</v>
      </c>
      <c r="C1667" s="23" t="s">
        <v>1456</v>
      </c>
      <c r="D1667" s="24" t="s">
        <v>1712</v>
      </c>
      <c r="E1667" s="25" t="s">
        <v>1722</v>
      </c>
      <c r="F1667" s="16" t="str">
        <f>_xlfn.XLOOKUP(D1667,[10]ALL!$C:$C,[10]ALL!$N:$N,"Tidak Ditemukan")</f>
        <v>FAHRURRAZI</v>
      </c>
      <c r="G1667" s="21"/>
    </row>
    <row r="1668" spans="2:7">
      <c r="B1668" s="22" t="s">
        <v>1455</v>
      </c>
      <c r="C1668" s="23" t="s">
        <v>1456</v>
      </c>
      <c r="D1668" s="24" t="s">
        <v>1713</v>
      </c>
      <c r="E1668" s="25" t="s">
        <v>1722</v>
      </c>
      <c r="F1668" s="16" t="str">
        <f>_xlfn.XLOOKUP(D1668,[10]ALL!$C:$C,[10]ALL!$N:$N,"Tidak Ditemukan")</f>
        <v>GUSTI NGURAH ARY RAKA DARMAYASA, SE.MM</v>
      </c>
      <c r="G1668" s="21"/>
    </row>
    <row r="1669" spans="2:7">
      <c r="B1669" s="22" t="s">
        <v>1455</v>
      </c>
      <c r="C1669" s="23" t="s">
        <v>1456</v>
      </c>
      <c r="D1669" s="24" t="s">
        <v>1714</v>
      </c>
      <c r="E1669" s="25" t="s">
        <v>1722</v>
      </c>
      <c r="F1669" s="16" t="str">
        <f>_xlfn.XLOOKUP(D1669,[10]ALL!$C:$C,[10]ALL!$N:$N,"Tidak Ditemukan")</f>
        <v>AGUSTINUS DICKY PURWONO</v>
      </c>
      <c r="G1669" s="21"/>
    </row>
    <row r="1670" ht="15.75" spans="2:7">
      <c r="B1670" s="26" t="s">
        <v>1455</v>
      </c>
      <c r="C1670" s="27" t="s">
        <v>1456</v>
      </c>
      <c r="D1670" s="28" t="s">
        <v>1715</v>
      </c>
      <c r="E1670" s="29" t="s">
        <v>1722</v>
      </c>
      <c r="F1670" s="16" t="str">
        <f>_xlfn.XLOOKUP(D1670,[10]ALL!$C:$C,[10]ALL!$N:$N,"Tidak Ditemukan")</f>
        <v>Salvatris Siro</v>
      </c>
      <c r="G1670" s="21"/>
    </row>
  </sheetData>
  <autoFilter xmlns:etc="http://www.wps.cn/officeDocument/2017/etCustomData" ref="B4:F1670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DP DATA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2026-08-20T04:44:04Z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3A511236D1334AAFB015F71291A6216F_13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